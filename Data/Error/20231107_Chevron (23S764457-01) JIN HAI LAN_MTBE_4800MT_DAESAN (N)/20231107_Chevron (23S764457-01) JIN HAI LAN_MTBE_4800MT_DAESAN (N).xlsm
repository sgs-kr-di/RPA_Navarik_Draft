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hyunjin_kim\Desktop\Navarik 등록\4. 예비 폴더방\20231107_Chevron (23S764457-01) JIN HAI LAN_MTBE_4800MT_DAESAN (N)\"/>
    </mc:Choice>
  </mc:AlternateContent>
  <xr:revisionPtr revIDLastSave="0" documentId="13_ncr:1_{B12A3CEB-2568-4459-9682-290616038D63}" xr6:coauthVersionLast="47" xr6:coauthVersionMax="47" xr10:uidLastSave="{00000000-0000-0000-0000-000000000000}"/>
  <bookViews>
    <workbookView xWindow="28680" yWindow="-120" windowWidth="29040" windowHeight="15840" tabRatio="688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<sst xmlns="http://schemas.openxmlformats.org/spreadsheetml/2006/main" count="1097" uniqueCount="701">
  <si>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</si>
  <si>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</si>
  <si>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</si>
  <si>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</si>
  <si>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</si>
  <si>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</si>
  <si>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</si>
  <si>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</si>
  <si>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</si>
  <si>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</si>
  <si>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</si>
  <si>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</si>
  <si>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</si>
  <si>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</si>
  <si>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</si>
  <si>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</si>
  <si>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</si>
  <si>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</si>
  <si>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</si>
  <si>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</si>
  <si>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</si>
  <si>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</si>
  <si>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</si>
  <si>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</si>
  <si>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</si>
  <si>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</si>
  <si>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</si>
  <si>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</si>
  <si>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</si>
  <si>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</si>
  <si>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</si>
  <si>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</si>
  <si>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</si>
  <si>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</si>
  <si>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</si>
  <si>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</si>
  <si>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</si>
  <si>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</si>
  <si>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</si>
  <si>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</si>
  <si>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</si>
  <si>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</si>
  <si>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</si>
  <si>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</si>
  <si>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</si>
  <si>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</si>
  <si>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</si>
  <si>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</si>
  <si>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</si>
  <si>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</si>
  <si>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</si>
  <si>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</si>
  <si>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</si>
  <si>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</si>
  <si>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</si>
  <si>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</si>
  <si>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</si>
  <si>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</si>
  <si>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</si>
  <si>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</si>
  <si>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</si>
  <si>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</si>
  <si>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</si>
  <si>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</si>
  <si>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</si>
  <si>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</si>
  <si>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</si>
  <si>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</si>
  <si>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</si>
  <si>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</si>
  <si>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</si>
  <si>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</si>
  <si>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</si>
  <si>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</si>
  <si>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</si>
  <si>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</si>
  <si>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</si>
  <si>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</si>
  <si>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</si>
  <si>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</si>
  <si>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</si>
  <si>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</si>
  <si>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</si>
  <si>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</si>
  <si>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</si>
  <si>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</si>
  <si>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</si>
  <si>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</si>
  <si>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</si>
  <si>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</si>
  <si>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</si>
  <si>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</si>
  <si>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</si>
  <si>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</si>
  <si>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</si>
  <si>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</si>
  <si>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</si>
  <si>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</si>
  <si>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</si>
  <si>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</si>
  <si>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</si>
  <si>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</si>
  <si>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</si>
  <si>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</si>
  <si>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</si>
  <si>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</si>
  <si>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</si>
  <si>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</si>
  <si>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</si>
  <si>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</si>
  <si>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</si>
  <si>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</si>
  <si>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</si>
  <si>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</si>
  <si>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</si>
  <si>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</si>
  <si>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</si>
  <si>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</si>
  <si>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</si>
  <si>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</si>
  <si>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</si>
  <si>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</si>
  <si>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</si>
  <si>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</si>
  <si>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</si>
  <si>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</si>
  <si>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</si>
  <si>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</si>
  <si>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</si>
  <si>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</si>
  <si>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</si>
  <si>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</si>
  <si>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</si>
  <si>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</si>
  <si>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</si>
  <si>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</si>
  <si>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</si>
  <si>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</si>
  <si>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</si>
  <si>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</si>
  <si>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</si>
  <si>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</si>
  <si>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</si>
  <si>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</si>
  <si>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</si>
  <si>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</si>
  <si>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</si>
  <si>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</si>
  <si>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</si>
  <si>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</si>
  <si>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</si>
  <si>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</si>
  <si>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</si>
  <si>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</si>
  <si>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</si>
  <si>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</si>
  <si>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</si>
  <si>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</si>
  <si>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</si>
  <si>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</si>
  <si>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</si>
  <si>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</si>
  <si>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</si>
  <si>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</si>
  <si>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</si>
  <si>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</si>
  <si>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</si>
  <si>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</si>
  <si>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</si>
  <si>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</si>
  <si>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</si>
  <si>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</si>
  <si>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</si>
  <si>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</si>
  <si>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</si>
  <si>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</si>
  <si>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</si>
  <si>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</si>
  <si>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</si>
  <si>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</si>
  <si>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</si>
  <si>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</si>
  <si>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</si>
  <si>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</si>
  <si>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</si>
  <si>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</si>
  <si>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</si>
  <si>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</si>
  <si>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</si>
  <si>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</si>
  <si>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</si>
  <si>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</si>
  <si>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</si>
  <si>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</si>
  <si>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</si>
  <si>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</si>
  <si>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</si>
  <si>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</si>
  <si>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</si>
  <si>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</si>
  <si>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</si>
  <si>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</si>
  <si>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</si>
  <si>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</si>
  <si>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</si>
  <si>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</si>
  <si>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</si>
  <si>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</si>
  <si>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</si>
  <si>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</si>
  <si>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</si>
  <si>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</si>
  <si>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</si>
  <si>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</si>
  <si>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</si>
  <si>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</si>
  <si>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</si>
  <si>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</si>
  <si>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</si>
  <si>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</si>
  <si>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</si>
  <si>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</si>
  <si>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</si>
  <si>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</si>
  <si>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</si>
  <si>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</si>
  <si>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</si>
  <si>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</si>
  <si>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</si>
  <si>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</si>
  <si>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</si>
  <si>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</si>
  <si>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</si>
  <si>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</si>
  <si>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</si>
  <si>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</si>
  <si>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</si>
  <si>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</si>
  <si>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</si>
  <si>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</si>
  <si>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</si>
  <si>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</si>
  <si>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</si>
  <si>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</si>
  <si>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</si>
  <si>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</si>
  <si>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</si>
  <si>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</si>
  <si>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</si>
  <si>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</si>
  <si>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</si>
  <si>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</si>
  <si>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</si>
  <si>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</si>
  <si>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</si>
  <si>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</si>
  <si>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</si>
  <si>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</si>
  <si>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</si>
  <si>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</si>
  <si>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</si>
  <si>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</si>
  <si>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</si>
  <si>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</si>
  <si>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</si>
  <si>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</si>
  <si>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</si>
  <si>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</si>
  <si>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</si>
  <si>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</si>
  <si>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</si>
  <si>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</si>
  <si>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</si>
  <si>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</si>
  <si>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</si>
  <si>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</si>
  <si>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</si>
  <si>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</si>
  <si>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</si>
  <si>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</si>
  <si>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</si>
  <si>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</si>
  <si>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</si>
  <si>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</si>
  <si>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</si>
  <si>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</si>
  <si>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</si>
  <si>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</si>
  <si>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</si>
  <si>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</si>
  <si>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</si>
  <si>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</si>
  <si>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</si>
  <si>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</si>
  <si>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</si>
  <si>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</si>
  <si>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</si>
  <si>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</si>
  <si>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</si>
  <si>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</si>
  <si>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</si>
  <si>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</si>
  <si>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</si>
  <si>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</si>
  <si>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</si>
  <si>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</si>
  <si>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</si>
  <si>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</si>
  <si>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</si>
  <si>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</si>
  <si>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</si>
  <si>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</si>
  <si>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</si>
  <si>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</si>
  <si>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</si>
  <si>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</si>
  <si>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</si>
  <si>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</si>
  <si>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</si>
  <si>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</si>
  <si>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</si>
  <si>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</si>
  <si>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</si>
  <si>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</si>
  <si>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</si>
  <si>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</si>
  <si>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</si>
  <si>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</si>
  <si>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</si>
  <si>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</si>
  <si>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</si>
  <si>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</si>
  <si>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</si>
  <si>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</si>
  <si>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</si>
  <si>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</si>
  <si>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</si>
  <si>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</si>
  <si>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</si>
  <si>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</si>
  <si>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</si>
  <si>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</si>
  <si>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</si>
  <si>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</si>
  <si>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</si>
  <si>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</si>
  <si>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</si>
  <si>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</si>
  <si>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</si>
  <si>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</si>
  <si>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</si>
  <si>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</si>
  <si>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</si>
  <si>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</si>
  <si>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</si>
  <si>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</si>
  <si>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</si>
  <si>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</si>
  <si>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</si>
  <si>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</si>
  <si>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</si>
  <si>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</si>
  <si>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</si>
  <si>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</si>
  <si>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</si>
  <si>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</si>
  <si>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</si>
  <si>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</si>
  <si>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</si>
  <si>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</si>
  <si>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</si>
  <si>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</si>
  <si>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</si>
  <si>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</si>
  <si>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</si>
  <si>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</si>
  <si>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</si>
  <si>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</si>
  <si>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</si>
  <si>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</si>
  <si>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</si>
  <si>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</si>
  <si>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</si>
  <si>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</si>
  <si>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</si>
  <si>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</si>
  <si>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</si>
  <si>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</si>
  <si>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</si>
  <si>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</si>
  <si>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</si>
  <si>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</si>
  <si>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</si>
  <si>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</si>
  <si>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</si>
  <si>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</si>
  <si>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</si>
  <si>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</si>
  <si>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</si>
  <si>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</si>
  <si>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</si>
  <si>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</si>
  <si>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</si>
  <si>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</si>
  <si>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</si>
  <si>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</si>
  <si>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</si>
  <si>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</si>
  <si>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</si>
  <si>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</si>
  <si>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</si>
  <si>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</si>
  <si>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</si>
  <si>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</si>
  <si>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</si>
  <si>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</si>
  <si>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</si>
  <si>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</si>
  <si>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</si>
  <si>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</si>
  <si>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</si>
  <si>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</si>
  <si>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</si>
  <si>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</si>
  <si>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</si>
  <si>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</si>
  <si>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</si>
  <si>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</si>
  <si>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</si>
  <si>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</si>
  <si>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</si>
  <si>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</si>
  <si>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</si>
  <si>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</si>
  <si>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</si>
  <si>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</si>
  <si>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</si>
  <si>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</si>
  <si>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</si>
  <si>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</si>
  <si>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</si>
  <si>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</si>
  <si>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</si>
  <si>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</si>
  <si>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</si>
  <si>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</si>
  <si>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</si>
  <si>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</si>
  <si>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</si>
  <si>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</si>
  <si>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</si>
  <si>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</si>
  <si>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</si>
  <si>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</si>
  <si>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</si>
  <si>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</si>
  <si>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</si>
  <si>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</si>
  <si>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</si>
  <si>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</si>
  <si>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</si>
  <si>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</si>
  <si>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</si>
  <si>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</si>
  <si>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</si>
  <si>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</si>
  <si>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</si>
  <si>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</si>
  <si>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</si>
  <si>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</si>
  <si>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</si>
  <si>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</si>
  <si>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</si>
  <si>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</si>
  <si>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</si>
  <si>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</si>
  <si>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</si>
  <si>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</si>
  <si>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</si>
  <si>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</si>
  <si>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</si>
  <si>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</si>
  <si>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</si>
  <si>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</si>
  <si>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</si>
  <si>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</si>
  <si>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</si>
  <si>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</si>
  <si>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</si>
  <si>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</si>
  <si>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</si>
  <si>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</si>
  <si>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</si>
  <si>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</si>
  <si>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</si>
  <si>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</si>
  <si>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</si>
  <si>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</si>
  <si>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</si>
  <si>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</si>
  <si>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</si>
  <si>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</si>
  <si>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</si>
  <si>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</si>
  <si>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</si>
  <si>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</si>
  <si>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</si>
  <si>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</si>
  <si>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</si>
  <si>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</si>
  <si>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</si>
  <si>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</si>
  <si>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</si>
  <si>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</si>
  <si>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</si>
  <si>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</si>
  <si>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</si>
  <si>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</si>
  <si>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</si>
  <si>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</si>
  <si>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</si>
  <si>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</si>
  <si>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</si>
  <si>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</si>
  <si>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</si>
  <si>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</si>
  <si>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</si>
  <si>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</si>
  <si>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</si>
  <si>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</si>
  <si>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</si>
  <si>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</si>
  <si>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</si>
  <si>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</si>
  <si>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</si>
  <si>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</si>
  <si>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</si>
  <si>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</si>
  <si>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</si>
  <si>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</si>
  <si>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</si>
  <si>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</si>
  <si>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</si>
  <si>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</si>
  <si>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</si>
  <si>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</si>
  <si>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</si>
  <si>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</si>
  <si>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</si>
  <si>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</si>
  <si>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</si>
  <si>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</si>
  <si>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</si>
  <si>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</si>
  <si>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</si>
  <si>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</si>
  <si>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</si>
  <si>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</si>
  <si>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</si>
  <si>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</si>
  <si>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</si>
  <si>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</si>
  <si>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</si>
  <si>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</si>
  <si>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</si>
  <si>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</si>
  <si>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</si>
  <si>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</si>
  <si>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</si>
  <si>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</si>
  <si>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</si>
  <si>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</si>
  <si>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</si>
  <si>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</si>
  <si>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</si>
  <si>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</si>
  <si>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</si>
  <si>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</si>
  <si>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</si>
  <si>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</si>
  <si>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</si>
  <si>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</si>
  <si>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</si>
  <si>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</si>
  <si>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</si>
  <si>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</si>
  <si>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</si>
  <si>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</si>
  <si>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</si>
  <si>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</si>
  <si>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</si>
  <si>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</si>
  <si>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</si>
  <si>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</si>
  <si>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</si>
  <si>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</si>
  <si>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</si>
  <si>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</si>
  <si>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</si>
  <si>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</si>
  <si>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</si>
  <si>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</si>
  <si>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</si>
  <si>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</si>
  <si>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</si>
  <si>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</si>
  <si>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</si>
  <si>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</si>
  <si>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</si>
  <si>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</si>
  <si>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</si>
  <si>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</si>
  <si>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</si>
  <si>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</si>
  <si>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</si>
  <si>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</si>
  <si>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</si>
  <si>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</si>
  <si>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</si>
  <si>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</si>
  <si>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</si>
  <si>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</si>
  <si>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</si>
  <si>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</si>
  <si>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</si>
  <si>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</si>
  <si>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</si>
  <si>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</si>
  <si>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</si>
  <si>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</si>
  <si>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</si>
  <si>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</si>
  <si>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</si>
  <si>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</si>
  <si>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</si>
  <si>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</si>
  <si>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</si>
  <si>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</si>
  <si>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</si>
  <si>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</si>
  <si>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</si>
  <si>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</si>
  <si>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</si>
  <si>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</si>
  <si>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</si>
  <si>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</si>
  <si>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</si>
  <si>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</si>
  <si>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</si>
  <si>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</si>
  <si>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</si>
  <si>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</si>
  <si>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</si>
  <si>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</si>
  <si>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</si>
  <si>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</si>
  <si>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</si>
  <si>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</si>
  <si>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</si>
  <si>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</si>
  <si>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</si>
  <si>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</si>
  <si>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</si>
  <si>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</si>
  <si>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</si>
  <si>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</si>
  <si>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</si>
  <si>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</si>
  <si>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</si>
  <si>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</si>
  <si>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</si>
  <si>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</si>
  <si>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</si>
  <si>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</si>
  <si>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</si>
  <si>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</si>
  <si>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</si>
  <si>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</si>
  <si>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</si>
  <si>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</si>
  <si>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</si>
  <si>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</si>
  <si>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</si>
  <si>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</si>
  <si>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</si>
  <si>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</si>
  <si>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</si>
  <si>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</si>
  <si>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</si>
  <si>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</si>
  <si>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</si>
  <si>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</si>
  <si>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</si>
  <si>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</si>
  <si>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</si>
  <si>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</si>
  <si>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대산</t>
    <phoneticPr fontId="1" type="noConversion"/>
  </si>
  <si>
    <t>CHEVRON</t>
  </si>
  <si>
    <t>23S764457-01</t>
    <phoneticPr fontId="1" type="noConversion"/>
  </si>
  <si>
    <t>JIN HAI LAN</t>
    <phoneticPr fontId="1" type="noConversion"/>
  </si>
  <si>
    <t>MTBE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</si>
</sst>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88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표준" xfId="0" builtinId="0"/>
    <cellStyle name="하이퍼링크" xfId="1" builtinId="8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15240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9</xdr:row>
          <xdr:rowOff>182880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11</xdr:row>
          <xdr:rowOff>7620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13</xdr:row>
          <xdr:rowOff>15240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426720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33</xdr:row>
      <xdr:rowOff>15240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541020</xdr:colOff>
          <xdr:row>89</xdr:row>
          <xdr:rowOff>160020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abSelected="1" topLeftCell="A2" zoomScaleNormal="100" workbookViewId="0">
      <selection activeCell="C23" sqref="C23"/>
    </sheetView>
  </sheetViews>
  <sheetFormatPr defaultRowHeight="18" customHeight="1"/>
  <cols>
    <col min="1" max="1" width="2.8984375" style="99" customWidth="1"/>
    <col min="2" max="2" width="20.59765625" style="99" customWidth="1"/>
    <col min="3" max="3" width="31.796875" style="99" customWidth="1"/>
    <col min="4" max="5" width="2.59765625" style="109" customWidth="1"/>
    <col min="6" max="11" width="10.69921875" style="109" customWidth="1"/>
    <col min="12" max="19" width="8.796875" style="109"/>
    <col min="20" max="16384" width="8.7968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대산</v>
      </c>
      <c r="C6" s="158" t="str">
        <f>IF(C5="","담당자 이름을 입력 또는 선택합니다.",VLOOKUP(C5,Sheet3!$I$1:$L$91,2,))</f>
        <v>kr_ogcwest@sgs.com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kr_ogcwest@sgs.com;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8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698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699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Kr_ogculsan@sgs.com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Password_00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45229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45046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45321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15240</xdr:rowOff>
                  </from>
                  <to>
                    <xdr:col>1</xdr:col>
                    <xdr:colOff>1325880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15240</xdr:colOff>
                    <xdr:row>9</xdr:row>
                    <xdr:rowOff>182880</xdr:rowOff>
                  </from>
                  <to>
                    <xdr:col>1</xdr:col>
                    <xdr:colOff>1318260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15240</xdr:colOff>
                    <xdr:row>11</xdr:row>
                    <xdr:rowOff>7620</xdr:rowOff>
                  </from>
                  <to>
                    <xdr:col>1</xdr:col>
                    <xdr:colOff>1318260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129540</xdr:colOff>
                    <xdr:row>13</xdr:row>
                    <xdr:rowOff>15240</xdr:rowOff>
                  </from>
                  <to>
                    <xdr:col>2</xdr:col>
                    <xdr:colOff>845820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426720</xdr:rowOff>
                  </from>
                  <to>
                    <xdr:col>2</xdr:col>
                    <xdr:colOff>1493520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RowHeight="13.8" customHeight="1"/>
  <cols>
    <col min="1" max="1" width="3.3984375" style="86" customWidth="1"/>
    <col min="2" max="2" width="2.19921875" style="2" customWidth="1"/>
    <col min="3" max="3" width="29.296875" style="2" customWidth="1"/>
    <col min="4" max="4" width="47.69921875" style="2" customWidth="1"/>
    <col min="5" max="5" width="13.296875" style="1" customWidth="1"/>
    <col min="6" max="6" width="9.09765625" style="1" customWidth="1"/>
    <col min="7" max="7" width="16.296875" style="1" customWidth="1"/>
    <col min="8" max="8" width="12.5" style="1" customWidth="1"/>
    <col min="9" max="9" width="3.3984375" style="1" customWidth="1"/>
    <col min="10" max="10" width="3.5" style="1" customWidth="1"/>
    <col min="11" max="11" width="58.09765625" style="1" customWidth="1"/>
    <col min="12" max="12" width="13.296875" style="1" customWidth="1"/>
    <col min="13" max="13" width="9.09765625" style="1" customWidth="1"/>
    <col min="14" max="14" width="13.296875" style="1" customWidth="1"/>
    <col min="15" max="15" width="9.09765625" style="1" customWidth="1"/>
    <col min="16" max="16" width="3.8984375" style="1" customWidth="1"/>
    <col min="17" max="26" width="8.796875" style="1"/>
    <col min="27" max="27" width="0" style="1" hidden="1" customWidth="1"/>
    <col min="28" max="39" width="8.796875" style="1"/>
    <col min="40" max="41" width="8.796875" style="1" customWidth="1"/>
    <col min="42" max="42" width="8.796875" style="1"/>
    <col min="43" max="43" width="8.796875" style="1" customWidth="1"/>
    <col min="44" max="16384" width="8.796875" style="1"/>
  </cols>
  <sheetData>
    <row r="1" spans="1:36" ht="13.8" customHeight="1">
      <c r="A1" s="84"/>
      <c r="B1" s="265" t="s">
        <v>241</v>
      </c>
      <c r="C1" s="265"/>
      <c r="D1" s="3"/>
      <c r="E1" s="4"/>
      <c r="F1" s="268"/>
      <c r="G1" s="268"/>
      <c r="H1" s="268"/>
      <c r="I1" s="4"/>
      <c r="J1" s="264" t="s">
        <v>13</v>
      </c>
      <c r="K1" s="264"/>
      <c r="L1" s="4"/>
      <c r="M1" s="4"/>
      <c r="N1" s="4"/>
      <c r="O1" s="4"/>
      <c r="P1" s="4"/>
    </row>
    <row r="2" spans="1:36" ht="13.8" customHeight="1">
      <c r="A2" s="84"/>
      <c r="B2" s="266"/>
      <c r="C2" s="266"/>
      <c r="D2" s="5"/>
      <c r="E2" s="6"/>
      <c r="F2" s="269"/>
      <c r="G2" s="269"/>
      <c r="H2" s="269"/>
      <c r="I2" s="4"/>
      <c r="J2" s="267"/>
      <c r="K2" s="267"/>
      <c r="L2" s="270" t="s">
        <v>328</v>
      </c>
      <c r="M2" s="252"/>
      <c r="N2" s="252" t="s">
        <v>329</v>
      </c>
      <c r="O2" s="253"/>
      <c r="P2" s="4"/>
    </row>
    <row r="3" spans="1:36" ht="13.8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8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8" customHeight="1">
      <c r="A5" s="85">
        <v>1</v>
      </c>
      <c r="B5" s="129"/>
      <c r="C5" s="130"/>
      <c r="D5" s="62"/>
      <c r="E5" s="101"/>
      <c r="F5" s="64"/>
      <c r="G5" s="65"/>
      <c r="H5" s="215" t="str">
        <f t="shared" ref="H5:H36" si="0">IF(OR(B5="*",C5=""),"",IF(OR(E5="",F5=""),"-",""))</f>
        <v/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8" customHeight="1">
      <c r="A6" s="85">
        <v>2</v>
      </c>
      <c r="B6" s="129"/>
      <c r="C6" s="130"/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0</v>
      </c>
    </row>
    <row r="7" spans="1:36" ht="13.8" customHeight="1">
      <c r="A7" s="85">
        <v>3</v>
      </c>
      <c r="B7" s="129"/>
      <c r="C7" s="130"/>
      <c r="D7" s="62"/>
      <c r="E7" s="101"/>
      <c r="F7" s="64"/>
      <c r="G7" s="65"/>
      <c r="H7" s="215" t="str">
        <f t="shared" si="0"/>
        <v/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8" customHeight="1">
      <c r="A8" s="85">
        <v>4</v>
      </c>
      <c r="B8" s="129"/>
      <c r="C8" s="130"/>
      <c r="D8" s="62"/>
      <c r="E8" s="101"/>
      <c r="F8" s="64"/>
      <c r="G8" s="65"/>
      <c r="H8" s="215" t="str">
        <f t="shared" si="0"/>
        <v/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8" customHeight="1">
      <c r="A9" s="85">
        <v>5</v>
      </c>
      <c r="B9" s="129"/>
      <c r="C9" s="130"/>
      <c r="D9" s="62"/>
      <c r="E9" s="101"/>
      <c r="F9" s="64"/>
      <c r="G9" s="65"/>
      <c r="H9" s="215" t="str">
        <f t="shared" si="0"/>
        <v/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8" customHeight="1">
      <c r="A10" s="85">
        <v>6</v>
      </c>
      <c r="B10" s="129"/>
      <c r="C10" s="130"/>
      <c r="D10" s="62"/>
      <c r="E10" s="101"/>
      <c r="F10" s="64"/>
      <c r="G10" s="65"/>
      <c r="H10" s="215" t="str">
        <f t="shared" si="0"/>
        <v/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8" customHeight="1">
      <c r="A11" s="85">
        <v>7</v>
      </c>
      <c r="B11" s="129"/>
      <c r="C11" s="130"/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0</v>
      </c>
    </row>
    <row r="12" spans="1:36" ht="13.8" customHeight="1">
      <c r="A12" s="85">
        <v>8</v>
      </c>
      <c r="B12" s="129"/>
      <c r="C12" s="130"/>
      <c r="D12" s="62"/>
      <c r="E12" s="101"/>
      <c r="F12" s="64"/>
      <c r="G12" s="65"/>
      <c r="H12" s="215" t="str">
        <f t="shared" si="0"/>
        <v/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8" customHeight="1">
      <c r="A13" s="85">
        <v>9</v>
      </c>
      <c r="B13" s="129"/>
      <c r="C13" s="130"/>
      <c r="D13" s="62"/>
      <c r="E13" s="101"/>
      <c r="F13" s="64"/>
      <c r="G13" s="65"/>
      <c r="H13" s="215" t="str">
        <f t="shared" si="0"/>
        <v/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8" customHeight="1">
      <c r="A14" s="85">
        <v>10</v>
      </c>
      <c r="B14" s="129"/>
      <c r="C14" s="130"/>
      <c r="D14" s="62"/>
      <c r="E14" s="101"/>
      <c r="F14" s="64"/>
      <c r="G14" s="65"/>
      <c r="H14" s="215" t="str">
        <f t="shared" si="0"/>
        <v/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8" customHeight="1">
      <c r="A15" s="85">
        <v>11</v>
      </c>
      <c r="B15" s="129"/>
      <c r="C15" s="130"/>
      <c r="D15" s="62"/>
      <c r="E15" s="101"/>
      <c r="F15" s="64"/>
      <c r="G15" s="65"/>
      <c r="H15" s="215" t="str">
        <f t="shared" si="0"/>
        <v/>
      </c>
      <c r="I15" s="4"/>
      <c r="J15" s="263" t="s">
        <v>369</v>
      </c>
      <c r="K15" s="263"/>
      <c r="L15" s="4"/>
      <c r="M15" s="4"/>
      <c r="N15" s="4"/>
      <c r="O15" s="4"/>
      <c r="P15" s="4"/>
      <c r="AA15" s="108">
        <f t="shared" si="1"/>
        <v>0</v>
      </c>
    </row>
    <row r="16" spans="1:36" ht="13.8" customHeight="1">
      <c r="A16" s="85">
        <v>12</v>
      </c>
      <c r="B16" s="129"/>
      <c r="C16" s="130"/>
      <c r="D16" s="62"/>
      <c r="E16" s="101"/>
      <c r="F16" s="64"/>
      <c r="G16" s="65"/>
      <c r="H16" s="215" t="str">
        <f t="shared" si="0"/>
        <v/>
      </c>
      <c r="I16" s="4"/>
      <c r="J16" s="264"/>
      <c r="K16" s="264"/>
      <c r="L16" s="4"/>
      <c r="M16" s="4"/>
      <c r="N16" s="4"/>
      <c r="O16" s="4"/>
      <c r="P16" s="4"/>
      <c r="AA16" s="108">
        <f t="shared" si="1"/>
        <v>0</v>
      </c>
    </row>
    <row r="17" spans="1:27" ht="13.8" customHeight="1">
      <c r="A17" s="85">
        <v>13</v>
      </c>
      <c r="B17" s="129"/>
      <c r="C17" s="130"/>
      <c r="D17" s="62"/>
      <c r="E17" s="101"/>
      <c r="F17" s="64"/>
      <c r="G17" s="65"/>
      <c r="H17" s="215" t="str">
        <f t="shared" si="0"/>
        <v/>
      </c>
      <c r="I17" s="4"/>
      <c r="J17" s="254" t="s">
        <v>652</v>
      </c>
      <c r="K17" s="255"/>
      <c r="L17" s="255"/>
      <c r="M17" s="255"/>
      <c r="N17" s="255"/>
      <c r="O17" s="256"/>
      <c r="P17" s="4"/>
      <c r="AA17" s="108">
        <f t="shared" si="1"/>
        <v>0</v>
      </c>
    </row>
    <row r="18" spans="1:27" ht="13.8" customHeight="1">
      <c r="A18" s="85">
        <v>14</v>
      </c>
      <c r="B18" s="129"/>
      <c r="C18" s="130"/>
      <c r="D18" s="62"/>
      <c r="E18" s="101"/>
      <c r="F18" s="64"/>
      <c r="G18" s="65"/>
      <c r="H18" s="215" t="str">
        <f t="shared" si="0"/>
        <v/>
      </c>
      <c r="I18" s="4"/>
      <c r="J18" s="257"/>
      <c r="K18" s="258"/>
      <c r="L18" s="258"/>
      <c r="M18" s="258"/>
      <c r="N18" s="258"/>
      <c r="O18" s="259"/>
      <c r="P18" s="4"/>
      <c r="AA18" s="108">
        <f t="shared" si="1"/>
        <v>0</v>
      </c>
    </row>
    <row r="19" spans="1:27" ht="13.8" customHeight="1">
      <c r="A19" s="85">
        <v>15</v>
      </c>
      <c r="B19" s="129"/>
      <c r="C19" s="130"/>
      <c r="D19" s="62"/>
      <c r="E19" s="101"/>
      <c r="F19" s="64"/>
      <c r="G19" s="65"/>
      <c r="H19" s="215" t="str">
        <f t="shared" si="0"/>
        <v/>
      </c>
      <c r="I19" s="4"/>
      <c r="J19" s="257"/>
      <c r="K19" s="258"/>
      <c r="L19" s="258"/>
      <c r="M19" s="258"/>
      <c r="N19" s="258"/>
      <c r="O19" s="259"/>
      <c r="P19" s="4"/>
      <c r="AA19" s="108">
        <f t="shared" si="1"/>
        <v>0</v>
      </c>
    </row>
    <row r="20" spans="1:27" ht="13.8" customHeight="1">
      <c r="A20" s="85">
        <v>16</v>
      </c>
      <c r="B20" s="129"/>
      <c r="C20" s="130"/>
      <c r="D20" s="62"/>
      <c r="E20" s="101"/>
      <c r="F20" s="64"/>
      <c r="G20" s="65"/>
      <c r="H20" s="215" t="str">
        <f t="shared" si="0"/>
        <v/>
      </c>
      <c r="I20" s="4"/>
      <c r="J20" s="257"/>
      <c r="K20" s="258"/>
      <c r="L20" s="258"/>
      <c r="M20" s="258"/>
      <c r="N20" s="258"/>
      <c r="O20" s="259"/>
      <c r="P20" s="4"/>
      <c r="AA20" s="108">
        <f t="shared" si="1"/>
        <v>0</v>
      </c>
    </row>
    <row r="21" spans="1:27" ht="13.8" customHeight="1">
      <c r="A21" s="85">
        <v>17</v>
      </c>
      <c r="B21" s="129"/>
      <c r="C21" s="130"/>
      <c r="D21" s="62"/>
      <c r="E21" s="101"/>
      <c r="F21" s="64"/>
      <c r="G21" s="65"/>
      <c r="H21" s="215" t="str">
        <f t="shared" si="0"/>
        <v/>
      </c>
      <c r="I21" s="4"/>
      <c r="J21" s="257"/>
      <c r="K21" s="258"/>
      <c r="L21" s="258"/>
      <c r="M21" s="258"/>
      <c r="N21" s="258"/>
      <c r="O21" s="259"/>
      <c r="P21" s="4"/>
      <c r="AA21" s="108">
        <f t="shared" si="1"/>
        <v>0</v>
      </c>
    </row>
    <row r="22" spans="1:27" ht="13.8" customHeight="1">
      <c r="A22" s="85">
        <v>18</v>
      </c>
      <c r="B22" s="129"/>
      <c r="C22" s="130"/>
      <c r="D22" s="63"/>
      <c r="E22" s="101"/>
      <c r="F22" s="64"/>
      <c r="G22" s="65"/>
      <c r="H22" s="215" t="str">
        <f t="shared" si="0"/>
        <v/>
      </c>
      <c r="I22" s="4"/>
      <c r="J22" s="257"/>
      <c r="K22" s="258"/>
      <c r="L22" s="258"/>
      <c r="M22" s="258"/>
      <c r="N22" s="258"/>
      <c r="O22" s="259"/>
      <c r="P22" s="4"/>
      <c r="AA22" s="108">
        <f t="shared" si="1"/>
        <v>0</v>
      </c>
    </row>
    <row r="23" spans="1:27" ht="13.8" customHeight="1">
      <c r="A23" s="85">
        <v>19</v>
      </c>
      <c r="B23" s="129"/>
      <c r="C23" s="130"/>
      <c r="D23" s="62"/>
      <c r="E23" s="101"/>
      <c r="F23" s="64"/>
      <c r="G23" s="65"/>
      <c r="H23" s="215" t="str">
        <f t="shared" si="0"/>
        <v/>
      </c>
      <c r="I23" s="4"/>
      <c r="J23" s="257"/>
      <c r="K23" s="258"/>
      <c r="L23" s="258"/>
      <c r="M23" s="258"/>
      <c r="N23" s="258"/>
      <c r="O23" s="259"/>
      <c r="P23" s="4"/>
      <c r="AA23" s="108">
        <f t="shared" si="1"/>
        <v>0</v>
      </c>
    </row>
    <row r="24" spans="1:27" ht="13.8" customHeight="1">
      <c r="A24" s="85">
        <v>20</v>
      </c>
      <c r="B24" s="129"/>
      <c r="C24" s="130"/>
      <c r="D24" s="62"/>
      <c r="E24" s="101"/>
      <c r="F24" s="64"/>
      <c r="G24" s="65"/>
      <c r="H24" s="215" t="str">
        <f t="shared" si="0"/>
        <v/>
      </c>
      <c r="I24" s="4"/>
      <c r="J24" s="260"/>
      <c r="K24" s="261"/>
      <c r="L24" s="261"/>
      <c r="M24" s="261"/>
      <c r="N24" s="261"/>
      <c r="O24" s="262"/>
      <c r="P24" s="4"/>
      <c r="AA24" s="108">
        <f t="shared" si="1"/>
        <v>0</v>
      </c>
    </row>
    <row r="25" spans="1:27" ht="13.8" customHeight="1">
      <c r="A25" s="85">
        <v>21</v>
      </c>
      <c r="B25" s="129"/>
      <c r="C25" s="130"/>
      <c r="D25" s="62"/>
      <c r="E25" s="101"/>
      <c r="F25" s="64"/>
      <c r="G25" s="65"/>
      <c r="H25" s="215" t="str">
        <f t="shared" si="0"/>
        <v/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8" customHeight="1">
      <c r="A26" s="85">
        <v>22</v>
      </c>
      <c r="B26" s="129"/>
      <c r="C26" s="130"/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0</v>
      </c>
    </row>
    <row r="27" spans="1:27" ht="13.8" customHeight="1">
      <c r="A27" s="85">
        <v>23</v>
      </c>
      <c r="B27" s="129"/>
      <c r="C27" s="130"/>
      <c r="D27" s="62"/>
      <c r="E27" s="101"/>
      <c r="F27" s="64"/>
      <c r="G27" s="65"/>
      <c r="H27" s="215" t="str">
        <f t="shared" si="0"/>
        <v/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8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8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8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8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8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8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8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8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8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8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8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8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8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8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8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8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8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8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8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8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8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8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8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8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8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8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8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8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8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8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8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8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8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8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8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8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8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8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8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8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8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8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8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8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RowHeight="15" customHeight="1"/>
  <cols>
    <col min="1" max="1" width="3.3984375" style="45" customWidth="1"/>
    <col min="2" max="2" width="32.796875" style="45" customWidth="1"/>
    <col min="3" max="7" width="16.59765625" style="47" customWidth="1"/>
    <col min="8" max="9" width="3.3984375" style="45" customWidth="1"/>
    <col min="10" max="14" width="14" style="174" customWidth="1"/>
    <col min="15" max="15" width="3.3984375" style="174" customWidth="1"/>
    <col min="16" max="20" width="14" style="174" customWidth="1"/>
    <col min="21" max="21" width="3.3984375" style="174" customWidth="1"/>
    <col min="22" max="26" width="14" style="174" customWidth="1"/>
    <col min="27" max="27" width="3.3984375" style="174" customWidth="1"/>
    <col min="28" max="32" width="14" style="174" customWidth="1"/>
    <col min="33" max="33" width="3.3984375" style="174" customWidth="1"/>
    <col min="34" max="38" width="14" style="174" customWidth="1"/>
    <col min="39" max="39" width="3.3984375" style="174" customWidth="1"/>
    <col min="40" max="44" width="14" style="174" customWidth="1"/>
    <col min="45" max="45" width="3.3984375" style="174" customWidth="1"/>
    <col min="46" max="50" width="14" style="174" customWidth="1"/>
    <col min="51" max="51" width="3.3984375" style="174" customWidth="1"/>
    <col min="52" max="56" width="14" style="174" customWidth="1"/>
    <col min="57" max="57" width="3.3984375" style="174" customWidth="1"/>
    <col min="58" max="62" width="14" style="174" customWidth="1"/>
    <col min="63" max="16384" width="8.796875" style="45"/>
  </cols>
  <sheetData>
    <row r="1" spans="1:78" ht="15" customHeight="1">
      <c r="A1" s="38"/>
      <c r="B1" s="265" t="s">
        <v>240</v>
      </c>
      <c r="C1" s="27"/>
      <c r="D1" s="27"/>
      <c r="E1" s="27"/>
      <c r="F1" s="27"/>
      <c r="G1" s="27"/>
      <c r="H1" s="38"/>
      <c r="J1" s="271" t="s">
        <v>645</v>
      </c>
      <c r="K1" s="272"/>
      <c r="L1" s="272"/>
      <c r="M1" s="272"/>
      <c r="N1" s="273"/>
    </row>
    <row r="2" spans="1:78" ht="15" customHeight="1">
      <c r="A2" s="38"/>
      <c r="B2" s="265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78"/>
      <c r="G4" s="279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4"/>
      <c r="G5" s="275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76" t="str">
        <f>IF('Navarik 설정'!C22="","",'Navarik 설정'!C22)</f>
        <v>MTBE</v>
      </c>
      <c r="G6" s="277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 formatRows="0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229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0"/>
      <c r="G85" s="280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230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232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233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234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235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236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237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238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239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7.399999999999999"/>
  <cols>
    <col min="2" max="2" width="11.09765625" bestFit="1" customWidth="1"/>
    <col min="10" max="10" width="30.29687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45229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541020</xdr:colOff>
                    <xdr:row>89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Kim, HyunJin (Ulsan)</cp:lastModifiedBy>
  <cp:lastPrinted>2023-08-21T01:31:29Z</cp:lastPrinted>
  <dcterms:created xsi:type="dcterms:W3CDTF">2022-11-23T02:24:26Z</dcterms:created>
  <dcterms:modified xsi:type="dcterms:W3CDTF">2023-10-30T00:26:32Z</dcterms:modified>
</cp:coreProperties>
</file>