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6118-01) ESTEEM ENDEAVOR_GASOIL 10PPM_145KB_YOSU (Y) 2\"/>
    </mc:Choice>
  </mc:AlternateContent>
  <xr:revisionPtr revIDLastSave="0" documentId="13_ncr:1_{0866B0C9-D56F-4936-8753-CC05A02CD221}" xr6:coauthVersionLast="45" xr6:coauthVersionMax="47" xr10:uidLastSave="{00000000-0000-0000-0000-000000000000}"/>
  <bookViews>
    <workbookView xWindow="0" yWindow="183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<sst xmlns="http://schemas.openxmlformats.org/spreadsheetml/2006/main" count="1232" uniqueCount="759">
  <si>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</si>
  <si>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</si>
  <si>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</si>
  <si>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</si>
  <si>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</si>
  <si>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</si>
  <si>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</si>
  <si>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</si>
  <si>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</si>
  <si>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</si>
  <si>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</si>
  <si>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</si>
  <si>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</si>
  <si>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</si>
  <si>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</si>
  <si>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</si>
  <si>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</si>
  <si>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</si>
  <si>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</si>
  <si>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</si>
  <si>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</si>
  <si>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</si>
  <si>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</si>
  <si>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</si>
  <si>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</si>
  <si>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</si>
  <si>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</si>
  <si>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</si>
  <si>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</si>
  <si>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</si>
  <si>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</si>
  <si>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</si>
  <si>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</si>
  <si>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</si>
  <si>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</si>
  <si>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</si>
  <si>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</si>
  <si>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</si>
  <si>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</si>
  <si>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</si>
  <si>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</si>
  <si>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</si>
  <si>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</si>
  <si>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</si>
  <si>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</si>
  <si>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</si>
  <si>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</si>
  <si>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</si>
  <si>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</si>
  <si>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</si>
  <si>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</si>
  <si>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</si>
  <si>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</si>
  <si>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</si>
  <si>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</si>
  <si>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</si>
  <si>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</si>
  <si>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</si>
  <si>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</si>
  <si>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</si>
  <si>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</si>
  <si>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</si>
  <si>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</si>
  <si>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</si>
  <si>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</si>
  <si>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</si>
  <si>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</si>
  <si>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</si>
  <si>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</si>
  <si>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</si>
  <si>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</si>
  <si>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</si>
  <si>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</si>
  <si>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</si>
  <si>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</si>
  <si>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</si>
  <si>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</si>
  <si>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</si>
  <si>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</si>
  <si>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</si>
  <si>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</si>
  <si>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</si>
  <si>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</si>
  <si>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</si>
  <si>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</si>
  <si>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</si>
  <si>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</si>
  <si>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</si>
  <si>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</si>
  <si>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</si>
  <si>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</si>
  <si>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</si>
  <si>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</si>
  <si>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</si>
  <si>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</si>
  <si>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</si>
  <si>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</si>
  <si>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</si>
  <si>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</si>
  <si>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</si>
  <si>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</si>
  <si>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</si>
  <si>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</si>
  <si>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</si>
  <si>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</si>
  <si>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</si>
  <si>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</si>
  <si>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</si>
  <si>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</si>
  <si>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</si>
  <si>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</si>
  <si>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</si>
  <si>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</si>
  <si>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</si>
  <si>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</si>
  <si>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</si>
  <si>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</si>
  <si>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</si>
  <si>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</si>
  <si>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</si>
  <si>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</si>
  <si>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</si>
  <si>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</si>
  <si>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</si>
  <si>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</si>
  <si>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</si>
  <si>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</si>
  <si>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</si>
  <si>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</si>
  <si>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</si>
  <si>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</si>
  <si>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</si>
  <si>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</si>
  <si>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</si>
  <si>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</si>
  <si>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</si>
  <si>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</si>
  <si>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</si>
  <si>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</si>
  <si>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</si>
  <si>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</si>
  <si>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</si>
  <si>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</si>
  <si>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</si>
  <si>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</si>
  <si>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</si>
  <si>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</si>
  <si>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</si>
  <si>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</si>
  <si>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</si>
  <si>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</si>
  <si>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</si>
  <si>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</si>
  <si>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</si>
  <si>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</si>
  <si>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</si>
  <si>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</si>
  <si>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</si>
  <si>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</si>
  <si>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</si>
  <si>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</si>
  <si>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</si>
  <si>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</si>
  <si>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</si>
  <si>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</si>
  <si>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</si>
  <si>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</si>
  <si>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</si>
  <si>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</si>
  <si>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</si>
  <si>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</si>
  <si>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</si>
  <si>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</si>
  <si>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</si>
  <si>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</si>
  <si>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</si>
  <si>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</si>
  <si>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</si>
  <si>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</si>
  <si>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</si>
  <si>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</si>
  <si>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</si>
  <si>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</si>
  <si>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</si>
  <si>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</si>
  <si>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</si>
  <si>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</si>
  <si>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</si>
  <si>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</si>
  <si>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</si>
  <si>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</si>
  <si>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</si>
  <si>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</si>
  <si>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</si>
  <si>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</si>
  <si>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</si>
  <si>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</si>
  <si>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</si>
  <si>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</si>
  <si>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</si>
  <si>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</si>
  <si>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</si>
  <si>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</si>
  <si>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</si>
  <si>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</si>
  <si>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</si>
  <si>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</si>
  <si>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</si>
  <si>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</si>
  <si>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</si>
  <si>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</si>
  <si>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</si>
  <si>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</si>
  <si>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</si>
  <si>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</si>
  <si>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</si>
  <si>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</si>
  <si>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</si>
  <si>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</si>
  <si>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</si>
  <si>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</si>
  <si>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</si>
  <si>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</si>
  <si>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</si>
  <si>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</si>
  <si>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</si>
  <si>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</si>
  <si>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</si>
  <si>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</si>
  <si>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</si>
  <si>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</si>
  <si>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</si>
  <si>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</si>
  <si>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</si>
  <si>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</si>
  <si>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</si>
  <si>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</si>
  <si>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</si>
  <si>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</si>
  <si>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</si>
  <si>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</si>
  <si>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</si>
  <si>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</si>
  <si>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</si>
  <si>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</si>
  <si>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</si>
  <si>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</si>
  <si>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</si>
  <si>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</si>
  <si>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</si>
  <si>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</si>
  <si>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</si>
  <si>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</si>
  <si>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</si>
  <si>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</si>
  <si>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</si>
  <si>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</si>
  <si>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</si>
  <si>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</si>
  <si>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</si>
  <si>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</si>
  <si>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</si>
  <si>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</si>
  <si>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</si>
  <si>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</si>
  <si>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</si>
  <si>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</si>
  <si>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</si>
  <si>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</si>
  <si>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</si>
  <si>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</si>
  <si>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</si>
  <si>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</si>
  <si>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</si>
  <si>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</si>
  <si>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</si>
  <si>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</si>
  <si>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</si>
  <si>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</si>
  <si>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</si>
  <si>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</si>
  <si>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</si>
  <si>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</si>
  <si>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</si>
  <si>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</si>
  <si>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</si>
  <si>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</si>
  <si>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</si>
  <si>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</si>
  <si>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</si>
  <si>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</si>
  <si>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</si>
  <si>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</si>
  <si>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</si>
  <si>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</si>
  <si>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</si>
  <si>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</si>
  <si>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</si>
  <si>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</si>
  <si>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</si>
  <si>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</si>
  <si>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</si>
  <si>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</si>
  <si>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</si>
  <si>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</si>
  <si>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</si>
  <si>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</si>
  <si>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</si>
  <si>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</si>
  <si>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</si>
  <si>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</si>
  <si>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</si>
  <si>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</si>
  <si>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</si>
  <si>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</si>
  <si>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</si>
  <si>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</si>
  <si>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</si>
  <si>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</si>
  <si>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</si>
  <si>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</si>
  <si>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</si>
  <si>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</si>
  <si>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</si>
  <si>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</si>
  <si>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</si>
  <si>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</si>
  <si>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</si>
  <si>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</si>
  <si>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</si>
  <si>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</si>
  <si>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</si>
  <si>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</si>
  <si>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</si>
  <si>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</si>
  <si>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</si>
  <si>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</si>
  <si>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</si>
  <si>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</si>
  <si>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</si>
  <si>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</si>
  <si>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</si>
  <si>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</si>
  <si>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</si>
  <si>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</si>
  <si>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</si>
  <si>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</si>
  <si>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</si>
  <si>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</si>
  <si>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</si>
  <si>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</si>
  <si>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</si>
  <si>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</si>
  <si>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</si>
  <si>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</si>
  <si>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</si>
  <si>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</si>
  <si>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</si>
  <si>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</si>
  <si>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</si>
  <si>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</si>
  <si>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</si>
  <si>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</si>
  <si>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</si>
  <si>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</si>
  <si>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</si>
  <si>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</si>
  <si>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</si>
  <si>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</si>
  <si>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</si>
  <si>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</si>
  <si>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</si>
  <si>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</si>
  <si>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</si>
  <si>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</si>
  <si>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</si>
  <si>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</si>
  <si>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</si>
  <si>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</si>
  <si>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</si>
  <si>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</si>
  <si>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</si>
  <si>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</si>
  <si>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</si>
  <si>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</si>
  <si>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</si>
  <si>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</si>
  <si>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</si>
  <si>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</si>
  <si>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</si>
  <si>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</si>
  <si>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</si>
  <si>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</si>
  <si>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</si>
  <si>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</si>
  <si>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</si>
  <si>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</si>
  <si>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</si>
  <si>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</si>
  <si>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</si>
  <si>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</si>
  <si>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</si>
  <si>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</si>
  <si>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</si>
  <si>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</si>
  <si>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</si>
  <si>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</si>
  <si>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</si>
  <si>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</si>
  <si>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</si>
  <si>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</si>
  <si>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</si>
  <si>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</si>
  <si>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</si>
  <si>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</si>
  <si>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</si>
  <si>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</si>
  <si>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</si>
  <si>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</si>
  <si>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</si>
  <si>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</si>
  <si>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</si>
  <si>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</si>
  <si>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</si>
  <si>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</si>
  <si>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</si>
  <si>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</si>
  <si>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</si>
  <si>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</si>
  <si>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</si>
  <si>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</si>
  <si>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</si>
  <si>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</si>
  <si>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</si>
  <si>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</si>
  <si>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</si>
  <si>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</si>
  <si>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</si>
  <si>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</si>
  <si>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</si>
  <si>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</si>
  <si>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</si>
  <si>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</si>
  <si>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</si>
  <si>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</si>
  <si>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</si>
  <si>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</si>
  <si>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</si>
  <si>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</si>
  <si>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</si>
  <si>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</si>
  <si>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</si>
  <si>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</si>
  <si>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</si>
  <si>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</si>
  <si>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</si>
  <si>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</si>
  <si>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</si>
  <si>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</si>
  <si>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</si>
  <si>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</si>
  <si>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</si>
  <si>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</si>
  <si>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</si>
  <si>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</si>
  <si>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</si>
  <si>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</si>
  <si>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</si>
  <si>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</si>
  <si>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</si>
  <si>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</si>
  <si>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</si>
  <si>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</si>
  <si>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</si>
  <si>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</si>
  <si>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</si>
  <si>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</si>
  <si>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</si>
  <si>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</si>
  <si>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</si>
  <si>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</si>
  <si>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</si>
  <si>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</si>
  <si>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</si>
  <si>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</si>
  <si>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</si>
  <si>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</si>
  <si>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</si>
  <si>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</si>
  <si>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</si>
  <si>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</si>
  <si>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</si>
  <si>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</si>
  <si>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</si>
  <si>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</si>
  <si>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</si>
  <si>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</si>
  <si>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</si>
  <si>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</si>
  <si>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</si>
  <si>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</si>
  <si>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</si>
  <si>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</si>
  <si>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</si>
  <si>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</si>
  <si>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</si>
  <si>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</si>
  <si>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</si>
  <si>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</si>
  <si>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</si>
  <si>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</si>
  <si>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</si>
  <si>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</si>
  <si>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</si>
  <si>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</si>
  <si>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</si>
  <si>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</si>
  <si>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</si>
  <si>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</si>
  <si>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</si>
  <si>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</si>
  <si>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</si>
  <si>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</si>
  <si>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</si>
  <si>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</si>
  <si>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</si>
  <si>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</si>
  <si>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</si>
  <si>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</si>
  <si>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</si>
  <si>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</si>
  <si>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</si>
  <si>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</si>
  <si>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</si>
  <si>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</si>
  <si>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</si>
  <si>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</si>
  <si>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</si>
  <si>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</si>
  <si>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</si>
  <si>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</si>
  <si>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</si>
  <si>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</si>
  <si>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</si>
  <si>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</si>
  <si>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</si>
  <si>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</si>
  <si>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</si>
  <si>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</si>
  <si>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</si>
  <si>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</si>
  <si>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</si>
  <si>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</si>
  <si>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</si>
  <si>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</si>
  <si>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</si>
  <si>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</si>
  <si>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</si>
  <si>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</si>
  <si>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</si>
  <si>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</si>
  <si>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</si>
  <si>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</si>
  <si>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</si>
  <si>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</si>
  <si>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</si>
  <si>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</si>
  <si>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</si>
  <si>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</si>
  <si>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</si>
  <si>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</si>
  <si>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</si>
  <si>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</si>
  <si>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</si>
  <si>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</si>
  <si>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</si>
  <si>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</si>
  <si>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</si>
  <si>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</si>
  <si>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</si>
  <si>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</si>
  <si>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</si>
  <si>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</si>
  <si>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</si>
  <si>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</si>
  <si>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</si>
  <si>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</si>
  <si>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</si>
  <si>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</si>
  <si>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</si>
  <si>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</si>
  <si>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</si>
  <si>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</si>
  <si>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</si>
  <si>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</si>
  <si>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</si>
  <si>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</si>
  <si>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</si>
  <si>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</si>
  <si>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</si>
  <si>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</si>
  <si>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</si>
  <si>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</si>
  <si>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</si>
  <si>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</si>
  <si>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</si>
  <si>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</si>
  <si>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</si>
  <si>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</si>
  <si>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</si>
  <si>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</si>
  <si>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</si>
  <si>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</si>
  <si>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</si>
  <si>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</si>
  <si>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</si>
  <si>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</si>
  <si>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</si>
  <si>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</si>
  <si>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</si>
  <si>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</si>
  <si>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</si>
  <si>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</si>
  <si>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</si>
  <si>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</si>
  <si>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</si>
  <si>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</si>
  <si>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</si>
  <si>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</si>
  <si>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</si>
  <si>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</si>
  <si>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</si>
  <si>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</si>
  <si>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</si>
  <si>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</si>
  <si>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</si>
  <si>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</si>
  <si>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</si>
  <si>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</si>
  <si>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</si>
  <si>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</si>
  <si>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</si>
  <si>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</si>
  <si>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</si>
  <si>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</si>
  <si>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</si>
  <si>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</si>
  <si>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</si>
  <si>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</si>
  <si>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</si>
  <si>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</si>
  <si>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</si>
  <si>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</si>
  <si>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</si>
  <si>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</si>
  <si>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</si>
  <si>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</si>
  <si>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</si>
  <si>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</si>
  <si>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</si>
  <si>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</si>
  <si>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</si>
  <si>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</si>
  <si>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</si>
  <si>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</si>
  <si>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</si>
  <si>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</si>
  <si>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</si>
  <si>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</si>
  <si>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</si>
  <si>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</si>
  <si>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</si>
  <si>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</si>
  <si>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</si>
  <si>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</si>
  <si>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</si>
  <si>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</si>
  <si>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</si>
  <si>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</si>
  <si>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</si>
  <si>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</si>
  <si>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</si>
  <si>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</si>
  <si>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</si>
  <si>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</si>
  <si>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</si>
  <si>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</si>
  <si>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</si>
  <si>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</si>
  <si>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</si>
  <si>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</si>
  <si>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</si>
  <si>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</si>
  <si>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</si>
  <si>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</si>
  <si>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</si>
  <si>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</si>
  <si>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</si>
  <si>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</si>
  <si>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23C766118-01</t>
  </si>
  <si>
    <t>ESTEEM ENDEAVOR</t>
  </si>
  <si>
    <t>Gasoil 0.001%S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</si>
  <si>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</si>
  <si>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</si>
  <si>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</si>
  <si>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</si>
  <si>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</si>
  <si>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</si>
  <si>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</si>
  <si>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- 145500 Barrels</t>
  </si>
  <si>
    <t>Load JET A-1 - 49500 Barrels</t>
  </si>
  <si>
    <t>Load Unleaded Gasoline 95 Ron - 77500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</si>
  <si>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</si>
  <si>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</si>
  <si>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</si>
  <si>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</si>
  <si>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</si>
  <si>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</si>
  <si>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</si>
  <si>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</si>
  <si>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</si>
  <si>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</si>
  <si>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</si>
  <si>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</si>
  <si>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</si>
  <si>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</si>
  <si>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</si>
  <si>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</si>
  <si>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</si>
  <si>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</si>
  <si>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</si>
  <si>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</si>
  <si>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</si>
  <si>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</si>
  <si>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</si>
  <si>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</si>
  <si>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</si>
  <si>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</si>
  <si>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</si>
  <si>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</si>
  <si>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8 (buy)</t>
  </si>
  <si>
    <t>max = 11 (buy)</t>
  </si>
  <si>
    <t>max = 0.01 (buy)</t>
  </si>
  <si>
    <t>max = 0.20 (buy)</t>
  </si>
  <si>
    <t>min = 46 (buy)</t>
  </si>
  <si>
    <t>Report only</t>
  </si>
  <si>
    <t>max = 9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</si>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</sst>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0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G27" sqref="G27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3" t="s">
        <v>241</v>
      </c>
      <c r="C1" s="273"/>
      <c r="D1" s="3"/>
      <c r="E1" s="4"/>
      <c r="F1" s="276"/>
      <c r="G1" s="276"/>
      <c r="H1" s="276"/>
      <c r="I1" s="4"/>
      <c r="J1" s="272" t="s">
        <v>13</v>
      </c>
      <c r="K1" s="272"/>
      <c r="L1" s="4"/>
      <c r="M1" s="4"/>
      <c r="N1" s="4"/>
      <c r="O1" s="4"/>
      <c r="P1" s="4"/>
    </row>
    <row r="2" spans="1:36" ht="13.9" customHeight="1">
      <c r="A2" s="79"/>
      <c r="B2" s="274"/>
      <c r="C2" s="274"/>
      <c r="D2" s="5"/>
      <c r="E2" s="6"/>
      <c r="F2" s="277"/>
      <c r="G2" s="277"/>
      <c r="H2" s="277"/>
      <c r="I2" s="4"/>
      <c r="J2" s="275"/>
      <c r="K2" s="275"/>
      <c r="L2" s="278" t="s">
        <v>328</v>
      </c>
      <c r="M2" s="260"/>
      <c r="N2" s="260" t="s">
        <v>329</v>
      </c>
      <c r="O2" s="261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712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712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712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712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712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712</v>
      </c>
      <c r="C19" s="123" t="s">
        <v>706</v>
      </c>
      <c r="D19" s="57" t="s">
        <v>711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707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468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712</v>
      </c>
      <c r="C22" s="123" t="s">
        <v>480</v>
      </c>
      <c r="D22" s="58" t="s">
        <v>709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712</v>
      </c>
      <c r="C23" s="123" t="s">
        <v>480</v>
      </c>
      <c r="D23" s="57" t="s">
        <v>710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712</v>
      </c>
      <c r="C24" s="123" t="s">
        <v>480</v>
      </c>
      <c r="D24" s="57" t="s">
        <v>711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708</v>
      </c>
      <c r="D25" s="57"/>
      <c r="E25" s="94"/>
      <c r="F25" s="59"/>
      <c r="G25" s="60"/>
      <c r="H25" s="203" t="str">
        <f t="shared" si="0"/>
        <v>-</v>
      </c>
      <c r="I25" s="4"/>
      <c r="J25" s="271" t="s">
        <v>369</v>
      </c>
      <c r="K25" s="271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712</v>
      </c>
      <c r="C26" s="123" t="s">
        <v>504</v>
      </c>
      <c r="D26" s="57"/>
      <c r="E26" s="94"/>
      <c r="F26" s="59"/>
      <c r="G26" s="60"/>
      <c r="H26" s="203" t="str">
        <f t="shared" si="0"/>
        <v/>
      </c>
      <c r="I26" s="4"/>
      <c r="J26" s="272"/>
      <c r="K26" s="272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476</v>
      </c>
      <c r="D27" s="57"/>
      <c r="E27" s="94"/>
      <c r="F27" s="59"/>
      <c r="G27" s="60"/>
      <c r="H27" s="203" t="str">
        <f t="shared" si="0"/>
        <v>-</v>
      </c>
      <c r="I27" s="4"/>
      <c r="J27" s="262"/>
      <c r="K27" s="263"/>
      <c r="L27" s="263"/>
      <c r="M27" s="263"/>
      <c r="N27" s="263"/>
      <c r="O27" s="264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467</v>
      </c>
      <c r="D28" s="57"/>
      <c r="E28" s="94"/>
      <c r="F28" s="59"/>
      <c r="G28" s="60"/>
      <c r="H28" s="203" t="str">
        <f t="shared" si="0"/>
        <v>-</v>
      </c>
      <c r="I28" s="4"/>
      <c r="J28" s="265"/>
      <c r="K28" s="266"/>
      <c r="L28" s="266"/>
      <c r="M28" s="266"/>
      <c r="N28" s="266"/>
      <c r="O28" s="267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528</v>
      </c>
      <c r="D29" s="57"/>
      <c r="E29" s="94"/>
      <c r="F29" s="59"/>
      <c r="G29" s="60"/>
      <c r="H29" s="203" t="str">
        <f t="shared" si="0"/>
        <v>-</v>
      </c>
      <c r="I29" s="4"/>
      <c r="J29" s="265"/>
      <c r="K29" s="266"/>
      <c r="L29" s="266"/>
      <c r="M29" s="266"/>
      <c r="N29" s="266"/>
      <c r="O29" s="267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712</v>
      </c>
      <c r="C30" s="123" t="s">
        <v>563</v>
      </c>
      <c r="D30" s="57"/>
      <c r="E30" s="94"/>
      <c r="F30" s="59"/>
      <c r="G30" s="60"/>
      <c r="H30" s="203" t="str">
        <f t="shared" si="0"/>
        <v/>
      </c>
      <c r="I30" s="4"/>
      <c r="J30" s="265"/>
      <c r="K30" s="266"/>
      <c r="L30" s="266"/>
      <c r="M30" s="266"/>
      <c r="N30" s="266"/>
      <c r="O30" s="267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498</v>
      </c>
      <c r="D31" s="57"/>
      <c r="E31" s="94"/>
      <c r="F31" s="59"/>
      <c r="G31" s="60"/>
      <c r="H31" s="203" t="str">
        <f t="shared" si="0"/>
        <v>-</v>
      </c>
      <c r="I31" s="4"/>
      <c r="J31" s="265"/>
      <c r="K31" s="266"/>
      <c r="L31" s="266"/>
      <c r="M31" s="266"/>
      <c r="N31" s="266"/>
      <c r="O31" s="267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5"/>
      <c r="K32" s="266"/>
      <c r="L32" s="266"/>
      <c r="M32" s="266"/>
      <c r="N32" s="266"/>
      <c r="O32" s="267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5"/>
      <c r="K33" s="266"/>
      <c r="L33" s="266"/>
      <c r="M33" s="266"/>
      <c r="N33" s="266"/>
      <c r="O33" s="267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68"/>
      <c r="K34" s="269"/>
      <c r="L34" s="269"/>
      <c r="M34" s="269"/>
      <c r="N34" s="269"/>
      <c r="O34" s="270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3" t="s">
        <v>240</v>
      </c>
      <c r="C1" s="25"/>
      <c r="D1" s="25"/>
      <c r="E1" s="25"/>
      <c r="F1" s="25"/>
      <c r="G1" s="25"/>
      <c r="H1" s="36"/>
      <c r="J1" s="279" t="s">
        <v>645</v>
      </c>
      <c r="K1" s="280"/>
      <c r="L1" s="280"/>
      <c r="M1" s="280"/>
      <c r="N1" s="281"/>
    </row>
    <row r="2" spans="1:78" ht="15" customHeight="1">
      <c r="A2" s="36"/>
      <c r="B2" s="273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86"/>
      <c r="G4" s="287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2"/>
      <c r="G5" s="283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4" t="str">
        <f>IF('Navarik 설정'!C22="","",'Navarik 설정'!C22)</f>
        <v>Gasoil 0.001%S</v>
      </c>
      <c r="G6" s="285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229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713</v>
      </c>
      <c r="D7" s="117"/>
      <c r="E7" s="126" t="s">
        <v>737</v>
      </c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117"/>
      <c r="E8" s="126" t="s">
        <v>738</v>
      </c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714</v>
      </c>
      <c r="D9" s="117"/>
      <c r="E9" s="126" t="s">
        <v>739</v>
      </c>
      <c r="F9" s="190"/>
      <c r="G9" s="20"/>
      <c r="H9" s="20"/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715</v>
      </c>
      <c r="D10" s="117"/>
      <c r="E10" s="126" t="s">
        <v>739</v>
      </c>
      <c r="F10" s="190"/>
      <c r="G10" s="20"/>
      <c r="H10" s="20"/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716</v>
      </c>
      <c r="D11" s="117"/>
      <c r="E11" s="126" t="s">
        <v>740</v>
      </c>
      <c r="F11" s="190"/>
      <c r="G11" s="20"/>
      <c r="H11" s="20"/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117"/>
      <c r="E12" s="126" t="s">
        <v>741</v>
      </c>
      <c r="F12" s="190"/>
      <c r="G12" s="20"/>
      <c r="H12" s="20"/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117"/>
      <c r="E13" s="126" t="s">
        <v>742</v>
      </c>
      <c r="F13" s="190"/>
      <c r="G13" s="20"/>
      <c r="H13" s="20"/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117"/>
      <c r="E14" s="126" t="s">
        <v>743</v>
      </c>
      <c r="F14" s="190"/>
      <c r="G14" s="20"/>
      <c r="H14" s="20"/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117"/>
      <c r="E15" s="126" t="s">
        <v>744</v>
      </c>
      <c r="F15" s="190"/>
      <c r="G15" s="20"/>
      <c r="H15" s="20"/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117"/>
      <c r="E16" s="126" t="s">
        <v>745</v>
      </c>
      <c r="F16" s="190"/>
      <c r="G16" s="20"/>
      <c r="H16" s="20"/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117"/>
      <c r="E17" s="126" t="s">
        <v>746</v>
      </c>
      <c r="F17" s="190"/>
      <c r="G17" s="20"/>
      <c r="H17" s="20"/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117"/>
      <c r="E18" s="126" t="s">
        <v>745</v>
      </c>
      <c r="F18" s="190"/>
      <c r="G18" s="20"/>
      <c r="H18" s="20"/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723</v>
      </c>
      <c r="D19" s="117"/>
      <c r="E19" s="126" t="s">
        <v>747</v>
      </c>
      <c r="F19" s="190"/>
      <c r="G19" s="20"/>
      <c r="H19" s="20"/>
      <c r="I19" s="19"/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724</v>
      </c>
      <c r="D20" s="117"/>
      <c r="E20" s="126" t="s">
        <v>748</v>
      </c>
      <c r="F20" s="190"/>
      <c r="G20" s="20"/>
      <c r="H20" s="20"/>
      <c r="I20" s="19"/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 t="s">
        <v>725</v>
      </c>
      <c r="D21" s="117"/>
      <c r="E21" s="126" t="s">
        <v>749</v>
      </c>
      <c r="F21" s="190"/>
      <c r="G21" s="20"/>
      <c r="H21" s="20"/>
      <c r="I21" s="19"/>
      <c r="J21" s="246" t="str">
        <f t="shared" si="16"/>
        <v>*</v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 t="s">
        <v>726</v>
      </c>
      <c r="D22" s="117"/>
      <c r="E22" s="126" t="s">
        <v>750</v>
      </c>
      <c r="F22" s="190"/>
      <c r="G22" s="20"/>
      <c r="H22" s="20"/>
      <c r="I22" s="19"/>
      <c r="J22" s="246" t="str">
        <f t="shared" si="16"/>
        <v>*</v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 t="s">
        <v>727</v>
      </c>
      <c r="D23" s="117"/>
      <c r="E23" s="126" t="s">
        <v>751</v>
      </c>
      <c r="F23" s="190"/>
      <c r="G23" s="20"/>
      <c r="H23" s="20"/>
      <c r="I23" s="19"/>
      <c r="J23" s="246" t="str">
        <f t="shared" si="16"/>
        <v>*</v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 t="s">
        <v>728</v>
      </c>
      <c r="D24" s="117"/>
      <c r="E24" s="126" t="s">
        <v>752</v>
      </c>
      <c r="F24" s="190"/>
      <c r="G24" s="20"/>
      <c r="H24" s="20"/>
      <c r="I24" s="19"/>
      <c r="J24" s="246" t="str">
        <f t="shared" si="16"/>
        <v>*</v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 t="s">
        <v>729</v>
      </c>
      <c r="D25" s="117"/>
      <c r="E25" s="126" t="s">
        <v>753</v>
      </c>
      <c r="F25" s="190"/>
      <c r="G25" s="20"/>
      <c r="H25" s="20"/>
      <c r="I25" s="19"/>
      <c r="J25" s="246" t="str">
        <f t="shared" si="16"/>
        <v>*</v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 t="s">
        <v>730</v>
      </c>
      <c r="D26" s="117"/>
      <c r="E26" s="126" t="s">
        <v>754</v>
      </c>
      <c r="F26" s="190"/>
      <c r="G26" s="20"/>
      <c r="H26" s="20"/>
      <c r="I26" s="19"/>
      <c r="J26" s="246" t="str">
        <f t="shared" si="16"/>
        <v>*</v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 t="s">
        <v>731</v>
      </c>
      <c r="D27" s="117"/>
      <c r="E27" s="126" t="s">
        <v>755</v>
      </c>
      <c r="F27" s="190"/>
      <c r="G27" s="20"/>
      <c r="H27" s="20"/>
      <c r="I27" s="19"/>
      <c r="J27" s="246" t="str">
        <f t="shared" si="16"/>
        <v>*</v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 t="s">
        <v>732</v>
      </c>
      <c r="D28" s="117"/>
      <c r="E28" s="126" t="s">
        <v>756</v>
      </c>
      <c r="F28" s="190"/>
      <c r="G28" s="20"/>
      <c r="H28" s="20"/>
      <c r="I28" s="19"/>
      <c r="J28" s="246" t="str">
        <f t="shared" si="16"/>
        <v>*</v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 t="s">
        <v>733</v>
      </c>
      <c r="D29" s="117"/>
      <c r="E29" s="126" t="s">
        <v>757</v>
      </c>
      <c r="F29" s="190"/>
      <c r="G29" s="20"/>
      <c r="H29" s="20"/>
      <c r="I29" s="19"/>
      <c r="J29" s="246" t="str">
        <f t="shared" si="16"/>
        <v>*</v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 t="s">
        <v>734</v>
      </c>
      <c r="D30" s="117"/>
      <c r="E30" s="126" t="s">
        <v>758</v>
      </c>
      <c r="F30" s="190"/>
      <c r="G30" s="20"/>
      <c r="H30" s="20"/>
      <c r="I30" s="19"/>
      <c r="J30" s="246" t="str">
        <f t="shared" si="16"/>
        <v>*</v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 t="s">
        <v>735</v>
      </c>
      <c r="D31" s="117"/>
      <c r="E31" s="126" t="s">
        <v>751</v>
      </c>
      <c r="F31" s="190"/>
      <c r="G31" s="20"/>
      <c r="H31" s="20"/>
      <c r="I31" s="19"/>
      <c r="J31" s="246" t="str">
        <f t="shared" si="16"/>
        <v>*</v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 t="s">
        <v>736</v>
      </c>
      <c r="D32" s="117"/>
      <c r="E32" s="126" t="s">
        <v>745</v>
      </c>
      <c r="F32" s="190"/>
      <c r="G32" s="20"/>
      <c r="H32" s="20"/>
      <c r="I32" s="19"/>
      <c r="J32" s="246" t="str">
        <f t="shared" si="16"/>
        <v>*</v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 t="s">
        <v>736</v>
      </c>
      <c r="D33" s="117"/>
      <c r="E33" s="126" t="s">
        <v>745</v>
      </c>
      <c r="F33" s="190"/>
      <c r="G33" s="20"/>
      <c r="H33" s="20"/>
      <c r="I33" s="19"/>
      <c r="J33" s="246" t="str">
        <f t="shared" si="16"/>
        <v>*</v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 t="s">
        <v>736</v>
      </c>
      <c r="D34" s="117"/>
      <c r="E34" s="126" t="s">
        <v>745</v>
      </c>
      <c r="F34" s="190"/>
      <c r="G34" s="20"/>
      <c r="H34" s="20"/>
      <c r="I34" s="19"/>
      <c r="J34" s="246" t="str">
        <f t="shared" si="16"/>
        <v>*</v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 t="s">
        <v>736</v>
      </c>
      <c r="D35" s="117"/>
      <c r="E35" s="126" t="s">
        <v>745</v>
      </c>
      <c r="F35" s="190"/>
      <c r="G35" s="20"/>
      <c r="H35" s="20"/>
      <c r="I35" s="19"/>
      <c r="J35" s="246" t="str">
        <f t="shared" si="16"/>
        <v>*</v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 t="s">
        <v>736</v>
      </c>
      <c r="D36" s="117"/>
      <c r="E36" s="126" t="s">
        <v>739</v>
      </c>
      <c r="F36" s="190"/>
      <c r="G36" s="20"/>
      <c r="H36" s="20"/>
      <c r="I36" s="19"/>
      <c r="J36" s="246" t="str">
        <f t="shared" si="16"/>
        <v>*</v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88"/>
      <c r="G85" s="288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230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714</v>
      </c>
      <c r="D7" s="117"/>
      <c r="E7" s="126" t="s">
        <v>739</v>
      </c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715</v>
      </c>
      <c r="D8" s="117"/>
      <c r="E8" s="126" t="s">
        <v>739</v>
      </c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722</v>
      </c>
      <c r="D9" s="117"/>
      <c r="E9" s="126" t="s">
        <v>745</v>
      </c>
      <c r="F9" s="190"/>
      <c r="G9" s="20"/>
      <c r="H9" s="20"/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724</v>
      </c>
      <c r="D10" s="117"/>
      <c r="E10" s="126" t="s">
        <v>748</v>
      </c>
      <c r="F10" s="190"/>
      <c r="G10" s="20"/>
      <c r="H10" s="20"/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729</v>
      </c>
      <c r="D11" s="117"/>
      <c r="E11" s="126" t="s">
        <v>753</v>
      </c>
      <c r="F11" s="190"/>
      <c r="G11" s="20"/>
      <c r="H11" s="20"/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728</v>
      </c>
      <c r="D12" s="117"/>
      <c r="E12" s="126" t="s">
        <v>752</v>
      </c>
      <c r="F12" s="190"/>
      <c r="G12" s="20"/>
      <c r="H12" s="20"/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232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233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234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235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236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237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238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3" t="s">
        <v>239</v>
      </c>
      <c r="C1" s="293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3"/>
      <c r="C2" s="293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7"/>
      <c r="G3" s="298"/>
      <c r="H3" s="298"/>
      <c r="I3" s="299"/>
      <c r="J3" s="25" t="str">
        <f>IF(F2=1,"","결과 입력 (셀 범위 Q1 ~ AD82)")</f>
        <v/>
      </c>
      <c r="K3" s="7"/>
      <c r="L3" s="289" t="str">
        <f>IF(F2&gt;=2,"Add New Sample (2)","")</f>
        <v/>
      </c>
      <c r="M3" s="289"/>
      <c r="N3" s="289"/>
      <c r="O3" s="250"/>
      <c r="P3" s="289" t="str">
        <f>IF(F2&gt;=3,"Add New Sample (3)","")</f>
        <v/>
      </c>
      <c r="Q3" s="289"/>
      <c r="R3" s="289"/>
      <c r="S3" s="36"/>
      <c r="T3" s="289" t="str">
        <f>IF(F2&gt;=4,"Add New Sample (4)","")</f>
        <v/>
      </c>
      <c r="U3" s="289"/>
      <c r="V3" s="289"/>
      <c r="W3" s="36"/>
      <c r="X3" s="289" t="str">
        <f>IF(F2&gt;=5,"Add New Sample (5)","")</f>
        <v/>
      </c>
      <c r="Y3" s="289"/>
      <c r="Z3" s="289"/>
      <c r="AA3" s="36"/>
      <c r="AB3" s="289" t="str">
        <f>IF(F2&gt;=6,"Add New Sample (6)","")</f>
        <v/>
      </c>
      <c r="AC3" s="289"/>
      <c r="AD3" s="289"/>
      <c r="AE3" s="36"/>
      <c r="AF3" s="289" t="str">
        <f>IF(F2&gt;=7,"Add New Sample (7)","")</f>
        <v/>
      </c>
      <c r="AG3" s="289"/>
      <c r="AH3" s="289"/>
      <c r="AI3" s="36"/>
      <c r="AJ3" s="289" t="str">
        <f>IF(F2&gt;=8,"Add New Sample (8)","")</f>
        <v/>
      </c>
      <c r="AK3" s="289"/>
      <c r="AL3" s="289"/>
      <c r="AM3" s="36"/>
      <c r="AN3" s="289" t="str">
        <f>IF(F2&gt;=9,"Add New Sample (9)","")</f>
        <v/>
      </c>
      <c r="AO3" s="289"/>
      <c r="AP3" s="289"/>
      <c r="AQ3" s="36"/>
      <c r="AR3" s="289" t="str">
        <f>IF(F2&gt;=10,"Add New Sample (10)","")</f>
        <v/>
      </c>
      <c r="AS3" s="289"/>
      <c r="AT3" s="289"/>
      <c r="AU3" s="36"/>
      <c r="AV3" s="289" t="str">
        <f>IF(F2&gt;=11,"Add New Sample (11)","")</f>
        <v/>
      </c>
      <c r="AW3" s="289"/>
      <c r="AX3" s="289"/>
      <c r="AY3" s="36"/>
      <c r="AZ3" s="289" t="str">
        <f>IF(F2&gt;=12,"Add New Sample (12)","")</f>
        <v/>
      </c>
      <c r="BA3" s="289"/>
      <c r="BB3" s="289"/>
      <c r="BC3" s="36"/>
      <c r="BD3" s="289" t="str">
        <f>IF(F2&gt;=13,"Add New Sample (13)","")</f>
        <v/>
      </c>
      <c r="BE3" s="289"/>
      <c r="BF3" s="289"/>
      <c r="BG3" s="36"/>
      <c r="BH3" s="289" t="str">
        <f>IF(F2&gt;=14,"Add New Sample (14)","")</f>
        <v/>
      </c>
      <c r="BI3" s="289"/>
      <c r="BJ3" s="289"/>
      <c r="BK3" s="36"/>
      <c r="BL3" s="289" t="str">
        <f>IF(F2&gt;=15,"Add New Sample (15)","")</f>
        <v/>
      </c>
      <c r="BM3" s="289"/>
      <c r="BN3" s="289"/>
      <c r="BO3" s="36"/>
      <c r="BP3" s="289" t="str">
        <f>IF(F2&gt;=16,"Add New Sample (16)","")</f>
        <v/>
      </c>
      <c r="BQ3" s="289"/>
      <c r="BR3" s="289"/>
      <c r="BS3" s="36"/>
      <c r="BT3" s="289" t="str">
        <f>IF(F2&gt;=17,"Add New Sample (17)","")</f>
        <v/>
      </c>
      <c r="BU3" s="289"/>
      <c r="BV3" s="289"/>
      <c r="BW3" s="7"/>
    </row>
    <row r="4" spans="1:75">
      <c r="A4" s="87"/>
      <c r="B4" s="42"/>
      <c r="C4" s="42"/>
      <c r="D4" s="114"/>
      <c r="E4" s="124" t="s">
        <v>5</v>
      </c>
      <c r="F4" s="294"/>
      <c r="G4" s="295"/>
      <c r="H4" s="295"/>
      <c r="I4" s="296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2"/>
      <c r="N4" s="292"/>
      <c r="O4" s="251" t="str">
        <f>IF(F2&gt;=3,1,"")</f>
        <v/>
      </c>
      <c r="P4" s="63" t="str">
        <f>IF(O4=1,"Tk No.:","")</f>
        <v/>
      </c>
      <c r="Q4" s="292"/>
      <c r="R4" s="292"/>
      <c r="S4" s="55" t="str">
        <f>IF(F2&gt;=4,1,"")</f>
        <v/>
      </c>
      <c r="T4" s="63" t="str">
        <f>IF(S4=1,"Tk No.:","")</f>
        <v/>
      </c>
      <c r="U4" s="292"/>
      <c r="V4" s="292"/>
      <c r="W4" s="55" t="str">
        <f>IF(F2&gt;=5,1,"")</f>
        <v/>
      </c>
      <c r="X4" s="63" t="str">
        <f>IF(W4=1,"Tk No.:","")</f>
        <v/>
      </c>
      <c r="Y4" s="292"/>
      <c r="Z4" s="292"/>
      <c r="AA4" s="55" t="str">
        <f>IF(F2&gt;=6,1,"")</f>
        <v/>
      </c>
      <c r="AB4" s="63" t="str">
        <f>IF(AA4=1,"Tk No.:","")</f>
        <v/>
      </c>
      <c r="AC4" s="292"/>
      <c r="AD4" s="292"/>
      <c r="AE4" s="55" t="str">
        <f>IF($F$2&gt;=7,1,"")</f>
        <v/>
      </c>
      <c r="AF4" s="63" t="str">
        <f>IF(AE4=1,"Tk No.:","")</f>
        <v/>
      </c>
      <c r="AG4" s="292"/>
      <c r="AH4" s="292"/>
      <c r="AI4" s="55" t="str">
        <f>IF($F$2&gt;=8,1,"")</f>
        <v/>
      </c>
      <c r="AJ4" s="63" t="str">
        <f>IF(AI4=1,"Tk No.:","")</f>
        <v/>
      </c>
      <c r="AK4" s="292"/>
      <c r="AL4" s="292"/>
      <c r="AM4" s="55" t="str">
        <f>IF($F$2&gt;=9,1,"")</f>
        <v/>
      </c>
      <c r="AN4" s="63" t="str">
        <f>IF(AM4=1,"Tk No.:","")</f>
        <v/>
      </c>
      <c r="AO4" s="292"/>
      <c r="AP4" s="292"/>
      <c r="AQ4" s="55" t="str">
        <f>IF($F$2&gt;=10,1,"")</f>
        <v/>
      </c>
      <c r="AR4" s="63" t="str">
        <f>IF(AQ4=1,"Tk No.:","")</f>
        <v/>
      </c>
      <c r="AS4" s="292"/>
      <c r="AT4" s="292"/>
      <c r="AU4" s="55" t="str">
        <f>IF($F$2&gt;=11,1,"")</f>
        <v/>
      </c>
      <c r="AV4" s="63" t="str">
        <f>IF(AU4=1,"Tk No.:","")</f>
        <v/>
      </c>
      <c r="AW4" s="292"/>
      <c r="AX4" s="292"/>
      <c r="AY4" s="55" t="str">
        <f>IF($F$2&gt;=12,1,"")</f>
        <v/>
      </c>
      <c r="AZ4" s="63" t="str">
        <f>IF(AY4=1,"Tk No.:","")</f>
        <v/>
      </c>
      <c r="BA4" s="292"/>
      <c r="BB4" s="292"/>
      <c r="BC4" s="55" t="str">
        <f>IF($F$2&gt;=13,1,"")</f>
        <v/>
      </c>
      <c r="BD4" s="63" t="str">
        <f>IF(BC4=1,"Tk No.:","")</f>
        <v/>
      </c>
      <c r="BE4" s="292"/>
      <c r="BF4" s="292"/>
      <c r="BG4" s="55" t="str">
        <f>IF($F$2&gt;=14,1,"")</f>
        <v/>
      </c>
      <c r="BH4" s="63" t="str">
        <f>IF(BG4=1,"Tk No.:","")</f>
        <v/>
      </c>
      <c r="BI4" s="292"/>
      <c r="BJ4" s="292"/>
      <c r="BK4" s="55" t="str">
        <f>IF($F$2&gt;=15,1,"")</f>
        <v/>
      </c>
      <c r="BL4" s="63" t="str">
        <f>IF(BK4=1,"Tk No.:","")</f>
        <v/>
      </c>
      <c r="BM4" s="292"/>
      <c r="BN4" s="292"/>
      <c r="BO4" s="55" t="str">
        <f>IF($F$2&gt;=16,1,"")</f>
        <v/>
      </c>
      <c r="BP4" s="63" t="str">
        <f>IF(BO4=1,"Tk No.:","")</f>
        <v/>
      </c>
      <c r="BQ4" s="292"/>
      <c r="BR4" s="292"/>
      <c r="BS4" s="55" t="str">
        <f>IF($F$2&gt;=17,1,"")</f>
        <v/>
      </c>
      <c r="BT4" s="63" t="str">
        <f>IF(BS4=1,"Tk No.:","")</f>
        <v/>
      </c>
      <c r="BU4" s="292"/>
      <c r="BV4" s="292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1" t="s">
        <v>268</v>
      </c>
      <c r="G5" s="291"/>
      <c r="H5" s="84" t="s">
        <v>18</v>
      </c>
      <c r="I5" s="244" t="s">
        <v>642</v>
      </c>
      <c r="J5" s="257" t="s">
        <v>696</v>
      </c>
      <c r="K5" s="7"/>
      <c r="L5" s="290" t="str">
        <f>IF(K4=1,"Results (검사원)","")</f>
        <v/>
      </c>
      <c r="M5" s="290"/>
      <c r="N5" s="290"/>
      <c r="O5" s="256" t="str">
        <f>IF(L5="","","Final")</f>
        <v/>
      </c>
      <c r="P5" s="290" t="str">
        <f>IF(O4=1,"Results (검사원)","")</f>
        <v/>
      </c>
      <c r="Q5" s="290"/>
      <c r="R5" s="290"/>
      <c r="S5" s="256" t="str">
        <f>IF(P5="","","Final")</f>
        <v/>
      </c>
      <c r="T5" s="290" t="str">
        <f>IF(S4=1,"Results (검사원)","")</f>
        <v/>
      </c>
      <c r="U5" s="290"/>
      <c r="V5" s="290"/>
      <c r="W5" s="256" t="str">
        <f>IF(T5="","","Final")</f>
        <v/>
      </c>
      <c r="X5" s="290" t="str">
        <f>IF(W4=1,"Results (검사원)","")</f>
        <v/>
      </c>
      <c r="Y5" s="290"/>
      <c r="Z5" s="290"/>
      <c r="AA5" s="256" t="str">
        <f>IF(X5="","","Final")</f>
        <v/>
      </c>
      <c r="AB5" s="290" t="str">
        <f>IF(AA4=1,"Results (검사원)","")</f>
        <v/>
      </c>
      <c r="AC5" s="290"/>
      <c r="AD5" s="290"/>
      <c r="AE5" s="256" t="str">
        <f>IF(AB5="","","Final")</f>
        <v/>
      </c>
      <c r="AF5" s="290" t="str">
        <f>IF(AE4=1,"Results (검사원)","")</f>
        <v/>
      </c>
      <c r="AG5" s="290"/>
      <c r="AH5" s="290"/>
      <c r="AI5" s="256" t="str">
        <f>IF(AF5="","","Final")</f>
        <v/>
      </c>
      <c r="AJ5" s="290" t="str">
        <f>IF(AI4=1,"Results (검사원)","")</f>
        <v/>
      </c>
      <c r="AK5" s="290"/>
      <c r="AL5" s="290"/>
      <c r="AM5" s="256" t="str">
        <f>IF(AJ5="","","Final")</f>
        <v/>
      </c>
      <c r="AN5" s="290" t="str">
        <f>IF(AM4=1,"Results (검사원)","")</f>
        <v/>
      </c>
      <c r="AO5" s="290"/>
      <c r="AP5" s="290"/>
      <c r="AQ5" s="256" t="str">
        <f>IF(AN5="","","Final")</f>
        <v/>
      </c>
      <c r="AR5" s="290" t="str">
        <f>IF(AQ4=1,"Results (검사원)","")</f>
        <v/>
      </c>
      <c r="AS5" s="290"/>
      <c r="AT5" s="290"/>
      <c r="AU5" s="256" t="str">
        <f>IF(AR5="","","Final")</f>
        <v/>
      </c>
      <c r="AV5" s="290" t="str">
        <f>IF(AU4=1,"Results (검사원)","")</f>
        <v/>
      </c>
      <c r="AW5" s="290"/>
      <c r="AX5" s="290"/>
      <c r="AY5" s="256" t="str">
        <f>IF(AV5="","","Final")</f>
        <v/>
      </c>
      <c r="AZ5" s="290" t="str">
        <f>IF(AY4=1,"Results (검사원)","")</f>
        <v/>
      </c>
      <c r="BA5" s="290"/>
      <c r="BB5" s="290"/>
      <c r="BC5" s="256" t="str">
        <f>IF(AZ5="","","Final")</f>
        <v/>
      </c>
      <c r="BD5" s="290" t="str">
        <f>IF(BC4=1,"Results (검사원)","")</f>
        <v/>
      </c>
      <c r="BE5" s="290"/>
      <c r="BF5" s="290"/>
      <c r="BG5" s="256" t="str">
        <f>IF(BD5="","","Final")</f>
        <v/>
      </c>
      <c r="BH5" s="290" t="str">
        <f>IF(BG4=1,"Results (검사원)","")</f>
        <v/>
      </c>
      <c r="BI5" s="290"/>
      <c r="BJ5" s="290"/>
      <c r="BK5" s="256" t="str">
        <f>IF(BH5="","","Final")</f>
        <v/>
      </c>
      <c r="BL5" s="290" t="str">
        <f>IF(BK4=1,"Results (검사원)","")</f>
        <v/>
      </c>
      <c r="BM5" s="290"/>
      <c r="BN5" s="290"/>
      <c r="BO5" s="256" t="str">
        <f>IF(BL5="","","Final")</f>
        <v/>
      </c>
      <c r="BP5" s="290" t="str">
        <f>IF(BO4=1,"Results (검사원)","")</f>
        <v/>
      </c>
      <c r="BQ5" s="290"/>
      <c r="BR5" s="290"/>
      <c r="BS5" s="256" t="str">
        <f>IF(BP5="","","Final")</f>
        <v/>
      </c>
      <c r="BT5" s="290" t="str">
        <f>IF(BS4=1,"Results (검사원)","")</f>
        <v/>
      </c>
      <c r="BU5" s="290"/>
      <c r="BV5" s="290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88"/>
      <c r="G85" s="288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2023-11-08T23:14:31Z</dcterms:modified>
</cp:coreProperties>
</file>