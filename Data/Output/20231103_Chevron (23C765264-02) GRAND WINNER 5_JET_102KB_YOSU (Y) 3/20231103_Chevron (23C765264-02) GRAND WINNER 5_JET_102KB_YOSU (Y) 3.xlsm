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5264-02) GRAND WINNER 5_JET_102KB_YOSU (Y) 3\"/>
    </mc:Choice>
  </mc:AlternateContent>
  <xr:revisionPtr revIDLastSave="0" documentId="13_ncr:1_{608330D6-BF06-4826-9295-59A276EB17E5}" xr6:coauthVersionLast="45" xr6:coauthVersionMax="47" xr10:uidLastSave="{00000000-0000-0000-0000-000000000000}"/>
  <bookViews>
    <workbookView xWindow="240" yWindow="1860" windowWidth="21600" windowHeight="11385" tabRatio="688" activeTab="10"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<sst xmlns="http://schemas.openxmlformats.org/spreadsheetml/2006/main" count="1426" uniqueCount="789">
  <si>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</si>
  <si>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</si>
  <si>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</si>
  <si>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</si>
  <si>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</si>
  <si>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</si>
  <si>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</si>
  <si>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</si>
  <si>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</si>
  <si>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</si>
  <si>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</si>
  <si>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</si>
  <si>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</si>
  <si>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</si>
  <si>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</si>
  <si>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</si>
  <si>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</si>
  <si>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</si>
  <si>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</si>
  <si>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</si>
  <si>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</si>
  <si>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</si>
  <si>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</si>
  <si>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</si>
  <si>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</si>
  <si>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</si>
  <si>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</si>
  <si>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</si>
  <si>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</si>
  <si>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</si>
  <si>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</si>
  <si>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</si>
  <si>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</si>
  <si>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</si>
  <si>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</si>
  <si>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</si>
  <si>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</si>
  <si>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</si>
  <si>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</si>
  <si>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</si>
  <si>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</si>
  <si>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</si>
  <si>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</si>
  <si>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</si>
  <si>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</si>
  <si>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</si>
  <si>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</si>
  <si>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</si>
  <si>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</si>
  <si>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</si>
  <si>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</si>
  <si>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</si>
  <si>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</si>
  <si>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</si>
  <si>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</si>
  <si>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</si>
  <si>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</si>
  <si>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</si>
  <si>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</si>
  <si>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</si>
  <si>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</si>
  <si>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</si>
  <si>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</si>
  <si>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</si>
  <si>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</si>
  <si>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</si>
  <si>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</si>
  <si>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</si>
  <si>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</si>
  <si>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</si>
  <si>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</si>
  <si>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</si>
  <si>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</si>
  <si>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</si>
  <si>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</si>
  <si>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</si>
  <si>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</si>
  <si>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</si>
  <si>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</si>
  <si>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</si>
  <si>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</si>
  <si>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</si>
  <si>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</si>
  <si>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</si>
  <si>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</si>
  <si>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</si>
  <si>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</si>
  <si>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</si>
  <si>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</si>
  <si>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</si>
  <si>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</si>
  <si>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</si>
  <si>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</si>
  <si>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</si>
  <si>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</si>
  <si>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</si>
  <si>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</si>
  <si>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</si>
  <si>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</si>
  <si>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</si>
  <si>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</si>
  <si>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</si>
  <si>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</si>
  <si>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</si>
  <si>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</si>
  <si>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</si>
  <si>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</si>
  <si>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</si>
  <si>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</si>
  <si>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</si>
  <si>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</si>
  <si>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</si>
  <si>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</si>
  <si>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</si>
  <si>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</si>
  <si>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</si>
  <si>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</si>
  <si>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</si>
  <si>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</si>
  <si>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</si>
  <si>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</si>
  <si>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</si>
  <si>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</si>
  <si>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</si>
  <si>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</si>
  <si>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</si>
  <si>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</si>
  <si>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</si>
  <si>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</si>
  <si>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</si>
  <si>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</si>
  <si>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</si>
  <si>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</si>
  <si>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</si>
  <si>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</si>
  <si>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</si>
  <si>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</si>
  <si>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</si>
  <si>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</si>
  <si>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</si>
  <si>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</si>
  <si>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</si>
  <si>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</si>
  <si>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</si>
  <si>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</si>
  <si>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</si>
  <si>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</si>
  <si>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</si>
  <si>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</si>
  <si>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</si>
  <si>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</si>
  <si>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</si>
  <si>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</si>
  <si>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</si>
  <si>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</si>
  <si>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</si>
  <si>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</si>
  <si>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</si>
  <si>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</si>
  <si>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</si>
  <si>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</si>
  <si>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</si>
  <si>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</si>
  <si>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</si>
  <si>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</si>
  <si>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</si>
  <si>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</si>
  <si>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</si>
  <si>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</si>
  <si>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</si>
  <si>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</si>
  <si>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</si>
  <si>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</si>
  <si>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</si>
  <si>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</si>
  <si>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</si>
  <si>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</si>
  <si>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</si>
  <si>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</si>
  <si>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</si>
  <si>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</si>
  <si>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</si>
  <si>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</si>
  <si>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</si>
  <si>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</si>
  <si>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</si>
  <si>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</si>
  <si>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</si>
  <si>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</si>
  <si>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</si>
  <si>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</si>
  <si>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</si>
  <si>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</si>
  <si>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</si>
  <si>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</si>
  <si>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</si>
  <si>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</si>
  <si>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</si>
  <si>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</si>
  <si>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</si>
  <si>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</si>
  <si>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</si>
  <si>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</si>
  <si>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</si>
  <si>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</si>
  <si>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</si>
  <si>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</si>
  <si>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</si>
  <si>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</si>
  <si>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</si>
  <si>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</si>
  <si>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</si>
  <si>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</si>
  <si>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</si>
  <si>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</si>
  <si>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</si>
  <si>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</si>
  <si>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</si>
  <si>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</si>
  <si>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</si>
  <si>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</si>
  <si>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</si>
  <si>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</si>
  <si>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</si>
  <si>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</si>
  <si>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</si>
  <si>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</si>
  <si>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</si>
  <si>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</si>
  <si>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</si>
  <si>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</si>
  <si>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</si>
  <si>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</si>
  <si>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</si>
  <si>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</si>
  <si>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</si>
  <si>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</si>
  <si>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</si>
  <si>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</si>
  <si>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</si>
  <si>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</si>
  <si>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</si>
  <si>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</si>
  <si>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</si>
  <si>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</si>
  <si>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</si>
  <si>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</si>
  <si>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</si>
  <si>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</si>
  <si>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</si>
  <si>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</si>
  <si>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</si>
  <si>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</si>
  <si>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</si>
  <si>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</si>
  <si>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</si>
  <si>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</si>
  <si>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</si>
  <si>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</si>
  <si>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</si>
  <si>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</si>
  <si>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</si>
  <si>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</si>
  <si>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</si>
  <si>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</si>
  <si>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</si>
  <si>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</si>
  <si>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</si>
  <si>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</si>
  <si>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</si>
  <si>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</si>
  <si>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</si>
  <si>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</si>
  <si>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</si>
  <si>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</si>
  <si>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</si>
  <si>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</si>
  <si>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</si>
  <si>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</si>
  <si>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</si>
  <si>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</si>
  <si>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</si>
  <si>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</si>
  <si>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</si>
  <si>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</si>
  <si>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</si>
  <si>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</si>
  <si>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</si>
  <si>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</si>
  <si>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</si>
  <si>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</si>
  <si>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</si>
  <si>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</si>
  <si>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</si>
  <si>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</si>
  <si>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</si>
  <si>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</si>
  <si>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</si>
  <si>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</si>
  <si>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</si>
  <si>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</si>
  <si>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</si>
  <si>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</si>
  <si>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</si>
  <si>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</si>
  <si>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</si>
  <si>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</si>
  <si>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</si>
  <si>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</si>
  <si>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</si>
  <si>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</si>
  <si>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</si>
  <si>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</si>
  <si>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</si>
  <si>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</si>
  <si>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</si>
  <si>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</si>
  <si>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</si>
  <si>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</si>
  <si>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</si>
  <si>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</si>
  <si>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</si>
  <si>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</si>
  <si>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</si>
  <si>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</si>
  <si>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</si>
  <si>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</si>
  <si>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</si>
  <si>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</si>
  <si>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</si>
  <si>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</si>
  <si>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</si>
  <si>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</si>
  <si>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</si>
  <si>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</si>
  <si>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</si>
  <si>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</si>
  <si>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</si>
  <si>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</si>
  <si>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</si>
  <si>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</si>
  <si>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</si>
  <si>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</si>
  <si>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</si>
  <si>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</si>
  <si>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</si>
  <si>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</si>
  <si>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</si>
  <si>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</si>
  <si>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</si>
  <si>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</si>
  <si>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</si>
  <si>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</si>
  <si>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</si>
  <si>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</si>
  <si>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</si>
  <si>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</si>
  <si>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</si>
  <si>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</si>
  <si>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</si>
  <si>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</si>
  <si>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</si>
  <si>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</si>
  <si>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</si>
  <si>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</si>
  <si>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</si>
  <si>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</si>
  <si>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</si>
  <si>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</si>
  <si>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</si>
  <si>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</si>
  <si>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</si>
  <si>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</si>
  <si>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</si>
  <si>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</si>
  <si>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</si>
  <si>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</si>
  <si>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</si>
  <si>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</si>
  <si>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</si>
  <si>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</si>
  <si>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</si>
  <si>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</si>
  <si>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</si>
  <si>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</si>
  <si>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</si>
  <si>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</si>
  <si>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</si>
  <si>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</si>
  <si>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</si>
  <si>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</si>
  <si>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</si>
  <si>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</si>
  <si>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</si>
  <si>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</si>
  <si>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</si>
  <si>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</si>
  <si>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</si>
  <si>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</si>
  <si>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</si>
  <si>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</si>
  <si>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</si>
  <si>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</si>
  <si>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</si>
  <si>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</si>
  <si>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</si>
  <si>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</si>
  <si>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</si>
  <si>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</si>
  <si>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</si>
  <si>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</si>
  <si>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</si>
  <si>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</si>
  <si>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</si>
  <si>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</si>
  <si>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</si>
  <si>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</si>
  <si>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</si>
  <si>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</si>
  <si>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</si>
  <si>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</si>
  <si>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</si>
  <si>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</si>
  <si>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</si>
  <si>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</si>
  <si>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</si>
  <si>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</si>
  <si>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</si>
  <si>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</si>
  <si>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</si>
  <si>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</si>
  <si>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</si>
  <si>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</si>
  <si>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</si>
  <si>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</si>
  <si>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</si>
  <si>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</si>
  <si>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</si>
  <si>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</si>
  <si>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</si>
  <si>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</si>
  <si>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</si>
  <si>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</si>
  <si>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</si>
  <si>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</si>
  <si>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</si>
  <si>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</si>
  <si>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</si>
  <si>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</si>
  <si>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</si>
  <si>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</si>
  <si>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</si>
  <si>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</si>
  <si>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</si>
  <si>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</si>
  <si>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</si>
  <si>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</si>
  <si>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</si>
  <si>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</si>
  <si>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</si>
  <si>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</si>
  <si>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</si>
  <si>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</si>
  <si>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</si>
  <si>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</si>
  <si>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</si>
  <si>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</si>
  <si>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</si>
  <si>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</si>
  <si>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</si>
  <si>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</si>
  <si>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</si>
  <si>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</si>
  <si>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</si>
  <si>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</si>
  <si>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</si>
  <si>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</si>
  <si>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</si>
  <si>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</si>
  <si>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</si>
  <si>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</si>
  <si>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</si>
  <si>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</si>
  <si>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</si>
  <si>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</si>
  <si>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</si>
  <si>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</si>
  <si>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</si>
  <si>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</si>
  <si>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</si>
  <si>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</si>
  <si>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</si>
  <si>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</si>
  <si>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</si>
  <si>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</si>
  <si>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</si>
  <si>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</si>
  <si>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</si>
  <si>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</si>
  <si>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</si>
  <si>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</si>
  <si>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</si>
  <si>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</si>
  <si>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</si>
  <si>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</si>
  <si>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</si>
  <si>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</si>
  <si>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</si>
  <si>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</si>
  <si>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</si>
  <si>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</si>
  <si>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</si>
  <si>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</si>
  <si>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</si>
  <si>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</si>
  <si>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</si>
  <si>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</si>
  <si>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</si>
  <si>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</si>
  <si>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</si>
  <si>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</si>
  <si>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</si>
  <si>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</si>
  <si>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</si>
  <si>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</si>
  <si>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</si>
  <si>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</si>
  <si>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</si>
  <si>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</si>
  <si>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</si>
  <si>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</si>
  <si>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</si>
  <si>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</si>
  <si>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</si>
  <si>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</si>
  <si>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</si>
  <si>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</si>
  <si>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</si>
  <si>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</si>
  <si>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</si>
  <si>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</si>
  <si>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</si>
  <si>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</si>
  <si>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</si>
  <si>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</si>
  <si>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</si>
  <si>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</si>
  <si>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</si>
  <si>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</si>
  <si>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</si>
  <si>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</si>
  <si>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</si>
  <si>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</si>
  <si>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</si>
  <si>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</si>
  <si>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</si>
  <si>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</si>
  <si>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</si>
  <si>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</si>
  <si>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</si>
  <si>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</si>
  <si>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</si>
  <si>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</si>
  <si>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</si>
  <si>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</si>
  <si>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</si>
  <si>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</si>
  <si>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</si>
  <si>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</si>
  <si>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</si>
  <si>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</si>
  <si>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</si>
  <si>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</si>
  <si>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</si>
  <si>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</si>
  <si>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</si>
  <si>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</si>
  <si>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</si>
  <si>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</si>
  <si>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</si>
  <si>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</si>
  <si>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</si>
  <si>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</si>
  <si>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</si>
  <si>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</si>
  <si>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</si>
  <si>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</si>
  <si>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</si>
  <si>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</si>
  <si>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</si>
  <si>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</si>
  <si>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</si>
  <si>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</si>
  <si>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</si>
  <si>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</si>
  <si>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</si>
  <si>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</si>
  <si>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</si>
  <si>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</si>
  <si>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</si>
  <si>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</si>
  <si>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</si>
  <si>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</si>
  <si>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</si>
  <si>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</si>
  <si>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</si>
  <si>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</si>
  <si>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</si>
  <si>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</si>
  <si>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</si>
  <si>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</si>
  <si>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</si>
  <si>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</si>
  <si>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</si>
  <si>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</si>
  <si>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</si>
  <si>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</si>
  <si>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</si>
  <si>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</si>
  <si>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</si>
  <si>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</si>
  <si>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</si>
  <si>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</si>
  <si>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</si>
  <si>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</si>
  <si>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</si>
  <si>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</si>
  <si>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</si>
  <si>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</si>
  <si>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</si>
  <si>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</si>
  <si>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</si>
  <si>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</si>
  <si>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</si>
  <si>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</si>
  <si>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</si>
  <si>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</si>
  <si>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</si>
  <si>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</si>
  <si>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</si>
  <si>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</si>
  <si>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</si>
  <si>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</si>
  <si>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</si>
  <si>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</si>
  <si>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</si>
  <si>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</si>
  <si>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</si>
  <si>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</si>
  <si>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</si>
  <si>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</si>
  <si>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</si>
  <si>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</si>
  <si>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</si>
  <si>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</si>
  <si>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</si>
  <si>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</si>
  <si>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</si>
  <si>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</si>
  <si>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</si>
  <si>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</si>
  <si>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</si>
  <si>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</si>
  <si>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</si>
  <si>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</si>
  <si>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</si>
  <si>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</si>
  <si>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</si>
  <si>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</si>
  <si>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</si>
  <si>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</si>
  <si>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</si>
  <si>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</si>
  <si>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</si>
  <si>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</si>
  <si>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</si>
  <si>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</si>
  <si>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</si>
  <si>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</si>
  <si>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</si>
  <si>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</si>
  <si>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</si>
  <si>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</si>
  <si>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</si>
  <si>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</si>
  <si>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</si>
  <si>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</si>
  <si>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</si>
  <si>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</si>
  <si>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</si>
  <si>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</si>
  <si>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</si>
  <si>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</si>
  <si>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</si>
  <si>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</si>
  <si>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</si>
  <si>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</si>
  <si>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</si>
  <si>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23C765264-02</t>
  </si>
  <si>
    <t>GRAND WINNER 5</t>
  </si>
  <si>
    <t>JET A-1</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</si>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</sst>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H25" sqref="H25"/>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
      </c>
      <c r="C6" s="149" t="str">
        <f>IF(C5="","담당자 이름을 입력 또는 선택합니다.",VLOOKUP(C5,Sheet3!$I$1:$L$91,2,))</f>
        <v>담당자 이름을 입력 또는 선택합니다.</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Kr_ogculsan@sgs.com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Password_00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45239</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45055</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45331</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369</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266</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702</v>
      </c>
      <c r="D8" s="260"/>
      <c r="E8" s="126" t="s">
        <v>744</v>
      </c>
      <c r="F8" s="261"/>
      <c r="G8" s="20"/>
      <c r="H8" s="20"/>
      <c r="I8" s="262" t="s">
        <v>773</v>
      </c>
      <c r="J8" s="246" t="str">
        <f t="shared" ref="J8:J71" si="16">IF($C8="","",IF(AND($B8="",G8=""),"*",IF(AND($B8="v",NOT(G8="")),"*",IF(AND($B8="",NOT(G8="")),"",IF(AND($B8="v",G8=""),"")))))</f>
        <v>*</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703</v>
      </c>
      <c r="D9" s="260"/>
      <c r="E9" s="126" t="s">
        <v>745</v>
      </c>
      <c r="F9" s="261"/>
      <c r="G9" s="20"/>
      <c r="H9" s="20"/>
      <c r="I9" s="262" t="s">
        <v>774</v>
      </c>
      <c r="J9" s="246" t="str">
        <f t="shared" si="16"/>
        <v>*</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704</v>
      </c>
      <c r="D10" s="260"/>
      <c r="E10" s="126" t="s">
        <v>746</v>
      </c>
      <c r="F10" s="261"/>
      <c r="G10" s="20"/>
      <c r="H10" s="20"/>
      <c r="I10" s="19" t="s">
        <v>775</v>
      </c>
      <c r="J10" s="246" t="str">
        <f t="shared" si="16"/>
        <v>*</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705</v>
      </c>
      <c r="D11" s="260"/>
      <c r="E11" s="126" t="s">
        <v>746</v>
      </c>
      <c r="F11" s="261"/>
      <c r="G11" s="20"/>
      <c r="H11" s="20"/>
      <c r="I11" s="19" t="s">
        <v>775</v>
      </c>
      <c r="J11" s="246" t="str">
        <f t="shared" si="16"/>
        <v>*</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706</v>
      </c>
      <c r="D12" s="260"/>
      <c r="E12" s="126" t="s">
        <v>746</v>
      </c>
      <c r="F12" s="261"/>
      <c r="G12" s="20"/>
      <c r="H12" s="20"/>
      <c r="I12" s="19" t="s">
        <v>775</v>
      </c>
      <c r="J12" s="246" t="str">
        <f t="shared" si="16"/>
        <v>*</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707</v>
      </c>
      <c r="D13" s="260"/>
      <c r="E13" s="126" t="s">
        <v>746</v>
      </c>
      <c r="F13" s="261"/>
      <c r="G13" s="20"/>
      <c r="H13" s="20"/>
      <c r="I13" s="19" t="s">
        <v>743</v>
      </c>
      <c r="J13" s="246" t="str">
        <f t="shared" si="16"/>
        <v>*</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708</v>
      </c>
      <c r="D14" s="260"/>
      <c r="E14" s="126" t="s">
        <v>746</v>
      </c>
      <c r="F14" s="261"/>
      <c r="G14" s="20"/>
      <c r="H14" s="20"/>
      <c r="I14" s="19" t="s">
        <v>743</v>
      </c>
      <c r="J14" s="246" t="str">
        <f t="shared" si="16"/>
        <v>*</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709</v>
      </c>
      <c r="D15" s="260"/>
      <c r="E15" s="126" t="s">
        <v>746</v>
      </c>
      <c r="F15" s="261"/>
      <c r="G15" s="20"/>
      <c r="H15" s="20"/>
      <c r="I15" s="19" t="s">
        <v>743</v>
      </c>
      <c r="J15" s="246" t="str">
        <f t="shared" si="16"/>
        <v>*</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710</v>
      </c>
      <c r="D16" s="260"/>
      <c r="E16" s="126" t="s">
        <v>747</v>
      </c>
      <c r="F16" s="261"/>
      <c r="G16" s="20"/>
      <c r="H16" s="20"/>
      <c r="I16" s="262" t="s">
        <v>776</v>
      </c>
      <c r="J16" s="246" t="str">
        <f t="shared" si="16"/>
        <v>*</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711</v>
      </c>
      <c r="D17" s="260"/>
      <c r="E17" s="126" t="s">
        <v>748</v>
      </c>
      <c r="F17" s="261"/>
      <c r="G17" s="20"/>
      <c r="H17" s="20"/>
      <c r="I17" s="262" t="s">
        <v>777</v>
      </c>
      <c r="J17" s="246" t="str">
        <f t="shared" si="16"/>
        <v>*</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712</v>
      </c>
      <c r="D18" s="260"/>
      <c r="E18" s="126" t="s">
        <v>749</v>
      </c>
      <c r="F18" s="261"/>
      <c r="G18" s="20"/>
      <c r="H18" s="20"/>
      <c r="I18" s="262" t="s">
        <v>777</v>
      </c>
      <c r="J18" s="246" t="str">
        <f t="shared" si="16"/>
        <v>*</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713</v>
      </c>
      <c r="D19" s="260"/>
      <c r="E19" s="126" t="s">
        <v>750</v>
      </c>
      <c r="F19" s="261"/>
      <c r="G19" s="20"/>
      <c r="H19" s="20"/>
      <c r="I19" s="262" t="s">
        <v>778</v>
      </c>
      <c r="J19" s="246" t="str">
        <f t="shared" si="16"/>
        <v>*</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714</v>
      </c>
      <c r="D20" s="260"/>
      <c r="E20" s="126" t="s">
        <v>751</v>
      </c>
      <c r="F20" s="261"/>
      <c r="G20" s="20"/>
      <c r="H20" s="20"/>
      <c r="I20" s="262" t="s">
        <v>778</v>
      </c>
      <c r="J20" s="246" t="str">
        <f t="shared" si="16"/>
        <v>*</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715</v>
      </c>
      <c r="D21" s="117"/>
      <c r="E21" s="126" t="s">
        <v>743</v>
      </c>
      <c r="F21" s="263"/>
      <c r="G21" s="20"/>
      <c r="H21" s="20"/>
      <c r="I21" s="262" t="s">
        <v>779</v>
      </c>
      <c r="J21" s="246" t="str">
        <f t="shared" si="16"/>
        <v>*</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716</v>
      </c>
      <c r="D22" s="260"/>
      <c r="E22" s="126" t="s">
        <v>746</v>
      </c>
      <c r="F22" s="261"/>
      <c r="G22" s="20"/>
      <c r="H22" s="20"/>
      <c r="I22" s="19" t="s">
        <v>777</v>
      </c>
      <c r="J22" s="246" t="str">
        <f t="shared" si="16"/>
        <v>*</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717</v>
      </c>
      <c r="D23" s="260"/>
      <c r="E23" s="126" t="s">
        <v>746</v>
      </c>
      <c r="F23" s="261"/>
      <c r="G23" s="20"/>
      <c r="H23" s="20"/>
      <c r="I23" s="19" t="s">
        <v>777</v>
      </c>
      <c r="J23" s="246" t="str">
        <f t="shared" si="16"/>
        <v>*</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718</v>
      </c>
      <c r="D24" s="260"/>
      <c r="E24" s="126" t="s">
        <v>746</v>
      </c>
      <c r="F24" s="261"/>
      <c r="G24" s="20"/>
      <c r="H24" s="20"/>
      <c r="I24" s="19" t="s">
        <v>777</v>
      </c>
      <c r="J24" s="246" t="str">
        <f t="shared" si="16"/>
        <v>*</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719</v>
      </c>
      <c r="D25" s="260"/>
      <c r="E25" s="126" t="s">
        <v>746</v>
      </c>
      <c r="F25" s="261"/>
      <c r="G25" s="20"/>
      <c r="H25" s="20"/>
      <c r="I25" s="19" t="s">
        <v>777</v>
      </c>
      <c r="J25" s="246" t="str">
        <f t="shared" si="16"/>
        <v>*</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720</v>
      </c>
      <c r="D26" s="260"/>
      <c r="E26" s="126" t="s">
        <v>746</v>
      </c>
      <c r="F26" s="261"/>
      <c r="G26" s="20"/>
      <c r="H26" s="20"/>
      <c r="I26" s="262" t="s">
        <v>780</v>
      </c>
      <c r="J26" s="246" t="str">
        <f t="shared" si="16"/>
        <v>*</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721</v>
      </c>
      <c r="D27" s="260"/>
      <c r="E27" s="126" t="s">
        <v>752</v>
      </c>
      <c r="F27" s="261"/>
      <c r="G27" s="20"/>
      <c r="H27" s="20"/>
      <c r="I27" s="262" t="s">
        <v>780</v>
      </c>
      <c r="J27" s="246" t="str">
        <f t="shared" si="16"/>
        <v>*</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722</v>
      </c>
      <c r="D28" s="260"/>
      <c r="E28" s="126" t="s">
        <v>746</v>
      </c>
      <c r="F28" s="261"/>
      <c r="G28" s="20"/>
      <c r="H28" s="20"/>
      <c r="I28" s="262" t="s">
        <v>780</v>
      </c>
      <c r="J28" s="246" t="str">
        <f t="shared" si="16"/>
        <v>*</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723</v>
      </c>
      <c r="D29" s="260"/>
      <c r="E29" s="126" t="s">
        <v>746</v>
      </c>
      <c r="F29" s="261"/>
      <c r="G29" s="20"/>
      <c r="H29" s="20"/>
      <c r="I29" s="262" t="s">
        <v>780</v>
      </c>
      <c r="J29" s="246" t="str">
        <f t="shared" si="16"/>
        <v>*</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724</v>
      </c>
      <c r="D30" s="260"/>
      <c r="E30" s="126" t="s">
        <v>753</v>
      </c>
      <c r="F30" s="261"/>
      <c r="G30" s="20"/>
      <c r="H30" s="20"/>
      <c r="I30" s="262" t="s">
        <v>780</v>
      </c>
      <c r="J30" s="246" t="str">
        <f t="shared" si="16"/>
        <v>*</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725</v>
      </c>
      <c r="D31" s="260"/>
      <c r="E31" s="126" t="s">
        <v>754</v>
      </c>
      <c r="F31" s="261"/>
      <c r="G31" s="20"/>
      <c r="H31" s="20"/>
      <c r="I31" s="262" t="s">
        <v>777</v>
      </c>
      <c r="J31" s="246" t="str">
        <f t="shared" si="16"/>
        <v>*</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726</v>
      </c>
      <c r="D32" s="260"/>
      <c r="E32" s="126" t="s">
        <v>754</v>
      </c>
      <c r="F32" s="261"/>
      <c r="G32" s="20"/>
      <c r="H32" s="20"/>
      <c r="I32" s="262" t="s">
        <v>777</v>
      </c>
      <c r="J32" s="246" t="str">
        <f t="shared" si="16"/>
        <v>*</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727</v>
      </c>
      <c r="D33" s="260"/>
      <c r="E33" s="126" t="s">
        <v>755</v>
      </c>
      <c r="F33" s="261"/>
      <c r="G33" s="20"/>
      <c r="H33" s="20"/>
      <c r="I33" s="262" t="s">
        <v>780</v>
      </c>
      <c r="J33" s="246" t="str">
        <f t="shared" si="16"/>
        <v>*</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728</v>
      </c>
      <c r="D34" s="260"/>
      <c r="E34" s="126" t="s">
        <v>756</v>
      </c>
      <c r="F34" s="261"/>
      <c r="G34" s="20"/>
      <c r="H34" s="20"/>
      <c r="I34" s="262" t="s">
        <v>781</v>
      </c>
      <c r="J34" s="246" t="str">
        <f t="shared" si="16"/>
        <v>*</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729</v>
      </c>
      <c r="D35" s="260"/>
      <c r="E35" s="126" t="s">
        <v>757</v>
      </c>
      <c r="F35" s="261"/>
      <c r="G35" s="20"/>
      <c r="H35" s="20"/>
      <c r="I35" s="262" t="s">
        <v>780</v>
      </c>
      <c r="J35" s="246" t="str">
        <f t="shared" si="16"/>
        <v>*</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730</v>
      </c>
      <c r="D36" s="260"/>
      <c r="E36" s="126" t="s">
        <v>758</v>
      </c>
      <c r="F36" s="261"/>
      <c r="G36" s="20"/>
      <c r="H36" s="20"/>
      <c r="I36" s="262" t="s">
        <v>782</v>
      </c>
      <c r="J36" s="246" t="str">
        <f t="shared" si="16"/>
        <v>*</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731</v>
      </c>
      <c r="D37" s="260"/>
      <c r="E37" s="126" t="s">
        <v>759</v>
      </c>
      <c r="F37" s="261"/>
      <c r="G37" s="20"/>
      <c r="H37" s="20"/>
      <c r="I37" s="262" t="s">
        <v>783</v>
      </c>
      <c r="J37" s="246" t="str">
        <f t="shared" si="16"/>
        <v>*</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732</v>
      </c>
      <c r="D38" s="260"/>
      <c r="E38" s="126" t="s">
        <v>760</v>
      </c>
      <c r="F38" s="261"/>
      <c r="G38" s="20"/>
      <c r="H38" s="20"/>
      <c r="I38" s="262" t="s">
        <v>777</v>
      </c>
      <c r="J38" s="246" t="str">
        <f t="shared" si="16"/>
        <v>*</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733</v>
      </c>
      <c r="D39" s="260"/>
      <c r="E39" s="126" t="s">
        <v>761</v>
      </c>
      <c r="F39" s="261"/>
      <c r="G39" s="20"/>
      <c r="H39" s="20"/>
      <c r="I39" s="262" t="s">
        <v>784</v>
      </c>
      <c r="J39" s="246" t="str">
        <f t="shared" si="16"/>
        <v>*</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734</v>
      </c>
      <c r="D40" s="260"/>
      <c r="E40" s="126" t="s">
        <v>762</v>
      </c>
      <c r="F40" s="261"/>
      <c r="G40" s="20"/>
      <c r="H40" s="20"/>
      <c r="I40" s="19" t="s">
        <v>773</v>
      </c>
      <c r="J40" s="246" t="str">
        <f t="shared" si="16"/>
        <v>*</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735</v>
      </c>
      <c r="D41" s="260"/>
      <c r="E41" s="126" t="s">
        <v>763</v>
      </c>
      <c r="F41" s="261"/>
      <c r="G41" s="20"/>
      <c r="H41" s="20"/>
      <c r="I41" s="19" t="s">
        <v>780</v>
      </c>
      <c r="J41" s="246" t="str">
        <f t="shared" si="16"/>
        <v>*</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736</v>
      </c>
      <c r="D42" s="260"/>
      <c r="E42" s="126" t="s">
        <v>764</v>
      </c>
      <c r="F42" s="261"/>
      <c r="G42" s="20"/>
      <c r="H42" s="20"/>
      <c r="I42" s="262" t="s">
        <v>773</v>
      </c>
      <c r="J42" s="246" t="str">
        <f t="shared" si="16"/>
        <v>*</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737</v>
      </c>
      <c r="D43" s="260"/>
      <c r="E43" s="126" t="s">
        <v>765</v>
      </c>
      <c r="F43" s="261"/>
      <c r="G43" s="20"/>
      <c r="H43" s="20"/>
      <c r="I43" s="19" t="s">
        <v>785</v>
      </c>
      <c r="J43" s="246" t="str">
        <f t="shared" si="16"/>
        <v>*</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738</v>
      </c>
      <c r="D44" s="260"/>
      <c r="E44" s="126" t="s">
        <v>766</v>
      </c>
      <c r="F44" s="261"/>
      <c r="G44" s="20"/>
      <c r="H44" s="20"/>
      <c r="I44" s="262" t="s">
        <v>786</v>
      </c>
      <c r="J44" s="246" t="str">
        <f t="shared" si="16"/>
        <v>*</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739</v>
      </c>
      <c r="D45" s="260"/>
      <c r="E45" s="126" t="s">
        <v>767</v>
      </c>
      <c r="F45" s="261"/>
      <c r="G45" s="20"/>
      <c r="H45" s="20"/>
      <c r="I45" s="19" t="s">
        <v>773</v>
      </c>
      <c r="J45" s="246" t="str">
        <f t="shared" si="16"/>
        <v>*</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739</v>
      </c>
      <c r="D46" s="260"/>
      <c r="E46" s="126" t="s">
        <v>768</v>
      </c>
      <c r="F46" s="261"/>
      <c r="G46" s="20"/>
      <c r="H46" s="20"/>
      <c r="I46" s="19" t="s">
        <v>773</v>
      </c>
      <c r="J46" s="246" t="str">
        <f t="shared" si="16"/>
        <v>*</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740</v>
      </c>
      <c r="D47" s="260"/>
      <c r="E47" s="126" t="s">
        <v>769</v>
      </c>
      <c r="F47" s="261"/>
      <c r="G47" s="20"/>
      <c r="H47" s="20"/>
      <c r="I47" s="19" t="s">
        <v>787</v>
      </c>
      <c r="J47" s="246" t="str">
        <f t="shared" si="16"/>
        <v>*</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741</v>
      </c>
      <c r="D48" s="260"/>
      <c r="E48" s="126" t="s">
        <v>770</v>
      </c>
      <c r="F48" s="261"/>
      <c r="G48" s="20"/>
      <c r="H48" s="20"/>
      <c r="I48" s="262" t="s">
        <v>783</v>
      </c>
      <c r="J48" s="246" t="str">
        <f t="shared" si="16"/>
        <v>*</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742</v>
      </c>
      <c r="D49" s="260"/>
      <c r="E49" s="126" t="s">
        <v>771</v>
      </c>
      <c r="F49" s="261"/>
      <c r="G49" s="20"/>
      <c r="H49" s="20"/>
      <c r="I49" s="19" t="s">
        <v>788</v>
      </c>
      <c r="J49" s="246" t="str">
        <f t="shared" si="16"/>
        <v>*</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c r="D50" s="117"/>
      <c r="E50" s="126"/>
      <c r="F50" s="190"/>
      <c r="G50" s="20"/>
      <c r="H50" s="20"/>
      <c r="I50" s="19"/>
      <c r="J50" s="246" t="str">
        <f t="shared" si="16"/>
        <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c r="D51" s="117"/>
      <c r="E51" s="126"/>
      <c r="F51" s="190"/>
      <c r="G51" s="20"/>
      <c r="H51" s="20"/>
      <c r="I51" s="19"/>
      <c r="J51" s="246" t="str">
        <f t="shared" si="16"/>
        <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BE4F880B-44C1-4580-AB11-89CB61644560}">
      <formula1>"* ,[OTHER] Visual"</formula1>
    </dataValidation>
    <dataValidation type="list" allowBlank="1" showInputMessage="1" showErrorMessage="1" sqref="D8" xr:uid="{3D6C545A-DE57-4EFA-A5B7-6861F991D170}">
      <formula1>"* ,[ASTM] D156"</formula1>
    </dataValidation>
    <dataValidation type="list" allowBlank="1" showInputMessage="1" showErrorMessage="1" sqref="D9" xr:uid="{33824A52-AF21-4C5C-938A-F8DFB0070C7C}">
      <formula1>"* ,[IP] IP 423,[ASTM] D5452 Appendix X1"</formula1>
    </dataValidation>
    <dataValidation type="list" allowBlank="1" showInputMessage="1" showErrorMessage="1" sqref="D10" xr:uid="{EE61E98D-B8D8-4396-B882-D965067422AB}">
      <formula1>"* ,[IP] IP 565,[IP] IP 564"</formula1>
    </dataValidation>
    <dataValidation type="list" allowBlank="1" showInputMessage="1" showErrorMessage="1" sqref="D11 D12 D13 D14 D15" xr:uid="{8534A3B3-F36D-4B47-91D5-0CF9077AEF95}">
      <formula1>"* ,[IP] IP 565"</formula1>
    </dataValidation>
    <dataValidation type="list" allowBlank="1" showInputMessage="1" showErrorMessage="1" sqref="D16" xr:uid="{0B746F20-3FF4-44FB-8B4E-FF0E3380B6D3}">
      <formula1>"* ,[IP] IP 354,[ASTM] D3242"</formula1>
    </dataValidation>
    <dataValidation type="list" allowBlank="1" showInputMessage="1" showErrorMessage="1" sqref="D17" xr:uid="{754767A6-1594-43AF-A30F-57FAA4E17352}">
      <formula1>"* ,[IP] IP 156,[ASTM] D1319"</formula1>
    </dataValidation>
    <dataValidation type="list" allowBlank="1" showInputMessage="1" showErrorMessage="1" sqref="D18" xr:uid="{EBA774F4-A8D0-404B-A5E5-A6BC309A400C}">
      <formula1>"* ,[ASTM] D6379,[IP] IP 436"</formula1>
    </dataValidation>
    <dataValidation type="list" allowBlank="1" showInputMessage="1" showErrorMessage="1" sqref="D19" xr:uid="{F4D358AD-3A8F-41B7-BA41-0120603FF9A9}">
      <formula1>"* ,[IP] IP 336"</formula1>
    </dataValidation>
    <dataValidation type="list" allowBlank="1" showInputMessage="1" showErrorMessage="1" sqref="D20" xr:uid="{8C3170DF-3DE9-4B10-ACE4-92D411A1A4A2}">
      <formula1>"* ,[IP] IP 342,[ASTM] D3227"</formula1>
    </dataValidation>
    <dataValidation type="list" allowBlank="1" showInputMessage="1" showErrorMessage="1" sqref="D21" xr:uid="{E7F38ED7-C033-4653-832E-8BA3A62AE71A}">
      <formula1>"[IP] IP 30"</formula1>
    </dataValidation>
    <dataValidation type="list" allowBlank="1" showInputMessage="1" showErrorMessage="1" sqref="D22 D23 D24" xr:uid="{533EBE3C-DF70-4D73-8985-5F8136E319BF}">
      <formula1>"* ,[OTHER] Calculation"</formula1>
    </dataValidation>
    <dataValidation type="list" allowBlank="1" showInputMessage="1" showErrorMessage="1" sqref="D25" xr:uid="{8379F849-B3C5-4DF5-8568-7BA6C4BBA9A6}">
      <formula1>"* ,[OTHER] Not Listed"</formula1>
    </dataValidation>
    <dataValidation type="list" allowBlank="1" showInputMessage="1" showErrorMessage="1" sqref="D26 D28 D30 D31 D32" xr:uid="{52730EB8-0B07-4BAB-8D4C-B501251AE53D}">
      <formula1>"* ,[ASTM] D86,[IP] IP 123"</formula1>
    </dataValidation>
    <dataValidation type="list" allowBlank="1" showInputMessage="1" showErrorMessage="1" sqref="D27 D29" xr:uid="{48DF3131-65D4-4A9A-9B09-DF2BA76C43AE}">
      <formula1>"* ,[IP] IP 123,[ASTM] D86"</formula1>
    </dataValidation>
    <dataValidation type="list" allowBlank="1" showInputMessage="1" showErrorMessage="1" sqref="D33" xr:uid="{EA1E64B8-793E-4FD5-AD15-013C7AB2479B}">
      <formula1>"* ,[IP] IP 170"</formula1>
    </dataValidation>
    <dataValidation type="list" allowBlank="1" showInputMessage="1" showErrorMessage="1" sqref="D34" xr:uid="{DAB047E7-A4FE-4FCA-B7AE-F4EEC6651A53}">
      <formula1>"* ,[ASTM] D4052,[IP] IP 365"</formula1>
    </dataValidation>
    <dataValidation type="list" allowBlank="1" showInputMessage="1" showErrorMessage="1" sqref="D35" xr:uid="{7D9A2BBB-FD82-428A-A3F4-239280D9E74B}">
      <formula1>"* ,[IP] IP 16,[ASTM] D2386"</formula1>
    </dataValidation>
    <dataValidation type="list" allowBlank="1" showInputMessage="1" showErrorMessage="1" sqref="D36" xr:uid="{3675D5D2-92AE-487C-8584-6FF8C9EDAB6D}">
      <formula1>"* ,[ASTM] D445,[IP] IP 71"</formula1>
    </dataValidation>
    <dataValidation type="list" allowBlank="1" showInputMessage="1" showErrorMessage="1" sqref="D37" xr:uid="{E0616D44-3265-4E9E-8738-E1799586B5DB}">
      <formula1>"* ,[ASTM] D1322,[IP] IP 57"</formula1>
    </dataValidation>
    <dataValidation type="list" allowBlank="1" showInputMessage="1" showErrorMessage="1" sqref="D38" xr:uid="{730EB1FA-2363-40A5-9E29-6089B4178BFE}">
      <formula1>"* ,[ASTM] D1840"</formula1>
    </dataValidation>
    <dataValidation type="list" allowBlank="1" showInputMessage="1" showErrorMessage="1" sqref="D39" xr:uid="{2752150B-B721-4C7F-88EF-BC5253FF0CE0}">
      <formula1>"* ,[IP] IP 355,[IP] IP 12,[ASTM] D4809,[ASTM] D3338"</formula1>
    </dataValidation>
    <dataValidation type="list" allowBlank="1" showInputMessage="1" showErrorMessage="1" sqref="D40" xr:uid="{EB34EE70-5941-4F3B-97EA-D4784B6CE30C}">
      <formula1>"* ,[IP] IP 154,[ASTM] D130"</formula1>
    </dataValidation>
    <dataValidation type="list" allowBlank="1" showInputMessage="1" showErrorMessage="1" sqref="D41 D42" xr:uid="{FFEA2E4E-7BED-406D-9FA4-158BFE28EA67}">
      <formula1>"* ,[IP] IP 323,[ASTM] D3241"</formula1>
    </dataValidation>
    <dataValidation type="list" allowBlank="1" showInputMessage="1" showErrorMessage="1" sqref="D43" xr:uid="{D072079F-456F-4626-80F4-051260666319}">
      <formula1>"* ,[ASTM] D3241,[IP] IP 323"</formula1>
    </dataValidation>
    <dataValidation type="list" allowBlank="1" showInputMessage="1" showErrorMessage="1" sqref="D44" xr:uid="{A4FB69EA-50C7-482E-9D3E-55197644E264}">
      <formula1>"* ,[IP] IP 540"</formula1>
    </dataValidation>
    <dataValidation type="list" allowBlank="1" showInputMessage="1" showErrorMessage="1" sqref="D45 D46" xr:uid="{776AD4E7-979E-4653-A53D-92AA53EF9E39}">
      <formula1>"* ,[ASTM] D3948"</formula1>
    </dataValidation>
    <dataValidation type="list" allowBlank="1" showInputMessage="1" showErrorMessage="1" sqref="D47" xr:uid="{502FD9F0-4B51-4B8C-A6C0-92A5294C7BE5}">
      <formula1>"* ,[IP] IP 274,[ASTM] D2624"</formula1>
    </dataValidation>
    <dataValidation type="list" allowBlank="1" showInputMessage="1" showErrorMessage="1" sqref="D48" xr:uid="{70737774-620E-4A06-B583-73CA8A1E7B10}">
      <formula1>"* ,[ASTM] D5001"</formula1>
    </dataValidation>
    <dataValidation type="list" allowBlank="1" showInputMessage="1" showErrorMessage="1" sqref="D49" xr:uid="{FBC20080-57F9-46D5-95AF-6D5F514E1AC7}">
      <formula1>"* ,[IP] IP 585"</formula1>
    </dataValidation>
    <dataValidation type="list" allowBlank="1" showInputMessage="1" showErrorMessage="1" sqref="I7" xr:uid="{23E800EA-C3B9-4D98-9209-FD8FA4FE2EA2}">
      <formula1>"pass/fail,visual"</formula1>
    </dataValidation>
    <dataValidation type="list" allowBlank="1" showInputMessage="1" showErrorMessage="1" sqref="I8" xr:uid="{0CAF649C-7DF3-4226-B91D-ECD3C709FDD5}">
      <formula1>"haze no,Min,Max,pass/fail,rating,visual"</formula1>
    </dataValidation>
    <dataValidation type="list" allowBlank="1" showInputMessage="1" showErrorMessage="1" sqref="I9" xr:uid="{2E5CE38A-781E-4FE2-86EC-91DB5A1A8B22}">
      <formula1>"mg/l,rating"</formula1>
    </dataValidation>
    <dataValidation type="list" allowBlank="1" showInputMessage="1" showErrorMessage="1" sqref="I10 I11 I12" xr:uid="{E71F6148-9A2B-496B-8D07-AFB60D11A1F0}">
      <formula1>"cumulative counts per ml"</formula1>
    </dataValidation>
    <dataValidation type="list" allowBlank="1" showInputMessage="1" showErrorMessage="1" sqref="I13 I14 I15" xr:uid="{3FDC9FBC-F5E8-4326-9FD2-F4AC26DA27DD}">
      <formula1>"n/a"</formula1>
    </dataValidation>
    <dataValidation type="list" allowBlank="1" showInputMessage="1" showErrorMessage="1" sqref="I16" xr:uid="{3A2D91FA-51FD-403D-B291-EE9A0D267821}">
      <formula1>"mg KOH/g,mg NaOH/100ml,mg NaOH/g,mg/kg,mg/l,pH"</formula1>
    </dataValidation>
    <dataValidation type="list" allowBlank="1" showInputMessage="1" showErrorMessage="1" sqref="I17" xr:uid="{193169F8-3CB5-4D2E-85F1-F94B56B8CA4E}">
      <formula1>"ppm,%liq vol,%m/m,%mole,%wt,%vol"</formula1>
    </dataValidation>
    <dataValidation type="list" allowBlank="1" showInputMessage="1" showErrorMessage="1" sqref="I18" xr:uid="{23420074-D9E3-4CF6-AB40-52E97526711C}">
      <formula1>"ppm,%liq vol,%m/m,%mole,%vol"</formula1>
    </dataValidation>
    <dataValidation type="list" allowBlank="1" showInputMessage="1" showErrorMessage="1" sqref="I19" xr:uid="{D57A4CE2-4DEF-40B4-BBEE-99A3C2D9DC84}">
      <formula1>"mg/kg,mg/l,ppm,ppm w/w,%m,%m/m,%wt"</formula1>
    </dataValidation>
    <dataValidation type="list" allowBlank="1" showInputMessage="1" showErrorMessage="1" sqref="I20" xr:uid="{E7A2B7BC-D8F8-4F31-9D02-4705BE1233D4}">
      <formula1>"mg/kg,mg/m³,ppm,%m,%m/m,%mole,%wt,%vol"</formula1>
    </dataValidation>
    <dataValidation type="list" allowBlank="1" showInputMessage="1" showErrorMessage="1" sqref="I21" xr:uid="{AB771D71-1A32-4F2D-B155-E275D9F3A56B}">
      <formula1>"pos/neg,pass/fail"</formula1>
    </dataValidation>
    <dataValidation type="list" allowBlank="1" showInputMessage="1" showErrorMessage="1" sqref="I22 I23 I24 I25" xr:uid="{AA55F4DC-8BA9-4548-A47C-6FE290CB583B}">
      <formula1>"%vol"</formula1>
    </dataValidation>
    <dataValidation type="list" allowBlank="1" showInputMessage="1" showErrorMessage="1" sqref="I26 I27 I28 I29 I30 I32" xr:uid="{F8DB721B-5F44-4770-8551-F7476B2790DC}">
      <formula1>"°C,°F,%,%vol"</formula1>
    </dataValidation>
    <dataValidation type="list" allowBlank="1" showInputMessage="1" showErrorMessage="1" sqref="I31" xr:uid="{0145D6A0-6FFE-4F11-A39A-9231C7A7E3A2}">
      <formula1>"°C,°F,mg/kg,%,%vol"</formula1>
    </dataValidation>
    <dataValidation type="list" allowBlank="1" showInputMessage="1" showErrorMessage="1" sqref="I33 I35" xr:uid="{54ADBF14-E999-4071-97B4-F12DF28AD32A}">
      <formula1>"°C,°F"</formula1>
    </dataValidation>
    <dataValidation type="list" allowBlank="1" showInputMessage="1" showErrorMessage="1" sqref="I34" xr:uid="{0BAD7FC9-5765-4912-89C5-04EC32054F9A}">
      <formula1>"g/ cc,g/l,g/cm³,g/ml,kg/m³,kg/l,n/a,tonne/m³"</formula1>
    </dataValidation>
    <dataValidation type="list" allowBlank="1" showInputMessage="1" showErrorMessage="1" sqref="I36" xr:uid="{466E803B-B2A7-48F4-B7B8-5E59CD6C2210}">
      <formula1>"cSt,Engler,mm²/s,Pa·s,SUS"</formula1>
    </dataValidation>
    <dataValidation type="list" allowBlank="1" showInputMessage="1" showErrorMessage="1" sqref="I37" xr:uid="{AECFB92E-E17E-406A-9F39-0FEEA5BC7A63}">
      <formula1>"°C,°F,mm"</formula1>
    </dataValidation>
    <dataValidation type="list" allowBlank="1" showInputMessage="1" showErrorMessage="1" sqref="I38" xr:uid="{39A0C1DB-EC08-44B8-BD54-EC46980D7767}">
      <formula1>"ppm,%m/m,%mole,%vol"</formula1>
    </dataValidation>
    <dataValidation type="list" allowBlank="1" showInputMessage="1" showErrorMessage="1" sqref="I39" xr:uid="{776AE44D-0321-4A45-A9FA-59D79AD38CB5}">
      <formula1>"Btu/lb,kcal/kg,MJ/kg"</formula1>
    </dataValidation>
    <dataValidation type="list" allowBlank="1" showInputMessage="1" showErrorMessage="1" sqref="I40 I45 I46" xr:uid="{D50531EA-0A8C-4A04-9710-D4B0DE3D209C}">
      <formula1>"rating"</formula1>
    </dataValidation>
    <dataValidation type="list" allowBlank="1" showInputMessage="1" showErrorMessage="1" sqref="I41" xr:uid="{0E51EF59-232F-48E7-A9DA-D7FBF55E94EA}">
      <formula1>"°C"</formula1>
    </dataValidation>
    <dataValidation type="list" allowBlank="1" showInputMessage="1" showErrorMessage="1" sqref="I42" xr:uid="{8ADCD17A-03CB-4600-917C-80590EAD98A1}">
      <formula1>"Min,Max,rating"</formula1>
    </dataValidation>
    <dataValidation type="list" allowBlank="1" showInputMessage="1" showErrorMessage="1" sqref="I43" xr:uid="{8E177831-78BF-425D-9EB6-B6343E72368D}">
      <formula1>"mm Hg"</formula1>
    </dataValidation>
    <dataValidation type="list" allowBlank="1" showInputMessage="1" showErrorMessage="1" sqref="I44" xr:uid="{DE9F4612-DCBB-42DB-B612-E7B918326C05}">
      <formula1>"g/m³,mg/100ml,mg/l"</formula1>
    </dataValidation>
    <dataValidation type="list" allowBlank="1" showInputMessage="1" showErrorMessage="1" sqref="I47" xr:uid="{23410395-E4B7-43A8-A84F-37AE10C7327D}">
      <formula1>"pS/m"</formula1>
    </dataValidation>
    <dataValidation type="list" allowBlank="1" showInputMessage="1" showErrorMessage="1" sqref="I48" xr:uid="{B35866C9-3B3E-4D56-8B22-0DCA78F8DDF8}">
      <formula1>"μm,mm"</formula1>
    </dataValidation>
    <dataValidation type="list" allowBlank="1" showInputMessage="1" showErrorMessage="1" sqref="I49" xr:uid="{2CD99068-592C-4197-83B5-65929775621B}">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602ADF61-A4F7-4ACE-AFFF-E3E01C61CD9C}">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230</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289</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728</v>
      </c>
      <c r="D8" s="260"/>
      <c r="E8" s="126" t="s">
        <v>756</v>
      </c>
      <c r="F8" s="261"/>
      <c r="G8" s="20"/>
      <c r="H8" s="20"/>
      <c r="I8" s="262" t="s">
        <v>781</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FA4D7DF3-BECA-4D7F-8D4A-33B84F31E738}">
      <formula1>"* ,[OTHER] Visual"</formula1>
    </dataValidation>
    <dataValidation type="list" allowBlank="1" showInputMessage="1" showErrorMessage="1" sqref="D8" xr:uid="{12373D30-F6AE-410D-B799-1C7A84C97B28}">
      <formula1>"* ,[ASTM] D4052,[IP] IP 365"</formula1>
    </dataValidation>
    <dataValidation type="list" allowBlank="1" showInputMessage="1" showErrorMessage="1" sqref="I7" xr:uid="{ED2501DD-FA89-48F8-9A1B-3AC86D53CE02}">
      <formula1>"pass/fail,visual"</formula1>
    </dataValidation>
    <dataValidation type="list" allowBlank="1" showInputMessage="1" showErrorMessage="1" sqref="I8" xr:uid="{58EE11FB-28A6-47E9-A30F-56FC94A51B24}">
      <formula1>"g/cm³,g/ml,kg/m³,kg/l,n/a,tonne/m³,g/l,g/ cc"</formula1>
    </dataValidation>
    <dataValidation type="list" allowBlank="1" showInputMessage="1" showErrorMessage="1" sqref="F8" xr:uid="{AE3A7AC1-9021-48BD-A3D5-BEBE678CA41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232</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728</v>
      </c>
      <c r="D8" s="260"/>
      <c r="E8" s="126" t="s">
        <v>756</v>
      </c>
      <c r="F8" s="261"/>
      <c r="G8" s="20"/>
      <c r="H8" s="20"/>
      <c r="I8" s="262" t="s">
        <v>781</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 type="list" allowBlank="1" showInputMessage="1" showErrorMessage="1" sqref="D7" xr:uid="{6CE03003-107C-4107-93E7-7D3851F0CB48}">
      <formula1>"* ,[OTHER] Visual"</formula1>
    </dataValidation>
    <dataValidation type="list" allowBlank="1" showInputMessage="1" showErrorMessage="1" sqref="D8" xr:uid="{E2346EC4-C52C-4001-951C-000F2B81B928}">
      <formula1>"* ,[IP] IP 365,[ASTM] D4052"</formula1>
    </dataValidation>
    <dataValidation type="list" allowBlank="1" showInputMessage="1" showErrorMessage="1" sqref="I7" xr:uid="{DC61B0EF-D9E0-4707-90D5-2796E1685048}">
      <formula1>"pass/fail,visual"</formula1>
    </dataValidation>
    <dataValidation type="list" allowBlank="1" showInputMessage="1" showErrorMessage="1" sqref="I8" xr:uid="{00036276-DF45-407A-B61C-3E1D8AF78D73}">
      <formula1>"g/cm³,g/ml,kg/m³,kg/l,n/a,tonne/m³,g/l,g/ cc"</formula1>
    </dataValidation>
    <dataValidation type="list" allowBlank="1" showInputMessage="1" showErrorMessage="1" sqref="F8" xr:uid="{F5CABEDF-4393-4ACF-94CE-AB1E04C00064}">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233</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728</v>
      </c>
      <c r="D8" s="260"/>
      <c r="E8" s="126" t="s">
        <v>756</v>
      </c>
      <c r="F8" s="261"/>
      <c r="G8" s="20"/>
      <c r="H8" s="20"/>
      <c r="I8" s="262" t="s">
        <v>781</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 type="list" allowBlank="1" showInputMessage="1" showErrorMessage="1" sqref="D7" xr:uid="{1A91E72A-4114-4DA8-ADDB-B5863551B468}">
      <formula1>"* ,[OTHER] Visual"</formula1>
    </dataValidation>
    <dataValidation type="list" allowBlank="1" showInputMessage="1" showErrorMessage="1" sqref="D8" xr:uid="{60563F07-E02E-4602-82B4-578ADA4F410C}">
      <formula1>"* ,[IP] IP 365,[ASTM] D4052"</formula1>
    </dataValidation>
    <dataValidation type="list" allowBlank="1" showInputMessage="1" showErrorMessage="1" sqref="I7" xr:uid="{E00BD2B5-905A-4DAE-B6EE-4E416C2D3DF8}">
      <formula1>"pass/fail,visual"</formula1>
    </dataValidation>
    <dataValidation type="list" allowBlank="1" showInputMessage="1" showErrorMessage="1" sqref="I8" xr:uid="{17D42076-1720-4D39-9287-B05488933F0F}">
      <formula1>"g/cm³,g/ml,kg/m³,kg/l,n/a,tonne/m³,g/l,g/ cc"</formula1>
    </dataValidation>
    <dataValidation type="list" allowBlank="1" showInputMessage="1" showErrorMessage="1" sqref="F8" xr:uid="{4E17EEB4-EB4B-4E54-90BD-4108F79387F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234</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274</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 type="list" allowBlank="1" showInputMessage="1" showErrorMessage="1" sqref="D7" xr:uid="{073EE379-0B17-4F52-A8D4-4C2A2BF1D581}">
      <formula1>"* ,[OTHER] Visual"</formula1>
    </dataValidation>
    <dataValidation type="list" allowBlank="1" showInputMessage="1" showErrorMessage="1" sqref="I7" xr:uid="{8F8AB2DE-8C02-4DC0-99C1-6DCF8E773D43}">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235</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728</v>
      </c>
      <c r="D8" s="260"/>
      <c r="E8" s="126" t="s">
        <v>756</v>
      </c>
      <c r="F8" s="261"/>
      <c r="G8" s="20"/>
      <c r="H8" s="20"/>
      <c r="I8" s="262" t="s">
        <v>781</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702</v>
      </c>
      <c r="D9" s="260"/>
      <c r="E9" s="126" t="s">
        <v>746</v>
      </c>
      <c r="F9" s="261"/>
      <c r="G9" s="20"/>
      <c r="H9" s="20"/>
      <c r="I9" s="262" t="s">
        <v>773</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727</v>
      </c>
      <c r="D10" s="260"/>
      <c r="E10" s="126" t="s">
        <v>755</v>
      </c>
      <c r="F10" s="261"/>
      <c r="G10" s="20"/>
      <c r="H10" s="20"/>
      <c r="I10" s="262" t="s">
        <v>780</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729</v>
      </c>
      <c r="D11" s="260"/>
      <c r="E11" s="126" t="s">
        <v>757</v>
      </c>
      <c r="F11" s="261"/>
      <c r="G11" s="20"/>
      <c r="H11" s="20"/>
      <c r="I11" s="262" t="s">
        <v>780</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703</v>
      </c>
      <c r="D12" s="260"/>
      <c r="E12" s="126" t="s">
        <v>745</v>
      </c>
      <c r="F12" s="261"/>
      <c r="G12" s="20"/>
      <c r="H12" s="20"/>
      <c r="I12" s="262" t="s">
        <v>774</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 type="list" allowBlank="1" showInputMessage="1" showErrorMessage="1" sqref="D7" xr:uid="{EE207E55-1D62-4C3B-92D9-7DFF979FAE07}">
      <formula1>"* ,[OTHER] Visual"</formula1>
    </dataValidation>
    <dataValidation type="list" allowBlank="1" showInputMessage="1" showErrorMessage="1" sqref="D8" xr:uid="{E99BF0EE-AED5-41F5-A957-49CB5694243A}">
      <formula1>"* ,[IP] IP 365,[ASTM] D4052"</formula1>
    </dataValidation>
    <dataValidation type="list" allowBlank="1" showInputMessage="1" showErrorMessage="1" sqref="D9" xr:uid="{B5B1F412-68CD-4120-ACA1-6CEAB5F62924}">
      <formula1>"* ,[ASTM] D156,[ASTM] D6045"</formula1>
    </dataValidation>
    <dataValidation type="list" allowBlank="1" showInputMessage="1" showErrorMessage="1" sqref="D10" xr:uid="{F589C88F-09E8-47DB-8057-C7D247EEECD8}">
      <formula1>"* ,[IP] IP 170"</formula1>
    </dataValidation>
    <dataValidation type="list" allowBlank="1" showInputMessage="1" showErrorMessage="1" sqref="D11" xr:uid="{4ECC61AD-0ACD-4341-A09C-139573D79AC9}">
      <formula1>"* ,[IP] IP 16,[ASTM] D2386"</formula1>
    </dataValidation>
    <dataValidation type="list" allowBlank="1" showInputMessage="1" showErrorMessage="1" sqref="D12" xr:uid="{CC8255C8-026C-4C95-A291-4C50D95376E6}">
      <formula1>"* ,[ASTM] D5452 Appendix X1,[IP] IP 423"</formula1>
    </dataValidation>
    <dataValidation type="list" allowBlank="1" showInputMessage="1" showErrorMessage="1" sqref="I7" xr:uid="{8E710D21-A295-442B-AD33-09DE88CF5E32}">
      <formula1>"pass/fail,visual"</formula1>
    </dataValidation>
    <dataValidation type="list" allowBlank="1" showInputMessage="1" showErrorMessage="1" sqref="I8" xr:uid="{8183FAEE-FD2D-49B6-ACE7-0181310BCD4B}">
      <formula1>"g/cm³,g/ml,kg/m³,kg/l,n/a,tonne/m³,g/l,g/ cc"</formula1>
    </dataValidation>
    <dataValidation type="list" allowBlank="1" showInputMessage="1" showErrorMessage="1" sqref="I9" xr:uid="{6454680D-E63D-4265-AD34-94C5BB797DC9}">
      <formula1>"haze no,pass/fail,rating,visual,Min,Max"</formula1>
    </dataValidation>
    <dataValidation type="list" allowBlank="1" showInputMessage="1" showErrorMessage="1" sqref="I10 I11" xr:uid="{F73750F0-D5B4-4694-8D89-9824594A3697}">
      <formula1>"°C,°F"</formula1>
    </dataValidation>
    <dataValidation type="list" allowBlank="1" showInputMessage="1" showErrorMessage="1" sqref="I12" xr:uid="{D72F9C51-12F1-43EB-9F1D-4181DD8EF892}">
      <formula1>"mg/l,rating"</formula1>
    </dataValidation>
    <dataValidation type="list" allowBlank="1" showInputMessage="1" showErrorMessage="1" sqref="F8 F9 F10 F11 F12" xr:uid="{ED6015C4-568B-433E-92B3-AB090752A61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236</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281</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728</v>
      </c>
      <c r="D8" s="260"/>
      <c r="E8" s="126" t="s">
        <v>756</v>
      </c>
      <c r="F8" s="261"/>
      <c r="G8" s="20"/>
      <c r="H8" s="20"/>
      <c r="I8" s="262" t="s">
        <v>781</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 type="list" allowBlank="1" showInputMessage="1" showErrorMessage="1" sqref="D7" xr:uid="{B11BD61D-528F-42C0-968E-48EED207813F}">
      <formula1>"* ,[OTHER] Visual"</formula1>
    </dataValidation>
    <dataValidation type="list" allowBlank="1" showInputMessage="1" showErrorMessage="1" sqref="D8" xr:uid="{27996BE0-26F6-45A2-9DB3-DD6DA2F0CFA3}">
      <formula1>"* ,[ASTM] D4052,[IP] IP 365"</formula1>
    </dataValidation>
    <dataValidation type="list" allowBlank="1" showInputMessage="1" showErrorMessage="1" sqref="I7" xr:uid="{21ADDB11-2459-4FA2-BDCA-4D8408BE64F8}">
      <formula1>"pass/fail,visual"</formula1>
    </dataValidation>
    <dataValidation type="list" allowBlank="1" showInputMessage="1" showErrorMessage="1" sqref="I8" xr:uid="{63613471-94CC-478A-B214-F9EC18F18508}">
      <formula1>"g/cm³,g/ml,kg/m³,kg/l,n/a,tonne/m³,g/l,g/ cc"</formula1>
    </dataValidation>
    <dataValidation type="list" allowBlank="1" showInputMessage="1" showErrorMessage="1" sqref="F8" xr:uid="{B9924E21-EF86-43D6-9560-2FAD62A8C98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237</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311</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701</v>
      </c>
      <c r="D7" s="260"/>
      <c r="E7" s="126" t="s">
        <v>743</v>
      </c>
      <c r="F7" s="263"/>
      <c r="G7" s="20"/>
      <c r="H7" s="20"/>
      <c r="I7" s="262" t="s">
        <v>772</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702</v>
      </c>
      <c r="D8" s="260"/>
      <c r="E8" s="126" t="s">
        <v>744</v>
      </c>
      <c r="F8" s="261"/>
      <c r="G8" s="20"/>
      <c r="H8" s="20"/>
      <c r="I8" s="262" t="s">
        <v>773</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703</v>
      </c>
      <c r="D9" s="260"/>
      <c r="E9" s="126" t="s">
        <v>745</v>
      </c>
      <c r="F9" s="261"/>
      <c r="G9" s="20"/>
      <c r="H9" s="20"/>
      <c r="I9" s="262" t="s">
        <v>774</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704</v>
      </c>
      <c r="D10" s="260"/>
      <c r="E10" s="126" t="s">
        <v>746</v>
      </c>
      <c r="F10" s="261"/>
      <c r="G10" s="20"/>
      <c r="H10" s="20"/>
      <c r="I10" s="19" t="s">
        <v>775</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705</v>
      </c>
      <c r="D11" s="260"/>
      <c r="E11" s="126" t="s">
        <v>746</v>
      </c>
      <c r="F11" s="261"/>
      <c r="G11" s="20"/>
      <c r="H11" s="20"/>
      <c r="I11" s="19" t="s">
        <v>775</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706</v>
      </c>
      <c r="D12" s="260"/>
      <c r="E12" s="126" t="s">
        <v>746</v>
      </c>
      <c r="F12" s="261"/>
      <c r="G12" s="20"/>
      <c r="H12" s="20"/>
      <c r="I12" s="19" t="s">
        <v>775</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707</v>
      </c>
      <c r="D13" s="260"/>
      <c r="E13" s="126" t="s">
        <v>746</v>
      </c>
      <c r="F13" s="261"/>
      <c r="G13" s="20"/>
      <c r="H13" s="20"/>
      <c r="I13" s="19" t="s">
        <v>743</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708</v>
      </c>
      <c r="D14" s="260"/>
      <c r="E14" s="126" t="s">
        <v>746</v>
      </c>
      <c r="F14" s="261"/>
      <c r="G14" s="20"/>
      <c r="H14" s="20"/>
      <c r="I14" s="19" t="s">
        <v>743</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709</v>
      </c>
      <c r="D15" s="260"/>
      <c r="E15" s="126" t="s">
        <v>746</v>
      </c>
      <c r="F15" s="261"/>
      <c r="G15" s="20"/>
      <c r="H15" s="20"/>
      <c r="I15" s="19" t="s">
        <v>743</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710</v>
      </c>
      <c r="D16" s="260"/>
      <c r="E16" s="126" t="s">
        <v>747</v>
      </c>
      <c r="F16" s="261"/>
      <c r="G16" s="20"/>
      <c r="H16" s="20"/>
      <c r="I16" s="262" t="s">
        <v>776</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711</v>
      </c>
      <c r="D17" s="260"/>
      <c r="E17" s="126" t="s">
        <v>748</v>
      </c>
      <c r="F17" s="261"/>
      <c r="G17" s="20"/>
      <c r="H17" s="20"/>
      <c r="I17" s="262" t="s">
        <v>777</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712</v>
      </c>
      <c r="D18" s="260"/>
      <c r="E18" s="126" t="s">
        <v>749</v>
      </c>
      <c r="F18" s="261"/>
      <c r="G18" s="20"/>
      <c r="H18" s="20"/>
      <c r="I18" s="262" t="s">
        <v>777</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t="s">
        <v>713</v>
      </c>
      <c r="D19" s="260"/>
      <c r="E19" s="126" t="s">
        <v>750</v>
      </c>
      <c r="F19" s="261"/>
      <c r="G19" s="20"/>
      <c r="H19" s="20"/>
      <c r="I19" s="262" t="s">
        <v>778</v>
      </c>
      <c r="J19" s="246" t="str">
        <f t="shared" si="16"/>
        <v>*</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t="s">
        <v>714</v>
      </c>
      <c r="D20" s="260"/>
      <c r="E20" s="126" t="s">
        <v>751</v>
      </c>
      <c r="F20" s="261"/>
      <c r="G20" s="20"/>
      <c r="H20" s="20"/>
      <c r="I20" s="262" t="s">
        <v>778</v>
      </c>
      <c r="J20" s="246" t="str">
        <f t="shared" si="16"/>
        <v>*</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t="s">
        <v>715</v>
      </c>
      <c r="D21" s="117"/>
      <c r="E21" s="126" t="s">
        <v>743</v>
      </c>
      <c r="F21" s="263"/>
      <c r="G21" s="20"/>
      <c r="H21" s="20"/>
      <c r="I21" s="262" t="s">
        <v>779</v>
      </c>
      <c r="J21" s="246" t="str">
        <f t="shared" si="16"/>
        <v>*</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t="s">
        <v>716</v>
      </c>
      <c r="D22" s="260"/>
      <c r="E22" s="126" t="s">
        <v>746</v>
      </c>
      <c r="F22" s="261"/>
      <c r="G22" s="20"/>
      <c r="H22" s="20"/>
      <c r="I22" s="19" t="s">
        <v>777</v>
      </c>
      <c r="J22" s="246" t="str">
        <f t="shared" si="16"/>
        <v>*</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t="s">
        <v>717</v>
      </c>
      <c r="D23" s="260"/>
      <c r="E23" s="126" t="s">
        <v>746</v>
      </c>
      <c r="F23" s="261"/>
      <c r="G23" s="20"/>
      <c r="H23" s="20"/>
      <c r="I23" s="19" t="s">
        <v>777</v>
      </c>
      <c r="J23" s="246" t="str">
        <f t="shared" si="16"/>
        <v>*</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t="s">
        <v>718</v>
      </c>
      <c r="D24" s="260"/>
      <c r="E24" s="126" t="s">
        <v>746</v>
      </c>
      <c r="F24" s="261"/>
      <c r="G24" s="20"/>
      <c r="H24" s="20"/>
      <c r="I24" s="19" t="s">
        <v>777</v>
      </c>
      <c r="J24" s="246" t="str">
        <f t="shared" si="16"/>
        <v>*</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t="s">
        <v>719</v>
      </c>
      <c r="D25" s="260"/>
      <c r="E25" s="126" t="s">
        <v>746</v>
      </c>
      <c r="F25" s="261"/>
      <c r="G25" s="20"/>
      <c r="H25" s="20"/>
      <c r="I25" s="19" t="s">
        <v>777</v>
      </c>
      <c r="J25" s="246" t="str">
        <f t="shared" si="16"/>
        <v>*</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t="s">
        <v>720</v>
      </c>
      <c r="D26" s="260"/>
      <c r="E26" s="126" t="s">
        <v>746</v>
      </c>
      <c r="F26" s="261"/>
      <c r="G26" s="20"/>
      <c r="H26" s="20"/>
      <c r="I26" s="262" t="s">
        <v>780</v>
      </c>
      <c r="J26" s="246" t="str">
        <f t="shared" si="16"/>
        <v>*</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t="s">
        <v>721</v>
      </c>
      <c r="D27" s="260"/>
      <c r="E27" s="126" t="s">
        <v>752</v>
      </c>
      <c r="F27" s="261"/>
      <c r="G27" s="20"/>
      <c r="H27" s="20"/>
      <c r="I27" s="262" t="s">
        <v>780</v>
      </c>
      <c r="J27" s="246" t="str">
        <f t="shared" si="16"/>
        <v>*</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t="s">
        <v>722</v>
      </c>
      <c r="D28" s="260"/>
      <c r="E28" s="126" t="s">
        <v>746</v>
      </c>
      <c r="F28" s="261"/>
      <c r="G28" s="20"/>
      <c r="H28" s="20"/>
      <c r="I28" s="262" t="s">
        <v>780</v>
      </c>
      <c r="J28" s="246" t="str">
        <f t="shared" si="16"/>
        <v>*</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t="s">
        <v>723</v>
      </c>
      <c r="D29" s="260"/>
      <c r="E29" s="126" t="s">
        <v>746</v>
      </c>
      <c r="F29" s="261"/>
      <c r="G29" s="20"/>
      <c r="H29" s="20"/>
      <c r="I29" s="262" t="s">
        <v>780</v>
      </c>
      <c r="J29" s="246" t="str">
        <f t="shared" si="16"/>
        <v>*</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t="s">
        <v>724</v>
      </c>
      <c r="D30" s="260"/>
      <c r="E30" s="126" t="s">
        <v>753</v>
      </c>
      <c r="F30" s="261"/>
      <c r="G30" s="20"/>
      <c r="H30" s="20"/>
      <c r="I30" s="262" t="s">
        <v>780</v>
      </c>
      <c r="J30" s="246" t="str">
        <f t="shared" si="16"/>
        <v>*</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t="s">
        <v>725</v>
      </c>
      <c r="D31" s="260"/>
      <c r="E31" s="126" t="s">
        <v>754</v>
      </c>
      <c r="F31" s="261"/>
      <c r="G31" s="20"/>
      <c r="H31" s="20"/>
      <c r="I31" s="262" t="s">
        <v>777</v>
      </c>
      <c r="J31" s="246" t="str">
        <f t="shared" si="16"/>
        <v>*</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t="s">
        <v>726</v>
      </c>
      <c r="D32" s="260"/>
      <c r="E32" s="126" t="s">
        <v>754</v>
      </c>
      <c r="F32" s="261"/>
      <c r="G32" s="20"/>
      <c r="H32" s="20"/>
      <c r="I32" s="262" t="s">
        <v>777</v>
      </c>
      <c r="J32" s="246" t="str">
        <f t="shared" si="16"/>
        <v>*</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t="s">
        <v>727</v>
      </c>
      <c r="D33" s="260"/>
      <c r="E33" s="126" t="s">
        <v>755</v>
      </c>
      <c r="F33" s="261"/>
      <c r="G33" s="20"/>
      <c r="H33" s="20"/>
      <c r="I33" s="262" t="s">
        <v>780</v>
      </c>
      <c r="J33" s="246" t="str">
        <f t="shared" si="16"/>
        <v>*</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t="s">
        <v>728</v>
      </c>
      <c r="D34" s="260"/>
      <c r="E34" s="126" t="s">
        <v>756</v>
      </c>
      <c r="F34" s="261"/>
      <c r="G34" s="20"/>
      <c r="H34" s="20"/>
      <c r="I34" s="262" t="s">
        <v>781</v>
      </c>
      <c r="J34" s="246" t="str">
        <f t="shared" si="16"/>
        <v>*</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t="s">
        <v>729</v>
      </c>
      <c r="D35" s="260"/>
      <c r="E35" s="126" t="s">
        <v>757</v>
      </c>
      <c r="F35" s="261"/>
      <c r="G35" s="20"/>
      <c r="H35" s="20"/>
      <c r="I35" s="262" t="s">
        <v>780</v>
      </c>
      <c r="J35" s="246" t="str">
        <f t="shared" si="16"/>
        <v>*</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t="s">
        <v>730</v>
      </c>
      <c r="D36" s="260"/>
      <c r="E36" s="126" t="s">
        <v>758</v>
      </c>
      <c r="F36" s="261"/>
      <c r="G36" s="20"/>
      <c r="H36" s="20"/>
      <c r="I36" s="262" t="s">
        <v>782</v>
      </c>
      <c r="J36" s="246" t="str">
        <f t="shared" si="16"/>
        <v>*</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t="s">
        <v>731</v>
      </c>
      <c r="D37" s="260"/>
      <c r="E37" s="126" t="s">
        <v>759</v>
      </c>
      <c r="F37" s="261"/>
      <c r="G37" s="20"/>
      <c r="H37" s="20"/>
      <c r="I37" s="262" t="s">
        <v>783</v>
      </c>
      <c r="J37" s="246" t="str">
        <f t="shared" si="16"/>
        <v>*</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t="s">
        <v>732</v>
      </c>
      <c r="D38" s="260"/>
      <c r="E38" s="126" t="s">
        <v>760</v>
      </c>
      <c r="F38" s="261"/>
      <c r="G38" s="20"/>
      <c r="H38" s="20"/>
      <c r="I38" s="262" t="s">
        <v>777</v>
      </c>
      <c r="J38" s="246" t="str">
        <f t="shared" si="16"/>
        <v>*</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t="s">
        <v>733</v>
      </c>
      <c r="D39" s="260"/>
      <c r="E39" s="126" t="s">
        <v>761</v>
      </c>
      <c r="F39" s="261"/>
      <c r="G39" s="20"/>
      <c r="H39" s="20"/>
      <c r="I39" s="262" t="s">
        <v>784</v>
      </c>
      <c r="J39" s="246" t="str">
        <f t="shared" si="16"/>
        <v>*</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t="s">
        <v>734</v>
      </c>
      <c r="D40" s="260"/>
      <c r="E40" s="126" t="s">
        <v>762</v>
      </c>
      <c r="F40" s="261"/>
      <c r="G40" s="20"/>
      <c r="H40" s="20"/>
      <c r="I40" s="19" t="s">
        <v>773</v>
      </c>
      <c r="J40" s="246" t="str">
        <f t="shared" si="16"/>
        <v>*</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t="s">
        <v>735</v>
      </c>
      <c r="D41" s="260"/>
      <c r="E41" s="126" t="s">
        <v>763</v>
      </c>
      <c r="F41" s="261"/>
      <c r="G41" s="20"/>
      <c r="H41" s="20"/>
      <c r="I41" s="19" t="s">
        <v>780</v>
      </c>
      <c r="J41" s="246" t="str">
        <f t="shared" si="16"/>
        <v>*</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t="s">
        <v>736</v>
      </c>
      <c r="D42" s="260"/>
      <c r="E42" s="126" t="s">
        <v>764</v>
      </c>
      <c r="F42" s="261"/>
      <c r="G42" s="20"/>
      <c r="H42" s="20"/>
      <c r="I42" s="262" t="s">
        <v>773</v>
      </c>
      <c r="J42" s="246" t="str">
        <f t="shared" si="16"/>
        <v>*</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t="s">
        <v>737</v>
      </c>
      <c r="D43" s="260"/>
      <c r="E43" s="126" t="s">
        <v>765</v>
      </c>
      <c r="F43" s="261"/>
      <c r="G43" s="20"/>
      <c r="H43" s="20"/>
      <c r="I43" s="19" t="s">
        <v>785</v>
      </c>
      <c r="J43" s="246" t="str">
        <f t="shared" si="16"/>
        <v>*</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t="s">
        <v>738</v>
      </c>
      <c r="D44" s="260"/>
      <c r="E44" s="126" t="s">
        <v>766</v>
      </c>
      <c r="F44" s="261"/>
      <c r="G44" s="20"/>
      <c r="H44" s="20"/>
      <c r="I44" s="262" t="s">
        <v>786</v>
      </c>
      <c r="J44" s="246" t="str">
        <f t="shared" si="16"/>
        <v>*</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t="s">
        <v>739</v>
      </c>
      <c r="D45" s="260"/>
      <c r="E45" s="126" t="s">
        <v>767</v>
      </c>
      <c r="F45" s="261"/>
      <c r="G45" s="20"/>
      <c r="H45" s="20"/>
      <c r="I45" s="19" t="s">
        <v>773</v>
      </c>
      <c r="J45" s="246" t="str">
        <f t="shared" si="16"/>
        <v>*</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t="s">
        <v>739</v>
      </c>
      <c r="D46" s="260"/>
      <c r="E46" s="126" t="s">
        <v>768</v>
      </c>
      <c r="F46" s="261"/>
      <c r="G46" s="20"/>
      <c r="H46" s="20"/>
      <c r="I46" s="19" t="s">
        <v>773</v>
      </c>
      <c r="J46" s="246" t="str">
        <f t="shared" si="16"/>
        <v>*</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t="s">
        <v>740</v>
      </c>
      <c r="D47" s="260"/>
      <c r="E47" s="126" t="s">
        <v>769</v>
      </c>
      <c r="F47" s="261"/>
      <c r="G47" s="20"/>
      <c r="H47" s="20"/>
      <c r="I47" s="19" t="s">
        <v>787</v>
      </c>
      <c r="J47" s="246" t="str">
        <f t="shared" si="16"/>
        <v>*</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t="s">
        <v>741</v>
      </c>
      <c r="D48" s="260"/>
      <c r="E48" s="126" t="s">
        <v>770</v>
      </c>
      <c r="F48" s="261"/>
      <c r="G48" s="20"/>
      <c r="H48" s="20"/>
      <c r="I48" s="262" t="s">
        <v>783</v>
      </c>
      <c r="J48" s="246" t="str">
        <f t="shared" si="16"/>
        <v>*</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t="s">
        <v>742</v>
      </c>
      <c r="D49" s="260"/>
      <c r="E49" s="126" t="s">
        <v>771</v>
      </c>
      <c r="F49" s="261"/>
      <c r="G49" s="20"/>
      <c r="H49" s="20"/>
      <c r="I49" s="19" t="s">
        <v>788</v>
      </c>
      <c r="J49" s="246" t="str">
        <f t="shared" si="16"/>
        <v>*</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2">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 type="list" allowBlank="1" showInputMessage="1" showErrorMessage="1" sqref="D7" xr:uid="{8612D461-0E37-4AF5-8D35-F8E48B96F078}">
      <formula1>"* ,[OTHER] Visual"</formula1>
    </dataValidation>
    <dataValidation type="list" allowBlank="1" showInputMessage="1" showErrorMessage="1" sqref="D8" xr:uid="{6E65FCC2-0D2C-4A23-8FB8-7173211A1B19}">
      <formula1>"* ,[ASTM] D156,[ASTM] D6045"</formula1>
    </dataValidation>
    <dataValidation type="list" allowBlank="1" showInputMessage="1" showErrorMessage="1" sqref="D9" xr:uid="{1E1686A1-F667-404F-A427-8C59186CE3D5}">
      <formula1>"* ,[ASTM] D5452 Appendix X1,[IP] IP 423"</formula1>
    </dataValidation>
    <dataValidation type="list" allowBlank="1" showInputMessage="1" showErrorMessage="1" sqref="D10 D11 D14 D15" xr:uid="{2EFB411C-64CE-49B4-8A43-C7D8CA69ACF2}">
      <formula1>"* ,[IP] IP 565,[IP] IP 564"</formula1>
    </dataValidation>
    <dataValidation type="list" allowBlank="1" showInputMessage="1" showErrorMessage="1" sqref="D12 D13" xr:uid="{FAB5427A-5FFF-4DD5-88FC-D1AF028AE3DF}">
      <formula1>"* ,[IP] IP 564,[IP] IP 565"</formula1>
    </dataValidation>
    <dataValidation type="list" allowBlank="1" showInputMessage="1" showErrorMessage="1" sqref="D16" xr:uid="{15B03DDB-4D11-4FA0-8484-9C5388296D17}">
      <formula1>"* ,[ASTM] D3242,[IP] IP 354"</formula1>
    </dataValidation>
    <dataValidation type="list" allowBlank="1" showInputMessage="1" showErrorMessage="1" sqref="D17" xr:uid="{B4833A17-A3F1-4FB5-AA13-31AF6B32143B}">
      <formula1>"* ,[ASTM] D1319,[IP] IP 156"</formula1>
    </dataValidation>
    <dataValidation type="list" allowBlank="1" showInputMessage="1" showErrorMessage="1" sqref="D18" xr:uid="{B6C93D74-E1EA-4FAD-B845-607385589A0E}">
      <formula1>"* ,[IP] IP 436,[ASTM] D6379"</formula1>
    </dataValidation>
    <dataValidation type="list" allowBlank="1" showInputMessage="1" showErrorMessage="1" sqref="D19" xr:uid="{8AB43919-B281-4AD1-9C41-6006FBBE140E}">
      <formula1>"* ,[IP] IP 336"</formula1>
    </dataValidation>
    <dataValidation type="list" allowBlank="1" showInputMessage="1" showErrorMessage="1" sqref="D20" xr:uid="{8AD23470-6BC8-4210-9E70-A810B0162C53}">
      <formula1>"* ,[ASTM] D3227,[IP] IP 342"</formula1>
    </dataValidation>
    <dataValidation type="list" allowBlank="1" showInputMessage="1" showErrorMessage="1" sqref="D21" xr:uid="{9D303857-883A-43E9-B433-4C33BD7E32E3}">
      <formula1>"[IP] IP 30"</formula1>
    </dataValidation>
    <dataValidation type="list" allowBlank="1" showInputMessage="1" showErrorMessage="1" sqref="D22 D23 D24" xr:uid="{A1B46F87-4B1C-4A69-B339-87091B218D69}">
      <formula1>"* ,[OTHER] Calculation"</formula1>
    </dataValidation>
    <dataValidation type="list" allowBlank="1" showInputMessage="1" showErrorMessage="1" sqref="D25" xr:uid="{D523EEF3-0CFF-4FFE-933C-D936EB538801}">
      <formula1>"* ,[OTHER] Not Listed"</formula1>
    </dataValidation>
    <dataValidation type="list" allowBlank="1" showInputMessage="1" showErrorMessage="1" sqref="D26 D30 D32" xr:uid="{0208583F-295F-4064-8D12-27038E67D8F5}">
      <formula1>"* ,[ASTM] D86,[IP] IP 123"</formula1>
    </dataValidation>
    <dataValidation type="list" allowBlank="1" showInputMessage="1" showErrorMessage="1" sqref="D27 D28 D29 D31" xr:uid="{5E1D7055-053F-49DB-B122-E04E08E7D6EB}">
      <formula1>"* ,[IP] IP 123,[ASTM] D86"</formula1>
    </dataValidation>
    <dataValidation type="list" allowBlank="1" showInputMessage="1" showErrorMessage="1" sqref="D33" xr:uid="{3C6D5E46-3482-4E6D-AEB4-4192B7F03CEF}">
      <formula1>"* ,[IP] IP 170"</formula1>
    </dataValidation>
    <dataValidation type="list" allowBlank="1" showInputMessage="1" showErrorMessage="1" sqref="D34" xr:uid="{4FCA1237-CDDD-4151-AD0A-18633736B390}">
      <formula1>"* ,[ASTM] D4052,[IP] IP 365"</formula1>
    </dataValidation>
    <dataValidation type="list" allowBlank="1" showInputMessage="1" showErrorMessage="1" sqref="D35" xr:uid="{8331D33E-087D-4F6A-9758-EE71C0AA651D}">
      <formula1>"* ,[ASTM] D2386,[IP] IP 16"</formula1>
    </dataValidation>
    <dataValidation type="list" allowBlank="1" showInputMessage="1" showErrorMessage="1" sqref="D36" xr:uid="{2FECABFB-85DA-4A3F-9DC5-7B489FC5A75D}">
      <formula1>"* ,[ASTM] D445,[IP] IP 71"</formula1>
    </dataValidation>
    <dataValidation type="list" allowBlank="1" showInputMessage="1" showErrorMessage="1" sqref="D37" xr:uid="{7481C56E-80E0-4C54-A7B6-07AA6923328A}">
      <formula1>"* ,[IP] IP 57,[ASTM] D1322"</formula1>
    </dataValidation>
    <dataValidation type="list" allowBlank="1" showInputMessage="1" showErrorMessage="1" sqref="D38" xr:uid="{25EC39CD-BD67-4AB6-98E5-CA660EE7D637}">
      <formula1>"* ,[ASTM] D1840"</formula1>
    </dataValidation>
    <dataValidation type="list" allowBlank="1" showInputMessage="1" showErrorMessage="1" sqref="D39" xr:uid="{45BC20C8-EA6B-4171-AD6B-C0D738390C79}">
      <formula1>"* ,[ASTM] D3338,[IP] IP 12,[ASTM] D4809,[IP] IP 355"</formula1>
    </dataValidation>
    <dataValidation type="list" allowBlank="1" showInputMessage="1" showErrorMessage="1" sqref="D40" xr:uid="{1D167C9F-C60A-41CD-BCAD-E85DB797FD8E}">
      <formula1>"* ,[IP] IP 154,[ASTM] D130"</formula1>
    </dataValidation>
    <dataValidation type="list" allowBlank="1" showInputMessage="1" showErrorMessage="1" sqref="D41 D43" xr:uid="{E455E1E6-347C-4F53-9334-A9F39C3EB7CA}">
      <formula1>"* ,[ASTM] D3241,[IP] IP 323"</formula1>
    </dataValidation>
    <dataValidation type="list" allowBlank="1" showInputMessage="1" showErrorMessage="1" sqref="D42" xr:uid="{4ADC222C-6E4B-4BDF-B8EB-846F5BA470DB}">
      <formula1>"* ,[IP] IP 323,[ASTM] D3241"</formula1>
    </dataValidation>
    <dataValidation type="list" allowBlank="1" showInputMessage="1" showErrorMessage="1" sqref="D44" xr:uid="{8904B9E6-4210-4D75-B7E1-14836FB91782}">
      <formula1>"* ,[IP] IP 540"</formula1>
    </dataValidation>
    <dataValidation type="list" allowBlank="1" showInputMessage="1" showErrorMessage="1" sqref="D45 D46" xr:uid="{55873B12-3308-46F6-BD25-AB9CC0442059}">
      <formula1>"* ,[ASTM] D3948"</formula1>
    </dataValidation>
    <dataValidation type="list" allowBlank="1" showInputMessage="1" showErrorMessage="1" sqref="D47" xr:uid="{600F14A3-101C-4B7C-B77C-5C6DAD0C4800}">
      <formula1>"* ,[IP] IP 274,[ASTM] D2624"</formula1>
    </dataValidation>
    <dataValidation type="list" allowBlank="1" showInputMessage="1" showErrorMessage="1" sqref="D48" xr:uid="{0C45C7DE-2A23-4D3B-9C25-A6032D1D88BC}">
      <formula1>"* ,[ASTM] D5001"</formula1>
    </dataValidation>
    <dataValidation type="list" allowBlank="1" showInputMessage="1" showErrorMessage="1" sqref="D49" xr:uid="{C5627C46-9884-4FCD-A5EC-B637B98FE960}">
      <formula1>"* ,[IP] IP 585"</formula1>
    </dataValidation>
    <dataValidation type="list" allowBlank="1" showInputMessage="1" showErrorMessage="1" sqref="I7" xr:uid="{02C90E0A-FD53-4553-8D7C-BE8A0EFE1B5A}">
      <formula1>"pass/fail,visual"</formula1>
    </dataValidation>
    <dataValidation type="list" allowBlank="1" showInputMessage="1" showErrorMessage="1" sqref="I8" xr:uid="{76A648C8-C3CA-47B7-AB7D-CAF11837EBF8}">
      <formula1>"haze no,Min,Max,pass/fail,rating,visual"</formula1>
    </dataValidation>
    <dataValidation type="list" allowBlank="1" showInputMessage="1" showErrorMessage="1" sqref="I9" xr:uid="{40AEB2C2-E0FE-4D27-B6EB-FD8201FA6086}">
      <formula1>"mg/l,rating"</formula1>
    </dataValidation>
    <dataValidation type="list" allowBlank="1" showInputMessage="1" showErrorMessage="1" sqref="I10 I11 I12" xr:uid="{9420ED62-F77E-4F13-B120-41B34A4D1027}">
      <formula1>"cumulative counts per ml"</formula1>
    </dataValidation>
    <dataValidation type="list" allowBlank="1" showInputMessage="1" showErrorMessage="1" sqref="I13 I14 I15" xr:uid="{E309C1FA-EE2D-4DCC-9304-636778089363}">
      <formula1>"n/a"</formula1>
    </dataValidation>
    <dataValidation type="list" allowBlank="1" showInputMessage="1" showErrorMessage="1" sqref="I16" xr:uid="{95FFB92D-74BA-4444-9D9F-EF753210EBBA}">
      <formula1>"mg KOH/g,mg NaOH/100ml,mg NaOH/g,mg/kg,mg/l,pH"</formula1>
    </dataValidation>
    <dataValidation type="list" allowBlank="1" showInputMessage="1" showErrorMessage="1" sqref="I17" xr:uid="{274D4D41-925C-4F0E-92B3-FD479D3B77E7}">
      <formula1>"ppm,%liq vol,%m/m,%mole,%wt,%vol"</formula1>
    </dataValidation>
    <dataValidation type="list" allowBlank="1" showInputMessage="1" showErrorMessage="1" sqref="I18" xr:uid="{C254B722-B973-4FD9-914A-77CC5BDDF7A5}">
      <formula1>"ppm,%liq vol,%m/m,%mole,%vol"</formula1>
    </dataValidation>
    <dataValidation type="list" allowBlank="1" showInputMessage="1" showErrorMessage="1" sqref="I19" xr:uid="{E75ED3EC-82A2-436E-A2B9-4BFA30348A57}">
      <formula1>"mg/kg,mg/l,ppm,ppm w/w,%m,%m/m,%wt"</formula1>
    </dataValidation>
    <dataValidation type="list" allowBlank="1" showInputMessage="1" showErrorMessage="1" sqref="I20" xr:uid="{80A37D94-5675-4318-8462-5002D4ECBF1B}">
      <formula1>"mg/kg,mg/m³,ppm,%m,%m/m,%mole,%wt,%vol"</formula1>
    </dataValidation>
    <dataValidation type="list" allowBlank="1" showInputMessage="1" showErrorMessage="1" sqref="I21" xr:uid="{B5AD68E4-E895-4932-A3D7-8397877A160A}">
      <formula1>"pos/neg,pass/fail"</formula1>
    </dataValidation>
    <dataValidation type="list" allowBlank="1" showInputMessage="1" showErrorMessage="1" sqref="I22 I23 I24 I25" xr:uid="{40477534-CE13-4A0A-88AD-88A389E81928}">
      <formula1>"%vol"</formula1>
    </dataValidation>
    <dataValidation type="list" allowBlank="1" showInputMessage="1" showErrorMessage="1" sqref="I26 I27 I28 I29 I30 I32" xr:uid="{19C435B0-A04B-4359-99DB-5CB57B69BB86}">
      <formula1>"°C,°F,%,%vol"</formula1>
    </dataValidation>
    <dataValidation type="list" allowBlank="1" showInputMessage="1" showErrorMessage="1" sqref="I31" xr:uid="{00F6EC43-3523-4F01-A379-AFEF5FEA1210}">
      <formula1>"°C,°F,mg/kg,%,%vol"</formula1>
    </dataValidation>
    <dataValidation type="list" allowBlank="1" showInputMessage="1" showErrorMessage="1" sqref="I33 I35" xr:uid="{475D0C22-4E39-41A2-9A80-F27E2D870480}">
      <formula1>"°C,°F"</formula1>
    </dataValidation>
    <dataValidation type="list" allowBlank="1" showInputMessage="1" showErrorMessage="1" sqref="I34" xr:uid="{5A5A1E85-89EC-41AA-A222-DFE9C22283F3}">
      <formula1>"g/ cc,g/l,g/cm³,g/ml,kg/m³,kg/l,n/a,tonne/m³"</formula1>
    </dataValidation>
    <dataValidation type="list" allowBlank="1" showInputMessage="1" showErrorMessage="1" sqref="I36" xr:uid="{20A966CE-A8C0-4113-933B-FBF3795FDE6F}">
      <formula1>"cSt,Engler,mm²/s,Pa·s,SUS"</formula1>
    </dataValidation>
    <dataValidation type="list" allowBlank="1" showInputMessage="1" showErrorMessage="1" sqref="I37" xr:uid="{4777D18A-2B5D-47A1-8D0C-44C8FFA74AEF}">
      <formula1>"°C,°F,mm"</formula1>
    </dataValidation>
    <dataValidation type="list" allowBlank="1" showInputMessage="1" showErrorMessage="1" sqref="I38" xr:uid="{AD0E5DEB-F09B-4700-9BD3-4350086EF2FD}">
      <formula1>"ppm,%m/m,%mole,%vol"</formula1>
    </dataValidation>
    <dataValidation type="list" allowBlank="1" showInputMessage="1" showErrorMessage="1" sqref="I39" xr:uid="{13B1F503-6D43-40DE-A695-7438868BF948}">
      <formula1>"Btu/lb,kcal/kg,MJ/kg"</formula1>
    </dataValidation>
    <dataValidation type="list" allowBlank="1" showInputMessage="1" showErrorMessage="1" sqref="I40 I45 I46" xr:uid="{D42ADB28-087F-4356-89F5-C454C1098302}">
      <formula1>"rating"</formula1>
    </dataValidation>
    <dataValidation type="list" allowBlank="1" showInputMessage="1" showErrorMessage="1" sqref="I41" xr:uid="{AC3DBD0A-E44E-4EFE-8271-5F91155A80A4}">
      <formula1>"°C"</formula1>
    </dataValidation>
    <dataValidation type="list" allowBlank="1" showInputMessage="1" showErrorMessage="1" sqref="I42" xr:uid="{75160CDA-C145-4FF0-9A97-EA7A66D7FD66}">
      <formula1>"Min,Max,rating"</formula1>
    </dataValidation>
    <dataValidation type="list" allowBlank="1" showInputMessage="1" showErrorMessage="1" sqref="I43" xr:uid="{B74B6D49-38A1-4474-8296-09ED9E77517C}">
      <formula1>"mm Hg"</formula1>
    </dataValidation>
    <dataValidation type="list" allowBlank="1" showInputMessage="1" showErrorMessage="1" sqref="I44" xr:uid="{FC65FBC0-DD99-462B-A41D-2054D0D03F23}">
      <formula1>"g/m³,mg/100ml,mg/l"</formula1>
    </dataValidation>
    <dataValidation type="list" allowBlank="1" showInputMessage="1" showErrorMessage="1" sqref="I47" xr:uid="{8966F769-729A-4322-AA13-187090255228}">
      <formula1>"pS/m"</formula1>
    </dataValidation>
    <dataValidation type="list" allowBlank="1" showInputMessage="1" showErrorMessage="1" sqref="I48" xr:uid="{5FC0C1D4-C75D-4458-B0C3-600A6D286259}">
      <formula1>"μm,mm"</formula1>
    </dataValidation>
    <dataValidation type="list" allowBlank="1" showInputMessage="1" showErrorMessage="1" sqref="I49" xr:uid="{AE565814-30DF-443E-B8CF-4441B4D97187}">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4FFFC9FF-405B-45FF-BB77-590332D0B39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238</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45239</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2023-11-09T07:39:20Z</dcterms:modified>
</cp:coreProperties>
</file>