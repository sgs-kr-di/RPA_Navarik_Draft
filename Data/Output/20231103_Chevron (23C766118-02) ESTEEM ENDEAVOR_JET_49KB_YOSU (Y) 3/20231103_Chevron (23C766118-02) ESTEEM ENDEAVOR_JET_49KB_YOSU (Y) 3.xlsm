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6118-02) ESTEEM ENDEAVOR_JET_49KB_YOSU (Y) 3\"/>
    </mc:Choice>
  </mc:AlternateContent>
  <xr:revisionPtr revIDLastSave="0" documentId="13_ncr:1_{4E6F3B47-AE58-4F32-A35E-D0A305327C0E}" xr6:coauthVersionLast="45" xr6:coauthVersionMax="47" xr10:uidLastSave="{00000000-0000-0000-0000-000000000000}"/>
  <bookViews>
    <workbookView xWindow="240" yWindow="1860" windowWidth="21600" windowHeight="11385" tabRatio="688" activeTab="10"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<sst xmlns="http://schemas.openxmlformats.org/spreadsheetml/2006/main" count="1427" uniqueCount="790">
  <si>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</si>
  <si>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</si>
  <si>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</si>
  <si>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</si>
  <si>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</si>
  <si>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</si>
  <si>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</si>
  <si>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</si>
  <si>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</si>
  <si>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</si>
  <si>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</si>
  <si>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</si>
  <si>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</si>
  <si>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</si>
  <si>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</si>
  <si>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</si>
  <si>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</si>
  <si>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</si>
  <si>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</si>
  <si>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</si>
  <si>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</si>
  <si>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</si>
  <si>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</si>
  <si>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</si>
  <si>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</si>
  <si>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</si>
  <si>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</si>
  <si>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</si>
  <si>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</si>
  <si>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</si>
  <si>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</si>
  <si>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</si>
  <si>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</si>
  <si>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</si>
  <si>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</si>
  <si>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</si>
  <si>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</si>
  <si>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</si>
  <si>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</si>
  <si>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</si>
  <si>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</si>
  <si>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</si>
  <si>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</si>
  <si>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</si>
  <si>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</si>
  <si>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</si>
  <si>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</si>
  <si>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</si>
  <si>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</si>
  <si>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</si>
  <si>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</si>
  <si>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</si>
  <si>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</si>
  <si>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</si>
  <si>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</si>
  <si>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</si>
  <si>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</si>
  <si>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</si>
  <si>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</si>
  <si>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</si>
  <si>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</si>
  <si>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</si>
  <si>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</si>
  <si>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</si>
  <si>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</si>
  <si>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</si>
  <si>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</si>
  <si>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</si>
  <si>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</si>
  <si>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</si>
  <si>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</si>
  <si>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</si>
  <si>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</si>
  <si>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</si>
  <si>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</si>
  <si>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</si>
  <si>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</si>
  <si>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</si>
  <si>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</si>
  <si>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</si>
  <si>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</si>
  <si>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</si>
  <si>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</si>
  <si>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</si>
  <si>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</si>
  <si>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</si>
  <si>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</si>
  <si>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</si>
  <si>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</si>
  <si>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</si>
  <si>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</si>
  <si>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</si>
  <si>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</si>
  <si>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</si>
  <si>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</si>
  <si>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</si>
  <si>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</si>
  <si>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</si>
  <si>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</si>
  <si>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</si>
  <si>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</si>
  <si>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</si>
  <si>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</si>
  <si>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</si>
  <si>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</si>
  <si>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</si>
  <si>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</si>
  <si>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</si>
  <si>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</si>
  <si>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</si>
  <si>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</si>
  <si>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</si>
  <si>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</si>
  <si>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</si>
  <si>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</si>
  <si>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</si>
  <si>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</si>
  <si>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</si>
  <si>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</si>
  <si>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</si>
  <si>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</si>
  <si>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</si>
  <si>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</si>
  <si>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</si>
  <si>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</si>
  <si>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</si>
  <si>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</si>
  <si>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</si>
  <si>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</si>
  <si>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</si>
  <si>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</si>
  <si>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</si>
  <si>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</si>
  <si>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</si>
  <si>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</si>
  <si>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</si>
  <si>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</si>
  <si>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</si>
  <si>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</si>
  <si>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</si>
  <si>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</si>
  <si>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</si>
  <si>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</si>
  <si>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</si>
  <si>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</si>
  <si>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</si>
  <si>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</si>
  <si>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</si>
  <si>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</si>
  <si>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</si>
  <si>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</si>
  <si>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</si>
  <si>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</si>
  <si>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</si>
  <si>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</si>
  <si>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</si>
  <si>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</si>
  <si>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</si>
  <si>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</si>
  <si>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</si>
  <si>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</si>
  <si>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</si>
  <si>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</si>
  <si>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</si>
  <si>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</si>
  <si>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</si>
  <si>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</si>
  <si>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</si>
  <si>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</si>
  <si>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</si>
  <si>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</si>
  <si>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</si>
  <si>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</si>
  <si>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</si>
  <si>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</si>
  <si>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</si>
  <si>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</si>
  <si>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</si>
  <si>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</si>
  <si>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</si>
  <si>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</si>
  <si>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</si>
  <si>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</si>
  <si>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</si>
  <si>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</si>
  <si>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</si>
  <si>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</si>
  <si>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</si>
  <si>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</si>
  <si>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</si>
  <si>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</si>
  <si>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</si>
  <si>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</si>
  <si>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</si>
  <si>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</si>
  <si>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</si>
  <si>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</si>
  <si>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</si>
  <si>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</si>
  <si>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</si>
  <si>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</si>
  <si>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</si>
  <si>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</si>
  <si>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</si>
  <si>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</si>
  <si>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</si>
  <si>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</si>
  <si>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</si>
  <si>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</si>
  <si>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</si>
  <si>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</si>
  <si>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</si>
  <si>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</si>
  <si>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</si>
  <si>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</si>
  <si>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</si>
  <si>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</si>
  <si>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</si>
  <si>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</si>
  <si>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</si>
  <si>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</si>
  <si>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</si>
  <si>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</si>
  <si>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</si>
  <si>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</si>
  <si>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</si>
  <si>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</si>
  <si>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</si>
  <si>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</si>
  <si>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</si>
  <si>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</si>
  <si>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</si>
  <si>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</si>
  <si>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</si>
  <si>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</si>
  <si>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</si>
  <si>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</si>
  <si>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</si>
  <si>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</si>
  <si>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</si>
  <si>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</si>
  <si>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</si>
  <si>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</si>
  <si>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</si>
  <si>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</si>
  <si>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</si>
  <si>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</si>
  <si>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</si>
  <si>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</si>
  <si>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</si>
  <si>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</si>
  <si>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</si>
  <si>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</si>
  <si>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</si>
  <si>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</si>
  <si>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</si>
  <si>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</si>
  <si>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</si>
  <si>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</si>
  <si>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</si>
  <si>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</si>
  <si>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</si>
  <si>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</si>
  <si>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</si>
  <si>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</si>
  <si>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</si>
  <si>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</si>
  <si>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</si>
  <si>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</si>
  <si>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</si>
  <si>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</si>
  <si>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</si>
  <si>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</si>
  <si>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</si>
  <si>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</si>
  <si>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</si>
  <si>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</si>
  <si>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</si>
  <si>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</si>
  <si>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</si>
  <si>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</si>
  <si>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</si>
  <si>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</si>
  <si>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</si>
  <si>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</si>
  <si>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</si>
  <si>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</si>
  <si>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</si>
  <si>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</si>
  <si>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</si>
  <si>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</si>
  <si>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</si>
  <si>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</si>
  <si>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</si>
  <si>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</si>
  <si>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</si>
  <si>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</si>
  <si>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</si>
  <si>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</si>
  <si>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</si>
  <si>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</si>
  <si>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</si>
  <si>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</si>
  <si>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</si>
  <si>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</si>
  <si>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</si>
  <si>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</si>
  <si>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</si>
  <si>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</si>
  <si>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</si>
  <si>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</si>
  <si>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</si>
  <si>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</si>
  <si>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</si>
  <si>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</si>
  <si>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</si>
  <si>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</si>
  <si>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</si>
  <si>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</si>
  <si>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</si>
  <si>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</si>
  <si>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</si>
  <si>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</si>
  <si>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</si>
  <si>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</si>
  <si>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</si>
  <si>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</si>
  <si>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</si>
  <si>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</si>
  <si>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</si>
  <si>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</si>
  <si>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</si>
  <si>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</si>
  <si>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</si>
  <si>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</si>
  <si>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</si>
  <si>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</si>
  <si>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</si>
  <si>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</si>
  <si>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</si>
  <si>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</si>
  <si>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</si>
  <si>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</si>
  <si>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</si>
  <si>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</si>
  <si>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</si>
  <si>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</si>
  <si>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</si>
  <si>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</si>
  <si>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</si>
  <si>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</si>
  <si>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</si>
  <si>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</si>
  <si>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</si>
  <si>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</si>
  <si>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</si>
  <si>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</si>
  <si>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</si>
  <si>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</si>
  <si>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</si>
  <si>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</si>
  <si>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</si>
  <si>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</si>
  <si>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</si>
  <si>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</si>
  <si>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</si>
  <si>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</si>
  <si>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</si>
  <si>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</si>
  <si>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</si>
  <si>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</si>
  <si>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</si>
  <si>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</si>
  <si>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</si>
  <si>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</si>
  <si>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</si>
  <si>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</si>
  <si>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</si>
  <si>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</si>
  <si>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</si>
  <si>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</si>
  <si>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</si>
  <si>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</si>
  <si>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</si>
  <si>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</si>
  <si>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</si>
  <si>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</si>
  <si>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</si>
  <si>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</si>
  <si>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</si>
  <si>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</si>
  <si>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</si>
  <si>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</si>
  <si>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</si>
  <si>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</si>
  <si>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</si>
  <si>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</si>
  <si>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</si>
  <si>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</si>
  <si>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</si>
  <si>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</si>
  <si>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</si>
  <si>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</si>
  <si>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</si>
  <si>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</si>
  <si>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</si>
  <si>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</si>
  <si>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</si>
  <si>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</si>
  <si>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</si>
  <si>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</si>
  <si>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</si>
  <si>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</si>
  <si>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</si>
  <si>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</si>
  <si>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</si>
  <si>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</si>
  <si>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</si>
  <si>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</si>
  <si>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</si>
  <si>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</si>
  <si>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</si>
  <si>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</si>
  <si>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</si>
  <si>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</si>
  <si>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</si>
  <si>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</si>
  <si>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</si>
  <si>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</si>
  <si>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</si>
  <si>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</si>
  <si>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</si>
  <si>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</si>
  <si>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</si>
  <si>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</si>
  <si>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</si>
  <si>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</si>
  <si>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</si>
  <si>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</si>
  <si>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</si>
  <si>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</si>
  <si>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</si>
  <si>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</si>
  <si>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</si>
  <si>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</si>
  <si>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</si>
  <si>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</si>
  <si>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</si>
  <si>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</si>
  <si>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</si>
  <si>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</si>
  <si>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</si>
  <si>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</si>
  <si>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</si>
  <si>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</si>
  <si>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</si>
  <si>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</si>
  <si>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</si>
  <si>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</si>
  <si>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</si>
  <si>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</si>
  <si>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</si>
  <si>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</si>
  <si>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</si>
  <si>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</si>
  <si>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</si>
  <si>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</si>
  <si>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</si>
  <si>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</si>
  <si>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</si>
  <si>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</si>
  <si>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</si>
  <si>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</si>
  <si>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</si>
  <si>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</si>
  <si>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</si>
  <si>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</si>
  <si>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</si>
  <si>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</si>
  <si>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</si>
  <si>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</si>
  <si>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</si>
  <si>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</si>
  <si>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</si>
  <si>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</si>
  <si>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</si>
  <si>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</si>
  <si>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</si>
  <si>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</si>
  <si>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</si>
  <si>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</si>
  <si>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</si>
  <si>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</si>
  <si>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</si>
  <si>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</si>
  <si>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</si>
  <si>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</si>
  <si>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</si>
  <si>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</si>
  <si>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</si>
  <si>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</si>
  <si>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</si>
  <si>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</si>
  <si>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</si>
  <si>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</si>
  <si>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</si>
  <si>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</si>
  <si>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</si>
  <si>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</si>
  <si>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</si>
  <si>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</si>
  <si>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</si>
  <si>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</si>
  <si>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</si>
  <si>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</si>
  <si>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</si>
  <si>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</si>
  <si>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</si>
  <si>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</si>
  <si>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</si>
  <si>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</si>
  <si>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</si>
  <si>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</si>
  <si>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</si>
  <si>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</si>
  <si>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</si>
  <si>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</si>
  <si>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</si>
  <si>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</si>
  <si>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</si>
  <si>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</si>
  <si>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</si>
  <si>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</si>
  <si>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</si>
  <si>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</si>
  <si>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</si>
  <si>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</si>
  <si>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</si>
  <si>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</si>
  <si>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</si>
  <si>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</si>
  <si>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</si>
  <si>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</si>
  <si>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</si>
  <si>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</si>
  <si>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</si>
  <si>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</si>
  <si>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</si>
  <si>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</si>
  <si>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</si>
  <si>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</si>
  <si>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</si>
  <si>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</si>
  <si>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</si>
  <si>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</si>
  <si>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</si>
  <si>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</si>
  <si>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</si>
  <si>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</si>
  <si>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</si>
  <si>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</si>
  <si>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</si>
  <si>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</si>
  <si>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</si>
  <si>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</si>
  <si>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</si>
  <si>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</si>
  <si>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</si>
  <si>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</si>
  <si>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</si>
  <si>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</si>
  <si>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</si>
  <si>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</si>
  <si>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</si>
  <si>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</si>
  <si>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</si>
  <si>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</si>
  <si>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</si>
  <si>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</si>
  <si>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</si>
  <si>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</si>
  <si>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</si>
  <si>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</si>
  <si>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</si>
  <si>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</si>
  <si>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</si>
  <si>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</si>
  <si>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</si>
  <si>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</si>
  <si>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</si>
  <si>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</si>
  <si>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</si>
  <si>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</si>
  <si>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</si>
  <si>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</si>
  <si>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</si>
  <si>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</si>
  <si>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</si>
  <si>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</si>
  <si>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</si>
  <si>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</si>
  <si>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</si>
  <si>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</si>
  <si>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</si>
  <si>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</si>
  <si>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</si>
  <si>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</si>
  <si>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</si>
  <si>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</si>
  <si>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</si>
  <si>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</si>
  <si>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</si>
  <si>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</si>
  <si>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</si>
  <si>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</si>
  <si>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</si>
  <si>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</si>
  <si>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</si>
  <si>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</si>
  <si>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</si>
  <si>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</si>
  <si>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</si>
  <si>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</si>
  <si>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</si>
  <si>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</si>
  <si>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</si>
  <si>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</si>
  <si>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</si>
  <si>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</si>
  <si>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</si>
  <si>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</si>
  <si>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</si>
  <si>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</si>
  <si>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</si>
  <si>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</si>
  <si>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</si>
  <si>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</si>
  <si>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</si>
  <si>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</si>
  <si>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</si>
  <si>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</si>
  <si>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</si>
  <si>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</si>
  <si>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</si>
  <si>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</si>
  <si>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</si>
  <si>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</si>
  <si>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</si>
  <si>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</si>
  <si>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</si>
  <si>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</si>
  <si>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</si>
  <si>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</si>
  <si>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</si>
  <si>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</si>
  <si>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</si>
  <si>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</si>
  <si>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</si>
  <si>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</si>
  <si>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</si>
  <si>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</si>
  <si>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</si>
  <si>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</si>
  <si>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</si>
  <si>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</si>
  <si>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</si>
  <si>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</si>
  <si>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</si>
  <si>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</si>
  <si>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</si>
  <si>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</si>
  <si>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</si>
  <si>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</si>
  <si>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</si>
  <si>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</si>
  <si>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</si>
  <si>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</si>
  <si>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</si>
  <si>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</si>
  <si>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</si>
  <si>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</si>
  <si>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</si>
  <si>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</si>
  <si>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</si>
  <si>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</si>
  <si>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</si>
  <si>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</si>
  <si>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</si>
  <si>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</si>
  <si>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</si>
  <si>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</si>
  <si>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</si>
  <si>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</si>
  <si>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</si>
  <si>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</si>
  <si>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</si>
  <si>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</si>
  <si>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</si>
  <si>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23C766118-02</t>
  </si>
  <si>
    <t>ESTEEM ENDEAVOR</t>
  </si>
  <si>
    <t>JET A-1</t>
  </si>
  <si>
    <t>여수</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</si>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</sst>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6" sqref="C6"/>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701</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45239</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45055</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45331</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369</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266</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703</v>
      </c>
      <c r="D8" s="260"/>
      <c r="E8" s="126" t="s">
        <v>745</v>
      </c>
      <c r="F8" s="261"/>
      <c r="G8" s="20"/>
      <c r="H8" s="20"/>
      <c r="I8" s="262" t="s">
        <v>774</v>
      </c>
      <c r="J8" s="246" t="str">
        <f t="shared" ref="J8:J71" si="16">IF($C8="","",IF(AND($B8="",G8=""),"*",IF(AND($B8="v",NOT(G8="")),"*",IF(AND($B8="",NOT(G8="")),"",IF(AND($B8="v",G8=""),"")))))</f>
        <v>*</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704</v>
      </c>
      <c r="D9" s="260"/>
      <c r="E9" s="126" t="s">
        <v>746</v>
      </c>
      <c r="F9" s="261"/>
      <c r="G9" s="20"/>
      <c r="H9" s="20"/>
      <c r="I9" s="262" t="s">
        <v>775</v>
      </c>
      <c r="J9" s="246" t="str">
        <f t="shared" si="16"/>
        <v>*</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705</v>
      </c>
      <c r="D10" s="260"/>
      <c r="E10" s="126" t="s">
        <v>747</v>
      </c>
      <c r="F10" s="261"/>
      <c r="G10" s="20"/>
      <c r="H10" s="20"/>
      <c r="I10" s="19" t="s">
        <v>776</v>
      </c>
      <c r="J10" s="246" t="str">
        <f t="shared" si="16"/>
        <v>*</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706</v>
      </c>
      <c r="D11" s="260"/>
      <c r="E11" s="126" t="s">
        <v>747</v>
      </c>
      <c r="F11" s="261"/>
      <c r="G11" s="20"/>
      <c r="H11" s="20"/>
      <c r="I11" s="19" t="s">
        <v>776</v>
      </c>
      <c r="J11" s="246" t="str">
        <f t="shared" si="16"/>
        <v>*</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707</v>
      </c>
      <c r="D12" s="260"/>
      <c r="E12" s="126" t="s">
        <v>747</v>
      </c>
      <c r="F12" s="261"/>
      <c r="G12" s="20"/>
      <c r="H12" s="20"/>
      <c r="I12" s="19" t="s">
        <v>776</v>
      </c>
      <c r="J12" s="246" t="str">
        <f t="shared" si="16"/>
        <v>*</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708</v>
      </c>
      <c r="D13" s="260"/>
      <c r="E13" s="126" t="s">
        <v>747</v>
      </c>
      <c r="F13" s="261"/>
      <c r="G13" s="20"/>
      <c r="H13" s="20"/>
      <c r="I13" s="19" t="s">
        <v>744</v>
      </c>
      <c r="J13" s="246" t="str">
        <f t="shared" si="16"/>
        <v>*</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709</v>
      </c>
      <c r="D14" s="260"/>
      <c r="E14" s="126" t="s">
        <v>747</v>
      </c>
      <c r="F14" s="261"/>
      <c r="G14" s="20"/>
      <c r="H14" s="20"/>
      <c r="I14" s="19" t="s">
        <v>744</v>
      </c>
      <c r="J14" s="246" t="str">
        <f t="shared" si="16"/>
        <v>*</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710</v>
      </c>
      <c r="D15" s="260"/>
      <c r="E15" s="126" t="s">
        <v>747</v>
      </c>
      <c r="F15" s="261"/>
      <c r="G15" s="20"/>
      <c r="H15" s="20"/>
      <c r="I15" s="19" t="s">
        <v>744</v>
      </c>
      <c r="J15" s="246" t="str">
        <f t="shared" si="16"/>
        <v>*</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711</v>
      </c>
      <c r="D16" s="260"/>
      <c r="E16" s="126" t="s">
        <v>748</v>
      </c>
      <c r="F16" s="261"/>
      <c r="G16" s="20"/>
      <c r="H16" s="20"/>
      <c r="I16" s="262" t="s">
        <v>777</v>
      </c>
      <c r="J16" s="246" t="str">
        <f t="shared" si="16"/>
        <v>*</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c r="C17" s="62" t="s">
        <v>712</v>
      </c>
      <c r="D17" s="260"/>
      <c r="E17" s="126" t="s">
        <v>749</v>
      </c>
      <c r="F17" s="261"/>
      <c r="G17" s="20"/>
      <c r="H17" s="20"/>
      <c r="I17" s="262" t="s">
        <v>778</v>
      </c>
      <c r="J17" s="246" t="str">
        <f t="shared" si="16"/>
        <v>*</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713</v>
      </c>
      <c r="D18" s="260"/>
      <c r="E18" s="126" t="s">
        <v>750</v>
      </c>
      <c r="F18" s="261"/>
      <c r="G18" s="20"/>
      <c r="H18" s="20"/>
      <c r="I18" s="262" t="s">
        <v>778</v>
      </c>
      <c r="J18" s="246" t="str">
        <f t="shared" si="16"/>
        <v>*</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714</v>
      </c>
      <c r="D19" s="260"/>
      <c r="E19" s="126" t="s">
        <v>751</v>
      </c>
      <c r="F19" s="261"/>
      <c r="G19" s="20"/>
      <c r="H19" s="20"/>
      <c r="I19" s="262" t="s">
        <v>779</v>
      </c>
      <c r="J19" s="246" t="str">
        <f t="shared" si="16"/>
        <v>*</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715</v>
      </c>
      <c r="D20" s="260"/>
      <c r="E20" s="126" t="s">
        <v>752</v>
      </c>
      <c r="F20" s="261"/>
      <c r="G20" s="20"/>
      <c r="H20" s="20"/>
      <c r="I20" s="262" t="s">
        <v>779</v>
      </c>
      <c r="J20" s="246" t="str">
        <f t="shared" si="16"/>
        <v>*</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c r="C21" s="62" t="s">
        <v>716</v>
      </c>
      <c r="D21" s="117"/>
      <c r="E21" s="126" t="s">
        <v>744</v>
      </c>
      <c r="F21" s="263"/>
      <c r="G21" s="20"/>
      <c r="H21" s="20"/>
      <c r="I21" s="262" t="s">
        <v>780</v>
      </c>
      <c r="J21" s="246" t="str">
        <f t="shared" si="16"/>
        <v>*</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717</v>
      </c>
      <c r="D22" s="260"/>
      <c r="E22" s="126" t="s">
        <v>747</v>
      </c>
      <c r="F22" s="261"/>
      <c r="G22" s="20"/>
      <c r="H22" s="20"/>
      <c r="I22" s="19" t="s">
        <v>778</v>
      </c>
      <c r="J22" s="246" t="str">
        <f t="shared" si="16"/>
        <v>*</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718</v>
      </c>
      <c r="D23" s="260"/>
      <c r="E23" s="126" t="s">
        <v>747</v>
      </c>
      <c r="F23" s="261"/>
      <c r="G23" s="20"/>
      <c r="H23" s="20"/>
      <c r="I23" s="19" t="s">
        <v>778</v>
      </c>
      <c r="J23" s="246" t="str">
        <f t="shared" si="16"/>
        <v>*</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719</v>
      </c>
      <c r="D24" s="260"/>
      <c r="E24" s="126" t="s">
        <v>747</v>
      </c>
      <c r="F24" s="261"/>
      <c r="G24" s="20"/>
      <c r="H24" s="20"/>
      <c r="I24" s="19" t="s">
        <v>778</v>
      </c>
      <c r="J24" s="246" t="str">
        <f t="shared" si="16"/>
        <v>*</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720</v>
      </c>
      <c r="D25" s="260"/>
      <c r="E25" s="126" t="s">
        <v>747</v>
      </c>
      <c r="F25" s="261"/>
      <c r="G25" s="20"/>
      <c r="H25" s="20"/>
      <c r="I25" s="19" t="s">
        <v>778</v>
      </c>
      <c r="J25" s="246" t="str">
        <f t="shared" si="16"/>
        <v>*</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721</v>
      </c>
      <c r="D26" s="260"/>
      <c r="E26" s="126" t="s">
        <v>747</v>
      </c>
      <c r="F26" s="261"/>
      <c r="G26" s="20"/>
      <c r="H26" s="20"/>
      <c r="I26" s="262" t="s">
        <v>781</v>
      </c>
      <c r="J26" s="246" t="str">
        <f t="shared" si="16"/>
        <v>*</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722</v>
      </c>
      <c r="D27" s="260"/>
      <c r="E27" s="126" t="s">
        <v>753</v>
      </c>
      <c r="F27" s="261"/>
      <c r="G27" s="20"/>
      <c r="H27" s="20"/>
      <c r="I27" s="262" t="s">
        <v>781</v>
      </c>
      <c r="J27" s="246" t="str">
        <f t="shared" si="16"/>
        <v>*</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723</v>
      </c>
      <c r="D28" s="260"/>
      <c r="E28" s="126" t="s">
        <v>747</v>
      </c>
      <c r="F28" s="261"/>
      <c r="G28" s="20"/>
      <c r="H28" s="20"/>
      <c r="I28" s="262" t="s">
        <v>781</v>
      </c>
      <c r="J28" s="246" t="str">
        <f t="shared" si="16"/>
        <v>*</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724</v>
      </c>
      <c r="D29" s="260"/>
      <c r="E29" s="126" t="s">
        <v>747</v>
      </c>
      <c r="F29" s="261"/>
      <c r="G29" s="20"/>
      <c r="H29" s="20"/>
      <c r="I29" s="262" t="s">
        <v>781</v>
      </c>
      <c r="J29" s="246" t="str">
        <f t="shared" si="16"/>
        <v>*</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725</v>
      </c>
      <c r="D30" s="260"/>
      <c r="E30" s="126" t="s">
        <v>754</v>
      </c>
      <c r="F30" s="261"/>
      <c r="G30" s="20"/>
      <c r="H30" s="20"/>
      <c r="I30" s="262" t="s">
        <v>781</v>
      </c>
      <c r="J30" s="246" t="str">
        <f t="shared" si="16"/>
        <v>*</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726</v>
      </c>
      <c r="D31" s="260"/>
      <c r="E31" s="126" t="s">
        <v>755</v>
      </c>
      <c r="F31" s="261"/>
      <c r="G31" s="20"/>
      <c r="H31" s="20"/>
      <c r="I31" s="262" t="s">
        <v>778</v>
      </c>
      <c r="J31" s="246" t="str">
        <f t="shared" si="16"/>
        <v>*</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727</v>
      </c>
      <c r="D32" s="260"/>
      <c r="E32" s="126" t="s">
        <v>755</v>
      </c>
      <c r="F32" s="261"/>
      <c r="G32" s="20"/>
      <c r="H32" s="20"/>
      <c r="I32" s="262" t="s">
        <v>778</v>
      </c>
      <c r="J32" s="246" t="str">
        <f t="shared" si="16"/>
        <v>*</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728</v>
      </c>
      <c r="D33" s="260"/>
      <c r="E33" s="126" t="s">
        <v>756</v>
      </c>
      <c r="F33" s="261"/>
      <c r="G33" s="20"/>
      <c r="H33" s="20"/>
      <c r="I33" s="262" t="s">
        <v>781</v>
      </c>
      <c r="J33" s="246" t="str">
        <f t="shared" si="16"/>
        <v>*</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729</v>
      </c>
      <c r="D34" s="260"/>
      <c r="E34" s="126" t="s">
        <v>757</v>
      </c>
      <c r="F34" s="261"/>
      <c r="G34" s="20"/>
      <c r="H34" s="20"/>
      <c r="I34" s="262" t="s">
        <v>782</v>
      </c>
      <c r="J34" s="246" t="str">
        <f t="shared" si="16"/>
        <v>*</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730</v>
      </c>
      <c r="D35" s="260"/>
      <c r="E35" s="126" t="s">
        <v>758</v>
      </c>
      <c r="F35" s="261"/>
      <c r="G35" s="20"/>
      <c r="H35" s="20"/>
      <c r="I35" s="262" t="s">
        <v>781</v>
      </c>
      <c r="J35" s="246" t="str">
        <f t="shared" si="16"/>
        <v>*</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731</v>
      </c>
      <c r="D36" s="260"/>
      <c r="E36" s="126" t="s">
        <v>759</v>
      </c>
      <c r="F36" s="261"/>
      <c r="G36" s="20"/>
      <c r="H36" s="20"/>
      <c r="I36" s="262" t="s">
        <v>783</v>
      </c>
      <c r="J36" s="246" t="str">
        <f t="shared" si="16"/>
        <v>*</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732</v>
      </c>
      <c r="D37" s="260"/>
      <c r="E37" s="126" t="s">
        <v>760</v>
      </c>
      <c r="F37" s="261"/>
      <c r="G37" s="20"/>
      <c r="H37" s="20"/>
      <c r="I37" s="262" t="s">
        <v>784</v>
      </c>
      <c r="J37" s="246" t="str">
        <f t="shared" si="16"/>
        <v>*</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733</v>
      </c>
      <c r="D38" s="260"/>
      <c r="E38" s="126" t="s">
        <v>761</v>
      </c>
      <c r="F38" s="261"/>
      <c r="G38" s="20"/>
      <c r="H38" s="20"/>
      <c r="I38" s="262" t="s">
        <v>778</v>
      </c>
      <c r="J38" s="246" t="str">
        <f t="shared" si="16"/>
        <v>*</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734</v>
      </c>
      <c r="D39" s="260"/>
      <c r="E39" s="126" t="s">
        <v>762</v>
      </c>
      <c r="F39" s="261"/>
      <c r="G39" s="20"/>
      <c r="H39" s="20"/>
      <c r="I39" s="262" t="s">
        <v>785</v>
      </c>
      <c r="J39" s="246" t="str">
        <f t="shared" si="16"/>
        <v>*</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735</v>
      </c>
      <c r="D40" s="260"/>
      <c r="E40" s="126" t="s">
        <v>763</v>
      </c>
      <c r="F40" s="261"/>
      <c r="G40" s="20"/>
      <c r="H40" s="20"/>
      <c r="I40" s="19" t="s">
        <v>774</v>
      </c>
      <c r="J40" s="246" t="str">
        <f t="shared" si="16"/>
        <v>*</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736</v>
      </c>
      <c r="D41" s="260"/>
      <c r="E41" s="126" t="s">
        <v>764</v>
      </c>
      <c r="F41" s="261"/>
      <c r="G41" s="20"/>
      <c r="H41" s="20"/>
      <c r="I41" s="19" t="s">
        <v>781</v>
      </c>
      <c r="J41" s="246" t="str">
        <f t="shared" si="16"/>
        <v>*</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737</v>
      </c>
      <c r="D42" s="260"/>
      <c r="E42" s="126" t="s">
        <v>765</v>
      </c>
      <c r="F42" s="261"/>
      <c r="G42" s="20"/>
      <c r="H42" s="20"/>
      <c r="I42" s="262" t="s">
        <v>774</v>
      </c>
      <c r="J42" s="246" t="str">
        <f t="shared" si="16"/>
        <v>*</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738</v>
      </c>
      <c r="D43" s="260"/>
      <c r="E43" s="126" t="s">
        <v>766</v>
      </c>
      <c r="F43" s="261"/>
      <c r="G43" s="20"/>
      <c r="H43" s="20"/>
      <c r="I43" s="19" t="s">
        <v>786</v>
      </c>
      <c r="J43" s="246" t="str">
        <f t="shared" si="16"/>
        <v>*</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739</v>
      </c>
      <c r="D44" s="260"/>
      <c r="E44" s="126" t="s">
        <v>767</v>
      </c>
      <c r="F44" s="261"/>
      <c r="G44" s="20"/>
      <c r="H44" s="20"/>
      <c r="I44" s="262" t="s">
        <v>787</v>
      </c>
      <c r="J44" s="246" t="str">
        <f t="shared" si="16"/>
        <v>*</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c r="C45" s="62" t="s">
        <v>740</v>
      </c>
      <c r="D45" s="260"/>
      <c r="E45" s="126" t="s">
        <v>768</v>
      </c>
      <c r="F45" s="261"/>
      <c r="G45" s="20"/>
      <c r="H45" s="20"/>
      <c r="I45" s="19" t="s">
        <v>774</v>
      </c>
      <c r="J45" s="246" t="str">
        <f t="shared" si="16"/>
        <v>*</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740</v>
      </c>
      <c r="D46" s="260"/>
      <c r="E46" s="126" t="s">
        <v>769</v>
      </c>
      <c r="F46" s="261"/>
      <c r="G46" s="20"/>
      <c r="H46" s="20"/>
      <c r="I46" s="19" t="s">
        <v>774</v>
      </c>
      <c r="J46" s="246" t="str">
        <f t="shared" si="16"/>
        <v>*</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c r="C47" s="62" t="s">
        <v>741</v>
      </c>
      <c r="D47" s="260"/>
      <c r="E47" s="126" t="s">
        <v>770</v>
      </c>
      <c r="F47" s="261"/>
      <c r="G47" s="20"/>
      <c r="H47" s="20"/>
      <c r="I47" s="19" t="s">
        <v>788</v>
      </c>
      <c r="J47" s="246" t="str">
        <f t="shared" si="16"/>
        <v>*</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742</v>
      </c>
      <c r="D48" s="260"/>
      <c r="E48" s="126" t="s">
        <v>771</v>
      </c>
      <c r="F48" s="261"/>
      <c r="G48" s="20"/>
      <c r="H48" s="20"/>
      <c r="I48" s="262" t="s">
        <v>784</v>
      </c>
      <c r="J48" s="246" t="str">
        <f t="shared" si="16"/>
        <v>*</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743</v>
      </c>
      <c r="D49" s="260"/>
      <c r="E49" s="126" t="s">
        <v>772</v>
      </c>
      <c r="F49" s="261"/>
      <c r="G49" s="20"/>
      <c r="H49" s="20"/>
      <c r="I49" s="19" t="s">
        <v>789</v>
      </c>
      <c r="J49" s="246" t="str">
        <f t="shared" si="16"/>
        <v>*</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c r="D50" s="117"/>
      <c r="E50" s="126"/>
      <c r="F50" s="190"/>
      <c r="G50" s="20"/>
      <c r="H50" s="20"/>
      <c r="I50" s="19"/>
      <c r="J50" s="246" t="str">
        <f t="shared" si="16"/>
        <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c r="D51" s="117"/>
      <c r="E51" s="126"/>
      <c r="F51" s="190"/>
      <c r="G51" s="20"/>
      <c r="H51" s="20"/>
      <c r="I51" s="19"/>
      <c r="J51" s="246" t="str">
        <f t="shared" si="16"/>
        <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DDB3C811-6D3F-4E2A-9FBF-F4FF30508748}">
      <formula1>"* ,[OTHER] Visual"</formula1>
    </dataValidation>
    <dataValidation type="list" allowBlank="1" showInputMessage="1" showErrorMessage="1" sqref="D8" xr:uid="{E485CC18-C025-4701-BADC-A702C56446C3}">
      <formula1>"* ,[ASTM] D156"</formula1>
    </dataValidation>
    <dataValidation type="list" allowBlank="1" showInputMessage="1" showErrorMessage="1" sqref="D9" xr:uid="{6B6DAEE0-F83E-4FBA-B691-6FBE92E221F9}">
      <formula1>"* ,[IP] IP 423,[ASTM] D5452 Appendix X1"</formula1>
    </dataValidation>
    <dataValidation type="list" allowBlank="1" showInputMessage="1" showErrorMessage="1" sqref="D10" xr:uid="{FDA05D08-5B38-4ED9-84F6-FCA5A2208E45}">
      <formula1>"* ,[IP] IP 565,[IP] IP 564"</formula1>
    </dataValidation>
    <dataValidation type="list" allowBlank="1" showInputMessage="1" showErrorMessage="1" sqref="D11 D12 D13 D14 D15" xr:uid="{F8349307-13CF-4112-8294-6D9147056A6E}">
      <formula1>"* ,[IP] IP 565"</formula1>
    </dataValidation>
    <dataValidation type="list" allowBlank="1" showInputMessage="1" showErrorMessage="1" sqref="D16" xr:uid="{A1019B9C-0E49-4BC1-9D28-955D05E7ECFA}">
      <formula1>"* ,[ASTM] D3242,[IP] IP 354"</formula1>
    </dataValidation>
    <dataValidation type="list" allowBlank="1" showInputMessage="1" showErrorMessage="1" sqref="D17" xr:uid="{4509689C-6BC8-4FD3-BE9F-1FB28B6FA62D}">
      <formula1>"* ,[IP] IP 156,[ASTM] D1319"</formula1>
    </dataValidation>
    <dataValidation type="list" allowBlank="1" showInputMessage="1" showErrorMessage="1" sqref="D18" xr:uid="{83AA45CB-2F98-470A-8AF7-102F615C8DFB}">
      <formula1>"* ,[ASTM] D6379,[IP] IP 436"</formula1>
    </dataValidation>
    <dataValidation type="list" allowBlank="1" showInputMessage="1" showErrorMessage="1" sqref="D19" xr:uid="{4CAB3F90-215F-43AA-896C-A4E21981D6F2}">
      <formula1>"* ,[IP] IP 336"</formula1>
    </dataValidation>
    <dataValidation type="list" allowBlank="1" showInputMessage="1" showErrorMessage="1" sqref="D20" xr:uid="{89ECEC84-0D39-4D3B-B68D-3AC66B4BACEA}">
      <formula1>"* ,[IP] IP 342,[ASTM] D3227"</formula1>
    </dataValidation>
    <dataValidation type="list" allowBlank="1" showInputMessage="1" showErrorMessage="1" sqref="D21" xr:uid="{E4798B8E-F7AA-4BB5-99DB-81EC4F372FDF}">
      <formula1>"[IP] IP 30"</formula1>
    </dataValidation>
    <dataValidation type="list" allowBlank="1" showInputMessage="1" showErrorMessage="1" sqref="D22 D23 D24" xr:uid="{57C929F8-5F8C-4BD9-8B49-1733E03C5A83}">
      <formula1>"* ,[OTHER] Calculation"</formula1>
    </dataValidation>
    <dataValidation type="list" allowBlank="1" showInputMessage="1" showErrorMessage="1" sqref="D25" xr:uid="{B36510B0-B97F-4FB4-921C-AAF20849B8B3}">
      <formula1>"* ,[OTHER] Not Listed"</formula1>
    </dataValidation>
    <dataValidation type="list" allowBlank="1" showInputMessage="1" showErrorMessage="1" sqref="D26 D27 D29 D30 D31" xr:uid="{D43BCEEA-97B9-4D96-9453-7EBB4E8F07A5}">
      <formula1>"* ,[ASTM] D86,[IP] IP 123"</formula1>
    </dataValidation>
    <dataValidation type="list" allowBlank="1" showInputMessage="1" showErrorMessage="1" sqref="D28 D32" xr:uid="{509DC7F6-AF39-480B-AE83-763027098C16}">
      <formula1>"* ,[IP] IP 123,[ASTM] D86"</formula1>
    </dataValidation>
    <dataValidation type="list" allowBlank="1" showInputMessage="1" showErrorMessage="1" sqref="D33" xr:uid="{C78A54AF-EC18-49A8-B403-C4875A952064}">
      <formula1>"* ,[IP] IP 170"</formula1>
    </dataValidation>
    <dataValidation type="list" allowBlank="1" showInputMessage="1" showErrorMessage="1" sqref="D34" xr:uid="{EE38C764-8794-4609-B8CB-C525E90D313A}">
      <formula1>"* ,[ASTM] D4052,[IP] IP 365"</formula1>
    </dataValidation>
    <dataValidation type="list" allowBlank="1" showInputMessage="1" showErrorMessage="1" sqref="D35" xr:uid="{D3D5E80C-BB79-4EF4-B7C3-E7A1FA3B7EFB}">
      <formula1>"* ,[ASTM] D2386,[IP] IP 16"</formula1>
    </dataValidation>
    <dataValidation type="list" allowBlank="1" showInputMessage="1" showErrorMessage="1" sqref="D36" xr:uid="{85D1AAD2-91E3-4F8D-824C-31CAC677DE40}">
      <formula1>"* ,[ASTM] D445,[IP] IP 71"</formula1>
    </dataValidation>
    <dataValidation type="list" allowBlank="1" showInputMessage="1" showErrorMessage="1" sqref="D37" xr:uid="{18D7A512-83A8-4DA6-A914-FB42822F41FC}">
      <formula1>"* ,[IP] IP 57,[ASTM] D1322"</formula1>
    </dataValidation>
    <dataValidation type="list" allowBlank="1" showInputMessage="1" showErrorMessage="1" sqref="D38" xr:uid="{ADC7FDCE-A5EA-4981-8651-1B52B1281499}">
      <formula1>"* ,[ASTM] D1840"</formula1>
    </dataValidation>
    <dataValidation type="list" allowBlank="1" showInputMessage="1" showErrorMessage="1" sqref="D39" xr:uid="{EF861797-B9D4-4D19-8497-E246BD73CA74}">
      <formula1>"* ,[ASTM] D4809,[ASTM] D3338,[IP] IP 355,[IP] IP 12"</formula1>
    </dataValidation>
    <dataValidation type="list" allowBlank="1" showInputMessage="1" showErrorMessage="1" sqref="D40" xr:uid="{94DC5460-DC5F-41BB-AC45-7630BCD5F052}">
      <formula1>"* ,[IP] IP 154,[ASTM] D130"</formula1>
    </dataValidation>
    <dataValidation type="list" allowBlank="1" showInputMessage="1" showErrorMessage="1" sqref="D41 D42" xr:uid="{AC99D2B6-4055-4E58-ACF5-86D0ADE6A5EB}">
      <formula1>"* ,[ASTM] D3241,[IP] IP 323"</formula1>
    </dataValidation>
    <dataValidation type="list" allowBlank="1" showInputMessage="1" showErrorMessage="1" sqref="D43" xr:uid="{6F5DFEE0-C758-47E5-A034-C72CF6E5DDF3}">
      <formula1>"* ,[IP] IP 323,[ASTM] D3241"</formula1>
    </dataValidation>
    <dataValidation type="list" allowBlank="1" showInputMessage="1" showErrorMessage="1" sqref="D44" xr:uid="{9B413F55-E802-4B49-B357-C844E4E23E2B}">
      <formula1>"* ,[IP] IP 540"</formula1>
    </dataValidation>
    <dataValidation type="list" allowBlank="1" showInputMessage="1" showErrorMessage="1" sqref="D45 D46" xr:uid="{5DB1DD8C-8298-4B87-9171-B1DCDE8E4C10}">
      <formula1>"* ,[ASTM] D3948"</formula1>
    </dataValidation>
    <dataValidation type="list" allowBlank="1" showInputMessage="1" showErrorMessage="1" sqref="D47" xr:uid="{40086659-0A7B-47E7-8E72-22843E08C9FC}">
      <formula1>"* ,[IP] IP 274,[ASTM] D2624"</formula1>
    </dataValidation>
    <dataValidation type="list" allowBlank="1" showInputMessage="1" showErrorMessage="1" sqref="D48" xr:uid="{8813625E-1FE9-4A36-A37A-ACE239C7AABC}">
      <formula1>"* ,[ASTM] D5001"</formula1>
    </dataValidation>
    <dataValidation type="list" allowBlank="1" showInputMessage="1" showErrorMessage="1" sqref="D49" xr:uid="{7CC9D955-9713-44F5-AB32-3E87416FE6E2}">
      <formula1>"* ,[IP] IP 585"</formula1>
    </dataValidation>
    <dataValidation type="list" allowBlank="1" showInputMessage="1" showErrorMessage="1" sqref="I7" xr:uid="{CF1BE338-8145-4A2F-B23A-F196F0711253}">
      <formula1>"pass/fail,visual"</formula1>
    </dataValidation>
    <dataValidation type="list" allowBlank="1" showInputMessage="1" showErrorMessage="1" sqref="I8" xr:uid="{BC4C2E9D-C9F9-44A2-92BA-28932E0D0870}">
      <formula1>"haze no,Min,Max,pass/fail,rating,visual"</formula1>
    </dataValidation>
    <dataValidation type="list" allowBlank="1" showInputMessage="1" showErrorMessage="1" sqref="I9" xr:uid="{7D047540-5FD4-4C12-9EC9-2FE03705CCA3}">
      <formula1>"mg/l,rating"</formula1>
    </dataValidation>
    <dataValidation type="list" allowBlank="1" showInputMessage="1" showErrorMessage="1" sqref="I10 I11 I12" xr:uid="{72E983FD-1E6E-4D79-A5C8-02A1B3AA092E}">
      <formula1>"cumulative counts per ml"</formula1>
    </dataValidation>
    <dataValidation type="list" allowBlank="1" showInputMessage="1" showErrorMessage="1" sqref="I13 I14 I15" xr:uid="{59DD43B7-78B3-4AE3-8E5B-8505D5AE3286}">
      <formula1>"n/a"</formula1>
    </dataValidation>
    <dataValidation type="list" allowBlank="1" showInputMessage="1" showErrorMessage="1" sqref="I16" xr:uid="{D2E3B662-50EC-4950-A8C9-7F7D64937465}">
      <formula1>"mg KOH/g,mg NaOH/100ml,mg NaOH/g,mg/kg,mg/l,pH"</formula1>
    </dataValidation>
    <dataValidation type="list" allowBlank="1" showInputMessage="1" showErrorMessage="1" sqref="I17" xr:uid="{72697857-B9B4-4742-9C40-A47361D65D88}">
      <formula1>"ppm,%liq vol,%m/m,%mole,%wt,%vol"</formula1>
    </dataValidation>
    <dataValidation type="list" allowBlank="1" showInputMessage="1" showErrorMessage="1" sqref="I18" xr:uid="{B465002A-BE0F-4A37-96F3-7DB1A027678E}">
      <formula1>"ppm,%liq vol,%m/m,%mole,%vol"</formula1>
    </dataValidation>
    <dataValidation type="list" allowBlank="1" showInputMessage="1" showErrorMessage="1" sqref="I19" xr:uid="{A0818858-EB6D-4A69-84A5-B13ABB3DD7CC}">
      <formula1>"mg/kg,mg/l,ppm,ppm w/w,%m,%m/m,%wt"</formula1>
    </dataValidation>
    <dataValidation type="list" allowBlank="1" showInputMessage="1" showErrorMessage="1" sqref="I20" xr:uid="{8A103D0F-D70A-4D0F-9F32-8108B3F18F3C}">
      <formula1>"mg/kg,mg/m³,ppm,%m,%m/m,%mole,%wt,%vol"</formula1>
    </dataValidation>
    <dataValidation type="list" allowBlank="1" showInputMessage="1" showErrorMessage="1" sqref="I21" xr:uid="{99AC1990-2EB3-40E6-A788-44C979F45B09}">
      <formula1>"pos/neg,pass/fail"</formula1>
    </dataValidation>
    <dataValidation type="list" allowBlank="1" showInputMessage="1" showErrorMessage="1" sqref="I22 I23 I24 I25" xr:uid="{5EF1CDBC-69CC-4500-BC8F-73742500B771}">
      <formula1>"%vol"</formula1>
    </dataValidation>
    <dataValidation type="list" allowBlank="1" showInputMessage="1" showErrorMessage="1" sqref="I26 I27 I28 I29 I30 I32" xr:uid="{83C5D219-A6E2-4176-9F64-231E1184A72B}">
      <formula1>"°C,°F,%,%vol"</formula1>
    </dataValidation>
    <dataValidation type="list" allowBlank="1" showInputMessage="1" showErrorMessage="1" sqref="I31" xr:uid="{7FABBA0F-76E6-4387-872C-639DB3EF4753}">
      <formula1>"°C,°F,mg/kg,%,%vol"</formula1>
    </dataValidation>
    <dataValidation type="list" allowBlank="1" showInputMessage="1" showErrorMessage="1" sqref="I33 I35" xr:uid="{DF3B3CE0-27A9-41DE-BF42-F94D95939A41}">
      <formula1>"°C,°F"</formula1>
    </dataValidation>
    <dataValidation type="list" allowBlank="1" showInputMessage="1" showErrorMessage="1" sqref="I34" xr:uid="{7F72FABD-F863-4D37-AC52-546F50360684}">
      <formula1>"g/ cc,g/l,g/cm³,g/ml,kg/m³,kg/l,n/a,tonne/m³"</formula1>
    </dataValidation>
    <dataValidation type="list" allowBlank="1" showInputMessage="1" showErrorMessage="1" sqref="I36" xr:uid="{AC43C2D3-7432-49CD-A6B8-BF02F357BA9D}">
      <formula1>"cSt,Engler,mm²/s,Pa·s,SUS"</formula1>
    </dataValidation>
    <dataValidation type="list" allowBlank="1" showInputMessage="1" showErrorMessage="1" sqref="I37" xr:uid="{37455C81-1BE1-40F0-8753-EF15BB5671C1}">
      <formula1>"°C,°F,mm"</formula1>
    </dataValidation>
    <dataValidation type="list" allowBlank="1" showInputMessage="1" showErrorMessage="1" sqref="I38" xr:uid="{042DE516-F18A-440A-ADD2-2E5F817087BF}">
      <formula1>"ppm,%m/m,%mole,%vol"</formula1>
    </dataValidation>
    <dataValidation type="list" allowBlank="1" showInputMessage="1" showErrorMessage="1" sqref="I39" xr:uid="{198C1DE6-03C2-42FC-B71C-FB3EAF6714FA}">
      <formula1>"Btu/lb,kcal/kg,MJ/kg"</formula1>
    </dataValidation>
    <dataValidation type="list" allowBlank="1" showInputMessage="1" showErrorMessage="1" sqref="I40 I45 I46" xr:uid="{7B8BE383-F657-439D-B3A3-C94ABEE294DF}">
      <formula1>"rating"</formula1>
    </dataValidation>
    <dataValidation type="list" allowBlank="1" showInputMessage="1" showErrorMessage="1" sqref="I41" xr:uid="{DC837214-AD7A-4463-A7AB-D168959304F2}">
      <formula1>"°C"</formula1>
    </dataValidation>
    <dataValidation type="list" allowBlank="1" showInputMessage="1" showErrorMessage="1" sqref="I42" xr:uid="{3676844E-3B72-4610-9CC6-3F12DCE72CD8}">
      <formula1>"Min,Max,rating"</formula1>
    </dataValidation>
    <dataValidation type="list" allowBlank="1" showInputMessage="1" showErrorMessage="1" sqref="I43" xr:uid="{FC7AB85A-C6F6-4689-BE59-53A3D9A8303B}">
      <formula1>"mm Hg"</formula1>
    </dataValidation>
    <dataValidation type="list" allowBlank="1" showInputMessage="1" showErrorMessage="1" sqref="I44" xr:uid="{BB507899-5D0C-4691-9D44-ADB675EC288A}">
      <formula1>"g/m³,mg/100ml,mg/l"</formula1>
    </dataValidation>
    <dataValidation type="list" allowBlank="1" showInputMessage="1" showErrorMessage="1" sqref="I47" xr:uid="{D95D582B-2F74-4A45-B1CF-A29AA455180E}">
      <formula1>"pS/m"</formula1>
    </dataValidation>
    <dataValidation type="list" allowBlank="1" showInputMessage="1" showErrorMessage="1" sqref="I48" xr:uid="{DACDAE33-FAB6-47F5-94F2-340D4C2FA1EE}">
      <formula1>"μm,mm"</formula1>
    </dataValidation>
    <dataValidation type="list" allowBlank="1" showInputMessage="1" showErrorMessage="1" sqref="I49" xr:uid="{97C82D61-80EC-4BA7-BB68-B9F1D8C16416}">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C1E7DD36-9D85-4AF4-A3B2-C9B0776A622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230</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289</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80AB568E-6117-4F24-80AE-6357A0626BA7}">
      <formula1>"* ,[OTHER] Visual"</formula1>
    </dataValidation>
    <dataValidation type="list" allowBlank="1" showInputMessage="1" showErrorMessage="1" sqref="D8" xr:uid="{1E18940A-B653-4FD3-A0B9-589E562B5661}">
      <formula1>"* ,[IP] IP 365,[ASTM] D4052"</formula1>
    </dataValidation>
    <dataValidation type="list" allowBlank="1" showInputMessage="1" showErrorMessage="1" sqref="I7" xr:uid="{2469042F-C4AA-45E6-A001-956CD171D149}">
      <formula1>"pass/fail,visual"</formula1>
    </dataValidation>
    <dataValidation type="list" allowBlank="1" showInputMessage="1" showErrorMessage="1" sqref="I8" xr:uid="{A443BD13-76F7-489A-B802-29E8EAB4B4C9}">
      <formula1>"g/cm³,g/ml,kg/m³,kg/l,n/a,tonne/m³,g/l,g/ cc"</formula1>
    </dataValidation>
    <dataValidation type="list" allowBlank="1" showInputMessage="1" showErrorMessage="1" sqref="F8" xr:uid="{4E08A277-E29F-449F-B77D-1707406ED025}">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232</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 type="list" allowBlank="1" showInputMessage="1" showErrorMessage="1" sqref="D7" xr:uid="{7DDA313E-A94B-4580-B7EE-81532B354E3B}">
      <formula1>"* ,[OTHER] Visual"</formula1>
    </dataValidation>
    <dataValidation type="list" allowBlank="1" showInputMessage="1" showErrorMessage="1" sqref="D8" xr:uid="{360EEFC1-4390-4589-B5FE-A59BC83F2EC5}">
      <formula1>"* ,[ASTM] D4052,[IP] IP 365"</formula1>
    </dataValidation>
    <dataValidation type="list" allowBlank="1" showInputMessage="1" showErrorMessage="1" sqref="I7" xr:uid="{B63DE956-D6CA-48CB-9A9D-5CC6C4D9CBD2}">
      <formula1>"pass/fail,visual"</formula1>
    </dataValidation>
    <dataValidation type="list" allowBlank="1" showInputMessage="1" showErrorMessage="1" sqref="I8" xr:uid="{E4EFF65E-B6BF-413C-B44B-2485F03BE3DF}">
      <formula1>"g/cm³,g/ml,kg/m³,kg/l,n/a,tonne/m³,g/l,g/ cc"</formula1>
    </dataValidation>
    <dataValidation type="list" allowBlank="1" showInputMessage="1" showErrorMessage="1" sqref="F8" xr:uid="{BFF24DAD-C951-44FC-BBF4-E7C43CC2C78C}">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233</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 type="list" allowBlank="1" showInputMessage="1" showErrorMessage="1" sqref="D7" xr:uid="{90A790A1-4330-43E7-B16A-1BE7C54F65B0}">
      <formula1>"* ,[OTHER] Visual"</formula1>
    </dataValidation>
    <dataValidation type="list" allowBlank="1" showInputMessage="1" showErrorMessage="1" sqref="D8" xr:uid="{7E17089E-72CE-4A75-837D-488B9060D1E3}">
      <formula1>"* ,[ASTM] D4052,[IP] IP 365"</formula1>
    </dataValidation>
    <dataValidation type="list" allowBlank="1" showInputMessage="1" showErrorMessage="1" sqref="I7" xr:uid="{1D7041C4-55F0-48B3-B99A-99FDB3049E21}">
      <formula1>"pass/fail,visual"</formula1>
    </dataValidation>
    <dataValidation type="list" allowBlank="1" showInputMessage="1" showErrorMessage="1" sqref="I8" xr:uid="{B2778B83-E715-47F1-8215-119EEF71518D}">
      <formula1>"g/cm³,g/ml,kg/m³,kg/l,n/a,tonne/m³,g/l,g/ cc"</formula1>
    </dataValidation>
    <dataValidation type="list" allowBlank="1" showInputMessage="1" showErrorMessage="1" sqref="F8" xr:uid="{4244B829-5E58-4692-B07E-BBE881881A9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234</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274</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 type="list" allowBlank="1" showInputMessage="1" showErrorMessage="1" sqref="D7" xr:uid="{A3EAD8D8-C67F-467C-A39D-E266DFF72548}">
      <formula1>"* ,[OTHER] Visual"</formula1>
    </dataValidation>
    <dataValidation type="list" allowBlank="1" showInputMessage="1" showErrorMessage="1" sqref="I7" xr:uid="{6BDBBDCA-01AD-4F94-ACCC-47002B50D48A}">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235</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703</v>
      </c>
      <c r="D9" s="260"/>
      <c r="E9" s="126" t="s">
        <v>747</v>
      </c>
      <c r="F9" s="261"/>
      <c r="G9" s="20"/>
      <c r="H9" s="20"/>
      <c r="I9" s="262" t="s">
        <v>774</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728</v>
      </c>
      <c r="D10" s="260"/>
      <c r="E10" s="126" t="s">
        <v>756</v>
      </c>
      <c r="F10" s="261"/>
      <c r="G10" s="20"/>
      <c r="H10" s="20"/>
      <c r="I10" s="262" t="s">
        <v>781</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730</v>
      </c>
      <c r="D11" s="260"/>
      <c r="E11" s="126" t="s">
        <v>758</v>
      </c>
      <c r="F11" s="261"/>
      <c r="G11" s="20"/>
      <c r="H11" s="20"/>
      <c r="I11" s="262" t="s">
        <v>781</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704</v>
      </c>
      <c r="D12" s="260"/>
      <c r="E12" s="126" t="s">
        <v>746</v>
      </c>
      <c r="F12" s="261"/>
      <c r="G12" s="20"/>
      <c r="H12" s="20"/>
      <c r="I12" s="262" t="s">
        <v>775</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 type="list" allowBlank="1" showInputMessage="1" showErrorMessage="1" sqref="D7" xr:uid="{679A5087-C05E-4373-AE66-070BC21837B2}">
      <formula1>"* ,[OTHER] Visual"</formula1>
    </dataValidation>
    <dataValidation type="list" allowBlank="1" showInputMessage="1" showErrorMessage="1" sqref="D8" xr:uid="{6A4C2207-BD54-464E-BCBA-BA44A3244F35}">
      <formula1>"* ,[ASTM] D4052,[IP] IP 365"</formula1>
    </dataValidation>
    <dataValidation type="list" allowBlank="1" showInputMessage="1" showErrorMessage="1" sqref="D9" xr:uid="{364EADCF-8DCA-4BE8-9B82-B797A7904B0B}">
      <formula1>"* ,[ASTM] D6045,[ASTM] D156"</formula1>
    </dataValidation>
    <dataValidation type="list" allowBlank="1" showInputMessage="1" showErrorMessage="1" sqref="D10" xr:uid="{D6996D49-A642-428B-9F74-C77CD4B1179D}">
      <formula1>"* ,[IP] IP 170"</formula1>
    </dataValidation>
    <dataValidation type="list" allowBlank="1" showInputMessage="1" showErrorMessage="1" sqref="D11" xr:uid="{1DBA3848-774D-4635-8858-9AEC7F203998}">
      <formula1>"* ,[IP] IP 16,[ASTM] D2386"</formula1>
    </dataValidation>
    <dataValidation type="list" allowBlank="1" showInputMessage="1" showErrorMessage="1" sqref="D12" xr:uid="{87C9B3AE-D827-40F6-B726-4E6E1AB05C5C}">
      <formula1>"* ,[IP] IP 423,[ASTM] D5452 Appendix X1"</formula1>
    </dataValidation>
    <dataValidation type="list" allowBlank="1" showInputMessage="1" showErrorMessage="1" sqref="I7" xr:uid="{06AAFBF5-584D-4430-8E57-0AC5648D16C3}">
      <formula1>"pass/fail,visual"</formula1>
    </dataValidation>
    <dataValidation type="list" allowBlank="1" showInputMessage="1" showErrorMessage="1" sqref="I8" xr:uid="{5B54F456-3610-4FE7-9C11-FD371ADC5476}">
      <formula1>"g/cm³,g/ml,kg/m³,kg/l,n/a,tonne/m³,g/l,g/ cc"</formula1>
    </dataValidation>
    <dataValidation type="list" allowBlank="1" showInputMessage="1" showErrorMessage="1" sqref="I9" xr:uid="{41D7B313-F1E7-4A00-8784-10E0D54F8E6C}">
      <formula1>"haze no,pass/fail,rating,visual,Min,Max"</formula1>
    </dataValidation>
    <dataValidation type="list" allowBlank="1" showInputMessage="1" showErrorMessage="1" sqref="I10 I11" xr:uid="{8B0B9B34-2890-4484-98AC-DAE640E6F750}">
      <formula1>"°C,°F"</formula1>
    </dataValidation>
    <dataValidation type="list" allowBlank="1" showInputMessage="1" showErrorMessage="1" sqref="I12" xr:uid="{1918E318-8852-4D7A-8965-614DA5683121}">
      <formula1>"mg/l,rating"</formula1>
    </dataValidation>
    <dataValidation type="list" allowBlank="1" showInputMessage="1" showErrorMessage="1" sqref="F8 F9 F10 F11 F12" xr:uid="{3511A0D3-73D1-47BA-A16E-2C9EE8A3C637}">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236</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281</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729</v>
      </c>
      <c r="D8" s="260"/>
      <c r="E8" s="126" t="s">
        <v>757</v>
      </c>
      <c r="F8" s="261"/>
      <c r="G8" s="20"/>
      <c r="H8" s="20"/>
      <c r="I8" s="262" t="s">
        <v>782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 type="list" allowBlank="1" showInputMessage="1" showErrorMessage="1" sqref="D7" xr:uid="{57D5B58E-8C4A-4DCD-8D59-790F0C4D6DDE}">
      <formula1>"* ,[OTHER] Visual"</formula1>
    </dataValidation>
    <dataValidation type="list" allowBlank="1" showInputMessage="1" showErrorMessage="1" sqref="D8" xr:uid="{951A21A1-2A28-4AC7-800C-53C0A5ADADBB}">
      <formula1>"* ,[IP] IP 365,[ASTM] D4052"</formula1>
    </dataValidation>
    <dataValidation type="list" allowBlank="1" showInputMessage="1" showErrorMessage="1" sqref="I7" xr:uid="{42A0E83A-8621-4EC4-8AC0-EACFA39EE4D4}">
      <formula1>"pass/fail,visual"</formula1>
    </dataValidation>
    <dataValidation type="list" allowBlank="1" showInputMessage="1" showErrorMessage="1" sqref="I8" xr:uid="{D7A60C44-7AF7-4586-A3B0-E1E9766FADA8}">
      <formula1>"g/cm³,g/ml,kg/m³,kg/l,n/a,tonne/m³,g/l,g/ cc"</formula1>
    </dataValidation>
    <dataValidation type="list" allowBlank="1" showInputMessage="1" showErrorMessage="1" sqref="F8" xr:uid="{B9E541F7-5349-475E-BA97-C197AC80834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237</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311</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702</v>
      </c>
      <c r="D7" s="260"/>
      <c r="E7" s="126" t="s">
        <v>744</v>
      </c>
      <c r="F7" s="263"/>
      <c r="G7" s="20"/>
      <c r="H7" s="20"/>
      <c r="I7" s="262" t="s">
        <v>773</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703</v>
      </c>
      <c r="D8" s="260"/>
      <c r="E8" s="126" t="s">
        <v>745</v>
      </c>
      <c r="F8" s="261"/>
      <c r="G8" s="20"/>
      <c r="H8" s="20"/>
      <c r="I8" s="262" t="s">
        <v>774</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704</v>
      </c>
      <c r="D9" s="260"/>
      <c r="E9" s="126" t="s">
        <v>746</v>
      </c>
      <c r="F9" s="261"/>
      <c r="G9" s="20"/>
      <c r="H9" s="20"/>
      <c r="I9" s="262" t="s">
        <v>775</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705</v>
      </c>
      <c r="D10" s="260"/>
      <c r="E10" s="126" t="s">
        <v>747</v>
      </c>
      <c r="F10" s="261"/>
      <c r="G10" s="20"/>
      <c r="H10" s="20"/>
      <c r="I10" s="19" t="s">
        <v>776</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706</v>
      </c>
      <c r="D11" s="260"/>
      <c r="E11" s="126" t="s">
        <v>747</v>
      </c>
      <c r="F11" s="261"/>
      <c r="G11" s="20"/>
      <c r="H11" s="20"/>
      <c r="I11" s="19" t="s">
        <v>776</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707</v>
      </c>
      <c r="D12" s="260"/>
      <c r="E12" s="126" t="s">
        <v>747</v>
      </c>
      <c r="F12" s="261"/>
      <c r="G12" s="20"/>
      <c r="H12" s="20"/>
      <c r="I12" s="19" t="s">
        <v>776</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708</v>
      </c>
      <c r="D13" s="260"/>
      <c r="E13" s="126" t="s">
        <v>747</v>
      </c>
      <c r="F13" s="261"/>
      <c r="G13" s="20"/>
      <c r="H13" s="20"/>
      <c r="I13" s="19" t="s">
        <v>744</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709</v>
      </c>
      <c r="D14" s="260"/>
      <c r="E14" s="126" t="s">
        <v>747</v>
      </c>
      <c r="F14" s="261"/>
      <c r="G14" s="20"/>
      <c r="H14" s="20"/>
      <c r="I14" s="19" t="s">
        <v>744</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710</v>
      </c>
      <c r="D15" s="260"/>
      <c r="E15" s="126" t="s">
        <v>747</v>
      </c>
      <c r="F15" s="261"/>
      <c r="G15" s="20"/>
      <c r="H15" s="20"/>
      <c r="I15" s="19" t="s">
        <v>744</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711</v>
      </c>
      <c r="D16" s="260"/>
      <c r="E16" s="126" t="s">
        <v>748</v>
      </c>
      <c r="F16" s="261"/>
      <c r="G16" s="20"/>
      <c r="H16" s="20"/>
      <c r="I16" s="262" t="s">
        <v>777</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712</v>
      </c>
      <c r="D17" s="260"/>
      <c r="E17" s="126" t="s">
        <v>749</v>
      </c>
      <c r="F17" s="261"/>
      <c r="G17" s="20"/>
      <c r="H17" s="20"/>
      <c r="I17" s="262" t="s">
        <v>778</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713</v>
      </c>
      <c r="D18" s="260"/>
      <c r="E18" s="126" t="s">
        <v>750</v>
      </c>
      <c r="F18" s="261"/>
      <c r="G18" s="20"/>
      <c r="H18" s="20"/>
      <c r="I18" s="262" t="s">
        <v>778</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t="s">
        <v>714</v>
      </c>
      <c r="D19" s="260"/>
      <c r="E19" s="126" t="s">
        <v>751</v>
      </c>
      <c r="F19" s="261"/>
      <c r="G19" s="20"/>
      <c r="H19" s="20"/>
      <c r="I19" s="262" t="s">
        <v>779</v>
      </c>
      <c r="J19" s="246" t="str">
        <f t="shared" si="16"/>
        <v>*</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t="s">
        <v>715</v>
      </c>
      <c r="D20" s="260"/>
      <c r="E20" s="126" t="s">
        <v>752</v>
      </c>
      <c r="F20" s="261"/>
      <c r="G20" s="20"/>
      <c r="H20" s="20"/>
      <c r="I20" s="262" t="s">
        <v>779</v>
      </c>
      <c r="J20" s="246" t="str">
        <f t="shared" si="16"/>
        <v>*</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t="s">
        <v>716</v>
      </c>
      <c r="D21" s="117"/>
      <c r="E21" s="126" t="s">
        <v>744</v>
      </c>
      <c r="F21" s="263"/>
      <c r="G21" s="20"/>
      <c r="H21" s="20"/>
      <c r="I21" s="262" t="s">
        <v>780</v>
      </c>
      <c r="J21" s="246" t="str">
        <f t="shared" si="16"/>
        <v>*</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t="s">
        <v>717</v>
      </c>
      <c r="D22" s="260"/>
      <c r="E22" s="126" t="s">
        <v>747</v>
      </c>
      <c r="F22" s="261"/>
      <c r="G22" s="20"/>
      <c r="H22" s="20"/>
      <c r="I22" s="19" t="s">
        <v>778</v>
      </c>
      <c r="J22" s="246" t="str">
        <f t="shared" si="16"/>
        <v>*</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t="s">
        <v>718</v>
      </c>
      <c r="D23" s="260"/>
      <c r="E23" s="126" t="s">
        <v>747</v>
      </c>
      <c r="F23" s="261"/>
      <c r="G23" s="20"/>
      <c r="H23" s="20"/>
      <c r="I23" s="19" t="s">
        <v>778</v>
      </c>
      <c r="J23" s="246" t="str">
        <f t="shared" si="16"/>
        <v>*</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t="s">
        <v>719</v>
      </c>
      <c r="D24" s="260"/>
      <c r="E24" s="126" t="s">
        <v>747</v>
      </c>
      <c r="F24" s="261"/>
      <c r="G24" s="20"/>
      <c r="H24" s="20"/>
      <c r="I24" s="19" t="s">
        <v>778</v>
      </c>
      <c r="J24" s="246" t="str">
        <f t="shared" si="16"/>
        <v>*</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t="s">
        <v>720</v>
      </c>
      <c r="D25" s="260"/>
      <c r="E25" s="126" t="s">
        <v>747</v>
      </c>
      <c r="F25" s="261"/>
      <c r="G25" s="20"/>
      <c r="H25" s="20"/>
      <c r="I25" s="19" t="s">
        <v>778</v>
      </c>
      <c r="J25" s="246" t="str">
        <f t="shared" si="16"/>
        <v>*</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t="s">
        <v>721</v>
      </c>
      <c r="D26" s="260"/>
      <c r="E26" s="126" t="s">
        <v>747</v>
      </c>
      <c r="F26" s="261"/>
      <c r="G26" s="20"/>
      <c r="H26" s="20"/>
      <c r="I26" s="262" t="s">
        <v>781</v>
      </c>
      <c r="J26" s="246" t="str">
        <f t="shared" si="16"/>
        <v>*</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t="s">
        <v>722</v>
      </c>
      <c r="D27" s="260"/>
      <c r="E27" s="126" t="s">
        <v>753</v>
      </c>
      <c r="F27" s="261"/>
      <c r="G27" s="20"/>
      <c r="H27" s="20"/>
      <c r="I27" s="262" t="s">
        <v>781</v>
      </c>
      <c r="J27" s="246" t="str">
        <f t="shared" si="16"/>
        <v>*</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t="s">
        <v>723</v>
      </c>
      <c r="D28" s="260"/>
      <c r="E28" s="126" t="s">
        <v>747</v>
      </c>
      <c r="F28" s="261"/>
      <c r="G28" s="20"/>
      <c r="H28" s="20"/>
      <c r="I28" s="262" t="s">
        <v>781</v>
      </c>
      <c r="J28" s="246" t="str">
        <f t="shared" si="16"/>
        <v>*</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t="s">
        <v>724</v>
      </c>
      <c r="D29" s="260"/>
      <c r="E29" s="126" t="s">
        <v>747</v>
      </c>
      <c r="F29" s="261"/>
      <c r="G29" s="20"/>
      <c r="H29" s="20"/>
      <c r="I29" s="262" t="s">
        <v>781</v>
      </c>
      <c r="J29" s="246" t="str">
        <f t="shared" si="16"/>
        <v>*</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t="s">
        <v>725</v>
      </c>
      <c r="D30" s="260"/>
      <c r="E30" s="126" t="s">
        <v>754</v>
      </c>
      <c r="F30" s="261"/>
      <c r="G30" s="20"/>
      <c r="H30" s="20"/>
      <c r="I30" s="262" t="s">
        <v>781</v>
      </c>
      <c r="J30" s="246" t="str">
        <f t="shared" si="16"/>
        <v>*</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t="s">
        <v>726</v>
      </c>
      <c r="D31" s="260"/>
      <c r="E31" s="126" t="s">
        <v>755</v>
      </c>
      <c r="F31" s="261"/>
      <c r="G31" s="20"/>
      <c r="H31" s="20"/>
      <c r="I31" s="262" t="s">
        <v>778</v>
      </c>
      <c r="J31" s="246" t="str">
        <f t="shared" si="16"/>
        <v>*</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t="s">
        <v>727</v>
      </c>
      <c r="D32" s="260"/>
      <c r="E32" s="126" t="s">
        <v>755</v>
      </c>
      <c r="F32" s="261"/>
      <c r="G32" s="20"/>
      <c r="H32" s="20"/>
      <c r="I32" s="262" t="s">
        <v>778</v>
      </c>
      <c r="J32" s="246" t="str">
        <f t="shared" si="16"/>
        <v>*</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t="s">
        <v>728</v>
      </c>
      <c r="D33" s="260"/>
      <c r="E33" s="126" t="s">
        <v>756</v>
      </c>
      <c r="F33" s="261"/>
      <c r="G33" s="20"/>
      <c r="H33" s="20"/>
      <c r="I33" s="262" t="s">
        <v>781</v>
      </c>
      <c r="J33" s="246" t="str">
        <f t="shared" si="16"/>
        <v>*</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t="s">
        <v>729</v>
      </c>
      <c r="D34" s="260"/>
      <c r="E34" s="126" t="s">
        <v>757</v>
      </c>
      <c r="F34" s="261"/>
      <c r="G34" s="20"/>
      <c r="H34" s="20"/>
      <c r="I34" s="262" t="s">
        <v>782</v>
      </c>
      <c r="J34" s="246" t="str">
        <f t="shared" si="16"/>
        <v>*</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t="s">
        <v>730</v>
      </c>
      <c r="D35" s="260"/>
      <c r="E35" s="126" t="s">
        <v>758</v>
      </c>
      <c r="F35" s="261"/>
      <c r="G35" s="20"/>
      <c r="H35" s="20"/>
      <c r="I35" s="262" t="s">
        <v>781</v>
      </c>
      <c r="J35" s="246" t="str">
        <f t="shared" si="16"/>
        <v>*</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t="s">
        <v>731</v>
      </c>
      <c r="D36" s="260"/>
      <c r="E36" s="126" t="s">
        <v>759</v>
      </c>
      <c r="F36" s="261"/>
      <c r="G36" s="20"/>
      <c r="H36" s="20"/>
      <c r="I36" s="262" t="s">
        <v>783</v>
      </c>
      <c r="J36" s="246" t="str">
        <f t="shared" si="16"/>
        <v>*</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t="s">
        <v>732</v>
      </c>
      <c r="D37" s="260"/>
      <c r="E37" s="126" t="s">
        <v>760</v>
      </c>
      <c r="F37" s="261"/>
      <c r="G37" s="20"/>
      <c r="H37" s="20"/>
      <c r="I37" s="262" t="s">
        <v>784</v>
      </c>
      <c r="J37" s="246" t="str">
        <f t="shared" si="16"/>
        <v>*</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t="s">
        <v>733</v>
      </c>
      <c r="D38" s="260"/>
      <c r="E38" s="126" t="s">
        <v>761</v>
      </c>
      <c r="F38" s="261"/>
      <c r="G38" s="20"/>
      <c r="H38" s="20"/>
      <c r="I38" s="262" t="s">
        <v>778</v>
      </c>
      <c r="J38" s="246" t="str">
        <f t="shared" si="16"/>
        <v>*</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t="s">
        <v>734</v>
      </c>
      <c r="D39" s="260"/>
      <c r="E39" s="126" t="s">
        <v>762</v>
      </c>
      <c r="F39" s="261"/>
      <c r="G39" s="20"/>
      <c r="H39" s="20"/>
      <c r="I39" s="262" t="s">
        <v>785</v>
      </c>
      <c r="J39" s="246" t="str">
        <f t="shared" si="16"/>
        <v>*</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t="s">
        <v>735</v>
      </c>
      <c r="D40" s="260"/>
      <c r="E40" s="126" t="s">
        <v>763</v>
      </c>
      <c r="F40" s="261"/>
      <c r="G40" s="20"/>
      <c r="H40" s="20"/>
      <c r="I40" s="19" t="s">
        <v>774</v>
      </c>
      <c r="J40" s="246" t="str">
        <f t="shared" si="16"/>
        <v>*</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t="s">
        <v>736</v>
      </c>
      <c r="D41" s="260"/>
      <c r="E41" s="126" t="s">
        <v>764</v>
      </c>
      <c r="F41" s="261"/>
      <c r="G41" s="20"/>
      <c r="H41" s="20"/>
      <c r="I41" s="19" t="s">
        <v>781</v>
      </c>
      <c r="J41" s="246" t="str">
        <f t="shared" si="16"/>
        <v>*</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t="s">
        <v>737</v>
      </c>
      <c r="D42" s="260"/>
      <c r="E42" s="126" t="s">
        <v>765</v>
      </c>
      <c r="F42" s="261"/>
      <c r="G42" s="20"/>
      <c r="H42" s="20"/>
      <c r="I42" s="262" t="s">
        <v>774</v>
      </c>
      <c r="J42" s="246" t="str">
        <f t="shared" si="16"/>
        <v>*</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t="s">
        <v>738</v>
      </c>
      <c r="D43" s="260"/>
      <c r="E43" s="126" t="s">
        <v>766</v>
      </c>
      <c r="F43" s="261"/>
      <c r="G43" s="20"/>
      <c r="H43" s="20"/>
      <c r="I43" s="19" t="s">
        <v>786</v>
      </c>
      <c r="J43" s="246" t="str">
        <f t="shared" si="16"/>
        <v>*</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t="s">
        <v>739</v>
      </c>
      <c r="D44" s="260"/>
      <c r="E44" s="126" t="s">
        <v>767</v>
      </c>
      <c r="F44" s="261"/>
      <c r="G44" s="20"/>
      <c r="H44" s="20"/>
      <c r="I44" s="262" t="s">
        <v>787</v>
      </c>
      <c r="J44" s="246" t="str">
        <f t="shared" si="16"/>
        <v>*</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t="s">
        <v>740</v>
      </c>
      <c r="D45" s="260"/>
      <c r="E45" s="126" t="s">
        <v>768</v>
      </c>
      <c r="F45" s="261"/>
      <c r="G45" s="20"/>
      <c r="H45" s="20"/>
      <c r="I45" s="19" t="s">
        <v>774</v>
      </c>
      <c r="J45" s="246" t="str">
        <f t="shared" si="16"/>
        <v>*</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t="s">
        <v>740</v>
      </c>
      <c r="D46" s="260"/>
      <c r="E46" s="126" t="s">
        <v>769</v>
      </c>
      <c r="F46" s="261"/>
      <c r="G46" s="20"/>
      <c r="H46" s="20"/>
      <c r="I46" s="19" t="s">
        <v>774</v>
      </c>
      <c r="J46" s="246" t="str">
        <f t="shared" si="16"/>
        <v>*</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t="s">
        <v>741</v>
      </c>
      <c r="D47" s="260"/>
      <c r="E47" s="126" t="s">
        <v>770</v>
      </c>
      <c r="F47" s="261"/>
      <c r="G47" s="20"/>
      <c r="H47" s="20"/>
      <c r="I47" s="19" t="s">
        <v>788</v>
      </c>
      <c r="J47" s="246" t="str">
        <f t="shared" si="16"/>
        <v>*</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t="s">
        <v>742</v>
      </c>
      <c r="D48" s="260"/>
      <c r="E48" s="126" t="s">
        <v>771</v>
      </c>
      <c r="F48" s="261"/>
      <c r="G48" s="20"/>
      <c r="H48" s="20"/>
      <c r="I48" s="262" t="s">
        <v>784</v>
      </c>
      <c r="J48" s="246" t="str">
        <f t="shared" si="16"/>
        <v>*</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t="s">
        <v>743</v>
      </c>
      <c r="D49" s="260"/>
      <c r="E49" s="126" t="s">
        <v>772</v>
      </c>
      <c r="F49" s="261"/>
      <c r="G49" s="20"/>
      <c r="H49" s="20"/>
      <c r="I49" s="19" t="s">
        <v>789</v>
      </c>
      <c r="J49" s="246" t="str">
        <f t="shared" si="16"/>
        <v>*</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2">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 type="list" allowBlank="1" showInputMessage="1" showErrorMessage="1" sqref="D7" xr:uid="{950DA5E0-4F6F-4098-A47A-EBD7554E35F5}">
      <formula1>"* ,[OTHER] Visual"</formula1>
    </dataValidation>
    <dataValidation type="list" allowBlank="1" showInputMessage="1" showErrorMessage="1" sqref="D8" xr:uid="{BDE541DF-B3BB-4989-86D5-305CA958BEA1}">
      <formula1>"* ,[ASTM] D156,[ASTM] D6045"</formula1>
    </dataValidation>
    <dataValidation type="list" allowBlank="1" showInputMessage="1" showErrorMessage="1" sqref="D9" xr:uid="{8753B037-1D85-4DDA-90A4-856C23EC416C}">
      <formula1>"* ,[IP] IP 423,[ASTM] D5452 Appendix X1"</formula1>
    </dataValidation>
    <dataValidation type="list" allowBlank="1" showInputMessage="1" showErrorMessage="1" sqref="D10 D11 D13 D14" xr:uid="{4615F32D-20C2-46DE-A4E9-C7B7FD5C4DE8}">
      <formula1>"* ,[IP] IP 564,[IP] IP 565"</formula1>
    </dataValidation>
    <dataValidation type="list" allowBlank="1" showInputMessage="1" showErrorMessage="1" sqref="D12 D15" xr:uid="{90A61D6A-1BF9-43B2-9FFE-0B7F11B53A2F}">
      <formula1>"* ,[IP] IP 565,[IP] IP 564"</formula1>
    </dataValidation>
    <dataValidation type="list" allowBlank="1" showInputMessage="1" showErrorMessage="1" sqref="D16" xr:uid="{E788F1EB-0673-4FFF-A1B0-16FEB2876274}">
      <formula1>"* ,[ASTM] D3242,[IP] IP 354"</formula1>
    </dataValidation>
    <dataValidation type="list" allowBlank="1" showInputMessage="1" showErrorMessage="1" sqref="D17" xr:uid="{67A894B8-A4D6-424B-B248-38CCEE0F6D2F}">
      <formula1>"* ,[ASTM] D1319,[IP] IP 156"</formula1>
    </dataValidation>
    <dataValidation type="list" allowBlank="1" showInputMessage="1" showErrorMessage="1" sqref="D18" xr:uid="{34A93BC0-3E59-4DF8-8E37-F0C664083403}">
      <formula1>"* ,[ASTM] D6379,[IP] IP 436"</formula1>
    </dataValidation>
    <dataValidation type="list" allowBlank="1" showInputMessage="1" showErrorMessage="1" sqref="D19" xr:uid="{3396AEBC-6B0E-4B2E-8CD0-6925EDCD9EF6}">
      <formula1>"* ,[IP] IP 336"</formula1>
    </dataValidation>
    <dataValidation type="list" allowBlank="1" showInputMessage="1" showErrorMessage="1" sqref="D20" xr:uid="{3726D81C-FFD8-4D01-A5A6-C9A3A9BDE8A2}">
      <formula1>"* ,[ASTM] D3227,[IP] IP 342"</formula1>
    </dataValidation>
    <dataValidation type="list" allowBlank="1" showInputMessage="1" showErrorMessage="1" sqref="D21" xr:uid="{E344428F-CD51-427D-BC87-421F02FE6906}">
      <formula1>"[IP] IP 30"</formula1>
    </dataValidation>
    <dataValidation type="list" allowBlank="1" showInputMessage="1" showErrorMessage="1" sqref="D22 D23 D24" xr:uid="{A70A8E4C-86EA-497A-9F26-352A18EE4274}">
      <formula1>"* ,[OTHER] Calculation"</formula1>
    </dataValidation>
    <dataValidation type="list" allowBlank="1" showInputMessage="1" showErrorMessage="1" sqref="D25" xr:uid="{8147549C-611D-4EDA-AA81-4DF971F22FCD}">
      <formula1>"* ,[OTHER] Not Listed"</formula1>
    </dataValidation>
    <dataValidation type="list" allowBlank="1" showInputMessage="1" showErrorMessage="1" sqref="D26 D28 D30 D32" xr:uid="{E5F0B6B4-4C14-4D3E-8AC7-2C332F26E30B}">
      <formula1>"* ,[ASTM] D86,[IP] IP 123"</formula1>
    </dataValidation>
    <dataValidation type="list" allowBlank="1" showInputMessage="1" showErrorMessage="1" sqref="D27 D29 D31" xr:uid="{561D42C4-4444-4524-906E-39C2D671BE0B}">
      <formula1>"* ,[IP] IP 123,[ASTM] D86"</formula1>
    </dataValidation>
    <dataValidation type="list" allowBlank="1" showInputMessage="1" showErrorMessage="1" sqref="D33" xr:uid="{D2B19B86-1DAF-460E-8DCA-3BBF7043C728}">
      <formula1>"* ,[IP] IP 170"</formula1>
    </dataValidation>
    <dataValidation type="list" allowBlank="1" showInputMessage="1" showErrorMessage="1" sqref="D34" xr:uid="{0E8399DC-029E-4F1E-9D8D-DFCD7E3C9194}">
      <formula1>"* ,[IP] IP 365,[ASTM] D4052"</formula1>
    </dataValidation>
    <dataValidation type="list" allowBlank="1" showInputMessage="1" showErrorMessage="1" sqref="D35" xr:uid="{D8A16197-4196-461D-95C1-10C75F2C779F}">
      <formula1>"* ,[ASTM] D2386,[IP] IP 16"</formula1>
    </dataValidation>
    <dataValidation type="list" allowBlank="1" showInputMessage="1" showErrorMessage="1" sqref="D36" xr:uid="{E2964439-B81C-4B57-85FA-8534454E9D1C}">
      <formula1>"* ,[ASTM] D445,[IP] IP 71"</formula1>
    </dataValidation>
    <dataValidation type="list" allowBlank="1" showInputMessage="1" showErrorMessage="1" sqref="D37" xr:uid="{358F8685-DA2B-46E0-8C7F-A10AF85100DF}">
      <formula1>"* ,[ASTM] D1322,[IP] IP 57"</formula1>
    </dataValidation>
    <dataValidation type="list" allowBlank="1" showInputMessage="1" showErrorMessage="1" sqref="D38" xr:uid="{F559419A-8A36-46FE-A8C8-6866C6FD7EC8}">
      <formula1>"* ,[ASTM] D1840"</formula1>
    </dataValidation>
    <dataValidation type="list" allowBlank="1" showInputMessage="1" showErrorMessage="1" sqref="D39" xr:uid="{2C4C7D79-8666-47BE-9D8F-B4262F02E35E}">
      <formula1>"* ,[IP] IP 12,[IP] IP 355,[ASTM] D3338,[ASTM] D4809"</formula1>
    </dataValidation>
    <dataValidation type="list" allowBlank="1" showInputMessage="1" showErrorMessage="1" sqref="D40" xr:uid="{135180A5-C45B-44A9-AB87-535F44FB9445}">
      <formula1>"* ,[IP] IP 154,[ASTM] D130"</formula1>
    </dataValidation>
    <dataValidation type="list" allowBlank="1" showInputMessage="1" showErrorMessage="1" sqref="D41 D42" xr:uid="{58DE21E6-2539-46BC-80DF-1FFA9539A1B9}">
      <formula1>"* ,[IP] IP 323,[ASTM] D3241"</formula1>
    </dataValidation>
    <dataValidation type="list" allowBlank="1" showInputMessage="1" showErrorMessage="1" sqref="D43" xr:uid="{77D637F5-6441-4279-B048-1D25AEA32A37}">
      <formula1>"* ,[ASTM] D3241,[IP] IP 323"</formula1>
    </dataValidation>
    <dataValidation type="list" allowBlank="1" showInputMessage="1" showErrorMessage="1" sqref="D44" xr:uid="{339BA5A9-6610-412C-B43F-1356AD0800CA}">
      <formula1>"* ,[IP] IP 540"</formula1>
    </dataValidation>
    <dataValidation type="list" allowBlank="1" showInputMessage="1" showErrorMessage="1" sqref="D45 D46" xr:uid="{88941101-EE81-4A8A-A3FF-F166FC690928}">
      <formula1>"* ,[ASTM] D3948"</formula1>
    </dataValidation>
    <dataValidation type="list" allowBlank="1" showInputMessage="1" showErrorMessage="1" sqref="D47" xr:uid="{1ED5DB06-0506-4E50-8B45-5CDE97866B0D}">
      <formula1>"* ,[IP] IP 274,[ASTM] D2624"</formula1>
    </dataValidation>
    <dataValidation type="list" allowBlank="1" showInputMessage="1" showErrorMessage="1" sqref="D48" xr:uid="{03BE6FCF-375F-40AE-B6CC-01ABDE094EE5}">
      <formula1>"* ,[ASTM] D5001"</formula1>
    </dataValidation>
    <dataValidation type="list" allowBlank="1" showInputMessage="1" showErrorMessage="1" sqref="D49" xr:uid="{CCF96084-1F35-449D-A99D-044770BE2744}">
      <formula1>"* ,[IP] IP 585"</formula1>
    </dataValidation>
    <dataValidation type="list" allowBlank="1" showInputMessage="1" showErrorMessage="1" sqref="I7" xr:uid="{179E8671-428F-4506-8FAE-74BA62A6ADA6}">
      <formula1>"pass/fail,visual"</formula1>
    </dataValidation>
    <dataValidation type="list" allowBlank="1" showInputMessage="1" showErrorMessage="1" sqref="I8" xr:uid="{1451481B-7312-4FEC-A0CA-04BFDDD87D7D}">
      <formula1>"haze no,Min,Max,pass/fail,rating,visual"</formula1>
    </dataValidation>
    <dataValidation type="list" allowBlank="1" showInputMessage="1" showErrorMessage="1" sqref="I9" xr:uid="{BE9C81D1-EDDA-46F4-B214-18E34589DEB1}">
      <formula1>"mg/l,rating"</formula1>
    </dataValidation>
    <dataValidation type="list" allowBlank="1" showInputMessage="1" showErrorMessage="1" sqref="I10 I11 I12" xr:uid="{118D44A1-B97F-40F8-8DE3-86AAEC00A144}">
      <formula1>"cumulative counts per ml"</formula1>
    </dataValidation>
    <dataValidation type="list" allowBlank="1" showInputMessage="1" showErrorMessage="1" sqref="I13 I14 I15" xr:uid="{81B571C4-2CEC-4D32-9D5A-930232226BDA}">
      <formula1>"n/a"</formula1>
    </dataValidation>
    <dataValidation type="list" allowBlank="1" showInputMessage="1" showErrorMessage="1" sqref="I16" xr:uid="{60ED1947-EC33-4695-9D7C-00AB63894E8F}">
      <formula1>"mg KOH/g,mg NaOH/100ml,mg NaOH/g,mg/kg,mg/l,pH"</formula1>
    </dataValidation>
    <dataValidation type="list" allowBlank="1" showInputMessage="1" showErrorMessage="1" sqref="I17" xr:uid="{880DB4C8-0032-469E-BD63-775040421E3B}">
      <formula1>"ppm,%liq vol,%m/m,%mole,%wt,%vol"</formula1>
    </dataValidation>
    <dataValidation type="list" allowBlank="1" showInputMessage="1" showErrorMessage="1" sqref="I18" xr:uid="{6E4725C8-6400-441D-BE56-6563E0F654FE}">
      <formula1>"ppm,%liq vol,%m/m,%mole,%vol"</formula1>
    </dataValidation>
    <dataValidation type="list" allowBlank="1" showInputMessage="1" showErrorMessage="1" sqref="I19" xr:uid="{58B4AA62-C398-445A-BFD5-9070D8A98C1B}">
      <formula1>"mg/kg,mg/l,ppm,ppm w/w,%m,%m/m,%wt"</formula1>
    </dataValidation>
    <dataValidation type="list" allowBlank="1" showInputMessage="1" showErrorMessage="1" sqref="I20" xr:uid="{EC4FAEDD-0D01-415B-9F2D-1A6FCD2DDA77}">
      <formula1>"mg/kg,mg/m³,ppm,%m,%m/m,%mole,%wt,%vol"</formula1>
    </dataValidation>
    <dataValidation type="list" allowBlank="1" showInputMessage="1" showErrorMessage="1" sqref="I21" xr:uid="{31862E90-DDCC-4DD2-A2EC-C2EF6FF04AF6}">
      <formula1>"pos/neg,pass/fail"</formula1>
    </dataValidation>
    <dataValidation type="list" allowBlank="1" showInputMessage="1" showErrorMessage="1" sqref="I22 I23 I24 I25" xr:uid="{1C01E661-AC95-4909-B641-EF4A6B1D7CC0}">
      <formula1>"%vol"</formula1>
    </dataValidation>
    <dataValidation type="list" allowBlank="1" showInputMessage="1" showErrorMessage="1" sqref="I26 I27 I28 I29 I30 I32" xr:uid="{556171F3-A3EE-4E44-8900-72EA09380D20}">
      <formula1>"°C,°F,%,%vol"</formula1>
    </dataValidation>
    <dataValidation type="list" allowBlank="1" showInputMessage="1" showErrorMessage="1" sqref="I31" xr:uid="{0FF6877E-5BE6-4347-B756-38060D84BBD2}">
      <formula1>"°C,°F,mg/kg,%,%vol"</formula1>
    </dataValidation>
    <dataValidation type="list" allowBlank="1" showInputMessage="1" showErrorMessage="1" sqref="I33 I35" xr:uid="{847C86DD-6816-4EE5-A6C1-B762F1BEA40F}">
      <formula1>"°C,°F"</formula1>
    </dataValidation>
    <dataValidation type="list" allowBlank="1" showInputMessage="1" showErrorMessage="1" sqref="I34" xr:uid="{EB893908-C0CC-4A5B-B3D9-03F227273AFD}">
      <formula1>"g/ cc,g/l,g/cm³,g/ml,kg/m³,kg/l,n/a,tonne/m³"</formula1>
    </dataValidation>
    <dataValidation type="list" allowBlank="1" showInputMessage="1" showErrorMessage="1" sqref="I36" xr:uid="{BEC6C5E9-2FA0-442D-8104-AA53BF0934BE}">
      <formula1>"cSt,Engler,mm²/s,Pa·s,SUS"</formula1>
    </dataValidation>
    <dataValidation type="list" allowBlank="1" showInputMessage="1" showErrorMessage="1" sqref="I37" xr:uid="{B1413CB7-DA9D-468D-B56A-E910D1F2E761}">
      <formula1>"°C,°F,mm"</formula1>
    </dataValidation>
    <dataValidation type="list" allowBlank="1" showInputMessage="1" showErrorMessage="1" sqref="I38" xr:uid="{07DA652B-FBE6-4940-B5FD-B2424732EC79}">
      <formula1>"ppm,%m/m,%mole,%vol"</formula1>
    </dataValidation>
    <dataValidation type="list" allowBlank="1" showInputMessage="1" showErrorMessage="1" sqref="I39" xr:uid="{609ADE66-2377-4A36-9D41-CDB2AA1816D6}">
      <formula1>"Btu/lb,kcal/kg,MJ/kg"</formula1>
    </dataValidation>
    <dataValidation type="list" allowBlank="1" showInputMessage="1" showErrorMessage="1" sqref="I40 I45 I46" xr:uid="{E5C1A026-0340-4FEC-8712-09E33315E499}">
      <formula1>"rating"</formula1>
    </dataValidation>
    <dataValidation type="list" allowBlank="1" showInputMessage="1" showErrorMessage="1" sqref="I41" xr:uid="{9ECA26D8-7534-41E0-9C8D-8529A953CC3F}">
      <formula1>"°C"</formula1>
    </dataValidation>
    <dataValidation type="list" allowBlank="1" showInputMessage="1" showErrorMessage="1" sqref="I42" xr:uid="{E3CD59F2-C8DC-4E23-B097-DC21536CF5F2}">
      <formula1>"Min,Max,rating"</formula1>
    </dataValidation>
    <dataValidation type="list" allowBlank="1" showInputMessage="1" showErrorMessage="1" sqref="I43" xr:uid="{C5869CCA-BE91-4611-9813-8FD7B86943D6}">
      <formula1>"mm Hg"</formula1>
    </dataValidation>
    <dataValidation type="list" allowBlank="1" showInputMessage="1" showErrorMessage="1" sqref="I44" xr:uid="{1DE04359-6A88-409F-B2D1-9CDF446AC4D5}">
      <formula1>"g/m³,mg/100ml,mg/l"</formula1>
    </dataValidation>
    <dataValidation type="list" allowBlank="1" showInputMessage="1" showErrorMessage="1" sqref="I47" xr:uid="{63B9B33F-1C3E-4A45-ABF8-93B41019013A}">
      <formula1>"pS/m"</formula1>
    </dataValidation>
    <dataValidation type="list" allowBlank="1" showInputMessage="1" showErrorMessage="1" sqref="I48" xr:uid="{E33FFED1-8740-4AFE-B8EE-6523587A9E8B}">
      <formula1>"μm,mm"</formula1>
    </dataValidation>
    <dataValidation type="list" allowBlank="1" showInputMessage="1" showErrorMessage="1" sqref="I49" xr:uid="{1BC17199-DAED-48DD-A15F-DBB4FE5B584A}">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2CEFF748-AD81-452A-B338-3334A07196C0}">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238</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239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652</v>
      </c>
      <c r="C5" s="86" t="s">
        <v>17</v>
      </c>
      <c r="D5" s="115" t="s">
        <v>195</v>
      </c>
      <c r="E5" s="115" t="s">
        <v>17</v>
      </c>
      <c r="F5" s="295" t="s">
        <v>268</v>
      </c>
      <c r="G5" s="295"/>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45239</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2023-11-09T08:09:36Z</dcterms:modified>
</cp:coreProperties>
</file>