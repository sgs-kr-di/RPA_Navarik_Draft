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40103_Chevron (23C781553-01) BULLDOG_UG90_65KB_YOSU (N)\"/>
    </mc:Choice>
  </mc:AlternateContent>
  <xr:revisionPtr revIDLastSave="0" documentId="13_ncr:1_{866575C8-C0A0-4AEE-9D0B-6C3E842DF423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<sst xmlns="http://schemas.openxmlformats.org/spreadsheetml/2006/main" count="1216" uniqueCount="759">
  <si>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</si>
  <si>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</si>
  <si>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</si>
  <si>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</si>
  <si>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</si>
  <si>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</si>
  <si>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</si>
  <si>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</si>
  <si>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</si>
  <si>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</si>
  <si>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</si>
  <si>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</si>
  <si>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</si>
  <si>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</si>
  <si>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</si>
  <si>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</si>
  <si>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</si>
  <si>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</si>
  <si>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</si>
  <si>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</si>
  <si>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</si>
  <si>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</si>
  <si>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</si>
  <si>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</si>
  <si>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</si>
  <si>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</si>
  <si>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</si>
  <si>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</si>
  <si>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</si>
  <si>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</si>
  <si>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</si>
  <si>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</si>
  <si>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</si>
  <si>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</si>
  <si>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</si>
  <si>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</si>
  <si>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</si>
  <si>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</si>
  <si>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</si>
  <si>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</si>
  <si>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</si>
  <si>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</si>
  <si>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</si>
  <si>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</si>
  <si>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</si>
  <si>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</si>
  <si>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</si>
  <si>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</si>
  <si>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</si>
  <si>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</si>
  <si>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</si>
  <si>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</si>
  <si>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</si>
  <si>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</si>
  <si>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</si>
  <si>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</si>
  <si>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</si>
  <si>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</si>
  <si>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</si>
  <si>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</si>
  <si>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</si>
  <si>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</si>
  <si>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</si>
  <si>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</si>
  <si>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</si>
  <si>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</si>
  <si>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</si>
  <si>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</si>
  <si>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</si>
  <si>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</si>
  <si>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</si>
  <si>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</si>
  <si>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</si>
  <si>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</si>
  <si>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</si>
  <si>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</si>
  <si>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</si>
  <si>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</si>
  <si>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</si>
  <si>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</si>
  <si>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</si>
  <si>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</si>
  <si>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</si>
  <si>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</si>
  <si>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</si>
  <si>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</si>
  <si>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</si>
  <si>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</si>
  <si>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</si>
  <si>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</si>
  <si>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</si>
  <si>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</si>
  <si>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</si>
  <si>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</si>
  <si>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</si>
  <si>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</si>
  <si>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</si>
  <si>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</si>
  <si>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</si>
  <si>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</si>
  <si>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</si>
  <si>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</si>
  <si>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</si>
  <si>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</si>
  <si>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</si>
  <si>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</si>
  <si>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</si>
  <si>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</si>
  <si>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</si>
  <si>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</si>
  <si>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</si>
  <si>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</si>
  <si>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</si>
  <si>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</si>
  <si>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</si>
  <si>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</si>
  <si>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</si>
  <si>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</si>
  <si>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</si>
  <si>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</si>
  <si>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</si>
  <si>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</si>
  <si>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</si>
  <si>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</si>
  <si>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</si>
  <si>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</si>
  <si>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</si>
  <si>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</si>
  <si>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</si>
  <si>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</si>
  <si>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</si>
  <si>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</si>
  <si>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</si>
  <si>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</si>
  <si>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</si>
  <si>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</si>
  <si>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</si>
  <si>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</si>
  <si>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</si>
  <si>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</si>
  <si>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</si>
  <si>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</si>
  <si>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</si>
  <si>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</si>
  <si>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</si>
  <si>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</si>
  <si>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</si>
  <si>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</si>
  <si>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</si>
  <si>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</si>
  <si>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</si>
  <si>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</si>
  <si>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</si>
  <si>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</si>
  <si>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</si>
  <si>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</si>
  <si>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</si>
  <si>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</si>
  <si>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</si>
  <si>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</si>
  <si>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</si>
  <si>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</si>
  <si>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</si>
  <si>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</si>
  <si>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</si>
  <si>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</si>
  <si>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</si>
  <si>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</si>
  <si>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</si>
  <si>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</si>
  <si>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</si>
  <si>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</si>
  <si>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</si>
  <si>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</si>
  <si>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</si>
  <si>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</si>
  <si>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</si>
  <si>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</si>
  <si>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</si>
  <si>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</si>
  <si>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</si>
  <si>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</si>
  <si>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</si>
  <si>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</si>
  <si>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</si>
  <si>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</si>
  <si>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</si>
  <si>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</si>
  <si>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</si>
  <si>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</si>
  <si>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</si>
  <si>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</si>
  <si>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</si>
  <si>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</si>
  <si>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</si>
  <si>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</si>
  <si>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</si>
  <si>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</si>
  <si>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</si>
  <si>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</si>
  <si>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</si>
  <si>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</si>
  <si>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</si>
  <si>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</si>
  <si>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</si>
  <si>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</si>
  <si>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</si>
  <si>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</si>
  <si>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</si>
  <si>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</si>
  <si>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</si>
  <si>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</si>
  <si>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</si>
  <si>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</si>
  <si>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</si>
  <si>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</si>
  <si>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</si>
  <si>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</si>
  <si>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</si>
  <si>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</si>
  <si>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</si>
  <si>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</si>
  <si>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</si>
  <si>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</si>
  <si>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</si>
  <si>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</si>
  <si>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</si>
  <si>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</si>
  <si>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</si>
  <si>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</si>
  <si>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</si>
  <si>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</si>
  <si>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</si>
  <si>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</si>
  <si>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</si>
  <si>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</si>
  <si>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</si>
  <si>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</si>
  <si>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</si>
  <si>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</si>
  <si>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</si>
  <si>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</si>
  <si>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</si>
  <si>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</si>
  <si>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</si>
  <si>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</si>
  <si>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</si>
  <si>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</si>
  <si>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</si>
  <si>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</si>
  <si>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</si>
  <si>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</si>
  <si>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</si>
  <si>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</si>
  <si>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</si>
  <si>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</si>
  <si>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</si>
  <si>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</si>
  <si>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</si>
  <si>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</si>
  <si>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</si>
  <si>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</si>
  <si>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</si>
  <si>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</si>
  <si>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</si>
  <si>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</si>
  <si>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</si>
  <si>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</si>
  <si>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</si>
  <si>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</si>
  <si>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</si>
  <si>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</si>
  <si>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</si>
  <si>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</si>
  <si>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</si>
  <si>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</si>
  <si>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</si>
  <si>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</si>
  <si>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</si>
  <si>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</si>
  <si>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</si>
  <si>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</si>
  <si>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</si>
  <si>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</si>
  <si>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</si>
  <si>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</si>
  <si>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</si>
  <si>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</si>
  <si>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</si>
  <si>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</si>
  <si>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</si>
  <si>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</si>
  <si>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</si>
  <si>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</si>
  <si>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</si>
  <si>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</si>
  <si>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</si>
  <si>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</si>
  <si>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</si>
  <si>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</si>
  <si>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</si>
  <si>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</si>
  <si>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</si>
  <si>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</si>
  <si>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</si>
  <si>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</si>
  <si>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</si>
  <si>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</si>
  <si>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</si>
  <si>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</si>
  <si>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</si>
  <si>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</si>
  <si>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</si>
  <si>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</si>
  <si>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</si>
  <si>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</si>
  <si>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</si>
  <si>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</si>
  <si>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</si>
  <si>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</si>
  <si>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</si>
  <si>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</si>
  <si>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</si>
  <si>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</si>
  <si>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</si>
  <si>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</si>
  <si>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</si>
  <si>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</si>
  <si>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</si>
  <si>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</si>
  <si>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</si>
  <si>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</si>
  <si>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</si>
  <si>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</si>
  <si>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</si>
  <si>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</si>
  <si>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</si>
  <si>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</si>
  <si>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</si>
  <si>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</si>
  <si>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</si>
  <si>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</si>
  <si>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</si>
  <si>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</si>
  <si>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</si>
  <si>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</si>
  <si>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</si>
  <si>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</si>
  <si>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</si>
  <si>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</si>
  <si>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</si>
  <si>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</si>
  <si>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</si>
  <si>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</si>
  <si>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</si>
  <si>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</si>
  <si>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</si>
  <si>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</si>
  <si>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</si>
  <si>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</si>
  <si>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</si>
  <si>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</si>
  <si>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</si>
  <si>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</si>
  <si>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</si>
  <si>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</si>
  <si>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</si>
  <si>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</si>
  <si>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</si>
  <si>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</si>
  <si>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</si>
  <si>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</si>
  <si>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</si>
  <si>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</si>
  <si>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</si>
  <si>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</si>
  <si>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</si>
  <si>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</si>
  <si>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</si>
  <si>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</si>
  <si>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</si>
  <si>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</si>
  <si>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</si>
  <si>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</si>
  <si>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</si>
  <si>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</si>
  <si>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</si>
  <si>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</si>
  <si>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</si>
  <si>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</si>
  <si>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</si>
  <si>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</si>
  <si>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</si>
  <si>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</si>
  <si>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</si>
  <si>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</si>
  <si>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</si>
  <si>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</si>
  <si>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</si>
  <si>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</si>
  <si>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</si>
  <si>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</si>
  <si>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</si>
  <si>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</si>
  <si>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</si>
  <si>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</si>
  <si>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</si>
  <si>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</si>
  <si>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</si>
  <si>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</si>
  <si>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</si>
  <si>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</si>
  <si>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</si>
  <si>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</si>
  <si>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</si>
  <si>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</si>
  <si>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</si>
  <si>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</si>
  <si>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</si>
  <si>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</si>
  <si>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</si>
  <si>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</si>
  <si>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</si>
  <si>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</si>
  <si>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</si>
  <si>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</si>
  <si>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</si>
  <si>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</si>
  <si>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</si>
  <si>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</si>
  <si>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</si>
  <si>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</si>
  <si>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</si>
  <si>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</si>
  <si>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</si>
  <si>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</si>
  <si>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</si>
  <si>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</si>
  <si>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</si>
  <si>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</si>
  <si>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</si>
  <si>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</si>
  <si>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</si>
  <si>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</si>
  <si>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</si>
  <si>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</si>
  <si>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</si>
  <si>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</si>
  <si>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</si>
  <si>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</si>
  <si>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</si>
  <si>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</si>
  <si>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</si>
  <si>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</si>
  <si>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</si>
  <si>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</si>
  <si>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</si>
  <si>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</si>
  <si>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</si>
  <si>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</si>
  <si>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</si>
  <si>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</si>
  <si>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</si>
  <si>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</si>
  <si>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</si>
  <si>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</si>
  <si>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</si>
  <si>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</si>
  <si>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</si>
  <si>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</si>
  <si>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</si>
  <si>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</si>
  <si>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</si>
  <si>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</si>
  <si>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</si>
  <si>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</si>
  <si>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</si>
  <si>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</si>
  <si>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</si>
  <si>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</si>
  <si>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</si>
  <si>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</si>
  <si>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</si>
  <si>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</si>
  <si>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</si>
  <si>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</si>
  <si>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</si>
  <si>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</si>
  <si>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</si>
  <si>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</si>
  <si>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</si>
  <si>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</si>
  <si>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</si>
  <si>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</si>
  <si>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</si>
  <si>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</si>
  <si>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</si>
  <si>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</si>
  <si>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</si>
  <si>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</si>
  <si>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</si>
  <si>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</si>
  <si>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</si>
  <si>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</si>
  <si>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</si>
  <si>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</si>
  <si>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</si>
  <si>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</si>
  <si>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</si>
  <si>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</si>
  <si>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</si>
  <si>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</si>
  <si>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</si>
  <si>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</si>
  <si>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</si>
  <si>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</si>
  <si>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</si>
  <si>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</si>
  <si>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</si>
  <si>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</si>
  <si>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</si>
  <si>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</si>
  <si>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</si>
  <si>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</si>
  <si>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</si>
  <si>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</si>
  <si>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</si>
  <si>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</si>
  <si>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</si>
  <si>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</si>
  <si>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</si>
  <si>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</si>
  <si>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</si>
  <si>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</si>
  <si>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</si>
  <si>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</si>
  <si>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</si>
  <si>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</si>
  <si>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</si>
  <si>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</si>
  <si>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</si>
  <si>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</si>
  <si>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</si>
  <si>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</si>
  <si>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</si>
  <si>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</si>
  <si>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</si>
  <si>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</si>
  <si>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</si>
  <si>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</si>
  <si>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</si>
  <si>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</si>
  <si>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</si>
  <si>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</si>
  <si>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</si>
  <si>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</si>
  <si>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</si>
  <si>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</si>
  <si>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</si>
  <si>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</si>
  <si>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</si>
  <si>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</si>
  <si>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</si>
  <si>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</si>
  <si>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</si>
  <si>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</si>
  <si>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</si>
  <si>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</si>
  <si>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</si>
  <si>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</si>
  <si>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</si>
  <si>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</si>
  <si>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</si>
  <si>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</si>
  <si>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</si>
  <si>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</si>
  <si>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</si>
  <si>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</si>
  <si>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</si>
  <si>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</si>
  <si>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</si>
  <si>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</si>
  <si>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</si>
  <si>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</si>
  <si>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</si>
  <si>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</si>
  <si>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</si>
  <si>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</si>
  <si>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</si>
  <si>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</si>
  <si>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</si>
  <si>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</si>
  <si>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</si>
  <si>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</si>
  <si>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</si>
  <si>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</si>
  <si>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</si>
  <si>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</si>
  <si>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</si>
  <si>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</si>
  <si>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</si>
  <si>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</si>
  <si>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</si>
  <si>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</si>
  <si>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</si>
  <si>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</si>
  <si>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</si>
  <si>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</si>
  <si>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</si>
  <si>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</si>
  <si>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</si>
  <si>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</si>
  <si>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</si>
  <si>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</si>
  <si>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</si>
  <si>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</si>
  <si>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</si>
  <si>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</si>
  <si>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</si>
  <si>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</si>
  <si>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</si>
  <si>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</si>
  <si>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</si>
  <si>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</si>
  <si>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</si>
  <si>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</si>
  <si>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</si>
  <si>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</si>
  <si>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</si>
  <si>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</si>
  <si>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</si>
  <si>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</si>
  <si>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</si>
  <si>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</si>
  <si>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</si>
  <si>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</si>
  <si>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</si>
  <si>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</si>
  <si>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</si>
  <si>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</si>
  <si>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</si>
  <si>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</si>
  <si>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</si>
  <si>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</si>
  <si>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</si>
  <si>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</si>
  <si>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</si>
  <si>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</si>
  <si>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</si>
  <si>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</si>
  <si>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</si>
  <si>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</si>
  <si>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</si>
  <si>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</si>
  <si>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</si>
  <si>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</si>
  <si>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</si>
  <si>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</si>
  <si>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</si>
  <si>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</si>
  <si>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</si>
  <si>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</si>
  <si>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</si>
  <si>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</si>
  <si>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</si>
  <si>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</si>
  <si>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</si>
  <si>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</si>
  <si>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</si>
  <si>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</si>
  <si>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</si>
  <si>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</si>
  <si>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</si>
  <si>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</si>
  <si>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</si>
  <si>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</si>
  <si>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</si>
  <si>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</si>
  <si>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</si>
  <si>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</si>
  <si>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</si>
  <si>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</si>
  <si>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</si>
  <si>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</si>
  <si>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</si>
  <si>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</si>
  <si>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</si>
  <si>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</si>
  <si>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</si>
  <si>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</si>
  <si>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</si>
  <si>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</si>
  <si>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</si>
  <si>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Upassword_1</t>
    <phoneticPr fontId="1" type="noConversion"/>
  </si>
  <si>
    <t>Ypassword_1</t>
    <phoneticPr fontId="1" type="noConversion"/>
  </si>
  <si>
    <t>CHEVRON</t>
  </si>
  <si>
    <t>23C781553-01</t>
    <phoneticPr fontId="1" type="noConversion"/>
  </si>
  <si>
    <t>BULLDOG</t>
    <phoneticPr fontId="1" type="noConversion"/>
  </si>
  <si>
    <t>Unleaded Gasoline 90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</si>
  <si>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</si>
  <si>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</si>
  <si>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</si>
  <si>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</si>
  <si>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</si>
  <si>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</si>
  <si>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</si>
  <si>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KEROSENE - 34720 Barrels</t>
  </si>
  <si>
    <t>Load Unleaded Gasoline 90 - 65000 Barrels</t>
  </si>
  <si>
    <t>Load JET A-1 - 85500 Barrels</t>
  </si>
  <si>
    <t>Load Unleaded Gasoline 92 - 50000 Barrels</t>
  </si>
  <si>
    <t>Load Gasoil 0.005% S [ULSD] - 56500 Barrels</t>
  </si>
  <si>
    <t>*</t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</si>
  <si>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</si>
  <si>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</si>
  <si>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</si>
  <si>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</si>
  <si>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</si>
  <si>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</si>
  <si>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</si>
  <si>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</si>
  <si>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</si>
  <si>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</si>
  <si>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</si>
  <si>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</si>
  <si>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</si>
  <si>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</si>
  <si>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</si>
  <si>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</si>
  <si>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</si>
  <si>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</si>
  <si>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</si>
  <si>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</si>
  <si>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</si>
  <si>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</si>
  <si>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</si>
  <si>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</si>
  <si>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</si>
  <si>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max = 782 (buy)</t>
  </si>
  <si>
    <t>max = 70 (buy)</t>
  </si>
  <si>
    <t>min = 85 / max = 120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</si>
  <si>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</si>
  <si>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</si>
  <si>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</si>
  <si>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</si>
  <si>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</si>
  <si>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</si>
  <si>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90.0 (buy)</t>
  </si>
  <si>
    <t>max = 0.005 (buy)</t>
  </si>
  <si>
    <t>max = 61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</si>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</sst>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40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H24" sqref="H24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115</v>
      </c>
      <c r="E5" s="221" t="s">
        <v>637</v>
      </c>
      <c r="F5" s="233" t="s">
        <v>664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661</v>
      </c>
      <c r="C9" s="218" t="s">
        <v>662</v>
      </c>
      <c r="E9" s="226" t="s">
        <v>665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668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667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669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663</v>
      </c>
      <c r="E13" s="227" t="s">
        <v>666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660</v>
      </c>
      <c r="C14" s="209"/>
      <c r="E14" s="221" t="s">
        <v>637</v>
      </c>
      <c r="F14" s="233" t="s">
        <v>670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658</v>
      </c>
      <c r="C15" s="192"/>
      <c r="E15" s="221" t="s">
        <v>637</v>
      </c>
      <c r="F15" s="233" t="s">
        <v>671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659</v>
      </c>
      <c r="C16" s="169"/>
      <c r="E16" s="221" t="s">
        <v>637</v>
      </c>
      <c r="F16" s="233" t="s">
        <v>672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695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696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697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698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Ypassword_1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45293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45109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45384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693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694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9" t="s">
        <v>231</v>
      </c>
      <c r="C1" s="279"/>
      <c r="D1" s="3"/>
      <c r="E1" s="4"/>
      <c r="F1" s="282"/>
      <c r="G1" s="282"/>
      <c r="H1" s="282"/>
      <c r="I1" s="4"/>
      <c r="J1" s="278" t="s">
        <v>12</v>
      </c>
      <c r="K1" s="278"/>
      <c r="L1" s="4"/>
      <c r="M1" s="4"/>
      <c r="N1" s="4"/>
      <c r="O1" s="4"/>
      <c r="P1" s="4"/>
    </row>
    <row r="2" spans="1:36" ht="13.9" customHeight="1">
      <c r="A2" s="79"/>
      <c r="B2" s="280"/>
      <c r="C2" s="280"/>
      <c r="D2" s="5"/>
      <c r="E2" s="6"/>
      <c r="F2" s="283"/>
      <c r="G2" s="283"/>
      <c r="H2" s="283"/>
      <c r="I2" s="4"/>
      <c r="J2" s="281"/>
      <c r="K2" s="281"/>
      <c r="L2" s="284" t="s">
        <v>318</v>
      </c>
      <c r="M2" s="266"/>
      <c r="N2" s="266" t="s">
        <v>319</v>
      </c>
      <c r="O2" s="267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711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699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520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700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487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711</v>
      </c>
      <c r="C11" s="123" t="s">
        <v>701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702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711</v>
      </c>
      <c r="C16" s="123" t="s">
        <v>493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711</v>
      </c>
      <c r="C17" s="123" t="s">
        <v>703</v>
      </c>
      <c r="D17" s="57" t="s">
        <v>706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711</v>
      </c>
      <c r="C18" s="123" t="s">
        <v>703</v>
      </c>
      <c r="D18" s="57" t="s">
        <v>707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 t="s">
        <v>711</v>
      </c>
      <c r="C19" s="123" t="s">
        <v>703</v>
      </c>
      <c r="D19" s="57" t="s">
        <v>708</v>
      </c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" customHeight="1">
      <c r="A20" s="80">
        <v>16</v>
      </c>
      <c r="B20" s="122" t="s">
        <v>711</v>
      </c>
      <c r="C20" s="123" t="s">
        <v>703</v>
      </c>
      <c r="D20" s="57" t="s">
        <v>709</v>
      </c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1</v>
      </c>
    </row>
    <row r="21" spans="1:27" ht="13.9" customHeight="1">
      <c r="A21" s="80">
        <v>17</v>
      </c>
      <c r="B21" s="122" t="s">
        <v>711</v>
      </c>
      <c r="C21" s="123" t="s">
        <v>703</v>
      </c>
      <c r="D21" s="57" t="s">
        <v>710</v>
      </c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1</v>
      </c>
    </row>
    <row r="22" spans="1:27" ht="13.9" customHeight="1">
      <c r="A22" s="80">
        <v>18</v>
      </c>
      <c r="B22" s="122"/>
      <c r="C22" s="123" t="s">
        <v>704</v>
      </c>
      <c r="D22" s="58"/>
      <c r="E22" s="94"/>
      <c r="F22" s="59"/>
      <c r="G22" s="60"/>
      <c r="H22" s="203" t="str">
        <f t="shared" si="0"/>
        <v>-</v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 t="s">
        <v>458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 t="s">
        <v>711</v>
      </c>
      <c r="C24" s="123" t="s">
        <v>470</v>
      </c>
      <c r="D24" s="57" t="s">
        <v>708</v>
      </c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 t="s">
        <v>711</v>
      </c>
      <c r="C25" s="123" t="s">
        <v>470</v>
      </c>
      <c r="D25" s="57" t="s">
        <v>710</v>
      </c>
      <c r="E25" s="94"/>
      <c r="F25" s="59"/>
      <c r="G25" s="60"/>
      <c r="H25" s="203" t="str">
        <f t="shared" si="0"/>
        <v/>
      </c>
      <c r="I25" s="4"/>
      <c r="J25" s="277" t="s">
        <v>359</v>
      </c>
      <c r="K25" s="277"/>
      <c r="L25" s="4"/>
      <c r="M25" s="4"/>
      <c r="N25" s="4"/>
      <c r="O25" s="4"/>
      <c r="P25" s="4"/>
      <c r="AA25" s="101">
        <f t="shared" si="1"/>
        <v>1</v>
      </c>
    </row>
    <row r="26" spans="1:27" ht="13.9" customHeight="1">
      <c r="A26" s="80">
        <v>22</v>
      </c>
      <c r="B26" s="122" t="s">
        <v>711</v>
      </c>
      <c r="C26" s="123" t="s">
        <v>470</v>
      </c>
      <c r="D26" s="57" t="s">
        <v>706</v>
      </c>
      <c r="E26" s="94"/>
      <c r="F26" s="59"/>
      <c r="G26" s="60"/>
      <c r="H26" s="203" t="str">
        <f t="shared" si="0"/>
        <v/>
      </c>
      <c r="I26" s="4"/>
      <c r="J26" s="278"/>
      <c r="K26" s="278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 t="s">
        <v>711</v>
      </c>
      <c r="C27" s="123" t="s">
        <v>470</v>
      </c>
      <c r="D27" s="57" t="s">
        <v>709</v>
      </c>
      <c r="E27" s="94"/>
      <c r="F27" s="59"/>
      <c r="G27" s="60"/>
      <c r="H27" s="203" t="str">
        <f t="shared" si="0"/>
        <v/>
      </c>
      <c r="I27" s="4"/>
      <c r="J27" s="268"/>
      <c r="K27" s="269"/>
      <c r="L27" s="269"/>
      <c r="M27" s="269"/>
      <c r="N27" s="269"/>
      <c r="O27" s="270"/>
      <c r="P27" s="4"/>
      <c r="AA27" s="101">
        <f t="shared" si="1"/>
        <v>1</v>
      </c>
    </row>
    <row r="28" spans="1:27" ht="13.9" customHeight="1">
      <c r="A28" s="80">
        <v>24</v>
      </c>
      <c r="B28" s="122" t="s">
        <v>711</v>
      </c>
      <c r="C28" s="123" t="s">
        <v>470</v>
      </c>
      <c r="D28" s="57" t="s">
        <v>707</v>
      </c>
      <c r="E28" s="94"/>
      <c r="F28" s="59"/>
      <c r="G28" s="60"/>
      <c r="H28" s="203" t="str">
        <f t="shared" si="0"/>
        <v/>
      </c>
      <c r="I28" s="4"/>
      <c r="J28" s="271"/>
      <c r="K28" s="272"/>
      <c r="L28" s="272"/>
      <c r="M28" s="272"/>
      <c r="N28" s="272"/>
      <c r="O28" s="273"/>
      <c r="P28" s="4"/>
      <c r="AA28" s="101">
        <f t="shared" si="1"/>
        <v>1</v>
      </c>
    </row>
    <row r="29" spans="1:27" ht="13.9" customHeight="1">
      <c r="A29" s="80">
        <v>25</v>
      </c>
      <c r="B29" s="122"/>
      <c r="C29" s="123" t="s">
        <v>705</v>
      </c>
      <c r="D29" s="57"/>
      <c r="E29" s="94"/>
      <c r="F29" s="59"/>
      <c r="G29" s="60"/>
      <c r="H29" s="203" t="str">
        <f t="shared" si="0"/>
        <v>-</v>
      </c>
      <c r="I29" s="4"/>
      <c r="J29" s="271"/>
      <c r="K29" s="272"/>
      <c r="L29" s="272"/>
      <c r="M29" s="272"/>
      <c r="N29" s="272"/>
      <c r="O29" s="273"/>
      <c r="P29" s="4"/>
      <c r="AA29" s="101">
        <f t="shared" si="1"/>
        <v>0</v>
      </c>
    </row>
    <row r="30" spans="1:27" ht="13.9" customHeight="1">
      <c r="A30" s="80">
        <v>26</v>
      </c>
      <c r="B30" s="122" t="s">
        <v>711</v>
      </c>
      <c r="C30" s="123" t="s">
        <v>494</v>
      </c>
      <c r="D30" s="57"/>
      <c r="E30" s="94"/>
      <c r="F30" s="59"/>
      <c r="G30" s="60"/>
      <c r="H30" s="203" t="str">
        <f t="shared" si="0"/>
        <v/>
      </c>
      <c r="I30" s="4"/>
      <c r="J30" s="271"/>
      <c r="K30" s="272"/>
      <c r="L30" s="272"/>
      <c r="M30" s="272"/>
      <c r="N30" s="272"/>
      <c r="O30" s="273"/>
      <c r="P30" s="4"/>
      <c r="AA30" s="101">
        <f t="shared" si="1"/>
        <v>1</v>
      </c>
    </row>
    <row r="31" spans="1:27" ht="13.9" customHeight="1">
      <c r="A31" s="80">
        <v>27</v>
      </c>
      <c r="B31" s="122"/>
      <c r="C31" s="123" t="s">
        <v>466</v>
      </c>
      <c r="D31" s="57"/>
      <c r="E31" s="94"/>
      <c r="F31" s="59"/>
      <c r="G31" s="60"/>
      <c r="H31" s="203" t="str">
        <f t="shared" si="0"/>
        <v>-</v>
      </c>
      <c r="I31" s="4"/>
      <c r="J31" s="271"/>
      <c r="K31" s="272"/>
      <c r="L31" s="272"/>
      <c r="M31" s="272"/>
      <c r="N31" s="272"/>
      <c r="O31" s="273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 t="s">
        <v>457</v>
      </c>
      <c r="D32" s="57"/>
      <c r="E32" s="94"/>
      <c r="F32" s="59"/>
      <c r="G32" s="60"/>
      <c r="H32" s="203" t="str">
        <f t="shared" si="0"/>
        <v>-</v>
      </c>
      <c r="I32" s="4"/>
      <c r="J32" s="271"/>
      <c r="K32" s="272"/>
      <c r="L32" s="272"/>
      <c r="M32" s="272"/>
      <c r="N32" s="272"/>
      <c r="O32" s="273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 t="s">
        <v>518</v>
      </c>
      <c r="D33" s="57"/>
      <c r="E33" s="94"/>
      <c r="F33" s="59"/>
      <c r="G33" s="60"/>
      <c r="H33" s="203" t="str">
        <f t="shared" si="0"/>
        <v>-</v>
      </c>
      <c r="I33" s="4"/>
      <c r="J33" s="271"/>
      <c r="K33" s="272"/>
      <c r="L33" s="272"/>
      <c r="M33" s="272"/>
      <c r="N33" s="272"/>
      <c r="O33" s="273"/>
      <c r="P33" s="4"/>
      <c r="AA33" s="101">
        <f t="shared" si="1"/>
        <v>0</v>
      </c>
    </row>
    <row r="34" spans="1:27" ht="13.9" customHeight="1">
      <c r="A34" s="80">
        <v>30</v>
      </c>
      <c r="B34" s="122" t="s">
        <v>711</v>
      </c>
      <c r="C34" s="123" t="s">
        <v>553</v>
      </c>
      <c r="D34" s="57"/>
      <c r="E34" s="94"/>
      <c r="F34" s="59"/>
      <c r="G34" s="60"/>
      <c r="H34" s="203" t="str">
        <f t="shared" si="0"/>
        <v/>
      </c>
      <c r="I34" s="4"/>
      <c r="J34" s="274"/>
      <c r="K34" s="275"/>
      <c r="L34" s="275"/>
      <c r="M34" s="275"/>
      <c r="N34" s="275"/>
      <c r="O34" s="276"/>
      <c r="P34" s="4"/>
      <c r="AA34" s="101">
        <f t="shared" si="1"/>
        <v>1</v>
      </c>
    </row>
    <row r="35" spans="1:27" ht="13.9" customHeight="1">
      <c r="A35" s="80">
        <v>31</v>
      </c>
      <c r="B35" s="122"/>
      <c r="C35" s="123" t="s">
        <v>488</v>
      </c>
      <c r="D35" s="57"/>
      <c r="E35" s="94"/>
      <c r="F35" s="59"/>
      <c r="G35" s="60"/>
      <c r="H35" s="203" t="str">
        <f t="shared" si="0"/>
        <v>-</v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9" t="s">
        <v>230</v>
      </c>
      <c r="C1" s="25"/>
      <c r="D1" s="25"/>
      <c r="E1" s="25"/>
      <c r="F1" s="25"/>
      <c r="G1" s="25"/>
      <c r="H1" s="36"/>
      <c r="J1" s="285" t="s">
        <v>635</v>
      </c>
      <c r="K1" s="286"/>
      <c r="L1" s="286"/>
      <c r="M1" s="286"/>
      <c r="N1" s="287"/>
    </row>
    <row r="2" spans="1:78" ht="15" customHeight="1">
      <c r="A2" s="36"/>
      <c r="B2" s="279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2"/>
      <c r="G4" s="293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8"/>
      <c r="G5" s="289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90" t="str">
        <f>IF('Navarik 설정'!C22="","",'Navarik 설정'!C22)</f>
        <v>Unleaded Gasoline 90</v>
      </c>
      <c r="G6" s="291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673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673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228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 t="s">
        <v>305</v>
      </c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712</v>
      </c>
      <c r="D7" s="262"/>
      <c r="E7" s="126" t="s">
        <v>733</v>
      </c>
      <c r="F7" s="265"/>
      <c r="G7" s="20"/>
      <c r="H7" s="20"/>
      <c r="I7" s="264" t="s">
        <v>750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713</v>
      </c>
      <c r="D8" s="262"/>
      <c r="E8" s="126" t="s">
        <v>734</v>
      </c>
      <c r="F8" s="263"/>
      <c r="G8" s="20"/>
      <c r="H8" s="20"/>
      <c r="I8" s="264" t="s">
        <v>751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714</v>
      </c>
      <c r="D9" s="262"/>
      <c r="E9" s="126" t="s">
        <v>735</v>
      </c>
      <c r="F9" s="263"/>
      <c r="G9" s="20"/>
      <c r="H9" s="20"/>
      <c r="I9" s="264" t="s">
        <v>751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715</v>
      </c>
      <c r="D10" s="262"/>
      <c r="E10" s="126" t="s">
        <v>733</v>
      </c>
      <c r="F10" s="265"/>
      <c r="G10" s="20"/>
      <c r="H10" s="20"/>
      <c r="I10" s="264" t="s">
        <v>750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716</v>
      </c>
      <c r="D11" s="262"/>
      <c r="E11" s="126" t="s">
        <v>736</v>
      </c>
      <c r="F11" s="263"/>
      <c r="G11" s="20"/>
      <c r="H11" s="20"/>
      <c r="I11" s="19" t="s">
        <v>752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717</v>
      </c>
      <c r="D12" s="262"/>
      <c r="E12" s="126" t="s">
        <v>737</v>
      </c>
      <c r="F12" s="263"/>
      <c r="G12" s="20"/>
      <c r="H12" s="20"/>
      <c r="I12" s="264" t="s">
        <v>753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718</v>
      </c>
      <c r="D13" s="262"/>
      <c r="E13" s="126" t="s">
        <v>738</v>
      </c>
      <c r="F13" s="263"/>
      <c r="G13" s="20"/>
      <c r="H13" s="20"/>
      <c r="I13" s="264" t="s">
        <v>754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719</v>
      </c>
      <c r="D14" s="262"/>
      <c r="E14" s="126" t="s">
        <v>739</v>
      </c>
      <c r="F14" s="263"/>
      <c r="G14" s="20"/>
      <c r="H14" s="20"/>
      <c r="I14" s="264" t="s">
        <v>754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720</v>
      </c>
      <c r="D15" s="262"/>
      <c r="E15" s="126" t="s">
        <v>740</v>
      </c>
      <c r="F15" s="263"/>
      <c r="G15" s="20"/>
      <c r="H15" s="20"/>
      <c r="I15" s="264" t="s">
        <v>754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721</v>
      </c>
      <c r="D16" s="262"/>
      <c r="E16" s="126" t="s">
        <v>741</v>
      </c>
      <c r="F16" s="263"/>
      <c r="G16" s="20"/>
      <c r="H16" s="20"/>
      <c r="I16" s="264" t="s">
        <v>754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722</v>
      </c>
      <c r="D17" s="262"/>
      <c r="E17" s="126" t="s">
        <v>742</v>
      </c>
      <c r="F17" s="263"/>
      <c r="G17" s="20"/>
      <c r="H17" s="20"/>
      <c r="I17" s="264" t="s">
        <v>751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723</v>
      </c>
      <c r="D18" s="262"/>
      <c r="E18" s="126" t="s">
        <v>735</v>
      </c>
      <c r="F18" s="263"/>
      <c r="G18" s="20"/>
      <c r="H18" s="20"/>
      <c r="I18" s="264" t="s">
        <v>751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 t="s">
        <v>724</v>
      </c>
      <c r="D19" s="262"/>
      <c r="E19" s="126" t="s">
        <v>743</v>
      </c>
      <c r="F19" s="263"/>
      <c r="G19" s="20"/>
      <c r="H19" s="20"/>
      <c r="I19" s="264" t="s">
        <v>751</v>
      </c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 t="s">
        <v>725</v>
      </c>
      <c r="D20" s="262"/>
      <c r="E20" s="126" t="s">
        <v>744</v>
      </c>
      <c r="F20" s="263"/>
      <c r="G20" s="20"/>
      <c r="H20" s="20"/>
      <c r="I20" s="264" t="s">
        <v>755</v>
      </c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 t="s">
        <v>726</v>
      </c>
      <c r="D21" s="262"/>
      <c r="E21" s="126" t="s">
        <v>742</v>
      </c>
      <c r="F21" s="263"/>
      <c r="G21" s="20"/>
      <c r="H21" s="20"/>
      <c r="I21" s="264" t="s">
        <v>755</v>
      </c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 t="s">
        <v>727</v>
      </c>
      <c r="D22" s="262"/>
      <c r="E22" s="126" t="s">
        <v>745</v>
      </c>
      <c r="F22" s="263"/>
      <c r="G22" s="20"/>
      <c r="H22" s="20"/>
      <c r="I22" s="264" t="s">
        <v>756</v>
      </c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 t="s">
        <v>728</v>
      </c>
      <c r="D23" s="262"/>
      <c r="E23" s="126" t="s">
        <v>746</v>
      </c>
      <c r="F23" s="263"/>
      <c r="G23" s="20"/>
      <c r="H23" s="20"/>
      <c r="I23" s="264" t="s">
        <v>752</v>
      </c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 t="s">
        <v>729</v>
      </c>
      <c r="D24" s="262"/>
      <c r="E24" s="126" t="s">
        <v>735</v>
      </c>
      <c r="F24" s="263"/>
      <c r="G24" s="20"/>
      <c r="H24" s="20"/>
      <c r="I24" s="264" t="s">
        <v>751</v>
      </c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 t="s">
        <v>730</v>
      </c>
      <c r="D25" s="262"/>
      <c r="E25" s="126" t="s">
        <v>747</v>
      </c>
      <c r="F25" s="263"/>
      <c r="G25" s="20"/>
      <c r="H25" s="20"/>
      <c r="I25" s="264" t="s">
        <v>757</v>
      </c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 t="s">
        <v>731</v>
      </c>
      <c r="D26" s="262"/>
      <c r="E26" s="126" t="s">
        <v>748</v>
      </c>
      <c r="F26" s="263"/>
      <c r="G26" s="20"/>
      <c r="H26" s="20"/>
      <c r="I26" s="264" t="s">
        <v>758</v>
      </c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 t="s">
        <v>732</v>
      </c>
      <c r="D27" s="262"/>
      <c r="E27" s="126" t="s">
        <v>749</v>
      </c>
      <c r="F27" s="263"/>
      <c r="G27" s="20"/>
      <c r="H27" s="20"/>
      <c r="I27" s="264" t="s">
        <v>751</v>
      </c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4"/>
      <c r="G85" s="294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3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1CCE5C3C-29F0-46FE-9EC9-CC831B308EC6}">
      <formula1>"* ,[OTHER] Visual"</formula1>
    </dataValidation>
    <dataValidation type="list" allowBlank="1" showInputMessage="1" showErrorMessage="1" sqref="D8" xr:uid="{51052538-2B53-40E8-8F13-BE0E0787E815}">
      <formula1>"* ,[ASTM] D6839,[ASTM] D5443,[ASTM] D5580"</formula1>
    </dataValidation>
    <dataValidation type="list" allowBlank="1" showInputMessage="1" showErrorMessage="1" sqref="D9" xr:uid="{3DD7E539-B649-4965-A9B8-1C200017738A}">
      <formula1>"* ,[ASTM] D6839,[ASTM] D5443,[ASTM] D3606,[ASTM] D5580"</formula1>
    </dataValidation>
    <dataValidation type="list" allowBlank="1" showInputMessage="1" showErrorMessage="1" sqref="D11" xr:uid="{64DE4054-2346-4B4E-B835-D1D9A5A773D5}">
      <formula1>"* ,[ASTM] D130"</formula1>
    </dataValidation>
    <dataValidation type="list" allowBlank="1" showInputMessage="1" showErrorMessage="1" sqref="D12" xr:uid="{A449949D-E19F-477F-AB9F-BE24D9836841}">
      <formula1>"* ,[ASTM] D1298,[ASTM] D4052"</formula1>
    </dataValidation>
    <dataValidation type="list" allowBlank="1" showInputMessage="1" showErrorMessage="1" sqref="D13 D14 D15 D16 D17 D18" xr:uid="{6BFB1B9C-BF4D-48D3-8793-B621FD19EFAB}">
      <formula1>"* ,[ASTM] D86"</formula1>
    </dataValidation>
    <dataValidation type="list" allowBlank="1" showInputMessage="1" showErrorMessage="1" sqref="D19" xr:uid="{17E7183A-83EF-4ADF-92ED-C4B8B739D57F}">
      <formula1>"* ,[ASTM] D4815-04"</formula1>
    </dataValidation>
    <dataValidation type="list" allowBlank="1" showInputMessage="1" showErrorMessage="1" sqref="D20 D21" xr:uid="{243508EB-0341-4807-A975-0BE021B15D46}">
      <formula1>"* ,[ASTM] D381"</formula1>
    </dataValidation>
    <dataValidation type="list" allowBlank="1" showInputMessage="1" showErrorMessage="1" sqref="D22" xr:uid="{294FAAAA-1184-4304-8898-E0DA43678C88}">
      <formula1>"* ,[ASTM] D5059,[ASTM] D3237,[ASTM] D3348"</formula1>
    </dataValidation>
    <dataValidation type="list" allowBlank="1" showInputMessage="1" showErrorMessage="1" sqref="D23" xr:uid="{17E185C5-1437-452D-AFD2-3C7DA6C5E8F7}">
      <formula1>"* ,[ASTM] D2699"</formula1>
    </dataValidation>
    <dataValidation type="list" allowBlank="1" showInputMessage="1" showErrorMessage="1" sqref="D24" xr:uid="{B2517125-75BA-4456-BACD-F0005D0CED33}">
      <formula1>"* ,[ASTM] D4815"</formula1>
    </dataValidation>
    <dataValidation type="list" allowBlank="1" showInputMessage="1" showErrorMessage="1" sqref="D25" xr:uid="{F1D93EB7-6C46-4D8C-BC6A-A548A0483493}">
      <formula1>"* ,[ASTM] D1266,[ASTM] D2622,[ASTM] D4294,[ASTM] D5453"</formula1>
    </dataValidation>
    <dataValidation type="list" allowBlank="1" showInputMessage="1" showErrorMessage="1" sqref="D26" xr:uid="{0B1990A1-56EA-431E-B3B1-F8EAECC4CDCE}">
      <formula1>"* ,[ASTM] D5482,[ASTM] D4953,[ASTM] D5191 (ASTM)"</formula1>
    </dataValidation>
    <dataValidation type="list" allowBlank="1" showInputMessage="1" showErrorMessage="1" sqref="D27" xr:uid="{E5ACCF7A-1A02-4B8C-BA0C-94212D87B1A6}">
      <formula1>"* ,[ASTM] E203"</formula1>
    </dataValidation>
    <dataValidation type="list" allowBlank="1" showInputMessage="1" showErrorMessage="1" sqref="I7" xr:uid="{6CDD68BF-484D-4D4E-B89E-BF4661A63780}">
      <formula1>"pass/fail,visual"</formula1>
    </dataValidation>
    <dataValidation type="list" allowBlank="1" showInputMessage="1" showErrorMessage="1" sqref="I8" xr:uid="{9C1C983F-E952-4CD9-A19B-0BD26744B23C}">
      <formula1>"ppm,%liq vol,%m/m,%mole,%vol"</formula1>
    </dataValidation>
    <dataValidation type="list" allowBlank="1" showInputMessage="1" showErrorMessage="1" sqref="I9" xr:uid="{6320E754-815D-412F-A87A-E2E27A287E87}">
      <formula1>"mg/kg,ppm v/v,ppm w/w,%wt,%vol"</formula1>
    </dataValidation>
    <dataValidation type="list" allowBlank="1" showInputMessage="1" showErrorMessage="1" sqref="I10" xr:uid="{C4D0333E-E24F-4383-A080-125B23BF0757}">
      <formula1>"haze no,Pt/Co scale,pass/fail,rating,visual"</formula1>
    </dataValidation>
    <dataValidation type="list" allowBlank="1" showInputMessage="1" showErrorMessage="1" sqref="I11" xr:uid="{06524C79-E792-4E6E-9729-942A2BA08227}">
      <formula1>"rating"</formula1>
    </dataValidation>
    <dataValidation type="list" allowBlank="1" showInputMessage="1" showErrorMessage="1" sqref="I12" xr:uid="{7DAC67F1-778C-466D-B324-21879441DC1C}">
      <formula1>"g/ cc,g/l,g/cm³,g/ml,kg/m³,kg/l,n/a,tonne/m³"</formula1>
    </dataValidation>
    <dataValidation type="list" allowBlank="1" showInputMessage="1" showErrorMessage="1" sqref="I13 I14 I15 I16 I17 I18" xr:uid="{FA6561D7-DDF3-4FFA-A41F-36983E30B830}">
      <formula1>"°C,°F,%,%vol"</formula1>
    </dataValidation>
    <dataValidation type="list" allowBlank="1" showInputMessage="1" showErrorMessage="1" sqref="I19" xr:uid="{7ECCE9EE-4830-4CDF-88E7-3FDAEBD12A48}">
      <formula1>"ppm,%vol"</formula1>
    </dataValidation>
    <dataValidation type="list" allowBlank="1" showInputMessage="1" showErrorMessage="1" sqref="I20 I21" xr:uid="{FE938496-679A-48ED-8FB7-45F1C58E75B5}">
      <formula1>"g/m³,mg/100ml,mg/l"</formula1>
    </dataValidation>
    <dataValidation type="list" allowBlank="1" showInputMessage="1" showErrorMessage="1" sqref="I22" xr:uid="{6C23F075-4254-4021-9358-D3DBDF30803D}">
      <formula1>"g Pb/l,g Pb/US gal,g/US gal,mg/kg,mg/l,ppb,ppm,ppm w/w,%vol"</formula1>
    </dataValidation>
    <dataValidation type="list" allowBlank="1" showInputMessage="1" showErrorMessage="1" sqref="I23" xr:uid="{588FF5A4-34A2-4243-A282-B5207E18EC1A}">
      <formula1>"mg/kg,mg/l,ppm,ppm w/w,%wt,rating"</formula1>
    </dataValidation>
    <dataValidation type="list" allowBlank="1" showInputMessage="1" showErrorMessage="1" sqref="I24" xr:uid="{51F51C41-3A33-46E0-A33E-34E5D5B909E0}">
      <formula1>"mg/100ml,mg/kg,ppm,ppm v/v,%m/m,%mole,%wt,%vol"</formula1>
    </dataValidation>
    <dataValidation type="list" allowBlank="1" showInputMessage="1" showErrorMessage="1" sqref="I25" xr:uid="{BFCAB4A1-DF0B-4128-AD69-21D68F19858B}">
      <formula1>"μg/g,mg/kg,mg/l,ppm,%m,%m/m,%wt"</formula1>
    </dataValidation>
    <dataValidation type="list" allowBlank="1" showInputMessage="1" showErrorMessage="1" sqref="I26" xr:uid="{18CA0AD9-7912-4EBD-A86F-8F27C6145E1F}">
      <formula1>"kg/cm²,kPa,mm Hg,psi"</formula1>
    </dataValidation>
    <dataValidation type="list" allowBlank="1" showInputMessage="1" showErrorMessage="1" sqref="I27" xr:uid="{9CF293D2-1E51-45B3-A3D6-1091A770508F}">
      <formula1>"mg/kg,ppm,%wt,%vol"</formula1>
    </dataValidation>
    <dataValidation type="list" allowBlank="1" showInputMessage="1" showErrorMessage="1" sqref="F8 F9 F11 F12 F13 F14 F15 F16 F17 F18 F19 F20 F21 F22 F23 F24 F25 F26 F27" xr:uid="{49912671-1E52-4E7E-8AF4-207B64AA7863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684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685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686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687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688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689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690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691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692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45293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674</v>
      </c>
      <c r="J87" s="146" t="s">
        <v>678</v>
      </c>
      <c r="K87" t="s">
        <v>674</v>
      </c>
      <c r="L87" s="146" t="s">
        <v>678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675</v>
      </c>
      <c r="J88" s="146" t="s">
        <v>679</v>
      </c>
      <c r="K88" t="s">
        <v>675</v>
      </c>
      <c r="L88" s="146" t="s">
        <v>679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676</v>
      </c>
      <c r="J89" s="146" t="s">
        <v>680</v>
      </c>
      <c r="K89" t="s">
        <v>676</v>
      </c>
      <c r="L89" s="146" t="s">
        <v>680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677</v>
      </c>
      <c r="J90" s="146" t="s">
        <v>680</v>
      </c>
      <c r="K90" t="s">
        <v>677</v>
      </c>
      <c r="L90" s="146" t="s">
        <v>680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681</v>
      </c>
      <c r="J91" s="146" t="s">
        <v>682</v>
      </c>
      <c r="K91" t="s">
        <v>681</v>
      </c>
      <c r="L91" s="146" t="s">
        <v>682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2024-01-02T02:36:28Z</dcterms:modified>
</cp:coreProperties>
</file>