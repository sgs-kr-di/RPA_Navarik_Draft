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3_Chevron (23C765264-01) GRAND WINNER 5_GASOIL 10PPM_194KB_YOSU (Y)\"/>
    </mc:Choice>
  </mc:AlternateContent>
  <xr:revisionPtr revIDLastSave="0" documentId="13_ncr:1_{E4D3B94B-9C6A-4AE2-B606-868765DDA85A}" xr6:coauthVersionLast="45" xr6:coauthVersionMax="47" xr10:uidLastSave="{00000000-0000-0000-0000-000000000000}"/>
  <bookViews>
    <workbookView xWindow="0" yWindow="1830" windowWidth="21600" windowHeight="11385" tabRatio="688" activeTab="4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<sst xmlns="http://schemas.openxmlformats.org/spreadsheetml/2006/main" count="1245" uniqueCount="770">
  <si>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</si>
  <si>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</si>
  <si>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</si>
  <si>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</si>
  <si>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</si>
  <si>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</si>
  <si>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</si>
  <si>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</si>
  <si>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</si>
  <si>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</si>
  <si>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</si>
  <si>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</si>
  <si>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</si>
  <si>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</si>
  <si>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</si>
  <si>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</si>
  <si>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</si>
  <si>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</si>
  <si>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</si>
  <si>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</si>
  <si>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</si>
  <si>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</si>
  <si>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</si>
  <si>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</si>
  <si>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</si>
  <si>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</si>
  <si>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</si>
  <si>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</si>
  <si>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</si>
  <si>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</si>
  <si>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</si>
  <si>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</si>
  <si>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</si>
  <si>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</si>
  <si>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</si>
  <si>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</si>
  <si>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</si>
  <si>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</si>
  <si>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</si>
  <si>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</si>
  <si>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</si>
  <si>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</si>
  <si>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</si>
  <si>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</si>
  <si>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</si>
  <si>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</si>
  <si>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</si>
  <si>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</si>
  <si>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</si>
  <si>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</si>
  <si>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</si>
  <si>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</si>
  <si>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</si>
  <si>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</si>
  <si>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</si>
  <si>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</si>
  <si>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</si>
  <si>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</si>
  <si>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</si>
  <si>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</si>
  <si>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</si>
  <si>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</si>
  <si>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</si>
  <si>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</si>
  <si>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</si>
  <si>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</si>
  <si>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</si>
  <si>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</si>
  <si>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</si>
  <si>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</si>
  <si>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</si>
  <si>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</si>
  <si>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</si>
  <si>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</si>
  <si>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</si>
  <si>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</si>
  <si>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</si>
  <si>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</si>
  <si>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</si>
  <si>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</si>
  <si>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</si>
  <si>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</si>
  <si>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</si>
  <si>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</si>
  <si>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</si>
  <si>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</si>
  <si>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</si>
  <si>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</si>
  <si>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</si>
  <si>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</si>
  <si>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</si>
  <si>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</si>
  <si>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</si>
  <si>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</si>
  <si>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</si>
  <si>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</si>
  <si>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</si>
  <si>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</si>
  <si>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</si>
  <si>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</si>
  <si>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</si>
  <si>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</si>
  <si>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</si>
  <si>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</si>
  <si>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</si>
  <si>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</si>
  <si>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</si>
  <si>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</si>
  <si>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</si>
  <si>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</si>
  <si>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</si>
  <si>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</si>
  <si>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</si>
  <si>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</si>
  <si>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</si>
  <si>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</si>
  <si>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</si>
  <si>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</si>
  <si>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</si>
  <si>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</si>
  <si>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</si>
  <si>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</si>
  <si>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</si>
  <si>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</si>
  <si>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</si>
  <si>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</si>
  <si>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</si>
  <si>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</si>
  <si>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</si>
  <si>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</si>
  <si>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</si>
  <si>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</si>
  <si>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</si>
  <si>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</si>
  <si>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</si>
  <si>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</si>
  <si>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</si>
  <si>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</si>
  <si>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</si>
  <si>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</si>
  <si>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</si>
  <si>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</si>
  <si>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</si>
  <si>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</si>
  <si>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</si>
  <si>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</si>
  <si>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</si>
  <si>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</si>
  <si>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</si>
  <si>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</si>
  <si>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</si>
  <si>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</si>
  <si>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</si>
  <si>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</si>
  <si>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</si>
  <si>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</si>
  <si>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</si>
  <si>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</si>
  <si>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</si>
  <si>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</si>
  <si>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</si>
  <si>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</si>
  <si>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</si>
  <si>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</si>
  <si>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</si>
  <si>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</si>
  <si>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</si>
  <si>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</si>
  <si>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</si>
  <si>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</si>
  <si>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</si>
  <si>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</si>
  <si>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</si>
  <si>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</si>
  <si>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</si>
  <si>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</si>
  <si>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</si>
  <si>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</si>
  <si>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</si>
  <si>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</si>
  <si>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</si>
  <si>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</si>
  <si>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</si>
  <si>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</si>
  <si>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</si>
  <si>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</si>
  <si>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</si>
  <si>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</si>
  <si>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</si>
  <si>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</si>
  <si>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</si>
  <si>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</si>
  <si>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</si>
  <si>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</si>
  <si>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</si>
  <si>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</si>
  <si>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</si>
  <si>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</si>
  <si>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</si>
  <si>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</si>
  <si>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</si>
  <si>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</si>
  <si>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</si>
  <si>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</si>
  <si>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</si>
  <si>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</si>
  <si>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</si>
  <si>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</si>
  <si>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</si>
  <si>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</si>
  <si>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</si>
  <si>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</si>
  <si>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</si>
  <si>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</si>
  <si>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</si>
  <si>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</si>
  <si>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</si>
  <si>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</si>
  <si>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</si>
  <si>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</si>
  <si>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</si>
  <si>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</si>
  <si>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</si>
  <si>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</si>
  <si>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</si>
  <si>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</si>
  <si>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</si>
  <si>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</si>
  <si>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</si>
  <si>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</si>
  <si>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</si>
  <si>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</si>
  <si>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</si>
  <si>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</si>
  <si>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</si>
  <si>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</si>
  <si>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</si>
  <si>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</si>
  <si>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</si>
  <si>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</si>
  <si>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</si>
  <si>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</si>
  <si>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</si>
  <si>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</si>
  <si>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</si>
  <si>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</si>
  <si>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</si>
  <si>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</si>
  <si>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</si>
  <si>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</si>
  <si>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</si>
  <si>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</si>
  <si>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</si>
  <si>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</si>
  <si>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</si>
  <si>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</si>
  <si>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</si>
  <si>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</si>
  <si>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</si>
  <si>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</si>
  <si>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</si>
  <si>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</si>
  <si>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</si>
  <si>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</si>
  <si>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</si>
  <si>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</si>
  <si>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</si>
  <si>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</si>
  <si>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</si>
  <si>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</si>
  <si>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</si>
  <si>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</si>
  <si>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</si>
  <si>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</si>
  <si>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</si>
  <si>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</si>
  <si>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</si>
  <si>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</si>
  <si>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</si>
  <si>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</si>
  <si>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</si>
  <si>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</si>
  <si>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</si>
  <si>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</si>
  <si>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</si>
  <si>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</si>
  <si>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</si>
  <si>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</si>
  <si>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</si>
  <si>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</si>
  <si>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</si>
  <si>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</si>
  <si>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</si>
  <si>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</si>
  <si>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</si>
  <si>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</si>
  <si>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</si>
  <si>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</si>
  <si>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</si>
  <si>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</si>
  <si>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</si>
  <si>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</si>
  <si>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</si>
  <si>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</si>
  <si>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</si>
  <si>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</si>
  <si>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</si>
  <si>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</si>
  <si>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</si>
  <si>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</si>
  <si>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</si>
  <si>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</si>
  <si>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</si>
  <si>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</si>
  <si>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</si>
  <si>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</si>
  <si>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</si>
  <si>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</si>
  <si>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</si>
  <si>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</si>
  <si>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</si>
  <si>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</si>
  <si>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</si>
  <si>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</si>
  <si>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</si>
  <si>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</si>
  <si>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</si>
  <si>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</si>
  <si>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</si>
  <si>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</si>
  <si>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</si>
  <si>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</si>
  <si>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</si>
  <si>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</si>
  <si>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</si>
  <si>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</si>
  <si>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</si>
  <si>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</si>
  <si>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</si>
  <si>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</si>
  <si>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</si>
  <si>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</si>
  <si>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</si>
  <si>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</si>
  <si>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</si>
  <si>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</si>
  <si>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</si>
  <si>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</si>
  <si>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</si>
  <si>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</si>
  <si>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</si>
  <si>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</si>
  <si>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</si>
  <si>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</si>
  <si>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</si>
  <si>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</si>
  <si>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</si>
  <si>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</si>
  <si>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</si>
  <si>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</si>
  <si>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</si>
  <si>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</si>
  <si>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</si>
  <si>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</si>
  <si>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</si>
  <si>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</si>
  <si>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</si>
  <si>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</si>
  <si>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</si>
  <si>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</si>
  <si>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</si>
  <si>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</si>
  <si>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</si>
  <si>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</si>
  <si>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</si>
  <si>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</si>
  <si>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</si>
  <si>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</si>
  <si>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</si>
  <si>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</si>
  <si>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</si>
  <si>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</si>
  <si>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</si>
  <si>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</si>
  <si>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</si>
  <si>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</si>
  <si>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</si>
  <si>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</si>
  <si>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</si>
  <si>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</si>
  <si>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</si>
  <si>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</si>
  <si>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</si>
  <si>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</si>
  <si>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</si>
  <si>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</si>
  <si>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</si>
  <si>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</si>
  <si>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</si>
  <si>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</si>
  <si>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</si>
  <si>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</si>
  <si>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</si>
  <si>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</si>
  <si>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</si>
  <si>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</si>
  <si>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</si>
  <si>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</si>
  <si>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</si>
  <si>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</si>
  <si>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</si>
  <si>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</si>
  <si>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</si>
  <si>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</si>
  <si>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</si>
  <si>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</si>
  <si>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</si>
  <si>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</si>
  <si>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</si>
  <si>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</si>
  <si>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</si>
  <si>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</si>
  <si>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</si>
  <si>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</si>
  <si>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</si>
  <si>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</si>
  <si>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</si>
  <si>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</si>
  <si>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</si>
  <si>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</si>
  <si>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</si>
  <si>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</si>
  <si>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</si>
  <si>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</si>
  <si>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</si>
  <si>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</si>
  <si>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</si>
  <si>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</si>
  <si>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</si>
  <si>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</si>
  <si>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</si>
  <si>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</si>
  <si>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</si>
  <si>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</si>
  <si>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</si>
  <si>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</si>
  <si>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</si>
  <si>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</si>
  <si>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</si>
  <si>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</si>
  <si>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</si>
  <si>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</si>
  <si>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</si>
  <si>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</si>
  <si>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</si>
  <si>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</si>
  <si>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</si>
  <si>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</si>
  <si>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</si>
  <si>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</si>
  <si>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</si>
  <si>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</si>
  <si>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</si>
  <si>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</si>
  <si>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</si>
  <si>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</si>
  <si>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</si>
  <si>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</si>
  <si>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</si>
  <si>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</si>
  <si>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</si>
  <si>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</si>
  <si>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</si>
  <si>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</si>
  <si>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</si>
  <si>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</si>
  <si>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</si>
  <si>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</si>
  <si>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</si>
  <si>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</si>
  <si>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</si>
  <si>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</si>
  <si>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</si>
  <si>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</si>
  <si>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</si>
  <si>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</si>
  <si>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</si>
  <si>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</si>
  <si>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</si>
  <si>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</si>
  <si>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</si>
  <si>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</si>
  <si>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</si>
  <si>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</si>
  <si>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</si>
  <si>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</si>
  <si>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</si>
  <si>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</si>
  <si>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</si>
  <si>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</si>
  <si>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</si>
  <si>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</si>
  <si>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</si>
  <si>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</si>
  <si>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</si>
  <si>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</si>
  <si>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</si>
  <si>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</si>
  <si>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</si>
  <si>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</si>
  <si>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</si>
  <si>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</si>
  <si>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</si>
  <si>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</si>
  <si>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</si>
  <si>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</si>
  <si>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</si>
  <si>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</si>
  <si>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</si>
  <si>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</si>
  <si>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</si>
  <si>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</si>
  <si>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</si>
  <si>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</si>
  <si>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</si>
  <si>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</si>
  <si>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</si>
  <si>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</si>
  <si>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</si>
  <si>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</si>
  <si>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</si>
  <si>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</si>
  <si>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</si>
  <si>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</si>
  <si>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</si>
  <si>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</si>
  <si>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</si>
  <si>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</si>
  <si>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</si>
  <si>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</si>
  <si>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</si>
  <si>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</si>
  <si>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</si>
  <si>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</si>
  <si>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</si>
  <si>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</si>
  <si>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</si>
  <si>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</si>
  <si>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</si>
  <si>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</si>
  <si>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</si>
  <si>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</si>
  <si>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</si>
  <si>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</si>
  <si>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</si>
  <si>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</si>
  <si>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</si>
  <si>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</si>
  <si>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</si>
  <si>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</si>
  <si>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</si>
  <si>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</si>
  <si>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</si>
  <si>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</si>
  <si>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</si>
  <si>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</si>
  <si>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</si>
  <si>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</si>
  <si>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</si>
  <si>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</si>
  <si>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</si>
  <si>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</si>
  <si>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</si>
  <si>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</si>
  <si>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</si>
  <si>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</si>
  <si>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</si>
  <si>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</si>
  <si>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</si>
  <si>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</si>
  <si>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</si>
  <si>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</si>
  <si>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</si>
  <si>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</si>
  <si>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</si>
  <si>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</si>
  <si>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</si>
  <si>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</si>
  <si>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</si>
  <si>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</si>
  <si>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</si>
  <si>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</si>
  <si>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</si>
  <si>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</si>
  <si>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</si>
  <si>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</si>
  <si>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</si>
  <si>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</si>
  <si>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</si>
  <si>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</si>
  <si>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</si>
  <si>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</si>
  <si>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</si>
  <si>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</si>
  <si>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</si>
  <si>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</si>
  <si>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</si>
  <si>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</si>
  <si>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</si>
  <si>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</si>
  <si>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</si>
  <si>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</si>
  <si>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</si>
  <si>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</si>
  <si>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</si>
  <si>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</si>
  <si>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</si>
  <si>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</si>
  <si>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</si>
  <si>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</si>
  <si>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</si>
  <si>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</si>
  <si>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</si>
  <si>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</si>
  <si>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</si>
  <si>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</si>
  <si>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</si>
  <si>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</si>
  <si>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</si>
  <si>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</si>
  <si>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</si>
  <si>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</si>
  <si>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</si>
  <si>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</si>
  <si>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</si>
  <si>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</si>
  <si>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</si>
  <si>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</si>
  <si>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</si>
  <si>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</si>
  <si>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</si>
  <si>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</si>
  <si>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</si>
  <si>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</si>
  <si>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</si>
  <si>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</si>
  <si>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</si>
  <si>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</si>
  <si>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</si>
  <si>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</si>
  <si>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</si>
  <si>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</si>
  <si>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</si>
  <si>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</si>
  <si>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</si>
  <si>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</si>
  <si>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</si>
  <si>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</si>
  <si>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</si>
  <si>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</si>
  <si>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</si>
  <si>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</si>
  <si>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</si>
  <si>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</si>
  <si>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</si>
  <si>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</si>
  <si>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</si>
  <si>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</si>
  <si>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</si>
  <si>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</si>
  <si>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</si>
  <si>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</si>
  <si>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</si>
  <si>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</si>
  <si>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</si>
  <si>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</si>
  <si>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</si>
  <si>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</si>
  <si>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</si>
  <si>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</si>
  <si>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</si>
  <si>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</si>
  <si>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</si>
  <si>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</si>
  <si>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</si>
  <si>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</si>
  <si>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</si>
  <si>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</si>
  <si>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</si>
  <si>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</si>
  <si>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</si>
  <si>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</si>
  <si>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</si>
  <si>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</si>
  <si>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</si>
  <si>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</si>
  <si>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여수</t>
    <phoneticPr fontId="1" type="noConversion"/>
  </si>
  <si>
    <t>CHEVRON</t>
  </si>
  <si>
    <t>23C765264-01</t>
    <phoneticPr fontId="1" type="noConversion"/>
  </si>
  <si>
    <t>GRAND WINNER 5</t>
    <phoneticPr fontId="1" type="noConversion"/>
  </si>
  <si>
    <t>GASOIL 0.001%S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</si>
  <si>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</si>
  <si>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</si>
  <si>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</si>
  <si>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</si>
  <si>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</si>
  <si>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</si>
  <si>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</si>
  <si>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Gasoil 0.001%S - 194700 Barrels</t>
  </si>
  <si>
    <t>Load JET A-1 - 102600 Barrels</t>
  </si>
  <si>
    <t>*</t>
  </si>
  <si>
    <t>Acid and Base Numbers (Color-Indicator Titration, Colorimetric)</t>
  </si>
  <si>
    <t>Appearance Procedure 2</t>
  </si>
  <si>
    <t>Haze Rating</t>
  </si>
  <si>
    <t>Aromatic Hydrocarbon Types in Diesel or Middle Distillates</t>
  </si>
  <si>
    <t>Ash Content</t>
  </si>
  <si>
    <t>Carbon Residue</t>
  </si>
  <si>
    <t>Cetane Index by Four Variable Equation (Calculation)</t>
  </si>
  <si>
    <t>Cold Filter Plugging Point (CFPP) of Diesel and Domestic Heating Fuels</t>
  </si>
  <si>
    <t>Cloud Point</t>
  </si>
  <si>
    <t>Color of Petroleum Products (ASTM Scale)</t>
  </si>
  <si>
    <t>Copper Corrosion, 3hr @ 50C</t>
  </si>
  <si>
    <t>Density @ 15C</t>
  </si>
  <si>
    <t>Distillation 95% Recovered</t>
  </si>
  <si>
    <t>Electrical Conductivity of Aviation and Distillate Fuels</t>
  </si>
  <si>
    <t>Fatty Acid Methyl Esters (FAME) in Middle Distillates - IR Spectroscopy Method (Biodiesel Content)</t>
  </si>
  <si>
    <t>Filter Blocking Tendancy - Final Pressure</t>
  </si>
  <si>
    <t>Flash Point</t>
  </si>
  <si>
    <t>Hydrogen Sulfide - Rapid Liquid Phase Extraction Method</t>
  </si>
  <si>
    <t>Lubricity of Diesel Fuel (HFRR Method)</t>
  </si>
  <si>
    <t>Oxidation Stability of Distillate Fuels</t>
  </si>
  <si>
    <t>Sulfur Content</t>
  </si>
  <si>
    <t>Viscosity - Kinematic at 40ºC (104ºF)</t>
  </si>
  <si>
    <t>Water and Sediment in Middle Distillate Fuels (Centrifuge Method)</t>
  </si>
  <si>
    <t>Additives (declaration)</t>
  </si>
  <si>
    <t>max = 0 (buy)</t>
  </si>
  <si>
    <t>max = 0.5 (buy)</t>
  </si>
  <si>
    <t>n/a</t>
  </si>
  <si>
    <t>min = 13 (buy)</t>
  </si>
  <si>
    <t>max = 11 (buy)</t>
  </si>
  <si>
    <t>max = 0.01 (buy)</t>
  </si>
  <si>
    <t>max = 0.20 (buy)</t>
  </si>
  <si>
    <t>min = 46 (buy)</t>
  </si>
  <si>
    <t>Report only</t>
  </si>
  <si>
    <t>max = 7 (buy)</t>
  </si>
  <si>
    <t>max = 1 (buy)</t>
  </si>
  <si>
    <t>min = 0.820 / max = 0.850 (buy)</t>
  </si>
  <si>
    <t>max = 360 (buy)</t>
  </si>
  <si>
    <t>min = 150 / max = 500 (buy)</t>
  </si>
  <si>
    <t>max = 0.05 (buy)</t>
  </si>
  <si>
    <t>max = 1.41 (buy)</t>
  </si>
  <si>
    <t>min = 64 (buy)</t>
  </si>
  <si>
    <t>max = 2.0 (buy)</t>
  </si>
  <si>
    <t>max = 460 (buy)</t>
  </si>
  <si>
    <t>max = 2.5 (buy)</t>
  </si>
  <si>
    <t>max = 10 (buy)</t>
  </si>
  <si>
    <t>min = 2.0 / max = 4.5 (buy)</t>
  </si>
  <si>
    <t>mg KOH/g</t>
  </si>
  <si>
    <t>pass/fail</t>
  </si>
  <si>
    <t>rating</t>
  </si>
  <si>
    <t>%m/m</t>
  </si>
  <si>
    <t>calc</t>
  </si>
  <si>
    <t>°C</t>
  </si>
  <si>
    <t>kg/l</t>
  </si>
  <si>
    <t>pS/m</t>
  </si>
  <si>
    <t>%vol</t>
  </si>
  <si>
    <t>mg/kg</t>
  </si>
  <si>
    <t>μm</t>
  </si>
  <si>
    <t>mg/100ml</t>
  </si>
  <si>
    <t>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</si>
</sst>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2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23" sqref="C23"/>
    </sheetView>
  </sheetViews>
  <sheetFormatPr defaultColWidth="8.75" defaultRowHeight="18" customHeight="1"/>
  <cols>
    <col min="1" max="1" width="2.875" style="99" customWidth="1"/>
    <col min="2" max="2" width="20.625" style="99" customWidth="1"/>
    <col min="3" max="3" width="31.75" style="99" customWidth="1"/>
    <col min="4" max="5" width="2.625" style="109" customWidth="1"/>
    <col min="6" max="11" width="10.75" style="109" customWidth="1"/>
    <col min="12" max="19" width="8.75" style="109"/>
    <col min="20" max="16384" width="8.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696</v>
      </c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여수</v>
      </c>
      <c r="C6" s="158" t="str">
        <f>IF(C5="","담당자 이름을 입력 또는 선택합니다.",VLOOKUP(C5,Sheet3!$I$1:$L$91,2,))</f>
        <v>kr_ogcyosu@sgs.com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kr_ogcyosu@sgs.com;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Yes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697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698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699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700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gabriel.jeong@sgs.com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Password_10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45232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45048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45324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5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1</v>
      </c>
      <c r="C48" s="22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6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84"/>
      <c r="B1" s="269" t="s">
        <v>241</v>
      </c>
      <c r="C1" s="269"/>
      <c r="D1" s="3"/>
      <c r="E1" s="4"/>
      <c r="F1" s="272"/>
      <c r="G1" s="272"/>
      <c r="H1" s="272"/>
      <c r="I1" s="4"/>
      <c r="J1" s="268" t="s">
        <v>13</v>
      </c>
      <c r="K1" s="268"/>
      <c r="L1" s="4"/>
      <c r="M1" s="4"/>
      <c r="N1" s="4"/>
      <c r="O1" s="4"/>
      <c r="P1" s="4"/>
    </row>
    <row r="2" spans="1:36" ht="13.9" customHeight="1">
      <c r="A2" s="84"/>
      <c r="B2" s="270"/>
      <c r="C2" s="270"/>
      <c r="D2" s="5"/>
      <c r="E2" s="6"/>
      <c r="F2" s="273"/>
      <c r="G2" s="273"/>
      <c r="H2" s="273"/>
      <c r="I2" s="4"/>
      <c r="J2" s="271"/>
      <c r="K2" s="271"/>
      <c r="L2" s="274" t="s">
        <v>328</v>
      </c>
      <c r="M2" s="256"/>
      <c r="N2" s="256" t="s">
        <v>329</v>
      </c>
      <c r="O2" s="257"/>
      <c r="P2" s="4"/>
    </row>
    <row r="3" spans="1:36" ht="13.9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" customHeight="1">
      <c r="A5" s="85">
        <v>1</v>
      </c>
      <c r="B5" s="129"/>
      <c r="C5" s="130" t="s">
        <v>458</v>
      </c>
      <c r="D5" s="62"/>
      <c r="E5" s="101"/>
      <c r="F5" s="64"/>
      <c r="G5" s="65"/>
      <c r="H5" s="215" t="str">
        <f t="shared" ref="H5:H36" si="0">IF(OR(B5="*",C5=""),"",IF(OR(E5="",F5=""),"-",""))</f>
        <v>-</v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" customHeight="1">
      <c r="A6" s="85">
        <v>2</v>
      </c>
      <c r="B6" s="129" t="s">
        <v>710</v>
      </c>
      <c r="C6" s="130" t="s">
        <v>526</v>
      </c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1</v>
      </c>
    </row>
    <row r="7" spans="1:36" ht="13.9" customHeight="1">
      <c r="A7" s="85">
        <v>3</v>
      </c>
      <c r="B7" s="129"/>
      <c r="C7" s="130" t="s">
        <v>701</v>
      </c>
      <c r="D7" s="62"/>
      <c r="E7" s="101"/>
      <c r="F7" s="64"/>
      <c r="G7" s="65"/>
      <c r="H7" s="215" t="str">
        <f t="shared" si="0"/>
        <v>-</v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" customHeight="1">
      <c r="A8" s="85">
        <v>4</v>
      </c>
      <c r="B8" s="129"/>
      <c r="C8" s="130" t="s">
        <v>530</v>
      </c>
      <c r="D8" s="62"/>
      <c r="E8" s="101"/>
      <c r="F8" s="64"/>
      <c r="G8" s="65"/>
      <c r="H8" s="215" t="str">
        <f t="shared" si="0"/>
        <v>-</v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" customHeight="1">
      <c r="A9" s="85">
        <v>5</v>
      </c>
      <c r="B9" s="129"/>
      <c r="C9" s="130" t="s">
        <v>702</v>
      </c>
      <c r="D9" s="62"/>
      <c r="E9" s="101"/>
      <c r="F9" s="64"/>
      <c r="G9" s="65"/>
      <c r="H9" s="215" t="str">
        <f t="shared" si="0"/>
        <v>-</v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" customHeight="1">
      <c r="A10" s="85">
        <v>6</v>
      </c>
      <c r="B10" s="129"/>
      <c r="C10" s="130" t="s">
        <v>497</v>
      </c>
      <c r="D10" s="62"/>
      <c r="E10" s="101"/>
      <c r="F10" s="64"/>
      <c r="G10" s="65"/>
      <c r="H10" s="215" t="str">
        <f t="shared" si="0"/>
        <v>-</v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" customHeight="1">
      <c r="A11" s="85">
        <v>7</v>
      </c>
      <c r="B11" s="129" t="s">
        <v>710</v>
      </c>
      <c r="C11" s="130" t="s">
        <v>703</v>
      </c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1</v>
      </c>
    </row>
    <row r="12" spans="1:36" ht="13.9" customHeight="1">
      <c r="A12" s="85">
        <v>8</v>
      </c>
      <c r="B12" s="129"/>
      <c r="C12" s="130" t="s">
        <v>500</v>
      </c>
      <c r="D12" s="62"/>
      <c r="E12" s="101"/>
      <c r="F12" s="64"/>
      <c r="G12" s="65"/>
      <c r="H12" s="215" t="str">
        <f t="shared" si="0"/>
        <v>-</v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" customHeight="1">
      <c r="A13" s="85">
        <v>9</v>
      </c>
      <c r="B13" s="129"/>
      <c r="C13" s="130" t="s">
        <v>511</v>
      </c>
      <c r="D13" s="62"/>
      <c r="E13" s="101"/>
      <c r="F13" s="64"/>
      <c r="G13" s="65"/>
      <c r="H13" s="215" t="str">
        <f t="shared" si="0"/>
        <v>-</v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" customHeight="1">
      <c r="A14" s="85">
        <v>10</v>
      </c>
      <c r="B14" s="129"/>
      <c r="C14" s="130" t="s">
        <v>704</v>
      </c>
      <c r="D14" s="62"/>
      <c r="E14" s="101"/>
      <c r="F14" s="64"/>
      <c r="G14" s="65"/>
      <c r="H14" s="215" t="str">
        <f t="shared" si="0"/>
        <v>-</v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" customHeight="1">
      <c r="A15" s="85">
        <v>11</v>
      </c>
      <c r="B15" s="129"/>
      <c r="C15" s="130" t="s">
        <v>481</v>
      </c>
      <c r="D15" s="62"/>
      <c r="E15" s="101"/>
      <c r="F15" s="64"/>
      <c r="G15" s="65"/>
      <c r="H15" s="215" t="str">
        <f t="shared" si="0"/>
        <v>-</v>
      </c>
      <c r="I15" s="4"/>
      <c r="J15" s="267" t="s">
        <v>369</v>
      </c>
      <c r="K15" s="267"/>
      <c r="L15" s="4"/>
      <c r="M15" s="4"/>
      <c r="N15" s="4"/>
      <c r="O15" s="4"/>
      <c r="P15" s="4"/>
      <c r="AA15" s="108">
        <f t="shared" si="1"/>
        <v>0</v>
      </c>
    </row>
    <row r="16" spans="1:36" ht="13.9" customHeight="1">
      <c r="A16" s="85">
        <v>12</v>
      </c>
      <c r="B16" s="129" t="s">
        <v>710</v>
      </c>
      <c r="C16" s="130" t="s">
        <v>503</v>
      </c>
      <c r="D16" s="62"/>
      <c r="E16" s="101"/>
      <c r="F16" s="64"/>
      <c r="G16" s="65"/>
      <c r="H16" s="215" t="str">
        <f t="shared" si="0"/>
        <v/>
      </c>
      <c r="I16" s="4"/>
      <c r="J16" s="268"/>
      <c r="K16" s="268"/>
      <c r="L16" s="4"/>
      <c r="M16" s="4"/>
      <c r="N16" s="4"/>
      <c r="O16" s="4"/>
      <c r="P16" s="4"/>
      <c r="AA16" s="108">
        <f t="shared" si="1"/>
        <v>1</v>
      </c>
    </row>
    <row r="17" spans="1:27" ht="13.9" customHeight="1">
      <c r="A17" s="85">
        <v>13</v>
      </c>
      <c r="B17" s="129" t="s">
        <v>710</v>
      </c>
      <c r="C17" s="130" t="s">
        <v>705</v>
      </c>
      <c r="D17" s="62" t="s">
        <v>708</v>
      </c>
      <c r="E17" s="101"/>
      <c r="F17" s="64"/>
      <c r="G17" s="65"/>
      <c r="H17" s="215" t="str">
        <f t="shared" si="0"/>
        <v/>
      </c>
      <c r="I17" s="4"/>
      <c r="J17" s="258" t="s">
        <v>652</v>
      </c>
      <c r="K17" s="259"/>
      <c r="L17" s="259"/>
      <c r="M17" s="259"/>
      <c r="N17" s="259"/>
      <c r="O17" s="260"/>
      <c r="P17" s="4"/>
      <c r="AA17" s="108">
        <f t="shared" si="1"/>
        <v>1</v>
      </c>
    </row>
    <row r="18" spans="1:27" ht="13.9" customHeight="1">
      <c r="A18" s="85">
        <v>14</v>
      </c>
      <c r="B18" s="129" t="s">
        <v>710</v>
      </c>
      <c r="C18" s="130" t="s">
        <v>705</v>
      </c>
      <c r="D18" s="62" t="s">
        <v>709</v>
      </c>
      <c r="E18" s="101"/>
      <c r="F18" s="64"/>
      <c r="G18" s="65"/>
      <c r="H18" s="215" t="str">
        <f t="shared" si="0"/>
        <v/>
      </c>
      <c r="I18" s="4"/>
      <c r="J18" s="261"/>
      <c r="K18" s="262"/>
      <c r="L18" s="262"/>
      <c r="M18" s="262"/>
      <c r="N18" s="262"/>
      <c r="O18" s="263"/>
      <c r="P18" s="4"/>
      <c r="AA18" s="108">
        <f t="shared" si="1"/>
        <v>1</v>
      </c>
    </row>
    <row r="19" spans="1:27" ht="13.9" customHeight="1">
      <c r="A19" s="85">
        <v>15</v>
      </c>
      <c r="B19" s="129"/>
      <c r="C19" s="130" t="s">
        <v>706</v>
      </c>
      <c r="D19" s="62"/>
      <c r="E19" s="101"/>
      <c r="F19" s="64"/>
      <c r="G19" s="65"/>
      <c r="H19" s="215" t="str">
        <f t="shared" si="0"/>
        <v>-</v>
      </c>
      <c r="I19" s="4"/>
      <c r="J19" s="261"/>
      <c r="K19" s="262"/>
      <c r="L19" s="262"/>
      <c r="M19" s="262"/>
      <c r="N19" s="262"/>
      <c r="O19" s="263"/>
      <c r="P19" s="4"/>
      <c r="AA19" s="108">
        <f t="shared" si="1"/>
        <v>0</v>
      </c>
    </row>
    <row r="20" spans="1:27" ht="13.9" customHeight="1">
      <c r="A20" s="85">
        <v>16</v>
      </c>
      <c r="B20" s="129"/>
      <c r="C20" s="130" t="s">
        <v>468</v>
      </c>
      <c r="D20" s="62"/>
      <c r="E20" s="101"/>
      <c r="F20" s="64"/>
      <c r="G20" s="65"/>
      <c r="H20" s="215" t="str">
        <f t="shared" si="0"/>
        <v>-</v>
      </c>
      <c r="I20" s="4"/>
      <c r="J20" s="261"/>
      <c r="K20" s="262"/>
      <c r="L20" s="262"/>
      <c r="M20" s="262"/>
      <c r="N20" s="262"/>
      <c r="O20" s="263"/>
      <c r="P20" s="4"/>
      <c r="AA20" s="108">
        <f t="shared" si="1"/>
        <v>0</v>
      </c>
    </row>
    <row r="21" spans="1:27" ht="13.9" customHeight="1">
      <c r="A21" s="85">
        <v>17</v>
      </c>
      <c r="B21" s="129" t="s">
        <v>710</v>
      </c>
      <c r="C21" s="130" t="s">
        <v>480</v>
      </c>
      <c r="D21" s="62" t="s">
        <v>709</v>
      </c>
      <c r="E21" s="101"/>
      <c r="F21" s="64"/>
      <c r="G21" s="65"/>
      <c r="H21" s="215" t="str">
        <f t="shared" si="0"/>
        <v/>
      </c>
      <c r="I21" s="4"/>
      <c r="J21" s="261"/>
      <c r="K21" s="262"/>
      <c r="L21" s="262"/>
      <c r="M21" s="262"/>
      <c r="N21" s="262"/>
      <c r="O21" s="263"/>
      <c r="P21" s="4"/>
      <c r="AA21" s="108">
        <f t="shared" si="1"/>
        <v>1</v>
      </c>
    </row>
    <row r="22" spans="1:27" ht="13.9" customHeight="1">
      <c r="A22" s="85">
        <v>18</v>
      </c>
      <c r="B22" s="129" t="s">
        <v>710</v>
      </c>
      <c r="C22" s="130" t="s">
        <v>480</v>
      </c>
      <c r="D22" s="63" t="s">
        <v>708</v>
      </c>
      <c r="E22" s="101"/>
      <c r="F22" s="64"/>
      <c r="G22" s="65"/>
      <c r="H22" s="215" t="str">
        <f t="shared" si="0"/>
        <v/>
      </c>
      <c r="I22" s="4"/>
      <c r="J22" s="261"/>
      <c r="K22" s="262"/>
      <c r="L22" s="262"/>
      <c r="M22" s="262"/>
      <c r="N22" s="262"/>
      <c r="O22" s="263"/>
      <c r="P22" s="4"/>
      <c r="AA22" s="108">
        <f t="shared" si="1"/>
        <v>1</v>
      </c>
    </row>
    <row r="23" spans="1:27" ht="13.9" customHeight="1">
      <c r="A23" s="85">
        <v>19</v>
      </c>
      <c r="B23" s="129"/>
      <c r="C23" s="130" t="s">
        <v>707</v>
      </c>
      <c r="D23" s="62"/>
      <c r="E23" s="101"/>
      <c r="F23" s="64"/>
      <c r="G23" s="65"/>
      <c r="H23" s="215" t="str">
        <f t="shared" si="0"/>
        <v>-</v>
      </c>
      <c r="I23" s="4"/>
      <c r="J23" s="261"/>
      <c r="K23" s="262"/>
      <c r="L23" s="262"/>
      <c r="M23" s="262"/>
      <c r="N23" s="262"/>
      <c r="O23" s="263"/>
      <c r="P23" s="4"/>
      <c r="AA23" s="108">
        <f t="shared" si="1"/>
        <v>0</v>
      </c>
    </row>
    <row r="24" spans="1:27" ht="13.9" customHeight="1">
      <c r="A24" s="85">
        <v>20</v>
      </c>
      <c r="B24" s="129" t="s">
        <v>710</v>
      </c>
      <c r="C24" s="130" t="s">
        <v>504</v>
      </c>
      <c r="D24" s="62"/>
      <c r="E24" s="101"/>
      <c r="F24" s="64"/>
      <c r="G24" s="65"/>
      <c r="H24" s="215" t="str">
        <f t="shared" si="0"/>
        <v/>
      </c>
      <c r="I24" s="4"/>
      <c r="J24" s="264"/>
      <c r="K24" s="265"/>
      <c r="L24" s="265"/>
      <c r="M24" s="265"/>
      <c r="N24" s="265"/>
      <c r="O24" s="266"/>
      <c r="P24" s="4"/>
      <c r="AA24" s="108">
        <f t="shared" si="1"/>
        <v>1</v>
      </c>
    </row>
    <row r="25" spans="1:27" ht="13.9" customHeight="1">
      <c r="A25" s="85">
        <v>21</v>
      </c>
      <c r="B25" s="129"/>
      <c r="C25" s="130" t="s">
        <v>476</v>
      </c>
      <c r="D25" s="62"/>
      <c r="E25" s="101"/>
      <c r="F25" s="64"/>
      <c r="G25" s="65"/>
      <c r="H25" s="215" t="str">
        <f t="shared" si="0"/>
        <v>-</v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" customHeight="1">
      <c r="A26" s="85">
        <v>22</v>
      </c>
      <c r="B26" s="129"/>
      <c r="C26" s="130" t="s">
        <v>467</v>
      </c>
      <c r="D26" s="62"/>
      <c r="E26" s="101"/>
      <c r="F26" s="64"/>
      <c r="G26" s="65"/>
      <c r="H26" s="215" t="str">
        <f t="shared" si="0"/>
        <v>-</v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0</v>
      </c>
    </row>
    <row r="27" spans="1:27" ht="13.9" customHeight="1">
      <c r="A27" s="85">
        <v>23</v>
      </c>
      <c r="B27" s="129"/>
      <c r="C27" s="130" t="s">
        <v>528</v>
      </c>
      <c r="D27" s="62"/>
      <c r="E27" s="101"/>
      <c r="F27" s="64"/>
      <c r="G27" s="65"/>
      <c r="H27" s="215" t="str">
        <f t="shared" si="0"/>
        <v>-</v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" customHeight="1">
      <c r="A28" s="85">
        <v>24</v>
      </c>
      <c r="B28" s="129" t="s">
        <v>710</v>
      </c>
      <c r="C28" s="130" t="s">
        <v>563</v>
      </c>
      <c r="D28" s="62"/>
      <c r="E28" s="101"/>
      <c r="F28" s="64"/>
      <c r="G28" s="65"/>
      <c r="H28" s="21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1</v>
      </c>
    </row>
    <row r="29" spans="1:27" ht="13.9" customHeight="1">
      <c r="A29" s="85">
        <v>25</v>
      </c>
      <c r="B29" s="129"/>
      <c r="C29" s="130" t="s">
        <v>498</v>
      </c>
      <c r="D29" s="62"/>
      <c r="E29" s="101"/>
      <c r="F29" s="64"/>
      <c r="G29" s="65"/>
      <c r="H29" s="215" t="str">
        <f t="shared" si="0"/>
        <v>-</v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" customHeight="1">
      <c r="A30" s="85">
        <v>26</v>
      </c>
      <c r="B30" s="129"/>
      <c r="C30" s="130"/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9" customHeight="1">
      <c r="A31" s="85">
        <v>27</v>
      </c>
      <c r="B31" s="129"/>
      <c r="C31" s="130"/>
      <c r="D31" s="62"/>
      <c r="E31" s="101"/>
      <c r="F31" s="64"/>
      <c r="G31" s="65"/>
      <c r="H31" s="21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5" customWidth="1"/>
    <col min="2" max="2" width="32.75" style="45" customWidth="1"/>
    <col min="3" max="7" width="16.625" style="47" customWidth="1"/>
    <col min="8" max="9" width="3.375" style="45" customWidth="1"/>
    <col min="10" max="14" width="14" style="174" customWidth="1"/>
    <col min="15" max="15" width="3.375" style="174" customWidth="1"/>
    <col min="16" max="20" width="14" style="174" customWidth="1"/>
    <col min="21" max="21" width="3.375" style="174" customWidth="1"/>
    <col min="22" max="26" width="14" style="174" customWidth="1"/>
    <col min="27" max="27" width="3.375" style="174" customWidth="1"/>
    <col min="28" max="32" width="14" style="174" customWidth="1"/>
    <col min="33" max="33" width="3.375" style="174" customWidth="1"/>
    <col min="34" max="38" width="14" style="174" customWidth="1"/>
    <col min="39" max="39" width="3.375" style="174" customWidth="1"/>
    <col min="40" max="44" width="14" style="174" customWidth="1"/>
    <col min="45" max="45" width="3.375" style="174" customWidth="1"/>
    <col min="46" max="50" width="14" style="174" customWidth="1"/>
    <col min="51" max="51" width="3.375" style="174" customWidth="1"/>
    <col min="52" max="56" width="14" style="174" customWidth="1"/>
    <col min="57" max="57" width="3.375" style="174" customWidth="1"/>
    <col min="58" max="62" width="14" style="174" customWidth="1"/>
    <col min="63" max="16384" width="8.75" style="45"/>
  </cols>
  <sheetData>
    <row r="1" spans="1:78" ht="15" customHeight="1">
      <c r="A1" s="38"/>
      <c r="B1" s="269" t="s">
        <v>240</v>
      </c>
      <c r="C1" s="27"/>
      <c r="D1" s="27"/>
      <c r="E1" s="27"/>
      <c r="F1" s="27"/>
      <c r="G1" s="27"/>
      <c r="H1" s="38"/>
      <c r="J1" s="275" t="s">
        <v>645</v>
      </c>
      <c r="K1" s="276"/>
      <c r="L1" s="276"/>
      <c r="M1" s="276"/>
      <c r="N1" s="277"/>
    </row>
    <row r="2" spans="1:78" ht="15" customHeight="1">
      <c r="A2" s="38"/>
      <c r="B2" s="269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82"/>
      <c r="G4" s="283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8"/>
      <c r="G5" s="279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80" t="str">
        <f>IF('Navarik 설정'!C22="","",'Navarik 설정'!C22)</f>
        <v>GASOIL 0.001%S</v>
      </c>
      <c r="G6" s="281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686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686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D21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229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 t="s">
        <v>315</v>
      </c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711</v>
      </c>
      <c r="D7" s="252"/>
      <c r="E7" s="133" t="s">
        <v>735</v>
      </c>
      <c r="F7" s="253"/>
      <c r="G7" s="22"/>
      <c r="H7" s="254" t="s">
        <v>757</v>
      </c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711</v>
      </c>
      <c r="D8" s="252"/>
      <c r="E8" s="133" t="s">
        <v>736</v>
      </c>
      <c r="F8" s="253"/>
      <c r="G8" s="22"/>
      <c r="H8" s="254" t="s">
        <v>757</v>
      </c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712</v>
      </c>
      <c r="D9" s="252"/>
      <c r="E9" s="133" t="s">
        <v>737</v>
      </c>
      <c r="F9" s="255"/>
      <c r="G9" s="22"/>
      <c r="H9" s="254" t="s">
        <v>758</v>
      </c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713</v>
      </c>
      <c r="D10" s="252"/>
      <c r="E10" s="133" t="s">
        <v>737</v>
      </c>
      <c r="F10" s="255"/>
      <c r="G10" s="22"/>
      <c r="H10" s="21" t="s">
        <v>759</v>
      </c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714</v>
      </c>
      <c r="D11" s="252"/>
      <c r="E11" s="133" t="s">
        <v>738</v>
      </c>
      <c r="F11" s="253"/>
      <c r="G11" s="22"/>
      <c r="H11" s="254" t="s">
        <v>760</v>
      </c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714</v>
      </c>
      <c r="D12" s="252"/>
      <c r="E12" s="133" t="s">
        <v>739</v>
      </c>
      <c r="F12" s="253"/>
      <c r="G12" s="22"/>
      <c r="H12" s="254" t="s">
        <v>760</v>
      </c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 t="s">
        <v>715</v>
      </c>
      <c r="D13" s="252"/>
      <c r="E13" s="133" t="s">
        <v>740</v>
      </c>
      <c r="F13" s="253"/>
      <c r="G13" s="22"/>
      <c r="H13" s="254" t="s">
        <v>760</v>
      </c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716</v>
      </c>
      <c r="D14" s="252"/>
      <c r="E14" s="133" t="s">
        <v>741</v>
      </c>
      <c r="F14" s="253"/>
      <c r="G14" s="22"/>
      <c r="H14" s="254" t="s">
        <v>760</v>
      </c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717</v>
      </c>
      <c r="D15" s="252"/>
      <c r="E15" s="133" t="s">
        <v>742</v>
      </c>
      <c r="F15" s="253"/>
      <c r="G15" s="22"/>
      <c r="H15" s="254" t="s">
        <v>761</v>
      </c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 t="s">
        <v>718</v>
      </c>
      <c r="D16" s="252"/>
      <c r="E16" s="133" t="s">
        <v>743</v>
      </c>
      <c r="F16" s="253"/>
      <c r="G16" s="22"/>
      <c r="H16" s="254" t="s">
        <v>762</v>
      </c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 t="s">
        <v>719</v>
      </c>
      <c r="D17" s="252"/>
      <c r="E17" s="133" t="s">
        <v>744</v>
      </c>
      <c r="F17" s="253"/>
      <c r="G17" s="22"/>
      <c r="H17" s="254" t="s">
        <v>762</v>
      </c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 t="s">
        <v>720</v>
      </c>
      <c r="D18" s="252"/>
      <c r="E18" s="133" t="s">
        <v>743</v>
      </c>
      <c r="F18" s="253"/>
      <c r="G18" s="22"/>
      <c r="H18" s="254" t="s">
        <v>759</v>
      </c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 t="s">
        <v>721</v>
      </c>
      <c r="D19" s="252"/>
      <c r="E19" s="133" t="s">
        <v>745</v>
      </c>
      <c r="F19" s="253"/>
      <c r="G19" s="22"/>
      <c r="H19" s="21" t="s">
        <v>759</v>
      </c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 t="s">
        <v>722</v>
      </c>
      <c r="D20" s="252"/>
      <c r="E20" s="133" t="s">
        <v>746</v>
      </c>
      <c r="F20" s="253"/>
      <c r="G20" s="22"/>
      <c r="H20" s="254" t="s">
        <v>763</v>
      </c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 t="s">
        <v>723</v>
      </c>
      <c r="D21" s="252"/>
      <c r="E21" s="133" t="s">
        <v>747</v>
      </c>
      <c r="F21" s="253"/>
      <c r="G21" s="22"/>
      <c r="H21" s="254" t="s">
        <v>762</v>
      </c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 t="s">
        <v>724</v>
      </c>
      <c r="D22" s="252"/>
      <c r="E22" s="133" t="s">
        <v>748</v>
      </c>
      <c r="F22" s="253"/>
      <c r="G22" s="22"/>
      <c r="H22" s="21" t="s">
        <v>764</v>
      </c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 t="s">
        <v>725</v>
      </c>
      <c r="D23" s="252"/>
      <c r="E23" s="133" t="s">
        <v>749</v>
      </c>
      <c r="F23" s="253"/>
      <c r="G23" s="22"/>
      <c r="H23" s="21" t="s">
        <v>765</v>
      </c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 t="s">
        <v>726</v>
      </c>
      <c r="D24" s="252"/>
      <c r="E24" s="133" t="s">
        <v>750</v>
      </c>
      <c r="F24" s="253"/>
      <c r="G24" s="22"/>
      <c r="H24" s="254" t="s">
        <v>737</v>
      </c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 t="s">
        <v>727</v>
      </c>
      <c r="D25" s="252"/>
      <c r="E25" s="133" t="s">
        <v>751</v>
      </c>
      <c r="F25" s="253"/>
      <c r="G25" s="22"/>
      <c r="H25" s="254" t="s">
        <v>762</v>
      </c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 t="s">
        <v>728</v>
      </c>
      <c r="D26" s="252"/>
      <c r="E26" s="133" t="s">
        <v>752</v>
      </c>
      <c r="F26" s="253"/>
      <c r="G26" s="22"/>
      <c r="H26" s="21" t="s">
        <v>766</v>
      </c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 t="s">
        <v>729</v>
      </c>
      <c r="D27" s="252"/>
      <c r="E27" s="133" t="s">
        <v>753</v>
      </c>
      <c r="F27" s="253"/>
      <c r="G27" s="22"/>
      <c r="H27" s="254" t="s">
        <v>767</v>
      </c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 t="s">
        <v>730</v>
      </c>
      <c r="D28" s="252"/>
      <c r="E28" s="133" t="s">
        <v>754</v>
      </c>
      <c r="F28" s="253"/>
      <c r="G28" s="22"/>
      <c r="H28" s="254" t="s">
        <v>768</v>
      </c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 t="s">
        <v>731</v>
      </c>
      <c r="D29" s="252"/>
      <c r="E29" s="133" t="s">
        <v>755</v>
      </c>
      <c r="F29" s="253"/>
      <c r="G29" s="22"/>
      <c r="H29" s="254" t="s">
        <v>766</v>
      </c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 t="s">
        <v>732</v>
      </c>
      <c r="D30" s="252"/>
      <c r="E30" s="133" t="s">
        <v>756</v>
      </c>
      <c r="F30" s="253"/>
      <c r="G30" s="22"/>
      <c r="H30" s="254" t="s">
        <v>769</v>
      </c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 t="s">
        <v>733</v>
      </c>
      <c r="D31" s="252"/>
      <c r="E31" s="133" t="s">
        <v>749</v>
      </c>
      <c r="F31" s="253"/>
      <c r="G31" s="22"/>
      <c r="H31" s="254" t="s">
        <v>765</v>
      </c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 t="s">
        <v>734</v>
      </c>
      <c r="D32" s="252"/>
      <c r="E32" s="133" t="s">
        <v>743</v>
      </c>
      <c r="F32" s="253"/>
      <c r="G32" s="22"/>
      <c r="H32" s="254" t="s">
        <v>766</v>
      </c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 t="s">
        <v>734</v>
      </c>
      <c r="D33" s="252"/>
      <c r="E33" s="133" t="s">
        <v>743</v>
      </c>
      <c r="F33" s="253"/>
      <c r="G33" s="22"/>
      <c r="H33" s="254" t="s">
        <v>766</v>
      </c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 t="s">
        <v>734</v>
      </c>
      <c r="D34" s="252"/>
      <c r="E34" s="133" t="s">
        <v>743</v>
      </c>
      <c r="F34" s="253"/>
      <c r="G34" s="22"/>
      <c r="H34" s="254" t="s">
        <v>766</v>
      </c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 t="s">
        <v>734</v>
      </c>
      <c r="D35" s="252"/>
      <c r="E35" s="133" t="s">
        <v>743</v>
      </c>
      <c r="F35" s="253"/>
      <c r="G35" s="22"/>
      <c r="H35" s="254" t="s">
        <v>766</v>
      </c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 t="s">
        <v>734</v>
      </c>
      <c r="D36" s="252"/>
      <c r="E36" s="133" t="s">
        <v>737</v>
      </c>
      <c r="F36" s="253"/>
      <c r="G36" s="22"/>
      <c r="H36" s="254" t="s">
        <v>766</v>
      </c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84"/>
      <c r="G85" s="284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49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26D8EBF5-4B5A-4AA2-AF5F-1B06723D64AC}">
      <formula1>"* ,[ASTM] D974,[IP] IP 139,[ASTM] D664"</formula1>
    </dataValidation>
    <dataValidation type="list" allowBlank="1" showInputMessage="1" showErrorMessage="1" sqref="D8" xr:uid="{D80B1FC4-E52B-4C38-B05E-05AFF8722ECD}">
      <formula1>"* ,[ASTM] D664,[IP] IP 139,[ASTM] D974"</formula1>
    </dataValidation>
    <dataValidation type="list" allowBlank="1" showInputMessage="1" showErrorMessage="1" sqref="D9 D10" xr:uid="{A9752395-3EAA-4839-ACAB-56D815C09658}">
      <formula1>"* ,[ASTM] D4176 Procedure 2"</formula1>
    </dataValidation>
    <dataValidation type="list" allowBlank="1" showInputMessage="1" showErrorMessage="1" sqref="D11 D12" xr:uid="{9674D4F2-C903-4A81-97DA-9B5F6B395BCB}">
      <formula1>"* ,[IP] IP 391"</formula1>
    </dataValidation>
    <dataValidation type="list" allowBlank="1" showInputMessage="1" showErrorMessage="1" sqref="D13" xr:uid="{1C7C3541-19DE-4C2F-9934-3A23889C4325}">
      <formula1>"* ,[IP] IP 4,[ASTM] D482"</formula1>
    </dataValidation>
    <dataValidation type="list" allowBlank="1" showInputMessage="1" showErrorMessage="1" sqref="D14" xr:uid="{EC1976E6-673F-45E3-A93B-42E419394690}">
      <formula1>"* ,[ASTM] D189,[ASTM] D4530"</formula1>
    </dataValidation>
    <dataValidation type="list" allowBlank="1" showInputMessage="1" showErrorMessage="1" sqref="D15" xr:uid="{64AB3052-82D8-4D87-92AF-C7DA05EDF131}">
      <formula1>"* ,[ASTM] D4737"</formula1>
    </dataValidation>
    <dataValidation type="list" allowBlank="1" showInputMessage="1" showErrorMessage="1" sqref="D16" xr:uid="{066D9DCD-5F67-4F17-8A7C-3B302BDBBE0A}">
      <formula1>"* ,[IP] IP 309"</formula1>
    </dataValidation>
    <dataValidation type="list" allowBlank="1" showInputMessage="1" showErrorMessage="1" sqref="D17" xr:uid="{2404D460-CE04-4EF6-ACC0-8ADFF60901E7}">
      <formula1>"* ,[ASTM] D5771,[ASTM] D2500,[IP] IP 219,[ASTM] D5773"</formula1>
    </dataValidation>
    <dataValidation type="list" allowBlank="1" showInputMessage="1" showErrorMessage="1" sqref="D18" xr:uid="{ED0B68E1-680E-4122-9266-45FC2A508483}">
      <formula1>"* ,[IP] IP 196,[ASTM] D1500,[ASTM] D6045"</formula1>
    </dataValidation>
    <dataValidation type="list" allowBlank="1" showInputMessage="1" showErrorMessage="1" sqref="D19" xr:uid="{D270BB8F-848F-4692-B6B7-F4B3D32A0F35}">
      <formula1>"* ,[IP] IP 154,[ASTM] D130"</formula1>
    </dataValidation>
    <dataValidation type="list" allowBlank="1" showInputMessage="1" showErrorMessage="1" sqref="D20" xr:uid="{FDB9B34E-99A2-4F9C-8BB4-171763C5C285}">
      <formula1>"* ,[ASTM] D4052,[ASTM] D1298"</formula1>
    </dataValidation>
    <dataValidation type="list" allowBlank="1" showInputMessage="1" showErrorMessage="1" sqref="D21" xr:uid="{DDF78D89-BB76-477D-A56B-2F6EC7DDBEF3}">
      <formula1>"* ,[IP] IP 123,[ASTM] D86"</formula1>
    </dataValidation>
    <dataValidation type="list" allowBlank="1" showInputMessage="1" showErrorMessage="1" sqref="D22" xr:uid="{473485CE-E1C6-450D-9088-6E58D97ED609}">
      <formula1>"* ,[ASTM] D2624"</formula1>
    </dataValidation>
    <dataValidation type="list" allowBlank="1" showInputMessage="1" showErrorMessage="1" sqref="D23" xr:uid="{A0EDF01D-FB95-42D7-8019-5971235F8D83}">
      <formula1>"* ,[EN] EN 14078"</formula1>
    </dataValidation>
    <dataValidation type="list" allowBlank="1" showInputMessage="1" showErrorMessage="1" sqref="D24" xr:uid="{8009DBD2-C33C-41AE-9A6C-F925DDE7724E}">
      <formula1>"* ,[IP] IP 387,[ASTM] D2068"</formula1>
    </dataValidation>
    <dataValidation type="list" allowBlank="1" showInputMessage="1" showErrorMessage="1" sqref="D25" xr:uid="{8D27BDB8-24F6-47F6-80C2-695D9766889C}">
      <formula1>"* ,[ASTM] D93"</formula1>
    </dataValidation>
    <dataValidation type="list" allowBlank="1" showInputMessage="1" showErrorMessage="1" sqref="D26" xr:uid="{8C44B747-0752-49A8-8EE7-59AD4F04E0CA}">
      <formula1>"* ,[IP] IP 570 - Procedure A"</formula1>
    </dataValidation>
    <dataValidation type="list" allowBlank="1" showInputMessage="1" showErrorMessage="1" sqref="D27" xr:uid="{066FBF2E-9FD4-4364-B586-CE3DADBF95DB}">
      <formula1>"* ,[IP] IP 450"</formula1>
    </dataValidation>
    <dataValidation type="list" allowBlank="1" showInputMessage="1" showErrorMessage="1" sqref="D28" xr:uid="{4119C46C-454B-410A-9C3E-5FCF8A985534}">
      <formula1>"* ,[ASTM] D2274"</formula1>
    </dataValidation>
    <dataValidation type="list" allowBlank="1" showInputMessage="1" showErrorMessage="1" sqref="D29" xr:uid="{E3985F9C-8430-4DEE-8DAC-82F818B213FF}">
      <formula1>"* ,[ASTM] D5453,[ASTM] D2622"</formula1>
    </dataValidation>
    <dataValidation type="list" allowBlank="1" showInputMessage="1" showErrorMessage="1" sqref="D30" xr:uid="{C82C649F-52D7-4489-AC70-33EF692C4E0A}">
      <formula1>"* ,[IP] IP 71 Section 1,[ASTM] D445"</formula1>
    </dataValidation>
    <dataValidation type="list" allowBlank="1" showInputMessage="1" showErrorMessage="1" sqref="D31" xr:uid="{F6BADDE0-9E13-4DB7-96EC-1E0B5BED8B47}">
      <formula1>"* ,[ASTM] D2709"</formula1>
    </dataValidation>
    <dataValidation type="list" allowBlank="1" showInputMessage="1" showErrorMessage="1" sqref="D32 D33 D34 D35 D36" xr:uid="{FB51BA99-7B61-4A06-B04D-8A93C3F5A578}">
      <formula1>"* ,[OTHER] Additives (declaration)"</formula1>
    </dataValidation>
    <dataValidation type="list" allowBlank="1" showInputMessage="1" showErrorMessage="1" sqref="H7 H8" xr:uid="{8758118B-18C7-4BDB-817F-ABB812B5C42D}">
      <formula1>"mg KOH/g,mg NaOH/100ml,mg NaOH/g,mg/kg,mg/l"</formula1>
    </dataValidation>
    <dataValidation type="list" allowBlank="1" showInputMessage="1" showErrorMessage="1" sqref="H9" xr:uid="{413DF7B9-770B-464B-A151-FF76BE1C7C85}">
      <formula1>"haze no,n/a,pass/fail,rating,visual"</formula1>
    </dataValidation>
    <dataValidation type="list" allowBlank="1" showInputMessage="1" showErrorMessage="1" sqref="H10 H19" xr:uid="{DAE6F6B0-8A4C-4A03-8A62-B077BB45F17D}">
      <formula1>"rating"</formula1>
    </dataValidation>
    <dataValidation type="list" allowBlank="1" showInputMessage="1" showErrorMessage="1" sqref="H11 H12" xr:uid="{1A704635-5BB2-4E7B-BFC9-6CE4264C73D0}">
      <formula1>"ppm,%liq vol,%m/m,%mole,%wt,%vol"</formula1>
    </dataValidation>
    <dataValidation type="list" allowBlank="1" showInputMessage="1" showErrorMessage="1" sqref="H13" xr:uid="{204ACC83-0577-4A28-8D6D-D79D9FE03310}">
      <formula1>"ppm w/w,%m,%m/m,%wt"</formula1>
    </dataValidation>
    <dataValidation type="list" allowBlank="1" showInputMessage="1" showErrorMessage="1" sqref="H14" xr:uid="{E3DC8C9E-CE50-4C34-8E4B-21DC30FE7876}">
      <formula1>"LT,MT (Vac),%m/m,%wt"</formula1>
    </dataValidation>
    <dataValidation type="list" allowBlank="1" showInputMessage="1" showErrorMessage="1" sqref="H15" xr:uid="{41A13656-003E-4160-ABB4-93CB36301154}">
      <formula1>"calc,rating"</formula1>
    </dataValidation>
    <dataValidation type="list" allowBlank="1" showInputMessage="1" showErrorMessage="1" sqref="H16 H17 H25" xr:uid="{43C48935-075E-437A-A8EA-738A2F2803B6}">
      <formula1>"°C,°F"</formula1>
    </dataValidation>
    <dataValidation type="list" allowBlank="1" showInputMessage="1" showErrorMessage="1" sqref="H18" xr:uid="{9C162179-247F-46C9-8C47-0B1E0134BA51}">
      <formula1>"haze no,pass/fail,rating,visual"</formula1>
    </dataValidation>
    <dataValidation type="list" allowBlank="1" showInputMessage="1" showErrorMessage="1" sqref="H20" xr:uid="{ED4D0315-F8CD-48C8-9FD8-939C5BF176E0}">
      <formula1>"g/ cc,g/l,g/cm³,g/ml,kg/m³,kg/l,n/a,tonne/m³"</formula1>
    </dataValidation>
    <dataValidation type="list" allowBlank="1" showInputMessage="1" showErrorMessage="1" sqref="H21" xr:uid="{39DA89D8-4258-41A9-861B-DA975B302EAE}">
      <formula1>"°C,°F,%,%vol"</formula1>
    </dataValidation>
    <dataValidation type="list" allowBlank="1" showInputMessage="1" showErrorMessage="1" sqref="H22" xr:uid="{43A3AC0A-3531-4721-9F58-8D68ECEAD18A}">
      <formula1>"pS/m"</formula1>
    </dataValidation>
    <dataValidation type="list" allowBlank="1" showInputMessage="1" showErrorMessage="1" sqref="H23" xr:uid="{6CBA4BC2-C939-4E13-8F3A-6D8A3F8919CF}">
      <formula1>"%vol"</formula1>
    </dataValidation>
    <dataValidation type="list" allowBlank="1" showInputMessage="1" showErrorMessage="1" sqref="H24" xr:uid="{E382C87F-600B-49B9-A231-1FCC63D0E0DF}">
      <formula1>"°C,°F,kPa,ml,n/a"</formula1>
    </dataValidation>
    <dataValidation type="list" allowBlank="1" showInputMessage="1" showErrorMessage="1" sqref="H26" xr:uid="{3975BD26-B26B-43C2-936E-4B78CB63F4AF}">
      <formula1>"mg/kg"</formula1>
    </dataValidation>
    <dataValidation type="list" allowBlank="1" showInputMessage="1" showErrorMessage="1" sqref="H27" xr:uid="{709485A3-224E-4C48-8E1A-05D03AB033B2}">
      <formula1>"°C,μm,mm"</formula1>
    </dataValidation>
    <dataValidation type="list" allowBlank="1" showInputMessage="1" showErrorMessage="1" sqref="H28" xr:uid="{ACA7BD8C-6861-4578-9DEA-16A73380D351}">
      <formula1>"g/cm³,g/m³,hrs,kg/m³,mg/100ml,mg/l,mins,rating"</formula1>
    </dataValidation>
    <dataValidation type="list" allowBlank="1" showInputMessage="1" showErrorMessage="1" sqref="H29" xr:uid="{815424C6-49B7-4EC3-8865-27B124CC2AB9}">
      <formula1>"μg/g,mg/kg,mg/l,ppm,%m,%m/m,%wt"</formula1>
    </dataValidation>
    <dataValidation type="list" allowBlank="1" showInputMessage="1" showErrorMessage="1" sqref="H30" xr:uid="{EF6D3BA7-792F-4B20-992B-938B7A810AEA}">
      <formula1>"cSt,Engler,mm²/s,Pa·s,SUS"</formula1>
    </dataValidation>
    <dataValidation type="list" allowBlank="1" showInputMessage="1" showErrorMessage="1" sqref="H31" xr:uid="{173B8F89-E358-4084-8D89-CF1CC0269CC1}">
      <formula1>"%wt,%vol"</formula1>
    </dataValidation>
    <dataValidation type="list" allowBlank="1" showInputMessage="1" showErrorMessage="1" sqref="H32 H33 H34 H35 H36" xr:uid="{14467452-6705-40AD-AAD7-0AAC464476F1}">
      <formula1>"mg/kg,mg/l,ppm"</formula1>
    </dataValidation>
    <dataValidation type="list" allowBlank="1" showInputMessage="1" showErrorMessage="1" sqref="F7 F8 F11 F12 F13 F14 F15 F16 F17 F18 F19 F20 F21 F22 F23 F24 F25 F26 F27 F28 F29 F30 F31 F32 F33 F34 F35 F36" xr:uid="{D7C7629D-0EA9-4FD1-8493-212A4A1C062D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tabSelected="1"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230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 t="s">
        <v>311</v>
      </c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712</v>
      </c>
      <c r="D7" s="252"/>
      <c r="E7" s="133" t="s">
        <v>737</v>
      </c>
      <c r="F7" s="255"/>
      <c r="G7" s="22"/>
      <c r="H7" s="254" t="s">
        <v>758</v>
      </c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 t="s">
        <v>713</v>
      </c>
      <c r="D8" s="252"/>
      <c r="E8" s="133" t="s">
        <v>737</v>
      </c>
      <c r="F8" s="255"/>
      <c r="G8" s="22"/>
      <c r="H8" s="21" t="s">
        <v>759</v>
      </c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 t="s">
        <v>720</v>
      </c>
      <c r="D9" s="252"/>
      <c r="E9" s="133" t="s">
        <v>743</v>
      </c>
      <c r="F9" s="253"/>
      <c r="G9" s="22"/>
      <c r="H9" s="254" t="s">
        <v>759</v>
      </c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 t="s">
        <v>722</v>
      </c>
      <c r="D10" s="252"/>
      <c r="E10" s="133" t="s">
        <v>746</v>
      </c>
      <c r="F10" s="253"/>
      <c r="G10" s="22"/>
      <c r="H10" s="254" t="s">
        <v>763</v>
      </c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 t="s">
        <v>727</v>
      </c>
      <c r="D11" s="252"/>
      <c r="E11" s="133" t="s">
        <v>751</v>
      </c>
      <c r="F11" s="253"/>
      <c r="G11" s="22"/>
      <c r="H11" s="254" t="s">
        <v>762</v>
      </c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 t="s">
        <v>726</v>
      </c>
      <c r="D12" s="252"/>
      <c r="E12" s="133" t="s">
        <v>750</v>
      </c>
      <c r="F12" s="253"/>
      <c r="G12" s="22"/>
      <c r="H12" s="254" t="s">
        <v>737</v>
      </c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15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  <dataValidation type="list" allowBlank="1" showInputMessage="1" showErrorMessage="1" sqref="D7 D8" xr:uid="{E407A437-B237-4DA1-ABDD-2FD959D16DCF}">
      <formula1>"* ,[ASTM] D4176 Procedure 2"</formula1>
    </dataValidation>
    <dataValidation type="list" allowBlank="1" showInputMessage="1" showErrorMessage="1" sqref="D9" xr:uid="{7351E1A0-D788-4827-8FEF-5480C881DE2A}">
      <formula1>"* ,[IP] IP 196,[ASTM] D1500,[ASTM] D6045"</formula1>
    </dataValidation>
    <dataValidation type="list" allowBlank="1" showInputMessage="1" showErrorMessage="1" sqref="D10" xr:uid="{C91250E7-10CC-428A-A570-76EBC185826F}">
      <formula1>"* ,[ASTM] D4052,[ASTM] D1298"</formula1>
    </dataValidation>
    <dataValidation type="list" allowBlank="1" showInputMessage="1" showErrorMessage="1" sqref="D11" xr:uid="{D0FF3378-58A9-4CBA-8A14-0D427CC11591}">
      <formula1>"* ,[ASTM] D93"</formula1>
    </dataValidation>
    <dataValidation type="list" allowBlank="1" showInputMessage="1" showErrorMessage="1" sqref="D12" xr:uid="{C6ACD202-4501-492A-B14A-A58F0D794B84}">
      <formula1>"* ,[IP] IP 387,[ASTM] D2068"</formula1>
    </dataValidation>
    <dataValidation type="list" allowBlank="1" showInputMessage="1" showErrorMessage="1" sqref="H7" xr:uid="{236E2B50-0DD4-473D-9D90-C81A9FDE07FC}">
      <formula1>"haze no,n/a,pass/fail,rating,visual"</formula1>
    </dataValidation>
    <dataValidation type="list" allowBlank="1" showInputMessage="1" showErrorMessage="1" sqref="H8" xr:uid="{1B800ECC-6543-4CA7-8BBF-929FC0DB32DC}">
      <formula1>"rating"</formula1>
    </dataValidation>
    <dataValidation type="list" allowBlank="1" showInputMessage="1" showErrorMessage="1" sqref="H9" xr:uid="{F6E06F35-94D0-464E-BF9A-F4F96CE47C73}">
      <formula1>"haze no,pass/fail,rating,visual"</formula1>
    </dataValidation>
    <dataValidation type="list" allowBlank="1" showInputMessage="1" showErrorMessage="1" sqref="H10" xr:uid="{593B4AED-E413-49C6-9721-1CF75DC0E202}">
      <formula1>"g/cm³,g/ml,kg/m³,kg/l,n/a,tonne/m³,g/l,g/ cc"</formula1>
    </dataValidation>
    <dataValidation type="list" allowBlank="1" showInputMessage="1" showErrorMessage="1" sqref="H11" xr:uid="{D00BC211-310D-4EE5-A0B3-8D1594F71E8E}">
      <formula1>"°C,°F"</formula1>
    </dataValidation>
    <dataValidation type="list" allowBlank="1" showInputMessage="1" showErrorMessage="1" sqref="H12" xr:uid="{D4392196-9D28-421B-9A66-1472299D265D}">
      <formula1>"°C,°F,kPa,ml,n/a"</formula1>
    </dataValidation>
    <dataValidation type="list" allowBlank="1" showInputMessage="1" showErrorMessage="1" sqref="F9 F10 F11 F12" xr:uid="{8D584870-16E0-48E0-873D-92A84E6BCA96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232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233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234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235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236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237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238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239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45232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687</v>
      </c>
      <c r="J87" s="155" t="s">
        <v>691</v>
      </c>
      <c r="K87" t="s">
        <v>687</v>
      </c>
      <c r="L87" s="155" t="s">
        <v>691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688</v>
      </c>
      <c r="J88" s="155" t="s">
        <v>692</v>
      </c>
      <c r="K88" t="s">
        <v>688</v>
      </c>
      <c r="L88" s="155" t="s">
        <v>692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689</v>
      </c>
      <c r="J89" s="155" t="s">
        <v>693</v>
      </c>
      <c r="K89" t="s">
        <v>689</v>
      </c>
      <c r="L89" s="155" t="s">
        <v>693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690</v>
      </c>
      <c r="J90" s="155" t="s">
        <v>693</v>
      </c>
      <c r="K90" t="s">
        <v>690</v>
      </c>
      <c r="L90" s="155" t="s">
        <v>693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694</v>
      </c>
      <c r="J91" s="155" t="s">
        <v>695</v>
      </c>
      <c r="K91" t="s">
        <v>694</v>
      </c>
      <c r="L91" s="155" t="s">
        <v>695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2023-11-02T06:03:43Z</dcterms:modified>
</cp:coreProperties>
</file>