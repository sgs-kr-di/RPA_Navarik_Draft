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4_Chevron (23C766116-03) STI GRAMERCY_GASOLINE 92R_70KB_YOSU (N)\"/>
    </mc:Choice>
  </mc:AlternateContent>
  <xr:revisionPtr revIDLastSave="0" documentId="13_ncr:1_{F9DB6F59-60B0-4B9E-84E1-1027E83A7A96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<sst xmlns="http://schemas.openxmlformats.org/spreadsheetml/2006/main" count="1164" uniqueCount="751">
  <si>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</si>
  <si>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</si>
  <si>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</si>
  <si>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</si>
  <si>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</si>
  <si>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</si>
  <si>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</si>
  <si>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</si>
  <si>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</si>
  <si>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</si>
  <si>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</si>
  <si>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</si>
  <si>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</si>
  <si>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</si>
  <si>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</si>
  <si>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</si>
  <si>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</si>
  <si>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</si>
  <si>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</si>
  <si>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</si>
  <si>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</si>
  <si>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</si>
  <si>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</si>
  <si>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</si>
  <si>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</si>
  <si>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</si>
  <si>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</si>
  <si>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</si>
  <si>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</si>
  <si>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</si>
  <si>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</si>
  <si>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</si>
  <si>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</si>
  <si>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</si>
  <si>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</si>
  <si>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</si>
  <si>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</si>
  <si>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</si>
  <si>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</si>
  <si>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</si>
  <si>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</si>
  <si>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</si>
  <si>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</si>
  <si>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</si>
  <si>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</si>
  <si>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</si>
  <si>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</si>
  <si>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</si>
  <si>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</si>
  <si>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</si>
  <si>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</si>
  <si>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</si>
  <si>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</si>
  <si>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</si>
  <si>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</si>
  <si>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</si>
  <si>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</si>
  <si>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</si>
  <si>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</si>
  <si>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</si>
  <si>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</si>
  <si>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</si>
  <si>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</si>
  <si>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</si>
  <si>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</si>
  <si>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</si>
  <si>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</si>
  <si>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</si>
  <si>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</si>
  <si>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</si>
  <si>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</si>
  <si>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</si>
  <si>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</si>
  <si>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</si>
  <si>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</si>
  <si>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</si>
  <si>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</si>
  <si>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</si>
  <si>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</si>
  <si>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</si>
  <si>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</si>
  <si>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</si>
  <si>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</si>
  <si>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</si>
  <si>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</si>
  <si>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</si>
  <si>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</si>
  <si>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</si>
  <si>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</si>
  <si>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</si>
  <si>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</si>
  <si>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</si>
  <si>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</si>
  <si>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</si>
  <si>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</si>
  <si>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</si>
  <si>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</si>
  <si>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</si>
  <si>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</si>
  <si>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</si>
  <si>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</si>
  <si>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</si>
  <si>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</si>
  <si>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</si>
  <si>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</si>
  <si>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</si>
  <si>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</si>
  <si>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</si>
  <si>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</si>
  <si>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</si>
  <si>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</si>
  <si>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</si>
  <si>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</si>
  <si>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</si>
  <si>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</si>
  <si>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</si>
  <si>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</si>
  <si>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</si>
  <si>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</si>
  <si>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</si>
  <si>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</si>
  <si>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</si>
  <si>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</si>
  <si>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</si>
  <si>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</si>
  <si>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</si>
  <si>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</si>
  <si>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</si>
  <si>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</si>
  <si>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</si>
  <si>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</si>
  <si>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</si>
  <si>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</si>
  <si>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</si>
  <si>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</si>
  <si>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</si>
  <si>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</si>
  <si>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</si>
  <si>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</si>
  <si>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</si>
  <si>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</si>
  <si>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</si>
  <si>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</si>
  <si>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</si>
  <si>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</si>
  <si>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</si>
  <si>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</si>
  <si>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</si>
  <si>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</si>
  <si>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</si>
  <si>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</si>
  <si>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</si>
  <si>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</si>
  <si>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</si>
  <si>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</si>
  <si>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</si>
  <si>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</si>
  <si>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</si>
  <si>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</si>
  <si>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</si>
  <si>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</si>
  <si>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</si>
  <si>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</si>
  <si>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</si>
  <si>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</si>
  <si>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</si>
  <si>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</si>
  <si>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</si>
  <si>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</si>
  <si>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</si>
  <si>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</si>
  <si>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</si>
  <si>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</si>
  <si>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</si>
  <si>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</si>
  <si>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</si>
  <si>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</si>
  <si>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</si>
  <si>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</si>
  <si>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</si>
  <si>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</si>
  <si>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</si>
  <si>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</si>
  <si>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</si>
  <si>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</si>
  <si>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</si>
  <si>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</si>
  <si>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</si>
  <si>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</si>
  <si>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</si>
  <si>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</si>
  <si>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</si>
  <si>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</si>
  <si>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</si>
  <si>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</si>
  <si>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</si>
  <si>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</si>
  <si>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</si>
  <si>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</si>
  <si>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</si>
  <si>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</si>
  <si>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</si>
  <si>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</si>
  <si>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</si>
  <si>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</si>
  <si>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</si>
  <si>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</si>
  <si>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</si>
  <si>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</si>
  <si>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</si>
  <si>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</si>
  <si>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</si>
  <si>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</si>
  <si>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</si>
  <si>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</si>
  <si>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</si>
  <si>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</si>
  <si>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</si>
  <si>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</si>
  <si>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</si>
  <si>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</si>
  <si>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</si>
  <si>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</si>
  <si>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</si>
  <si>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</si>
  <si>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</si>
  <si>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</si>
  <si>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</si>
  <si>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</si>
  <si>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</si>
  <si>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</si>
  <si>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</si>
  <si>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</si>
  <si>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</si>
  <si>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</si>
  <si>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</si>
  <si>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</si>
  <si>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</si>
  <si>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</si>
  <si>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</si>
  <si>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</si>
  <si>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</si>
  <si>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</si>
  <si>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</si>
  <si>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</si>
  <si>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</si>
  <si>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</si>
  <si>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</si>
  <si>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</si>
  <si>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</si>
  <si>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</si>
  <si>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</si>
  <si>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</si>
  <si>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</si>
  <si>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</si>
  <si>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</si>
  <si>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</si>
  <si>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</si>
  <si>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</si>
  <si>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</si>
  <si>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</si>
  <si>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</si>
  <si>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</si>
  <si>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</si>
  <si>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</si>
  <si>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</si>
  <si>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</si>
  <si>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</si>
  <si>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</si>
  <si>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</si>
  <si>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</si>
  <si>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</si>
  <si>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</si>
  <si>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</si>
  <si>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</si>
  <si>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</si>
  <si>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</si>
  <si>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</si>
  <si>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</si>
  <si>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</si>
  <si>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</si>
  <si>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</si>
  <si>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</si>
  <si>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</si>
  <si>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</si>
  <si>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</si>
  <si>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</si>
  <si>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</si>
  <si>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</si>
  <si>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</si>
  <si>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</si>
  <si>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</si>
  <si>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</si>
  <si>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</si>
  <si>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</si>
  <si>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</si>
  <si>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</si>
  <si>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</si>
  <si>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</si>
  <si>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</si>
  <si>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</si>
  <si>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</si>
  <si>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</si>
  <si>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</si>
  <si>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</si>
  <si>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</si>
  <si>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</si>
  <si>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</si>
  <si>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</si>
  <si>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</si>
  <si>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</si>
  <si>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</si>
  <si>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</si>
  <si>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</si>
  <si>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</si>
  <si>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</si>
  <si>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</si>
  <si>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</si>
  <si>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</si>
  <si>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</si>
  <si>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</si>
  <si>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</si>
  <si>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</si>
  <si>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</si>
  <si>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</si>
  <si>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</si>
  <si>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</si>
  <si>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</si>
  <si>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</si>
  <si>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</si>
  <si>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</si>
  <si>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</si>
  <si>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</si>
  <si>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</si>
  <si>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</si>
  <si>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</si>
  <si>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</si>
  <si>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</si>
  <si>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</si>
  <si>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</si>
  <si>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</si>
  <si>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</si>
  <si>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</si>
  <si>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</si>
  <si>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</si>
  <si>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</si>
  <si>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</si>
  <si>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</si>
  <si>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</si>
  <si>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</si>
  <si>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</si>
  <si>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</si>
  <si>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</si>
  <si>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</si>
  <si>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</si>
  <si>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</si>
  <si>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</si>
  <si>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</si>
  <si>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</si>
  <si>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</si>
  <si>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</si>
  <si>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</si>
  <si>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</si>
  <si>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</si>
  <si>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</si>
  <si>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</si>
  <si>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</si>
  <si>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</si>
  <si>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</si>
  <si>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</si>
  <si>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</si>
  <si>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</si>
  <si>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</si>
  <si>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</si>
  <si>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</si>
  <si>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</si>
  <si>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</si>
  <si>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</si>
  <si>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</si>
  <si>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</si>
  <si>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</si>
  <si>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</si>
  <si>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</si>
  <si>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</si>
  <si>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</si>
  <si>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</si>
  <si>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</si>
  <si>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</si>
  <si>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</si>
  <si>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</si>
  <si>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</si>
  <si>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</si>
  <si>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</si>
  <si>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</si>
  <si>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</si>
  <si>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</si>
  <si>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</si>
  <si>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</si>
  <si>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</si>
  <si>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</si>
  <si>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</si>
  <si>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</si>
  <si>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</si>
  <si>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</si>
  <si>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</si>
  <si>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</si>
  <si>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</si>
  <si>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</si>
  <si>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</si>
  <si>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</si>
  <si>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</si>
  <si>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</si>
  <si>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</si>
  <si>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</si>
  <si>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</si>
  <si>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</si>
  <si>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</si>
  <si>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</si>
  <si>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</si>
  <si>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</si>
  <si>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</si>
  <si>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</si>
  <si>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</si>
  <si>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</si>
  <si>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</si>
  <si>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</si>
  <si>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</si>
  <si>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</si>
  <si>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</si>
  <si>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</si>
  <si>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</si>
  <si>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</si>
  <si>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</si>
  <si>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</si>
  <si>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</si>
  <si>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</si>
  <si>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</si>
  <si>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</si>
  <si>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</si>
  <si>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</si>
  <si>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</si>
  <si>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</si>
  <si>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</si>
  <si>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</si>
  <si>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</si>
  <si>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</si>
  <si>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</si>
  <si>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</si>
  <si>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</si>
  <si>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</si>
  <si>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</si>
  <si>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</si>
  <si>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</si>
  <si>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</si>
  <si>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</si>
  <si>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</si>
  <si>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</si>
  <si>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</si>
  <si>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</si>
  <si>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</si>
  <si>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</si>
  <si>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</si>
  <si>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</si>
  <si>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</si>
  <si>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</si>
  <si>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</si>
  <si>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</si>
  <si>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</si>
  <si>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</si>
  <si>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</si>
  <si>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</si>
  <si>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</si>
  <si>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</si>
  <si>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</si>
  <si>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</si>
  <si>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</si>
  <si>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</si>
  <si>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</si>
  <si>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</si>
  <si>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</si>
  <si>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</si>
  <si>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</si>
  <si>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</si>
  <si>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</si>
  <si>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</si>
  <si>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</si>
  <si>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</si>
  <si>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</si>
  <si>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</si>
  <si>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</si>
  <si>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</si>
  <si>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</si>
  <si>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</si>
  <si>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</si>
  <si>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</si>
  <si>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</si>
  <si>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</si>
  <si>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</si>
  <si>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</si>
  <si>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</si>
  <si>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</si>
  <si>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</si>
  <si>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</si>
  <si>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</si>
  <si>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</si>
  <si>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</si>
  <si>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</si>
  <si>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</si>
  <si>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</si>
  <si>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</si>
  <si>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</si>
  <si>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</si>
  <si>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</si>
  <si>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</si>
  <si>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</si>
  <si>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</si>
  <si>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</si>
  <si>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</si>
  <si>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</si>
  <si>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</si>
  <si>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</si>
  <si>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</si>
  <si>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</si>
  <si>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</si>
  <si>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</si>
  <si>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</si>
  <si>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</si>
  <si>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</si>
  <si>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</si>
  <si>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</si>
  <si>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</si>
  <si>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</si>
  <si>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</si>
  <si>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</si>
  <si>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</si>
  <si>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</si>
  <si>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</si>
  <si>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</si>
  <si>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</si>
  <si>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</si>
  <si>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</si>
  <si>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</si>
  <si>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</si>
  <si>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</si>
  <si>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</si>
  <si>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</si>
  <si>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</si>
  <si>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</si>
  <si>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</si>
  <si>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</si>
  <si>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</si>
  <si>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</si>
  <si>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</si>
  <si>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</si>
  <si>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</si>
  <si>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</si>
  <si>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</si>
  <si>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</si>
  <si>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</si>
  <si>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</si>
  <si>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</si>
  <si>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</si>
  <si>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</si>
  <si>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</si>
  <si>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</si>
  <si>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</si>
  <si>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</si>
  <si>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</si>
  <si>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</si>
  <si>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</si>
  <si>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</si>
  <si>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</si>
  <si>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</si>
  <si>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</si>
  <si>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</si>
  <si>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</si>
  <si>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</si>
  <si>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</si>
  <si>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</si>
  <si>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</si>
  <si>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</si>
  <si>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</si>
  <si>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</si>
  <si>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</si>
  <si>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</si>
  <si>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</si>
  <si>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</si>
  <si>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</si>
  <si>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</si>
  <si>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</si>
  <si>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</si>
  <si>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</si>
  <si>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</si>
  <si>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</si>
  <si>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</si>
  <si>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</si>
  <si>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</si>
  <si>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</si>
  <si>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</si>
  <si>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</si>
  <si>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</si>
  <si>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</si>
  <si>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</si>
  <si>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</si>
  <si>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</si>
  <si>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</si>
  <si>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</si>
  <si>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</si>
  <si>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</si>
  <si>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</si>
  <si>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</si>
  <si>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</si>
  <si>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</si>
  <si>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</si>
  <si>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</si>
  <si>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</si>
  <si>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</si>
  <si>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</si>
  <si>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</si>
  <si>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</si>
  <si>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</si>
  <si>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</si>
  <si>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</si>
  <si>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</si>
  <si>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</si>
  <si>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</si>
  <si>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</si>
  <si>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</si>
  <si>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</si>
  <si>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</si>
  <si>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</si>
  <si>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</si>
  <si>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</si>
  <si>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</si>
  <si>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</si>
  <si>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</si>
  <si>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</si>
  <si>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</si>
  <si>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</si>
  <si>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</si>
  <si>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</si>
  <si>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</si>
  <si>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</si>
  <si>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</si>
  <si>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</si>
  <si>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</si>
  <si>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</si>
  <si>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</si>
  <si>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</si>
  <si>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</si>
  <si>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</si>
  <si>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</si>
  <si>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</si>
  <si>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</si>
  <si>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</si>
  <si>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</si>
  <si>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</si>
  <si>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</si>
  <si>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</si>
  <si>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</si>
  <si>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</si>
  <si>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</si>
  <si>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</si>
  <si>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</si>
  <si>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</si>
  <si>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</si>
  <si>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</si>
  <si>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</si>
  <si>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</si>
  <si>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</si>
  <si>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</si>
  <si>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</si>
  <si>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</si>
  <si>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</si>
  <si>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</si>
  <si>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</si>
  <si>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</si>
  <si>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</si>
  <si>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</si>
  <si>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</si>
  <si>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</si>
  <si>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</si>
  <si>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</si>
  <si>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</si>
  <si>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</si>
  <si>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</si>
  <si>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</si>
  <si>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</si>
  <si>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</si>
  <si>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</si>
  <si>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</si>
  <si>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</si>
  <si>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</si>
  <si>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</si>
  <si>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</si>
  <si>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</si>
  <si>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</si>
  <si>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</si>
  <si>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STI GRAMERCY</t>
    <phoneticPr fontId="1" type="noConversion"/>
  </si>
  <si>
    <t>23C766116-03</t>
    <phoneticPr fontId="1" type="noConversion"/>
  </si>
  <si>
    <t>Unleaded Gasoline 92 Ron</t>
    <phoneticPr fontId="1" type="noConversion"/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</si>
  <si>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</si>
  <si>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</si>
  <si>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</si>
  <si>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</si>
  <si>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</si>
  <si>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</si>
  <si>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</si>
  <si>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</si>
  <si>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</si>
  <si>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</si>
  <si>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</si>
  <si>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</si>
  <si>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</si>
  <si>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</si>
  <si>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</si>
  <si>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</si>
  <si>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Antiknock Index (AKI) (R+M/2) - Includes Tests for RON and MON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</si>
  <si>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</si>
  <si>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</si>
  <si>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</si>
  <si>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</si>
  <si>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</si>
  <si>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</si>
  <si>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</si>
  <si>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</si>
  <si>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</si>
  <si>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min = 718 / max = 782 (buy)</t>
  </si>
  <si>
    <t>max = 70 (buy)</t>
  </si>
  <si>
    <t>min = 90 / max = 110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</si>
  <si>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</si>
  <si>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</si>
  <si>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</si>
  <si>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</si>
  <si>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</si>
  <si>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</si>
  <si>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86 (buy)</t>
  </si>
  <si>
    <t>min = 92.0 (buy)</t>
  </si>
  <si>
    <t>max = 0.005 (buy)</t>
  </si>
  <si>
    <t>max = 58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</si>
  <si>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</si>
  <si>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</si>
  <si>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</si>
  <si>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</si>
  <si>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</si>
  <si>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</si>
  <si>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</si>
  <si>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</si>
  <si>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calc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</si>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</sst>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H24" sqref="H24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696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No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699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45233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45049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45325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0</v>
      </c>
      <c r="C48" s="225">
        <f t="shared" ref="C48:C49" si="0">IF(LEFT(B48,1)="T",1,2)</f>
        <v>2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/>
      <c r="D5" s="62"/>
      <c r="E5" s="101"/>
      <c r="F5" s="64"/>
      <c r="G5" s="65"/>
      <c r="H5" s="215" t="str">
        <f t="shared" ref="H5:H36" si="0">IF(OR(B5="*",C5=""),"",IF(OR(E5="",F5=""),"-",""))</f>
        <v/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/>
      <c r="C6" s="130"/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0</v>
      </c>
    </row>
    <row r="7" spans="1:36" ht="13.9" customHeight="1">
      <c r="A7" s="85">
        <v>3</v>
      </c>
      <c r="B7" s="129"/>
      <c r="C7" s="130"/>
      <c r="D7" s="62"/>
      <c r="E7" s="101"/>
      <c r="F7" s="64"/>
      <c r="G7" s="65"/>
      <c r="H7" s="215" t="str">
        <f t="shared" si="0"/>
        <v/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/>
      <c r="D8" s="62"/>
      <c r="E8" s="101"/>
      <c r="F8" s="64"/>
      <c r="G8" s="65"/>
      <c r="H8" s="215" t="str">
        <f t="shared" si="0"/>
        <v/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/>
      <c r="D9" s="62"/>
      <c r="E9" s="101"/>
      <c r="F9" s="64"/>
      <c r="G9" s="65"/>
      <c r="H9" s="215" t="str">
        <f t="shared" si="0"/>
        <v/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/>
      <c r="D10" s="62"/>
      <c r="E10" s="101"/>
      <c r="F10" s="64"/>
      <c r="G10" s="65"/>
      <c r="H10" s="215" t="str">
        <f t="shared" si="0"/>
        <v/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/>
      <c r="C11" s="130"/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0</v>
      </c>
    </row>
    <row r="12" spans="1:36" ht="13.9" customHeight="1">
      <c r="A12" s="85">
        <v>8</v>
      </c>
      <c r="B12" s="129"/>
      <c r="C12" s="130"/>
      <c r="D12" s="62"/>
      <c r="E12" s="101"/>
      <c r="F12" s="64"/>
      <c r="G12" s="65"/>
      <c r="H12" s="215" t="str">
        <f t="shared" si="0"/>
        <v/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/>
      <c r="D13" s="62"/>
      <c r="E13" s="101"/>
      <c r="F13" s="64"/>
      <c r="G13" s="65"/>
      <c r="H13" s="215" t="str">
        <f t="shared" si="0"/>
        <v/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/>
      <c r="D14" s="62"/>
      <c r="E14" s="101"/>
      <c r="F14" s="64"/>
      <c r="G14" s="65"/>
      <c r="H14" s="215" t="str">
        <f t="shared" si="0"/>
        <v/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/>
      <c r="D15" s="62"/>
      <c r="E15" s="101"/>
      <c r="F15" s="64"/>
      <c r="G15" s="65"/>
      <c r="H15" s="215" t="str">
        <f t="shared" si="0"/>
        <v/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/>
      <c r="C16" s="130"/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0</v>
      </c>
    </row>
    <row r="17" spans="1:27" ht="13.9" customHeight="1">
      <c r="A17" s="85">
        <v>13</v>
      </c>
      <c r="B17" s="129"/>
      <c r="C17" s="130"/>
      <c r="D17" s="62"/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0</v>
      </c>
    </row>
    <row r="18" spans="1:27" ht="13.9" customHeight="1">
      <c r="A18" s="85">
        <v>14</v>
      </c>
      <c r="B18" s="129"/>
      <c r="C18" s="130"/>
      <c r="D18" s="62"/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/>
      <c r="D19" s="62"/>
      <c r="E19" s="101"/>
      <c r="F19" s="64"/>
      <c r="G19" s="65"/>
      <c r="H19" s="215" t="str">
        <f t="shared" si="0"/>
        <v/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/>
      <c r="C20" s="130"/>
      <c r="D20" s="62"/>
      <c r="E20" s="101"/>
      <c r="F20" s="64"/>
      <c r="G20" s="65"/>
      <c r="H20" s="215" t="str">
        <f t="shared" si="0"/>
        <v/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/>
      <c r="C21" s="130"/>
      <c r="D21" s="62"/>
      <c r="E21" s="101"/>
      <c r="F21" s="64"/>
      <c r="G21" s="65"/>
      <c r="H21" s="215" t="str">
        <f t="shared" si="0"/>
        <v/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/>
      <c r="C22" s="130"/>
      <c r="D22" s="63"/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0</v>
      </c>
    </row>
    <row r="23" spans="1:27" ht="13.9" customHeight="1">
      <c r="A23" s="85">
        <v>19</v>
      </c>
      <c r="B23" s="129"/>
      <c r="C23" s="130"/>
      <c r="D23" s="62"/>
      <c r="E23" s="101"/>
      <c r="F23" s="64"/>
      <c r="G23" s="65"/>
      <c r="H23" s="215" t="str">
        <f t="shared" si="0"/>
        <v/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/>
      <c r="D24" s="62"/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/>
      <c r="D25" s="62"/>
      <c r="E25" s="101"/>
      <c r="F25" s="64"/>
      <c r="G25" s="65"/>
      <c r="H25" s="215" t="str">
        <f t="shared" si="0"/>
        <v/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/>
      <c r="C26" s="130"/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0</v>
      </c>
    </row>
    <row r="27" spans="1:27" ht="13.9" customHeight="1">
      <c r="A27" s="85">
        <v>23</v>
      </c>
      <c r="B27" s="129"/>
      <c r="C27" s="130"/>
      <c r="D27" s="62"/>
      <c r="E27" s="101"/>
      <c r="F27" s="64"/>
      <c r="G27" s="65"/>
      <c r="H27" s="215" t="str">
        <f t="shared" si="0"/>
        <v/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Unleaded Gasoline 92 Ron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229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 t="s">
        <v>315</v>
      </c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701</v>
      </c>
      <c r="D7" s="252"/>
      <c r="E7" s="133" t="s">
        <v>723</v>
      </c>
      <c r="F7" s="255"/>
      <c r="G7" s="22"/>
      <c r="H7" s="254" t="s">
        <v>741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702</v>
      </c>
      <c r="D8" s="252"/>
      <c r="E8" s="133" t="s">
        <v>724</v>
      </c>
      <c r="F8" s="253"/>
      <c r="G8" s="22"/>
      <c r="H8" s="254" t="s">
        <v>742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703</v>
      </c>
      <c r="D9" s="252"/>
      <c r="E9" s="133" t="s">
        <v>725</v>
      </c>
      <c r="F9" s="253"/>
      <c r="G9" s="22"/>
      <c r="H9" s="254" t="s">
        <v>742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704</v>
      </c>
      <c r="D10" s="252"/>
      <c r="E10" s="133" t="s">
        <v>723</v>
      </c>
      <c r="F10" s="255"/>
      <c r="G10" s="22"/>
      <c r="H10" s="254" t="s">
        <v>741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705</v>
      </c>
      <c r="D11" s="252"/>
      <c r="E11" s="133" t="s">
        <v>726</v>
      </c>
      <c r="F11" s="253"/>
      <c r="G11" s="22"/>
      <c r="H11" s="21" t="s">
        <v>743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706</v>
      </c>
      <c r="D12" s="252"/>
      <c r="E12" s="133" t="s">
        <v>727</v>
      </c>
      <c r="F12" s="253"/>
      <c r="G12" s="22"/>
      <c r="H12" s="254" t="s">
        <v>744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707</v>
      </c>
      <c r="D13" s="252"/>
      <c r="E13" s="133" t="s">
        <v>728</v>
      </c>
      <c r="F13" s="253"/>
      <c r="G13" s="22"/>
      <c r="H13" s="254" t="s">
        <v>745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708</v>
      </c>
      <c r="D14" s="252"/>
      <c r="E14" s="133" t="s">
        <v>729</v>
      </c>
      <c r="F14" s="253"/>
      <c r="G14" s="22"/>
      <c r="H14" s="254" t="s">
        <v>745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709</v>
      </c>
      <c r="D15" s="252"/>
      <c r="E15" s="133" t="s">
        <v>730</v>
      </c>
      <c r="F15" s="253"/>
      <c r="G15" s="22"/>
      <c r="H15" s="254" t="s">
        <v>745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710</v>
      </c>
      <c r="D16" s="252"/>
      <c r="E16" s="133" t="s">
        <v>731</v>
      </c>
      <c r="F16" s="253"/>
      <c r="G16" s="22"/>
      <c r="H16" s="254" t="s">
        <v>745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711</v>
      </c>
      <c r="D17" s="252"/>
      <c r="E17" s="133" t="s">
        <v>732</v>
      </c>
      <c r="F17" s="253"/>
      <c r="G17" s="22"/>
      <c r="H17" s="254" t="s">
        <v>742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712</v>
      </c>
      <c r="D18" s="252"/>
      <c r="E18" s="133" t="s">
        <v>725</v>
      </c>
      <c r="F18" s="253"/>
      <c r="G18" s="22"/>
      <c r="H18" s="254" t="s">
        <v>742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713</v>
      </c>
      <c r="D19" s="252"/>
      <c r="E19" s="133" t="s">
        <v>733</v>
      </c>
      <c r="F19" s="253"/>
      <c r="G19" s="22"/>
      <c r="H19" s="254" t="s">
        <v>742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714</v>
      </c>
      <c r="D20" s="252"/>
      <c r="E20" s="133" t="s">
        <v>734</v>
      </c>
      <c r="F20" s="253"/>
      <c r="G20" s="22"/>
      <c r="H20" s="254" t="s">
        <v>746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715</v>
      </c>
      <c r="D21" s="252"/>
      <c r="E21" s="133" t="s">
        <v>732</v>
      </c>
      <c r="F21" s="253"/>
      <c r="G21" s="22"/>
      <c r="H21" s="254" t="s">
        <v>746</v>
      </c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716</v>
      </c>
      <c r="D22" s="252"/>
      <c r="E22" s="133" t="s">
        <v>735</v>
      </c>
      <c r="F22" s="253"/>
      <c r="G22" s="22"/>
      <c r="H22" s="254" t="s">
        <v>747</v>
      </c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 t="s">
        <v>717</v>
      </c>
      <c r="D23" s="252"/>
      <c r="E23" s="133" t="s">
        <v>736</v>
      </c>
      <c r="F23" s="253"/>
      <c r="G23" s="22"/>
      <c r="H23" s="254" t="s">
        <v>748</v>
      </c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 t="s">
        <v>718</v>
      </c>
      <c r="D24" s="252"/>
      <c r="E24" s="133" t="s">
        <v>737</v>
      </c>
      <c r="F24" s="253"/>
      <c r="G24" s="22"/>
      <c r="H24" s="254" t="s">
        <v>743</v>
      </c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 t="s">
        <v>719</v>
      </c>
      <c r="D25" s="252"/>
      <c r="E25" s="133" t="s">
        <v>725</v>
      </c>
      <c r="F25" s="253"/>
      <c r="G25" s="22"/>
      <c r="H25" s="254" t="s">
        <v>742</v>
      </c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 t="s">
        <v>720</v>
      </c>
      <c r="D26" s="252"/>
      <c r="E26" s="133" t="s">
        <v>738</v>
      </c>
      <c r="F26" s="253"/>
      <c r="G26" s="22"/>
      <c r="H26" s="254" t="s">
        <v>749</v>
      </c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 t="s">
        <v>721</v>
      </c>
      <c r="D27" s="252"/>
      <c r="E27" s="133" t="s">
        <v>739</v>
      </c>
      <c r="F27" s="253"/>
      <c r="G27" s="22"/>
      <c r="H27" s="254" t="s">
        <v>750</v>
      </c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 t="s">
        <v>722</v>
      </c>
      <c r="D28" s="252"/>
      <c r="E28" s="133" t="s">
        <v>740</v>
      </c>
      <c r="F28" s="253"/>
      <c r="G28" s="22"/>
      <c r="H28" s="254" t="s">
        <v>742</v>
      </c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4"/>
      <c r="G85" s="284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35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FB78C07F-123E-48CC-9051-4C672A9821B3}">
      <formula1>"* ,[OTHER] Visual"</formula1>
    </dataValidation>
    <dataValidation type="list" allowBlank="1" showInputMessage="1" showErrorMessage="1" sqref="D8" xr:uid="{C0CEC4C4-E566-4FEA-9C23-1A9A2EE871AC}">
      <formula1>"* ,[ASTM] D5580,[ASTM] D5443,[ASTM] D6839"</formula1>
    </dataValidation>
    <dataValidation type="list" allowBlank="1" showInputMessage="1" showErrorMessage="1" sqref="D9" xr:uid="{16E588BD-C328-4670-B0BC-34A39F2C8779}">
      <formula1>"* ,[ASTM] D5443"</formula1>
    </dataValidation>
    <dataValidation type="list" allowBlank="1" showInputMessage="1" showErrorMessage="1" sqref="D11" xr:uid="{C3DB2FD1-3B6E-449A-B2AF-ED8C6A570868}">
      <formula1>"* ,[ASTM] D130"</formula1>
    </dataValidation>
    <dataValidation type="list" allowBlank="1" showInputMessage="1" showErrorMessage="1" sqref="D12" xr:uid="{8F676479-3A74-4D9D-B16F-7E0969C27DCB}">
      <formula1>"* ,[ASTM] D1298,[ASTM] D4052"</formula1>
    </dataValidation>
    <dataValidation type="list" allowBlank="1" showInputMessage="1" showErrorMessage="1" sqref="D13 D14 D15 D16 D17 D18" xr:uid="{5923561E-6AAD-49BF-B034-6FE924545F03}">
      <formula1>"* ,[ASTM] D86"</formula1>
    </dataValidation>
    <dataValidation type="list" allowBlank="1" showInputMessage="1" showErrorMessage="1" sqref="D19" xr:uid="{C6CC46FC-7A3E-4DE4-AC65-230783330267}">
      <formula1>"* ,[ASTM] D4815-04"</formula1>
    </dataValidation>
    <dataValidation type="list" allowBlank="1" showInputMessage="1" showErrorMessage="1" sqref="D20 D21" xr:uid="{E8641128-A723-48ED-9F4A-5AE1DCA1CB56}">
      <formula1>"* ,[ASTM] D381"</formula1>
    </dataValidation>
    <dataValidation type="list" allowBlank="1" showInputMessage="1" showErrorMessage="1" sqref="D22" xr:uid="{59DFF78A-7C0D-4431-8DC4-51FCE4272B95}">
      <formula1>"* ,[ASTM] D5059,[ASTM] D3237,[ASTM] D3348"</formula1>
    </dataValidation>
    <dataValidation type="list" allowBlank="1" showInputMessage="1" showErrorMessage="1" sqref="D23" xr:uid="{50878AC3-E495-4A41-88C9-0ABD64EAF4B5}">
      <formula1>"* ,[ASTM] D4814 Appendix X1"</formula1>
    </dataValidation>
    <dataValidation type="list" allowBlank="1" showInputMessage="1" showErrorMessage="1" sqref="D24" xr:uid="{FD445A5A-5B85-4D9A-8580-084CA7507951}">
      <formula1>"* ,[ASTM] D2699"</formula1>
    </dataValidation>
    <dataValidation type="list" allowBlank="1" showInputMessage="1" showErrorMessage="1" sqref="D25" xr:uid="{0785A3C1-94DA-41C5-8B9A-CD4AF7D512A6}">
      <formula1>"* ,[ASTM] D4815"</formula1>
    </dataValidation>
    <dataValidation type="list" allowBlank="1" showInputMessage="1" showErrorMessage="1" sqref="D26" xr:uid="{3BF79FAF-04AE-4240-81BE-B1FA567FC69F}">
      <formula1>"* ,[ASTM] D5453,[ASTM] D2622,[ASTM] D4294,[ASTM] D1266"</formula1>
    </dataValidation>
    <dataValidation type="list" allowBlank="1" showInputMessage="1" showErrorMessage="1" sqref="D27" xr:uid="{A1489363-E940-4940-AAB6-6982387BF436}">
      <formula1>"* ,[ASTM] D4953,[ASTM] D5191 (ASTM),[ASTM] D5482"</formula1>
    </dataValidation>
    <dataValidation type="list" allowBlank="1" showInputMessage="1" showErrorMessage="1" sqref="D28" xr:uid="{D440A6C1-DAB8-493A-BB20-45384848D506}">
      <formula1>"* ,[ASTM] E203"</formula1>
    </dataValidation>
    <dataValidation type="list" allowBlank="1" showInputMessage="1" showErrorMessage="1" sqref="H7" xr:uid="{FAFF4A22-B741-4238-A877-CE76A81EEAEE}">
      <formula1>"pass/fail,visual"</formula1>
    </dataValidation>
    <dataValidation type="list" allowBlank="1" showInputMessage="1" showErrorMessage="1" sqref="H8" xr:uid="{B4865517-A174-4321-86FD-9BB3DDE506CA}">
      <formula1>"ppm,%liq vol,%m/m,%mole,%vol"</formula1>
    </dataValidation>
    <dataValidation type="list" allowBlank="1" showInputMessage="1" showErrorMessage="1" sqref="H9" xr:uid="{6439B45A-4463-4F7E-8082-CFA5979F9807}">
      <formula1>"mg/kg,ppm v/v,ppm w/w,%wt,%vol"</formula1>
    </dataValidation>
    <dataValidation type="list" allowBlank="1" showInputMessage="1" showErrorMessage="1" sqref="H10" xr:uid="{3D3AE5F3-F9FF-4624-9BF8-69DAFB0B04F5}">
      <formula1>"haze no,Pt/Co scale,pass/fail,rating,visual"</formula1>
    </dataValidation>
    <dataValidation type="list" allowBlank="1" showInputMessage="1" showErrorMessage="1" sqref="H11" xr:uid="{96CF25BF-CDC6-424E-99CF-FE2D00119D2E}">
      <formula1>"rating"</formula1>
    </dataValidation>
    <dataValidation type="list" allowBlank="1" showInputMessage="1" showErrorMessage="1" sqref="H12" xr:uid="{DDEDFBD2-8599-42C5-83DB-589AB2A4947C}">
      <formula1>"g/ cc,g/l,g/cm³,g/ml,kg/m³,kg/l,n/a,tonne/m³"</formula1>
    </dataValidation>
    <dataValidation type="list" allowBlank="1" showInputMessage="1" showErrorMessage="1" sqref="H13 H14 H15 H16 H17 H18" xr:uid="{620059B9-38A1-4FED-8164-091051E94B13}">
      <formula1>"°C,°F,%,%vol"</formula1>
    </dataValidation>
    <dataValidation type="list" allowBlank="1" showInputMessage="1" showErrorMessage="1" sqref="H19" xr:uid="{D399A733-D7B8-4792-8552-7868B6459031}">
      <formula1>"ppm,%vol"</formula1>
    </dataValidation>
    <dataValidation type="list" allowBlank="1" showInputMessage="1" showErrorMessage="1" sqref="H20 H21" xr:uid="{E29D588D-1868-40BD-8140-4E6742B381FD}">
      <formula1>"g/m³,mg/100ml,mg/l"</formula1>
    </dataValidation>
    <dataValidation type="list" allowBlank="1" showInputMessage="1" showErrorMessage="1" sqref="H22" xr:uid="{65D7F9F2-B3AF-4E36-8D8B-5D2EA53D1D1F}">
      <formula1>"g Pb/l,g Pb/US gal,g/US gal,mg/kg,mg/l,ppb,ppm,ppm w/w,%vol"</formula1>
    </dataValidation>
    <dataValidation type="list" allowBlank="1" showInputMessage="1" showErrorMessage="1" sqref="H23" xr:uid="{6FB2A057-F1F8-4285-A2E5-1076EBA2FBD2}">
      <formula1>"calc,rating"</formula1>
    </dataValidation>
    <dataValidation type="list" allowBlank="1" showInputMessage="1" showErrorMessage="1" sqref="H24" xr:uid="{90A17D05-C140-416F-91D6-1A39821805B5}">
      <formula1>"mg/kg,mg/l,ppm,ppm w/w,%wt,rating"</formula1>
    </dataValidation>
    <dataValidation type="list" allowBlank="1" showInputMessage="1" showErrorMessage="1" sqref="H25" xr:uid="{C55B99C7-8A49-4155-9E2D-AC9E7D6B326F}">
      <formula1>"mg/100ml,mg/kg,ppm,ppm v/v,%m/m,%mole,%wt,%vol"</formula1>
    </dataValidation>
    <dataValidation type="list" allowBlank="1" showInputMessage="1" showErrorMessage="1" sqref="H26" xr:uid="{95F599B1-0F22-4EA0-88B9-5DB4C76BE35F}">
      <formula1>"μg/g,mg/kg,mg/l,ppm,%m,%m/m,%wt"</formula1>
    </dataValidation>
    <dataValidation type="list" allowBlank="1" showInputMessage="1" showErrorMessage="1" sqref="H27" xr:uid="{E56112CF-2984-44F6-B2B3-77E67DE24F19}">
      <formula1>"kg/cm²,kPa,mm Hg,psi"</formula1>
    </dataValidation>
    <dataValidation type="list" allowBlank="1" showInputMessage="1" showErrorMessage="1" sqref="H28" xr:uid="{FE3BF48E-3AE3-44B5-9146-A1F7E2D47B17}">
      <formula1>"mg/kg,ppm,%wt,%vol"</formula1>
    </dataValidation>
    <dataValidation type="list" allowBlank="1" showInputMessage="1" showErrorMessage="1" sqref="F8 F9 F11 F12 F13 F14 F15 F16 F17 F18 F19 F20 F21 F22 F23 F24 F25 F26 F27 F28" xr:uid="{0FE2BC42-F5C1-4A53-88E7-410D16250B12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230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232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233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234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235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236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237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238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9" t="s">
        <v>239</v>
      </c>
      <c r="C1" s="289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9"/>
      <c r="C2" s="289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1"/>
      <c r="G3" s="291"/>
      <c r="H3" s="291"/>
      <c r="I3" s="291"/>
      <c r="J3" s="27" t="str">
        <f>IF(F2=1,"","결과 입력 (셀 범위 Q1 ~ AD82)")</f>
        <v/>
      </c>
      <c r="K3" s="7"/>
      <c r="L3" s="285" t="str">
        <f>IF(F2&gt;=2,"Add New Sample (2)","")</f>
        <v/>
      </c>
      <c r="M3" s="285"/>
      <c r="N3" s="285"/>
      <c r="O3" s="38"/>
      <c r="P3" s="285" t="str">
        <f>IF(F2&gt;=3,"Add New Sample (3)","")</f>
        <v/>
      </c>
      <c r="Q3" s="285"/>
      <c r="R3" s="285"/>
      <c r="S3" s="38"/>
      <c r="T3" s="285" t="str">
        <f>IF(F2&gt;=4,"Add New Sample (4)","")</f>
        <v/>
      </c>
      <c r="U3" s="285"/>
      <c r="V3" s="285"/>
      <c r="W3" s="38"/>
      <c r="X3" s="285" t="str">
        <f>IF(F2&gt;=5,"Add New Sample (5)","")</f>
        <v/>
      </c>
      <c r="Y3" s="285"/>
      <c r="Z3" s="285"/>
      <c r="AA3" s="38"/>
      <c r="AB3" s="285" t="str">
        <f>IF(F2&gt;=6,"Add New Sample (6)","")</f>
        <v/>
      </c>
      <c r="AC3" s="285"/>
      <c r="AD3" s="285"/>
      <c r="AE3" s="38"/>
      <c r="AF3" s="285" t="str">
        <f>IF(F2&gt;=7,"Add New Sample (7)","")</f>
        <v/>
      </c>
      <c r="AG3" s="285"/>
      <c r="AH3" s="285"/>
      <c r="AI3" s="38"/>
      <c r="AJ3" s="285" t="str">
        <f>IF(F2&gt;=8,"Add New Sample (8)","")</f>
        <v/>
      </c>
      <c r="AK3" s="285"/>
      <c r="AL3" s="285"/>
      <c r="AM3" s="38"/>
      <c r="AN3" s="285" t="str">
        <f>IF(F2&gt;=9,"Add New Sample (9)","")</f>
        <v/>
      </c>
      <c r="AO3" s="285"/>
      <c r="AP3" s="285"/>
      <c r="AQ3" s="38"/>
      <c r="AR3" s="285" t="str">
        <f>IF(F2&gt;=10,"Add New Sample (10)","")</f>
        <v/>
      </c>
      <c r="AS3" s="285"/>
      <c r="AT3" s="285"/>
      <c r="AU3" s="38"/>
      <c r="AV3" s="285" t="str">
        <f>IF(F2&gt;=11,"Add New Sample (11)","")</f>
        <v/>
      </c>
      <c r="AW3" s="285"/>
      <c r="AX3" s="285"/>
      <c r="AY3" s="38"/>
      <c r="AZ3" s="285" t="str">
        <f>IF(F2&gt;=12,"Add New Sample (12)","")</f>
        <v/>
      </c>
      <c r="BA3" s="285"/>
      <c r="BB3" s="285"/>
      <c r="BC3" s="38"/>
      <c r="BD3" s="285" t="str">
        <f>IF(F2&gt;=13,"Add New Sample (13)","")</f>
        <v/>
      </c>
      <c r="BE3" s="285"/>
      <c r="BF3" s="285"/>
      <c r="BG3" s="38"/>
      <c r="BH3" s="285" t="str">
        <f>IF(F2&gt;=14,"Add New Sample (14)","")</f>
        <v/>
      </c>
      <c r="BI3" s="285"/>
      <c r="BJ3" s="285"/>
      <c r="BK3" s="38"/>
      <c r="BL3" s="285" t="str">
        <f>IF(F2&gt;=15,"Add New Sample (15)","")</f>
        <v/>
      </c>
      <c r="BM3" s="285"/>
      <c r="BN3" s="285"/>
      <c r="BO3" s="38"/>
      <c r="BP3" s="285" t="str">
        <f>IF(F2&gt;=16,"Add New Sample (16)","")</f>
        <v/>
      </c>
      <c r="BQ3" s="285"/>
      <c r="BR3" s="285"/>
      <c r="BS3" s="38"/>
      <c r="BT3" s="285" t="str">
        <f>IF(F2&gt;=17,"Add New Sample (17)","")</f>
        <v/>
      </c>
      <c r="BU3" s="285"/>
      <c r="BV3" s="285"/>
      <c r="BW3" s="7"/>
    </row>
    <row r="4" spans="1:75">
      <c r="A4" s="94"/>
      <c r="B4" s="44"/>
      <c r="C4" s="44"/>
      <c r="D4" s="121"/>
      <c r="E4" s="131" t="s">
        <v>5</v>
      </c>
      <c r="F4" s="290"/>
      <c r="G4" s="290"/>
      <c r="H4" s="290"/>
      <c r="I4" s="290"/>
      <c r="J4" s="24" t="str">
        <f>IF(F2=1,"","▶▶▶▶▶")</f>
        <v/>
      </c>
      <c r="K4" s="7"/>
      <c r="L4" s="68" t="str">
        <f>IF(K5=1,"Tk No.:","")</f>
        <v/>
      </c>
      <c r="M4" s="288"/>
      <c r="N4" s="288"/>
      <c r="O4" s="38"/>
      <c r="P4" s="68" t="str">
        <f>IF(O5=1,"Tk No.:","")</f>
        <v/>
      </c>
      <c r="Q4" s="288"/>
      <c r="R4" s="288"/>
      <c r="S4" s="38"/>
      <c r="T4" s="68" t="str">
        <f>IF(S5=1,"Tk No.:","")</f>
        <v/>
      </c>
      <c r="U4" s="288"/>
      <c r="V4" s="288"/>
      <c r="W4" s="38"/>
      <c r="X4" s="68" t="str">
        <f>IF(W5=1,"Tk No.:","")</f>
        <v/>
      </c>
      <c r="Y4" s="288"/>
      <c r="Z4" s="288"/>
      <c r="AA4" s="38"/>
      <c r="AB4" s="68" t="str">
        <f>IF(AA5=1,"Tk No.:","")</f>
        <v/>
      </c>
      <c r="AC4" s="288"/>
      <c r="AD4" s="288"/>
      <c r="AE4" s="38"/>
      <c r="AF4" s="68" t="str">
        <f>IF(AE5=1,"Tk No.:","")</f>
        <v/>
      </c>
      <c r="AG4" s="288"/>
      <c r="AH4" s="288"/>
      <c r="AI4" s="38"/>
      <c r="AJ4" s="68" t="str">
        <f>IF(AI5=1,"Tk No.:","")</f>
        <v/>
      </c>
      <c r="AK4" s="288"/>
      <c r="AL4" s="288"/>
      <c r="AM4" s="38"/>
      <c r="AN4" s="68" t="str">
        <f>IF(AM5=1,"Tk No.:","")</f>
        <v/>
      </c>
      <c r="AO4" s="288"/>
      <c r="AP4" s="288"/>
      <c r="AQ4" s="38"/>
      <c r="AR4" s="68" t="str">
        <f>IF(AQ5=1,"Tk No.:","")</f>
        <v/>
      </c>
      <c r="AS4" s="288"/>
      <c r="AT4" s="288"/>
      <c r="AU4" s="38"/>
      <c r="AV4" s="68" t="str">
        <f>IF(AU5=1,"Tk No.:","")</f>
        <v/>
      </c>
      <c r="AW4" s="288"/>
      <c r="AX4" s="288"/>
      <c r="AY4" s="38"/>
      <c r="AZ4" s="68" t="str">
        <f>IF(AY5=1,"Tk No.:","")</f>
        <v/>
      </c>
      <c r="BA4" s="288"/>
      <c r="BB4" s="288"/>
      <c r="BC4" s="38"/>
      <c r="BD4" s="68" t="str">
        <f>IF(BC5=1,"Tk No.:","")</f>
        <v/>
      </c>
      <c r="BE4" s="288"/>
      <c r="BF4" s="288"/>
      <c r="BG4" s="38"/>
      <c r="BH4" s="68" t="str">
        <f>IF(BG5=1,"Tk No.:","")</f>
        <v/>
      </c>
      <c r="BI4" s="288"/>
      <c r="BJ4" s="288"/>
      <c r="BK4" s="38"/>
      <c r="BL4" s="68" t="str">
        <f>IF(BK5=1,"Tk No.:","")</f>
        <v/>
      </c>
      <c r="BM4" s="288"/>
      <c r="BN4" s="288"/>
      <c r="BO4" s="38"/>
      <c r="BP4" s="68" t="str">
        <f>IF(BO5=1,"Tk No.:","")</f>
        <v/>
      </c>
      <c r="BQ4" s="288"/>
      <c r="BR4" s="288"/>
      <c r="BS4" s="38"/>
      <c r="BT4" s="68" t="str">
        <f>IF(BS5=1,"Tk No.:","")</f>
        <v/>
      </c>
      <c r="BU4" s="288"/>
      <c r="BV4" s="288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7" t="s">
        <v>268</v>
      </c>
      <c r="G5" s="287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4"/>
      <c r="G85" s="284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45233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2023-11-03T07:07:39Z</dcterms:modified>
</cp:coreProperties>
</file>