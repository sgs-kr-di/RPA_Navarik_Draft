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3_Chevron (23C766118-03) ESTEEM ENDEAVOR_GASOLINE 95R_77KB_YOSU (Y) 3\"/>
    </mc:Choice>
  </mc:AlternateContent>
  <xr:revisionPtr revIDLastSave="0" documentId="13_ncr:1_{B0057F6A-D9C4-4C4F-B930-655D01CDD597}" xr6:coauthVersionLast="45" xr6:coauthVersionMax="47" xr10:uidLastSave="{00000000-0000-0000-0000-000000000000}"/>
  <bookViews>
    <workbookView xWindow="240" yWindow="1860" windowWidth="21600" windowHeight="11385" tabRatio="688" activeTab="4" xr2:uid="{D5438E65-0C1A-43C8-87E4-52658D7A1A13}"/>
  </bookViews>
  <sheets>
    <sheet name="Navarik 설정" sheetId="36" r:id="rId1"/>
    <sheet name="Time" sheetId="4" state="hidden"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D37" i="1"/>
  <c r="F37" i="1"/>
  <c r="F36" i="1"/>
  <c r="D36" i="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<sst xmlns="http://schemas.openxmlformats.org/spreadsheetml/2006/main" count="1304" uniqueCount="783">
  <si>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</si>
  <si>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</si>
  <si>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</si>
  <si>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</si>
  <si>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</si>
  <si>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</si>
  <si>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</si>
  <si>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</si>
  <si>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</si>
  <si>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</si>
  <si>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</si>
  <si>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</si>
  <si>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</si>
  <si>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</si>
  <si>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</si>
  <si>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</si>
  <si>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</si>
  <si>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</si>
  <si>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</si>
  <si>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</si>
  <si>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</si>
  <si>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</si>
  <si>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</si>
  <si>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</si>
  <si>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</si>
  <si>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</si>
  <si>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</si>
  <si>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</si>
  <si>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</si>
  <si>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</si>
  <si>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</si>
  <si>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</si>
  <si>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</si>
  <si>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</si>
  <si>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</si>
  <si>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</si>
  <si>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</si>
  <si>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</si>
  <si>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</si>
  <si>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</si>
  <si>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</si>
  <si>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</si>
  <si>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</si>
  <si>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</si>
  <si>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</si>
  <si>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</si>
  <si>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</si>
  <si>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</si>
  <si>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</si>
  <si>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</si>
  <si>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</si>
  <si>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</si>
  <si>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</si>
  <si>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</si>
  <si>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</si>
  <si>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</si>
  <si>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</si>
  <si>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</si>
  <si>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</si>
  <si>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</si>
  <si>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</si>
  <si>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</si>
  <si>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</si>
  <si>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</si>
  <si>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</si>
  <si>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</si>
  <si>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</si>
  <si>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</si>
  <si>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</si>
  <si>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</si>
  <si>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</si>
  <si>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</si>
  <si>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</si>
  <si>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</si>
  <si>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</si>
  <si>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</si>
  <si>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</si>
  <si>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</si>
  <si>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</si>
  <si>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</si>
  <si>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</si>
  <si>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</si>
  <si>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</si>
  <si>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</si>
  <si>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</si>
  <si>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</si>
  <si>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</si>
  <si>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</si>
  <si>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</si>
  <si>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</si>
  <si>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</si>
  <si>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</si>
  <si>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</si>
  <si>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</si>
  <si>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</si>
  <si>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</si>
  <si>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</si>
  <si>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</si>
  <si>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</si>
  <si>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</si>
  <si>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</si>
  <si>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</si>
  <si>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</si>
  <si>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</si>
  <si>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</si>
  <si>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</si>
  <si>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</si>
  <si>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</si>
  <si>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</si>
  <si>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</si>
  <si>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</si>
  <si>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</si>
  <si>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</si>
  <si>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</si>
  <si>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</si>
  <si>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</si>
  <si>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</si>
  <si>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</si>
  <si>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</si>
  <si>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</si>
  <si>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</si>
  <si>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</si>
  <si>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</si>
  <si>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</si>
  <si>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</si>
  <si>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</si>
  <si>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</si>
  <si>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</si>
  <si>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</si>
  <si>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</si>
  <si>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</si>
  <si>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</si>
  <si>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</si>
  <si>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</si>
  <si>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</si>
  <si>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</si>
  <si>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</si>
  <si>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</si>
  <si>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</si>
  <si>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</si>
  <si>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</si>
  <si>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</si>
  <si>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</si>
  <si>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</si>
  <si>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</si>
  <si>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</si>
  <si>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</si>
  <si>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</si>
  <si>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</si>
  <si>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</si>
  <si>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</si>
  <si>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</si>
  <si>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</si>
  <si>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</si>
  <si>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</si>
  <si>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</si>
  <si>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</si>
  <si>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</si>
  <si>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</si>
  <si>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</si>
  <si>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</si>
  <si>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</si>
  <si>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</si>
  <si>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</si>
  <si>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</si>
  <si>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</si>
  <si>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</si>
  <si>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</si>
  <si>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</si>
  <si>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</si>
  <si>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</si>
  <si>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</si>
  <si>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</si>
  <si>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</si>
  <si>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</si>
  <si>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</si>
  <si>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</si>
  <si>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</si>
  <si>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</si>
  <si>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</si>
  <si>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</si>
  <si>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</si>
  <si>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</si>
  <si>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</si>
  <si>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</si>
  <si>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</si>
  <si>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</si>
  <si>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</si>
  <si>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</si>
  <si>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</si>
  <si>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</si>
  <si>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</si>
  <si>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</si>
  <si>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</si>
  <si>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</si>
  <si>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</si>
  <si>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</si>
  <si>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</si>
  <si>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</si>
  <si>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</si>
  <si>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</si>
  <si>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</si>
  <si>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</si>
  <si>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</si>
  <si>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</si>
  <si>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</si>
  <si>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</si>
  <si>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</si>
  <si>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</si>
  <si>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</si>
  <si>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</si>
  <si>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</si>
  <si>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</si>
  <si>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</si>
  <si>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</si>
  <si>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</si>
  <si>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</si>
  <si>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</si>
  <si>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</si>
  <si>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</si>
  <si>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</si>
  <si>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</si>
  <si>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</si>
  <si>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</si>
  <si>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</si>
  <si>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</si>
  <si>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</si>
  <si>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</si>
  <si>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</si>
  <si>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</si>
  <si>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</si>
  <si>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</si>
  <si>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</si>
  <si>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</si>
  <si>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</si>
  <si>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</si>
  <si>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</si>
  <si>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</si>
  <si>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</si>
  <si>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</si>
  <si>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</si>
  <si>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</si>
  <si>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</si>
  <si>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</si>
  <si>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</si>
  <si>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</si>
  <si>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</si>
  <si>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</si>
  <si>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</si>
  <si>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</si>
  <si>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</si>
  <si>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</si>
  <si>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</si>
  <si>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</si>
  <si>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</si>
  <si>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</si>
  <si>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</si>
  <si>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</si>
  <si>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</si>
  <si>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</si>
  <si>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</si>
  <si>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</si>
  <si>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</si>
  <si>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</si>
  <si>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</si>
  <si>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</si>
  <si>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</si>
  <si>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</si>
  <si>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</si>
  <si>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</si>
  <si>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</si>
  <si>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</si>
  <si>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</si>
  <si>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</si>
  <si>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</si>
  <si>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</si>
  <si>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</si>
  <si>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</si>
  <si>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</si>
  <si>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</si>
  <si>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</si>
  <si>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</si>
  <si>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</si>
  <si>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</si>
  <si>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</si>
  <si>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</si>
  <si>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</si>
  <si>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</si>
  <si>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</si>
  <si>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</si>
  <si>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</si>
  <si>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</si>
  <si>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</si>
  <si>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</si>
  <si>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</si>
  <si>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</si>
  <si>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</si>
  <si>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</si>
  <si>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</si>
  <si>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</si>
  <si>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</si>
  <si>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</si>
  <si>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</si>
  <si>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</si>
  <si>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</si>
  <si>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</si>
  <si>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</si>
  <si>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</si>
  <si>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</si>
  <si>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</si>
  <si>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</si>
  <si>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</si>
  <si>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</si>
  <si>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</si>
  <si>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</si>
  <si>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</si>
  <si>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</si>
  <si>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</si>
  <si>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</si>
  <si>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</si>
  <si>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</si>
  <si>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</si>
  <si>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</si>
  <si>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</si>
  <si>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</si>
  <si>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</si>
  <si>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</si>
  <si>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</si>
  <si>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</si>
  <si>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</si>
  <si>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</si>
  <si>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</si>
  <si>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</si>
  <si>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</si>
  <si>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</si>
  <si>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</si>
  <si>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</si>
  <si>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</si>
  <si>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</si>
  <si>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</si>
  <si>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</si>
  <si>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</si>
  <si>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</si>
  <si>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</si>
  <si>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</si>
  <si>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</si>
  <si>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</si>
  <si>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</si>
  <si>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</si>
  <si>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</si>
  <si>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</si>
  <si>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</si>
  <si>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</si>
  <si>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</si>
  <si>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</si>
  <si>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</si>
  <si>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</si>
  <si>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</si>
  <si>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</si>
  <si>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</si>
  <si>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</si>
  <si>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</si>
  <si>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</si>
  <si>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</si>
  <si>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</si>
  <si>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</si>
  <si>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</si>
  <si>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</si>
  <si>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</si>
  <si>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</si>
  <si>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</si>
  <si>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</si>
  <si>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</si>
  <si>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</si>
  <si>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</si>
  <si>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</si>
  <si>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</si>
  <si>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</si>
  <si>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</si>
  <si>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</si>
  <si>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</si>
  <si>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</si>
  <si>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</si>
  <si>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</si>
  <si>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</si>
  <si>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</si>
  <si>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</si>
  <si>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</si>
  <si>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</si>
  <si>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</si>
  <si>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</si>
  <si>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</si>
  <si>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</si>
  <si>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</si>
  <si>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</si>
  <si>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</si>
  <si>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</si>
  <si>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</si>
  <si>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</si>
  <si>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</si>
  <si>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</si>
  <si>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</si>
  <si>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</si>
  <si>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</si>
  <si>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</si>
  <si>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</si>
  <si>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</si>
  <si>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</si>
  <si>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</si>
  <si>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</si>
  <si>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</si>
  <si>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</si>
  <si>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</si>
  <si>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</si>
  <si>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</si>
  <si>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</si>
  <si>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</si>
  <si>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</si>
  <si>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</si>
  <si>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</si>
  <si>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</si>
  <si>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</si>
  <si>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</si>
  <si>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</si>
  <si>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</si>
  <si>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</si>
  <si>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</si>
  <si>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</si>
  <si>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</si>
  <si>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</si>
  <si>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</si>
  <si>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</si>
  <si>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</si>
  <si>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</si>
  <si>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</si>
  <si>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</si>
  <si>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</si>
  <si>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</si>
  <si>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</si>
  <si>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</si>
  <si>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</si>
  <si>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</si>
  <si>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</si>
  <si>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</si>
  <si>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</si>
  <si>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</si>
  <si>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</si>
  <si>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</si>
  <si>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</si>
  <si>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</si>
  <si>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</si>
  <si>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</si>
  <si>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</si>
  <si>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</si>
  <si>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</si>
  <si>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</si>
  <si>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</si>
  <si>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</si>
  <si>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</si>
  <si>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</si>
  <si>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</si>
  <si>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</si>
  <si>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</si>
  <si>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</si>
  <si>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</si>
  <si>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</si>
  <si>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</si>
  <si>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</si>
  <si>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</si>
  <si>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</si>
  <si>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</si>
  <si>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</si>
  <si>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</si>
  <si>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</si>
  <si>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</si>
  <si>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</si>
  <si>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</si>
  <si>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</si>
  <si>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</si>
  <si>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</si>
  <si>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</si>
  <si>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</si>
  <si>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</si>
  <si>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</si>
  <si>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</si>
  <si>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</si>
  <si>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</si>
  <si>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</si>
  <si>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</si>
  <si>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</si>
  <si>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</si>
  <si>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</si>
  <si>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</si>
  <si>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</si>
  <si>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</si>
  <si>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</si>
  <si>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</si>
  <si>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</si>
  <si>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</si>
  <si>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</si>
  <si>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</si>
  <si>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</si>
  <si>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</si>
  <si>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</si>
  <si>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</si>
  <si>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</si>
  <si>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</si>
  <si>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</si>
  <si>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</si>
  <si>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</si>
  <si>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</si>
  <si>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</si>
  <si>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</si>
  <si>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</si>
  <si>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</si>
  <si>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</si>
  <si>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</si>
  <si>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</si>
  <si>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</si>
  <si>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</si>
  <si>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</si>
  <si>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</si>
  <si>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</si>
  <si>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</si>
  <si>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</si>
  <si>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</si>
  <si>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</si>
  <si>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</si>
  <si>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</si>
  <si>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</si>
  <si>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</si>
  <si>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</si>
  <si>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</si>
  <si>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</si>
  <si>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</si>
  <si>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</si>
  <si>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</si>
  <si>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</si>
  <si>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</si>
  <si>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</si>
  <si>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</si>
  <si>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</si>
  <si>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</si>
  <si>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</si>
  <si>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</si>
  <si>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</si>
  <si>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</si>
  <si>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</si>
  <si>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</si>
  <si>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</si>
  <si>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</si>
  <si>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</si>
  <si>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</si>
  <si>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</si>
  <si>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</si>
  <si>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</si>
  <si>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</si>
  <si>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</si>
  <si>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</si>
  <si>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</si>
  <si>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</si>
  <si>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</si>
  <si>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</si>
  <si>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</si>
  <si>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</si>
  <si>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</si>
  <si>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</si>
  <si>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</si>
  <si>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</si>
  <si>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</si>
  <si>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</si>
  <si>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</si>
  <si>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</si>
  <si>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</si>
  <si>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</si>
  <si>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</si>
  <si>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</si>
  <si>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</si>
  <si>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</si>
  <si>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</si>
  <si>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</si>
  <si>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</si>
  <si>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</si>
  <si>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</si>
  <si>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</si>
  <si>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</si>
  <si>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</si>
  <si>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</si>
  <si>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</si>
  <si>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</si>
  <si>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</si>
  <si>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</si>
  <si>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</si>
  <si>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</si>
  <si>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</si>
  <si>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</si>
  <si>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</si>
  <si>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</si>
  <si>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</si>
  <si>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</si>
  <si>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</si>
  <si>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</si>
  <si>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</si>
  <si>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</si>
  <si>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</si>
  <si>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</si>
  <si>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</si>
  <si>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</si>
  <si>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</si>
  <si>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</si>
  <si>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</si>
  <si>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</si>
  <si>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</si>
  <si>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</si>
  <si>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</si>
  <si>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</si>
  <si>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</si>
  <si>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</si>
  <si>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</si>
  <si>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</si>
  <si>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</si>
  <si>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</si>
  <si>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</si>
  <si>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</si>
  <si>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</si>
  <si>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</si>
  <si>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</si>
  <si>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</si>
  <si>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</si>
  <si>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</si>
  <si>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</si>
  <si>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</si>
  <si>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</si>
  <si>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</si>
  <si>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</si>
  <si>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</si>
  <si>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</si>
  <si>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</si>
  <si>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</si>
  <si>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</si>
  <si>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</si>
  <si>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</si>
  <si>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</si>
  <si>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</si>
  <si>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</si>
  <si>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</si>
  <si>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</si>
  <si>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</si>
  <si>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</si>
  <si>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</si>
  <si>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</si>
  <si>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</si>
  <si>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</si>
  <si>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</si>
  <si>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</si>
  <si>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</si>
  <si>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</si>
  <si>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</si>
  <si>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</si>
  <si>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</si>
  <si>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</si>
  <si>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</si>
  <si>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</si>
  <si>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</si>
  <si>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</si>
  <si>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</si>
  <si>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</si>
  <si>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</si>
  <si>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</si>
  <si>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</si>
  <si>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</si>
  <si>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</si>
  <si>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</si>
  <si>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</si>
  <si>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</si>
  <si>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</si>
  <si>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</si>
  <si>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</si>
  <si>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</si>
  <si>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</si>
  <si>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</si>
  <si>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</si>
  <si>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</si>
  <si>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</si>
  <si>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</si>
  <si>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</si>
  <si>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</si>
  <si>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</si>
  <si>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</si>
  <si>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</si>
  <si>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</si>
  <si>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</si>
  <si>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</si>
  <si>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</si>
  <si>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</si>
  <si>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</si>
  <si>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</si>
  <si>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</si>
  <si>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23C766118-03</t>
  </si>
  <si>
    <t>ESTEEM ENDEAVOR</t>
  </si>
  <si>
    <t>Unleaded Gasoline 95 Ron</t>
  </si>
  <si>
    <t>여수</t>
    <phoneticPr fontId="1" type="noConversion"/>
  </si>
  <si>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</si>
  <si>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</si>
  <si>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</si>
  <si>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</si>
  <si>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</si>
  <si>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</si>
  <si>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</si>
  <si>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</si>
  <si>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</si>
  <si>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</si>
  <si>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</si>
  <si>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</si>
  <si>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</si>
  <si>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</si>
  <si>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</si>
  <si>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</si>
  <si>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</si>
  <si>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</si>
  <si>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</si>
  <si>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</si>
  <si>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</si>
  <si>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</si>
  <si>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</si>
  <si>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</si>
  <si>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</si>
  <si>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</si>
  <si>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</si>
  <si>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Particulate Contamination - Lab Procedure (Filtration and Gravimetric Determination)</t>
  </si>
  <si>
    <t>Phosphorus in Gasoline</t>
  </si>
  <si>
    <t>Silver Strip Corrosion 3Hr@ 50C</t>
  </si>
  <si>
    <t>Sulfur Content</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</si>
  <si>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</si>
  <si>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</si>
  <si>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</si>
  <si>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</si>
  <si>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</si>
  <si>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</si>
  <si>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</si>
  <si>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</si>
  <si>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</si>
  <si>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</si>
  <si>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</si>
  <si>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</si>
  <si>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</si>
  <si>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65 (buy)</t>
  </si>
  <si>
    <t>max = 115 (buy)</t>
  </si>
  <si>
    <t>max = 183 (buy)</t>
  </si>
  <si>
    <t>max = 210 (buy)</t>
  </si>
  <si>
    <t>max = 2.0 (buy)</t>
  </si>
  <si>
    <t>max = 0 (buy)</t>
  </si>
  <si>
    <t>max = 96 (buy)</t>
  </si>
  <si>
    <t>max = 30 (buy)</t>
  </si>
  <si>
    <t>max = 5.0 (buy)</t>
  </si>
  <si>
    <t>min = 360 (buy)</t>
  </si>
  <si>
    <t>min = 85 (buy)</t>
  </si>
  <si>
    <t>min = 95 (buy)</t>
  </si>
  <si>
    <t>max = 18.0 (buy)</t>
  </si>
  <si>
    <t>max = 2.7 (buy)</t>
  </si>
  <si>
    <t>max = 0.5 (buy)</t>
  </si>
  <si>
    <t>max = 3.0 (buy)</t>
  </si>
  <si>
    <t>max = 1.3 (buy)</t>
  </si>
  <si>
    <t>max = 50 (buy)</t>
  </si>
  <si>
    <t>max = 15 (buy)</t>
  </si>
  <si>
    <t>min = 45 / max = 67 (buy)</t>
  </si>
  <si>
    <t>max = 24.0 (buy)</t>
  </si>
  <si>
    <t>max = 6 (buy)</t>
  </si>
  <si>
    <t>pass/fail</t>
  </si>
  <si>
    <t>visual</t>
  </si>
  <si>
    <t>%vol</t>
  </si>
  <si>
    <t>rating</t>
  </si>
  <si>
    <t>kg/l</t>
  </si>
  <si>
    <t>°C</t>
  </si>
  <si>
    <t>calc</t>
  </si>
  <si>
    <t>mg/100ml</t>
  </si>
  <si>
    <t>mins</t>
  </si>
  <si>
    <t>mg/l</t>
  </si>
  <si>
    <t>%m</t>
  </si>
  <si>
    <t>mg P/l</t>
  </si>
  <si>
    <t>mg/kg</t>
  </si>
  <si>
    <t>pos/neg</t>
  </si>
  <si>
    <t>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</si>
</sst>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C6" sqref="C6"/>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701</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45239</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45055</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45331</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5" t="s">
        <v>369</v>
      </c>
      <c r="K25" s="275"/>
      <c r="L25" s="4"/>
      <c r="M25" s="4"/>
      <c r="N25" s="4"/>
      <c r="O25" s="4"/>
      <c r="P25" s="4"/>
      <c r="AA25" s="101">
        <f t="shared" si="1"/>
        <v>0</v>
      </c>
    </row>
    <row r="26" spans="1:27" ht="13.9" customHeight="1">
      <c r="A26" s="80">
        <v>22</v>
      </c>
      <c r="B26" s="122"/>
      <c r="C26" s="123"/>
      <c r="D26" s="57"/>
      <c r="E26" s="94"/>
      <c r="F26" s="59"/>
      <c r="G26" s="60"/>
      <c r="H26" s="203" t="str">
        <f t="shared" si="0"/>
        <v/>
      </c>
      <c r="I26" s="4"/>
      <c r="J26" s="276"/>
      <c r="K26" s="276"/>
      <c r="L26" s="4"/>
      <c r="M26" s="4"/>
      <c r="N26" s="4"/>
      <c r="O26" s="4"/>
      <c r="P26" s="4"/>
      <c r="AA26" s="101">
        <f t="shared" si="1"/>
        <v>0</v>
      </c>
    </row>
    <row r="27" spans="1:27" ht="13.9"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Unleaded Gasoline 95 Ron</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266</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740</v>
      </c>
      <c r="F7" s="263"/>
      <c r="G7" s="20"/>
      <c r="H7" s="20"/>
      <c r="I7" s="262" t="s">
        <v>768</v>
      </c>
      <c r="J7" s="246" t="str">
        <f>IF($C7="","",IF(AND($B7="",G7=""),"*",IF(AND($B7="v",NOT(G7="")),"*",IF(AND($B7="",NOT(G7="")),"",IF(AND($B7="v",G7=""),"")))))</f>
        <v>*</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702</v>
      </c>
      <c r="D8" s="260"/>
      <c r="E8" s="126" t="s">
        <v>740</v>
      </c>
      <c r="F8" s="263"/>
      <c r="G8" s="20"/>
      <c r="H8" s="20"/>
      <c r="I8" s="262" t="s">
        <v>769</v>
      </c>
      <c r="J8" s="246" t="str">
        <f t="shared" ref="J8:J71" si="16">IF($C8="","",IF(AND($B8="",G8=""),"*",IF(AND($B8="v",NOT(G8="")),"*",IF(AND($B8="",NOT(G8="")),"",IF(AND($B8="v",G8=""),"")))))</f>
        <v>*</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703</v>
      </c>
      <c r="D9" s="260"/>
      <c r="E9" s="126" t="s">
        <v>741</v>
      </c>
      <c r="F9" s="261"/>
      <c r="G9" s="20"/>
      <c r="H9" s="20"/>
      <c r="I9" s="262" t="s">
        <v>770</v>
      </c>
      <c r="J9" s="246" t="str">
        <f t="shared" si="16"/>
        <v>*</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703</v>
      </c>
      <c r="D10" s="260"/>
      <c r="E10" s="126" t="s">
        <v>742</v>
      </c>
      <c r="F10" s="261"/>
      <c r="G10" s="20"/>
      <c r="H10" s="20"/>
      <c r="I10" s="262" t="s">
        <v>770</v>
      </c>
      <c r="J10" s="246" t="str">
        <f t="shared" si="16"/>
        <v>*</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704</v>
      </c>
      <c r="D11" s="260"/>
      <c r="E11" s="126" t="s">
        <v>743</v>
      </c>
      <c r="F11" s="261"/>
      <c r="G11" s="20"/>
      <c r="H11" s="20"/>
      <c r="I11" s="262" t="s">
        <v>770</v>
      </c>
      <c r="J11" s="246" t="str">
        <f t="shared" si="16"/>
        <v>*</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705</v>
      </c>
      <c r="D12" s="260"/>
      <c r="E12" s="126" t="s">
        <v>740</v>
      </c>
      <c r="F12" s="263"/>
      <c r="G12" s="20"/>
      <c r="H12" s="20"/>
      <c r="I12" s="262" t="s">
        <v>769</v>
      </c>
      <c r="J12" s="246" t="str">
        <f t="shared" si="16"/>
        <v>*</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706</v>
      </c>
      <c r="D13" s="260"/>
      <c r="E13" s="126" t="s">
        <v>744</v>
      </c>
      <c r="F13" s="261"/>
      <c r="G13" s="20"/>
      <c r="H13" s="20"/>
      <c r="I13" s="19" t="s">
        <v>771</v>
      </c>
      <c r="J13" s="246" t="str">
        <f t="shared" si="16"/>
        <v>*</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707</v>
      </c>
      <c r="D14" s="260"/>
      <c r="E14" s="126" t="s">
        <v>745</v>
      </c>
      <c r="F14" s="261"/>
      <c r="G14" s="20"/>
      <c r="H14" s="20"/>
      <c r="I14" s="262" t="s">
        <v>772</v>
      </c>
      <c r="J14" s="246" t="str">
        <f t="shared" si="16"/>
        <v>*</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708</v>
      </c>
      <c r="D15" s="260"/>
      <c r="E15" s="126" t="s">
        <v>745</v>
      </c>
      <c r="F15" s="261"/>
      <c r="G15" s="20"/>
      <c r="H15" s="20"/>
      <c r="I15" s="262" t="s">
        <v>770</v>
      </c>
      <c r="J15" s="246" t="str">
        <f t="shared" si="16"/>
        <v>*</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709</v>
      </c>
      <c r="D16" s="260"/>
      <c r="E16" s="126" t="s">
        <v>746</v>
      </c>
      <c r="F16" s="261"/>
      <c r="G16" s="20"/>
      <c r="H16" s="20"/>
      <c r="I16" s="262" t="s">
        <v>773</v>
      </c>
      <c r="J16" s="246" t="str">
        <f t="shared" si="16"/>
        <v>*</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710</v>
      </c>
      <c r="D17" s="260"/>
      <c r="E17" s="126" t="s">
        <v>747</v>
      </c>
      <c r="F17" s="261"/>
      <c r="G17" s="20"/>
      <c r="H17" s="20"/>
      <c r="I17" s="262" t="s">
        <v>773</v>
      </c>
      <c r="J17" s="246" t="str">
        <f t="shared" si="16"/>
        <v>*</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711</v>
      </c>
      <c r="D18" s="260"/>
      <c r="E18" s="126" t="s">
        <v>748</v>
      </c>
      <c r="F18" s="261"/>
      <c r="G18" s="20"/>
      <c r="H18" s="20"/>
      <c r="I18" s="262" t="s">
        <v>773</v>
      </c>
      <c r="J18" s="246" t="str">
        <f t="shared" si="16"/>
        <v>*</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712</v>
      </c>
      <c r="D19" s="260"/>
      <c r="E19" s="126" t="s">
        <v>749</v>
      </c>
      <c r="F19" s="261"/>
      <c r="G19" s="20"/>
      <c r="H19" s="20"/>
      <c r="I19" s="262" t="s">
        <v>773</v>
      </c>
      <c r="J19" s="246" t="str">
        <f t="shared" si="16"/>
        <v>*</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713</v>
      </c>
      <c r="D20" s="260"/>
      <c r="E20" s="126" t="s">
        <v>745</v>
      </c>
      <c r="F20" s="261"/>
      <c r="G20" s="20"/>
      <c r="H20" s="20"/>
      <c r="I20" s="262" t="s">
        <v>770</v>
      </c>
      <c r="J20" s="246" t="str">
        <f t="shared" si="16"/>
        <v>*</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714</v>
      </c>
      <c r="D21" s="260"/>
      <c r="E21" s="126" t="s">
        <v>750</v>
      </c>
      <c r="F21" s="261"/>
      <c r="G21" s="20"/>
      <c r="H21" s="20"/>
      <c r="I21" s="262" t="s">
        <v>770</v>
      </c>
      <c r="J21" s="246" t="str">
        <f t="shared" si="16"/>
        <v>*</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715</v>
      </c>
      <c r="D22" s="260"/>
      <c r="E22" s="126" t="s">
        <v>745</v>
      </c>
      <c r="F22" s="261"/>
      <c r="G22" s="20"/>
      <c r="H22" s="20"/>
      <c r="I22" s="19" t="s">
        <v>774</v>
      </c>
      <c r="J22" s="246" t="str">
        <f t="shared" si="16"/>
        <v>*</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716</v>
      </c>
      <c r="D23" s="260"/>
      <c r="E23" s="126" t="s">
        <v>751</v>
      </c>
      <c r="F23" s="261"/>
      <c r="G23" s="20"/>
      <c r="H23" s="20"/>
      <c r="I23" s="262" t="s">
        <v>770</v>
      </c>
      <c r="J23" s="246" t="str">
        <f t="shared" si="16"/>
        <v>*</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717</v>
      </c>
      <c r="D24" s="260"/>
      <c r="E24" s="126" t="s">
        <v>752</v>
      </c>
      <c r="F24" s="261"/>
      <c r="G24" s="20"/>
      <c r="H24" s="20"/>
      <c r="I24" s="262" t="s">
        <v>774</v>
      </c>
      <c r="J24" s="246" t="str">
        <f t="shared" si="16"/>
        <v>*</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718</v>
      </c>
      <c r="D25" s="260"/>
      <c r="E25" s="126" t="s">
        <v>753</v>
      </c>
      <c r="F25" s="261"/>
      <c r="G25" s="20"/>
      <c r="H25" s="20"/>
      <c r="I25" s="262" t="s">
        <v>775</v>
      </c>
      <c r="J25" s="246" t="str">
        <f t="shared" si="16"/>
        <v>*</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719</v>
      </c>
      <c r="D26" s="260"/>
      <c r="E26" s="126" t="s">
        <v>754</v>
      </c>
      <c r="F26" s="261"/>
      <c r="G26" s="20"/>
      <c r="H26" s="20"/>
      <c r="I26" s="262" t="s">
        <v>775</v>
      </c>
      <c r="J26" s="246" t="str">
        <f t="shared" si="16"/>
        <v>*</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720</v>
      </c>
      <c r="D27" s="260"/>
      <c r="E27" s="126" t="s">
        <v>755</v>
      </c>
      <c r="F27" s="261"/>
      <c r="G27" s="20"/>
      <c r="H27" s="20"/>
      <c r="I27" s="262" t="s">
        <v>776</v>
      </c>
      <c r="J27" s="246" t="str">
        <f t="shared" si="16"/>
        <v>*</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721</v>
      </c>
      <c r="D28" s="260"/>
      <c r="E28" s="126" t="s">
        <v>754</v>
      </c>
      <c r="F28" s="261"/>
      <c r="G28" s="20"/>
      <c r="H28" s="20"/>
      <c r="I28" s="262" t="s">
        <v>777</v>
      </c>
      <c r="J28" s="246" t="str">
        <f t="shared" si="16"/>
        <v>*</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722</v>
      </c>
      <c r="D29" s="260"/>
      <c r="E29" s="126" t="s">
        <v>756</v>
      </c>
      <c r="F29" s="261"/>
      <c r="G29" s="20"/>
      <c r="H29" s="20"/>
      <c r="I29" s="262" t="s">
        <v>771</v>
      </c>
      <c r="J29" s="246" t="str">
        <f t="shared" si="16"/>
        <v>*</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723</v>
      </c>
      <c r="D30" s="260"/>
      <c r="E30" s="126" t="s">
        <v>757</v>
      </c>
      <c r="F30" s="261"/>
      <c r="G30" s="20"/>
      <c r="H30" s="20"/>
      <c r="I30" s="262" t="s">
        <v>771</v>
      </c>
      <c r="J30" s="246" t="str">
        <f t="shared" si="16"/>
        <v>*</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724</v>
      </c>
      <c r="D31" s="260"/>
      <c r="E31" s="126" t="s">
        <v>740</v>
      </c>
      <c r="F31" s="263"/>
      <c r="G31" s="20"/>
      <c r="H31" s="20"/>
      <c r="I31" s="19" t="s">
        <v>768</v>
      </c>
      <c r="J31" s="246" t="str">
        <f t="shared" si="16"/>
        <v>*</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725</v>
      </c>
      <c r="D32" s="260"/>
      <c r="E32" s="126" t="s">
        <v>758</v>
      </c>
      <c r="F32" s="261"/>
      <c r="G32" s="20"/>
      <c r="H32" s="20"/>
      <c r="I32" s="262" t="s">
        <v>770</v>
      </c>
      <c r="J32" s="246" t="str">
        <f t="shared" si="16"/>
        <v>*</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726</v>
      </c>
      <c r="D33" s="260"/>
      <c r="E33" s="126" t="s">
        <v>759</v>
      </c>
      <c r="F33" s="261"/>
      <c r="G33" s="20"/>
      <c r="H33" s="20"/>
      <c r="I33" s="262" t="s">
        <v>778</v>
      </c>
      <c r="J33" s="246" t="str">
        <f t="shared" si="16"/>
        <v>*</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727</v>
      </c>
      <c r="D34" s="260"/>
      <c r="E34" s="126" t="s">
        <v>743</v>
      </c>
      <c r="F34" s="261"/>
      <c r="G34" s="20"/>
      <c r="H34" s="20"/>
      <c r="I34" s="262" t="s">
        <v>770</v>
      </c>
      <c r="J34" s="246" t="str">
        <f t="shared" si="16"/>
        <v>*</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727</v>
      </c>
      <c r="D35" s="260"/>
      <c r="E35" s="126" t="s">
        <v>743</v>
      </c>
      <c r="F35" s="261"/>
      <c r="G35" s="20"/>
      <c r="H35" s="20"/>
      <c r="I35" s="262" t="s">
        <v>770</v>
      </c>
      <c r="J35" s="246" t="str">
        <f t="shared" si="16"/>
        <v>*</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728</v>
      </c>
      <c r="D36" s="260"/>
      <c r="E36" s="126" t="s">
        <v>740</v>
      </c>
      <c r="F36" s="261"/>
      <c r="G36" s="20"/>
      <c r="H36" s="20"/>
      <c r="I36" s="262" t="s">
        <v>770</v>
      </c>
      <c r="J36" s="246" t="str">
        <f t="shared" si="16"/>
        <v>*</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727</v>
      </c>
      <c r="D37" s="260"/>
      <c r="E37" s="126" t="s">
        <v>743</v>
      </c>
      <c r="F37" s="261"/>
      <c r="G37" s="20"/>
      <c r="H37" s="20"/>
      <c r="I37" s="262" t="s">
        <v>770</v>
      </c>
      <c r="J37" s="246" t="str">
        <f t="shared" si="16"/>
        <v>*</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727</v>
      </c>
      <c r="D38" s="260"/>
      <c r="E38" s="126" t="s">
        <v>760</v>
      </c>
      <c r="F38" s="261"/>
      <c r="G38" s="20"/>
      <c r="H38" s="20"/>
      <c r="I38" s="262" t="s">
        <v>770</v>
      </c>
      <c r="J38" s="246" t="str">
        <f t="shared" si="16"/>
        <v>*</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727</v>
      </c>
      <c r="D39" s="260"/>
      <c r="E39" s="126" t="s">
        <v>743</v>
      </c>
      <c r="F39" s="261"/>
      <c r="G39" s="20"/>
      <c r="H39" s="20"/>
      <c r="I39" s="262" t="s">
        <v>770</v>
      </c>
      <c r="J39" s="246" t="str">
        <f t="shared" si="16"/>
        <v>*</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729</v>
      </c>
      <c r="D40" s="260"/>
      <c r="E40" s="126" t="s">
        <v>761</v>
      </c>
      <c r="F40" s="261"/>
      <c r="G40" s="20"/>
      <c r="H40" s="20"/>
      <c r="I40" s="262" t="s">
        <v>777</v>
      </c>
      <c r="J40" s="246" t="str">
        <f t="shared" si="16"/>
        <v>*</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730</v>
      </c>
      <c r="D41" s="260"/>
      <c r="E41" s="126" t="s">
        <v>762</v>
      </c>
      <c r="F41" s="261"/>
      <c r="G41" s="20"/>
      <c r="H41" s="20"/>
      <c r="I41" s="262" t="s">
        <v>779</v>
      </c>
      <c r="J41" s="246" t="str">
        <f t="shared" si="16"/>
        <v>*</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731</v>
      </c>
      <c r="D42" s="260"/>
      <c r="E42" s="126" t="s">
        <v>744</v>
      </c>
      <c r="F42" s="261"/>
      <c r="G42" s="20"/>
      <c r="H42" s="20"/>
      <c r="I42" s="19" t="s">
        <v>771</v>
      </c>
      <c r="J42" s="246" t="str">
        <f t="shared" si="16"/>
        <v>*</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732</v>
      </c>
      <c r="D43" s="260"/>
      <c r="E43" s="126" t="s">
        <v>763</v>
      </c>
      <c r="F43" s="261"/>
      <c r="G43" s="20"/>
      <c r="H43" s="20"/>
      <c r="I43" s="262" t="s">
        <v>780</v>
      </c>
      <c r="J43" s="246" t="str">
        <f t="shared" si="16"/>
        <v>*</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733</v>
      </c>
      <c r="D44" s="260"/>
      <c r="E44" s="126" t="s">
        <v>764</v>
      </c>
      <c r="F44" s="261"/>
      <c r="G44" s="20"/>
      <c r="H44" s="20"/>
      <c r="I44" s="262" t="s">
        <v>780</v>
      </c>
      <c r="J44" s="246" t="str">
        <f t="shared" si="16"/>
        <v>*</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c r="C45" s="62" t="s">
        <v>734</v>
      </c>
      <c r="D45" s="260"/>
      <c r="E45" s="126" t="s">
        <v>740</v>
      </c>
      <c r="F45" s="263"/>
      <c r="G45" s="20"/>
      <c r="H45" s="20"/>
      <c r="I45" s="262" t="s">
        <v>781</v>
      </c>
      <c r="J45" s="246" t="str">
        <f t="shared" si="16"/>
        <v>*</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735</v>
      </c>
      <c r="D46" s="260"/>
      <c r="E46" s="126" t="s">
        <v>765</v>
      </c>
      <c r="F46" s="261"/>
      <c r="G46" s="20"/>
      <c r="H46" s="20"/>
      <c r="I46" s="262" t="s">
        <v>782</v>
      </c>
      <c r="J46" s="246" t="str">
        <f t="shared" si="16"/>
        <v>*</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736</v>
      </c>
      <c r="D47" s="260"/>
      <c r="E47" s="126" t="s">
        <v>740</v>
      </c>
      <c r="F47" s="261"/>
      <c r="G47" s="20"/>
      <c r="H47" s="20"/>
      <c r="I47" s="19" t="s">
        <v>770</v>
      </c>
      <c r="J47" s="246" t="str">
        <f t="shared" si="16"/>
        <v>*</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736</v>
      </c>
      <c r="D48" s="260"/>
      <c r="E48" s="126" t="s">
        <v>760</v>
      </c>
      <c r="F48" s="261"/>
      <c r="G48" s="20"/>
      <c r="H48" s="20"/>
      <c r="I48" s="19" t="s">
        <v>770</v>
      </c>
      <c r="J48" s="246" t="str">
        <f t="shared" si="16"/>
        <v>*</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737</v>
      </c>
      <c r="D49" s="260"/>
      <c r="E49" s="126" t="s">
        <v>761</v>
      </c>
      <c r="F49" s="261"/>
      <c r="G49" s="20"/>
      <c r="H49" s="20"/>
      <c r="I49" s="262" t="s">
        <v>777</v>
      </c>
      <c r="J49" s="246" t="str">
        <f t="shared" si="16"/>
        <v>*</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t="s">
        <v>738</v>
      </c>
      <c r="D50" s="260"/>
      <c r="E50" s="126" t="s">
        <v>744</v>
      </c>
      <c r="F50" s="261"/>
      <c r="G50" s="20"/>
      <c r="H50" s="20"/>
      <c r="I50" s="262" t="s">
        <v>777</v>
      </c>
      <c r="J50" s="246" t="str">
        <f t="shared" si="16"/>
        <v>*</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c r="C51" s="62" t="s">
        <v>739</v>
      </c>
      <c r="D51" s="260"/>
      <c r="E51" s="126" t="s">
        <v>766</v>
      </c>
      <c r="F51" s="261"/>
      <c r="G51" s="20"/>
      <c r="H51" s="20"/>
      <c r="I51" s="19" t="s">
        <v>777</v>
      </c>
      <c r="J51" s="246" t="str">
        <f t="shared" si="16"/>
        <v>*</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t="s">
        <v>738</v>
      </c>
      <c r="D52" s="260"/>
      <c r="E52" s="126" t="s">
        <v>767</v>
      </c>
      <c r="F52" s="261"/>
      <c r="G52" s="20"/>
      <c r="H52" s="20"/>
      <c r="I52" s="262" t="s">
        <v>777</v>
      </c>
      <c r="J52" s="246" t="str">
        <f t="shared" si="16"/>
        <v>*</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t="s">
        <v>738</v>
      </c>
      <c r="D53" s="260"/>
      <c r="E53" s="126" t="s">
        <v>751</v>
      </c>
      <c r="F53" s="261"/>
      <c r="G53" s="20"/>
      <c r="H53" s="20"/>
      <c r="I53" s="262" t="s">
        <v>777</v>
      </c>
      <c r="J53" s="246" t="str">
        <f t="shared" si="16"/>
        <v>*</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t="s">
        <v>738</v>
      </c>
      <c r="D54" s="260"/>
      <c r="E54" s="126" t="s">
        <v>751</v>
      </c>
      <c r="F54" s="261"/>
      <c r="G54" s="20"/>
      <c r="H54" s="20"/>
      <c r="I54" s="262" t="s">
        <v>777</v>
      </c>
      <c r="J54" s="246" t="str">
        <f t="shared" si="16"/>
        <v>*</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t="s">
        <v>738</v>
      </c>
      <c r="D55" s="260"/>
      <c r="E55" s="126" t="s">
        <v>751</v>
      </c>
      <c r="F55" s="261"/>
      <c r="G55" s="20"/>
      <c r="H55" s="20"/>
      <c r="I55" s="262" t="s">
        <v>777</v>
      </c>
      <c r="J55" s="246" t="str">
        <f t="shared" si="16"/>
        <v>*</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t="s">
        <v>738</v>
      </c>
      <c r="D56" s="260"/>
      <c r="E56" s="126" t="s">
        <v>745</v>
      </c>
      <c r="F56" s="261"/>
      <c r="G56" s="20"/>
      <c r="H56" s="20"/>
      <c r="I56" s="262" t="s">
        <v>777</v>
      </c>
      <c r="J56" s="246" t="str">
        <f t="shared" si="16"/>
        <v>*</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F20E30E7-6C71-4CA0-BC49-A3E18156CBBA}">
      <formula1>"* ,[ASTM] D4176 Procedure 1"</formula1>
    </dataValidation>
    <dataValidation type="list" allowBlank="1" showInputMessage="1" showErrorMessage="1" sqref="D8 D12" xr:uid="{7BBCAC4B-C549-4B90-BF1D-6830D6457C72}">
      <formula1>"* ,[OTHER] Visual"</formula1>
    </dataValidation>
    <dataValidation type="list" allowBlank="1" showInputMessage="1" showErrorMessage="1" sqref="D9" xr:uid="{8703E390-D906-4696-89ED-FF1628C0E240}">
      <formula1>"* ,[ASTM] D1319,[ASTM] D6839,[ASTM] D5134,[ASTM] D5443,[ASTM] D5580"</formula1>
    </dataValidation>
    <dataValidation type="list" allowBlank="1" showInputMessage="1" showErrorMessage="1" sqref="D10" xr:uid="{2B364427-F647-4486-ADF2-0D28B1DDE147}">
      <formula1>"* ,[ASTM] D5580,[ASTM] D5443"</formula1>
    </dataValidation>
    <dataValidation type="list" allowBlank="1" showInputMessage="1" showErrorMessage="1" sqref="D11" xr:uid="{AECE5B0C-839D-4E9C-BE78-2615FECA88DB}">
      <formula1>"* ,[ASTM] D4053,[ASTM] D5580,[ASTM] D3606,[ASTM] D6839"</formula1>
    </dataValidation>
    <dataValidation type="list" allowBlank="1" showInputMessage="1" showErrorMessage="1" sqref="D13" xr:uid="{B538BF20-F2F9-4D55-BAC6-B234D0DC83B2}">
      <formula1>"* ,[ASTM] D130"</formula1>
    </dataValidation>
    <dataValidation type="list" allowBlank="1" showInputMessage="1" showErrorMessage="1" sqref="D14" xr:uid="{C5ED884C-F4EA-4C85-96B4-260282FCAD5F}">
      <formula1>"* ,[ASTM] D4052,[ASTM] D1298"</formula1>
    </dataValidation>
    <dataValidation type="list" allowBlank="1" showInputMessage="1" showErrorMessage="1" sqref="D15 D16 D17 D18 D19 D20 D21" xr:uid="{FCFC8023-2CA9-4690-BCF5-D1C1F71F4C14}">
      <formula1>"* ,[ASTM] D86"</formula1>
    </dataValidation>
    <dataValidation type="list" allowBlank="1" showInputMessage="1" showErrorMessage="1" sqref="D22" xr:uid="{C09E38B9-E205-4024-8850-FFC796EAE7DD}">
      <formula1>"* ,[OTHER] CGSB 3.5"</formula1>
    </dataValidation>
    <dataValidation type="list" allowBlank="1" showInputMessage="1" showErrorMessage="1" sqref="D23 D33 D36" xr:uid="{945F1D43-6A7F-4EA7-B34B-46C551654F55}">
      <formula1>"* ,[ASTM] D4815-04"</formula1>
    </dataValidation>
    <dataValidation type="list" allowBlank="1" showInputMessage="1" showErrorMessage="1" sqref="D24" xr:uid="{06BB6D16-82F8-45FD-9DB2-D5AFB79143DB}">
      <formula1>"* ,[OTHER] Calculation"</formula1>
    </dataValidation>
    <dataValidation type="list" allowBlank="1" showInputMessage="1" showErrorMessage="1" sqref="D25 D26" xr:uid="{41C8A252-199D-4AF1-B8A0-FE5EF0F35648}">
      <formula1>"* ,[ASTM] D381"</formula1>
    </dataValidation>
    <dataValidation type="list" allowBlank="1" showInputMessage="1" showErrorMessage="1" sqref="D27" xr:uid="{28C300AF-0E48-4FA5-BE1D-171BAD725E9F}">
      <formula1>"* ,[ASTM] D525"</formula1>
    </dataValidation>
    <dataValidation type="list" allowBlank="1" showInputMessage="1" showErrorMessage="1" sqref="D28" xr:uid="{1C76C269-AB06-4BB1-A9F9-03EAF348A9AB}">
      <formula1>"* ,[ASTM] D5059,[IP] IP 352,[ASTM] D3237"</formula1>
    </dataValidation>
    <dataValidation type="list" allowBlank="1" showInputMessage="1" showErrorMessage="1" sqref="D29" xr:uid="{664CB2A2-87E3-48CE-A9D7-A8DF25B5AC3B}">
      <formula1>"* ,[ASTM] D2700"</formula1>
    </dataValidation>
    <dataValidation type="list" allowBlank="1" showInputMessage="1" showErrorMessage="1" sqref="D30" xr:uid="{0905F8E3-C167-4CD8-9EAD-597F6EB16632}">
      <formula1>"* ,[ASTM] D2699"</formula1>
    </dataValidation>
    <dataValidation type="list" allowBlank="1" showInputMessage="1" showErrorMessage="1" sqref="D31" xr:uid="{D844592E-F739-45DE-9B16-D660488B9A56}">
      <formula1>"* ,[OTHER] Odor"</formula1>
    </dataValidation>
    <dataValidation type="list" allowBlank="1" showInputMessage="1" showErrorMessage="1" sqref="D32" xr:uid="{C02D5BEC-43F5-40E3-89C7-C66CEC672401}">
      <formula1>"* ,[ASTM] D1319"</formula1>
    </dataValidation>
    <dataValidation type="list" allowBlank="1" showInputMessage="1" showErrorMessage="1" sqref="D34 D35 D37 D38 D39" xr:uid="{60042985-1D02-4FCB-B08C-19CD3E6C230A}">
      <formula1>"* ,[ASTM] D4815"</formula1>
    </dataValidation>
    <dataValidation type="list" allowBlank="1" showInputMessage="1" showErrorMessage="1" sqref="D40" xr:uid="{C8A4A480-B5AB-4470-A551-07BCF66C70D0}">
      <formula1>"* ,[ASTM] D5452"</formula1>
    </dataValidation>
    <dataValidation type="list" allowBlank="1" showInputMessage="1" showErrorMessage="1" sqref="D41" xr:uid="{5E2B9591-A63E-47F7-AEE2-1609F56AB204}">
      <formula1>"* ,[ASTM] D3231"</formula1>
    </dataValidation>
    <dataValidation type="list" allowBlank="1" showInputMessage="1" showErrorMessage="1" sqref="D42" xr:uid="{13F63C3B-872A-44EC-A7CC-7530CF1A021D}">
      <formula1>"* ,[ASTM] D7671"</formula1>
    </dataValidation>
    <dataValidation type="list" allowBlank="1" showInputMessage="1" showErrorMessage="1" sqref="D43" xr:uid="{60B372BE-4CB4-4C1E-AEA5-3C3B2F49B22E}">
      <formula1>"* ,[IP] IP 336,[ASTM] D5453,[ASTM] D4294"</formula1>
    </dataValidation>
    <dataValidation type="list" allowBlank="1" showInputMessage="1" showErrorMessage="1" sqref="D44" xr:uid="{31BC311E-F4FB-42BF-9548-4D81F845BA09}">
      <formula1>"* ,[ASTM] D3227,[IP] IP 342"</formula1>
    </dataValidation>
    <dataValidation type="list" allowBlank="1" showInputMessage="1" showErrorMessage="1" sqref="D45" xr:uid="{049DA935-2993-4B18-AFB9-710F9A8BA078}">
      <formula1>"* ,[IP] IP 30,[ASTM] D4952"</formula1>
    </dataValidation>
    <dataValidation type="list" allowBlank="1" showInputMessage="1" showErrorMessage="1" sqref="D46" xr:uid="{C3453885-3B66-49EB-AA1F-BA9C94C77A93}">
      <formula1>"* ,[ASTM] D323,[ASTM] D5191 (ASTM)"</formula1>
    </dataValidation>
    <dataValidation type="list" allowBlank="1" showInputMessage="1" showErrorMessage="1" sqref="D47 D48" xr:uid="{AD1CD9DC-A601-41C1-9285-52EE33B92AA0}">
      <formula1>"* ,[OTHER] Declaration"</formula1>
    </dataValidation>
    <dataValidation type="list" allowBlank="1" showInputMessage="1" showErrorMessage="1" sqref="D49" xr:uid="{3C0C1A6D-3F29-4A74-A68F-818506824C93}">
      <formula1>"* ,[OTHER] Not Listed"</formula1>
    </dataValidation>
    <dataValidation type="list" allowBlank="1" showInputMessage="1" showErrorMessage="1" sqref="D50 D52 D53 D54 D55 D56" xr:uid="{C12548CC-0295-4CA4-8501-6EDAF2393757}">
      <formula1>"* ,[OTHER] Additives (declaration)"</formula1>
    </dataValidation>
    <dataValidation type="list" allowBlank="1" showInputMessage="1" showErrorMessage="1" sqref="D51" xr:uid="{88DF7611-BE8B-42C5-BB9A-0D6EC99AE73F}">
      <formula1>"* ,[OTHER] Additive - Antioxidant (declaration)"</formula1>
    </dataValidation>
    <dataValidation type="list" allowBlank="1" showInputMessage="1" showErrorMessage="1" sqref="I7 I8" xr:uid="{68CC0F57-6D23-438D-8C19-94BECE47D2F4}">
      <formula1>"pass/fail,visual"</formula1>
    </dataValidation>
    <dataValidation type="list" allowBlank="1" showInputMessage="1" showErrorMessage="1" sqref="I9 I10" xr:uid="{DEBC80D7-2821-4B4F-A753-E827104AC74B}">
      <formula1>"ppm,%liq vol,%m/m,%mole,%vol"</formula1>
    </dataValidation>
    <dataValidation type="list" allowBlank="1" showInputMessage="1" showErrorMessage="1" sqref="I11" xr:uid="{CED179DE-8846-478B-A966-1B7235048520}">
      <formula1>"mg/kg,ppm v/v,ppm w/w,%wt,%vol"</formula1>
    </dataValidation>
    <dataValidation type="list" allowBlank="1" showInputMessage="1" showErrorMessage="1" sqref="I12" xr:uid="{3A5519FF-2C78-4ABF-8CF6-209449E9BD74}">
      <formula1>"haze no,Pt/Co scale,pass/fail,rating,visual"</formula1>
    </dataValidation>
    <dataValidation type="list" allowBlank="1" showInputMessage="1" showErrorMessage="1" sqref="I13 I42" xr:uid="{7F5B55FD-DCC2-45A3-953F-DB9F5A361EE4}">
      <formula1>"rating"</formula1>
    </dataValidation>
    <dataValidation type="list" allowBlank="1" showInputMessage="1" showErrorMessage="1" sqref="I14" xr:uid="{315CE7C1-9746-4B5F-BEA0-E28FC9BD4628}">
      <formula1>"g/ cc,g/l,g/cm³,g/ml,kg/m³,kg/l,n/a,tonne/m³"</formula1>
    </dataValidation>
    <dataValidation type="list" allowBlank="1" showInputMessage="1" showErrorMessage="1" sqref="I15 I16 I17 I18 I19 I20 I21" xr:uid="{C98BD98A-AAF1-4622-B0FD-1548B7BF58A1}">
      <formula1>"°C,°F,%,%vol"</formula1>
    </dataValidation>
    <dataValidation type="list" allowBlank="1" showInputMessage="1" showErrorMessage="1" sqref="I22" xr:uid="{C4CDD11F-D456-43A2-9E0F-8DCCC0EB93B5}">
      <formula1>"calc"</formula1>
    </dataValidation>
    <dataValidation type="list" allowBlank="1" showInputMessage="1" showErrorMessage="1" sqref="I23" xr:uid="{7E940764-9572-49F0-81FD-E6C55923F65D}">
      <formula1>"ppm,%vol"</formula1>
    </dataValidation>
    <dataValidation type="list" allowBlank="1" showInputMessage="1" showErrorMessage="1" sqref="I24" xr:uid="{94A7CB50-BF57-40EB-B433-67AC34AADC7B}">
      <formula1>"calc,Min,Max,min/max"</formula1>
    </dataValidation>
    <dataValidation type="list" allowBlank="1" showInputMessage="1" showErrorMessage="1" sqref="I25 I26" xr:uid="{6757EEEF-3738-4F25-BC7B-1234CDC298D0}">
      <formula1>"g/m³,mg/100ml,mg/l"</formula1>
    </dataValidation>
    <dataValidation type="list" allowBlank="1" showInputMessage="1" showErrorMessage="1" sqref="I27" xr:uid="{CDC1ADBC-2F44-41D0-A2DC-24EC9361DA05}">
      <formula1>"g/cm³,hrs,kg/m³,mg/100ml,mg/l,mins,rating"</formula1>
    </dataValidation>
    <dataValidation type="list" allowBlank="1" showInputMessage="1" showErrorMessage="1" sqref="I28" xr:uid="{B84563C7-DA12-4A7E-B6CC-32BA27F6B886}">
      <formula1>"g Pb/l,g Pb/US gal,g/US gal,mg/kg,mg/l,ppb,ppm,ppm w/w,%vol"</formula1>
    </dataValidation>
    <dataValidation type="list" allowBlank="1" showInputMessage="1" showErrorMessage="1" sqref="I29 I30" xr:uid="{6622B3B8-F61B-47FF-8D83-945FF2507F22}">
      <formula1>"mg/kg,mg/l,ppm,ppm w/w,%wt,rating"</formula1>
    </dataValidation>
    <dataValidation type="list" allowBlank="1" showInputMessage="1" showErrorMessage="1" sqref="I31" xr:uid="{A362D30F-9E05-49F6-8F8C-72162F3BFD13}">
      <formula1>"pass/fail"</formula1>
    </dataValidation>
    <dataValidation type="list" allowBlank="1" showInputMessage="1" showErrorMessage="1" sqref="I32" xr:uid="{FC4A9DD5-29CE-4726-8D63-3C8458CEF606}">
      <formula1>"ppm,%liq vol,%m/m,%mole,%wt,%vol"</formula1>
    </dataValidation>
    <dataValidation type="list" allowBlank="1" showInputMessage="1" showErrorMessage="1" sqref="I33" xr:uid="{C0C7E2E8-6D75-4B46-9A70-878A041F0686}">
      <formula1>"%m,%mole,%vol,ppm-mol"</formula1>
    </dataValidation>
    <dataValidation type="list" allowBlank="1" showInputMessage="1" showErrorMessage="1" sqref="I34 I35 I37 I38 I39" xr:uid="{CB7A4FA9-A7FB-469D-BFEC-D2409CE74722}">
      <formula1>"mg/100ml,mg/kg,ppm,ppm v/v,%m/m,%mole,%wt,%vol"</formula1>
    </dataValidation>
    <dataValidation type="list" allowBlank="1" showInputMessage="1" showErrorMessage="1" sqref="I36" xr:uid="{757BF832-3D89-48CC-93BF-0241195EEEC1}">
      <formula1>"ppm w/w,%vol"</formula1>
    </dataValidation>
    <dataValidation type="list" allowBlank="1" showInputMessage="1" showErrorMessage="1" sqref="I40" xr:uid="{F0AB00D6-7A8C-48D7-ACB3-4002EE8DCF48}">
      <formula1>"g/cm³,μm,mg/100ml,mg/kg,mg/l,mins,ppm,%liq vol"</formula1>
    </dataValidation>
    <dataValidation type="list" allowBlank="1" showInputMessage="1" showErrorMessage="1" sqref="I41" xr:uid="{FE36EF10-1C6D-4116-BB6A-8BC2BAC05DD3}">
      <formula1>"g P/US gal,mg P/l"</formula1>
    </dataValidation>
    <dataValidation type="list" allowBlank="1" showInputMessage="1" showErrorMessage="1" sqref="I43" xr:uid="{4FC48031-3472-4D00-89CE-1F270D7FE6BA}">
      <formula1>"μg/g,mg/kg,mg/l,ppm,%m,%m/m,%wt"</formula1>
    </dataValidation>
    <dataValidation type="list" allowBlank="1" showInputMessage="1" showErrorMessage="1" sqref="I44" xr:uid="{FD68E47E-64B0-4577-9147-EB9E960FAE0E}">
      <formula1>"mg/kg,mg/m³,ppm,%m,%m/m,%mole,%wt,%vol"</formula1>
    </dataValidation>
    <dataValidation type="list" allowBlank="1" showInputMessage="1" showErrorMessage="1" sqref="I45" xr:uid="{F1605FA3-CF3E-467C-A641-29192C32118C}">
      <formula1>"pos/neg,pass/fail"</formula1>
    </dataValidation>
    <dataValidation type="list" allowBlank="1" showInputMessage="1" showErrorMessage="1" sqref="I46" xr:uid="{5908DB28-3BA8-42D8-8010-A262E22CD523}">
      <formula1>"kg/cm²,kPa,mm Hg,psi"</formula1>
    </dataValidation>
    <dataValidation type="list" allowBlank="1" showInputMessage="1" showErrorMessage="1" sqref="I47 I48" xr:uid="{0E6C6639-4888-4F91-B992-8DD74A46FF82}">
      <formula1>"%vol"</formula1>
    </dataValidation>
    <dataValidation type="list" allowBlank="1" showInputMessage="1" showErrorMessage="1" sqref="I49" xr:uid="{23FCFD07-6B57-425D-93D4-1D3F9B4331A3}">
      <formula1>"mg/l,lb/1000 bbl"</formula1>
    </dataValidation>
    <dataValidation type="list" allowBlank="1" showInputMessage="1" showErrorMessage="1" sqref="I50 I52 I53 I54 I55 I56" xr:uid="{0DDC489D-37B2-42A0-86A7-479C46A75C4F}">
      <formula1>"mg/kg,mg/l,ppm"</formula1>
    </dataValidation>
    <dataValidation type="list" allowBlank="1" showInputMessage="1" showErrorMessage="1" sqref="I51" xr:uid="{917A2E66-1FB7-4D0D-85B5-3BC44471E450}">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92CD767D-922F-4620-9468-DEC0F7C8F39F}">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tabSelected="1"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230</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311</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740</v>
      </c>
      <c r="F7" s="263"/>
      <c r="G7" s="20"/>
      <c r="H7" s="20"/>
      <c r="I7" s="262" t="s">
        <v>768</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702</v>
      </c>
      <c r="D8" s="260"/>
      <c r="E8" s="126" t="s">
        <v>740</v>
      </c>
      <c r="F8" s="263"/>
      <c r="G8" s="20"/>
      <c r="H8" s="20"/>
      <c r="I8" s="262" t="s">
        <v>769</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705</v>
      </c>
      <c r="D9" s="260"/>
      <c r="E9" s="126" t="s">
        <v>740</v>
      </c>
      <c r="F9" s="263"/>
      <c r="G9" s="20"/>
      <c r="H9" s="20"/>
      <c r="I9" s="262" t="s">
        <v>769</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707</v>
      </c>
      <c r="D10" s="260"/>
      <c r="E10" s="126" t="s">
        <v>745</v>
      </c>
      <c r="F10" s="261"/>
      <c r="G10" s="20"/>
      <c r="H10" s="20"/>
      <c r="I10" s="262" t="s">
        <v>772</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708</v>
      </c>
      <c r="D11" s="260"/>
      <c r="E11" s="126" t="s">
        <v>745</v>
      </c>
      <c r="F11" s="261"/>
      <c r="G11" s="20"/>
      <c r="H11" s="20"/>
      <c r="I11" s="262" t="s">
        <v>770</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709</v>
      </c>
      <c r="D12" s="260"/>
      <c r="E12" s="126" t="s">
        <v>746</v>
      </c>
      <c r="F12" s="261"/>
      <c r="G12" s="20"/>
      <c r="H12" s="20"/>
      <c r="I12" s="262" t="s">
        <v>773</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t="s">
        <v>710</v>
      </c>
      <c r="D13" s="260"/>
      <c r="E13" s="126" t="s">
        <v>747</v>
      </c>
      <c r="F13" s="261"/>
      <c r="G13" s="20"/>
      <c r="H13" s="20"/>
      <c r="I13" s="262" t="s">
        <v>773</v>
      </c>
      <c r="J13" s="246" t="str">
        <f t="shared" si="16"/>
        <v>*</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t="s">
        <v>711</v>
      </c>
      <c r="D14" s="260"/>
      <c r="E14" s="126" t="s">
        <v>748</v>
      </c>
      <c r="F14" s="261"/>
      <c r="G14" s="20"/>
      <c r="H14" s="20"/>
      <c r="I14" s="262" t="s">
        <v>773</v>
      </c>
      <c r="J14" s="246" t="str">
        <f t="shared" si="16"/>
        <v>*</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t="s">
        <v>712</v>
      </c>
      <c r="D15" s="260"/>
      <c r="E15" s="126" t="s">
        <v>749</v>
      </c>
      <c r="F15" s="261"/>
      <c r="G15" s="20"/>
      <c r="H15" s="20"/>
      <c r="I15" s="262" t="s">
        <v>773</v>
      </c>
      <c r="J15" s="246" t="str">
        <f t="shared" si="16"/>
        <v>*</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t="s">
        <v>713</v>
      </c>
      <c r="D16" s="260"/>
      <c r="E16" s="126" t="s">
        <v>745</v>
      </c>
      <c r="F16" s="261"/>
      <c r="G16" s="20"/>
      <c r="H16" s="20"/>
      <c r="I16" s="262" t="s">
        <v>770</v>
      </c>
      <c r="J16" s="246" t="str">
        <f t="shared" si="16"/>
        <v>*</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t="s">
        <v>714</v>
      </c>
      <c r="D17" s="260"/>
      <c r="E17" s="126" t="s">
        <v>750</v>
      </c>
      <c r="F17" s="261"/>
      <c r="G17" s="20"/>
      <c r="H17" s="20"/>
      <c r="I17" s="262" t="s">
        <v>770</v>
      </c>
      <c r="J17" s="246" t="str">
        <f t="shared" si="16"/>
        <v>*</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t="s">
        <v>724</v>
      </c>
      <c r="D18" s="260"/>
      <c r="E18" s="126" t="s">
        <v>740</v>
      </c>
      <c r="F18" s="263"/>
      <c r="G18" s="20"/>
      <c r="H18" s="20"/>
      <c r="I18" s="19" t="s">
        <v>768</v>
      </c>
      <c r="J18" s="246" t="str">
        <f t="shared" si="16"/>
        <v>*</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14">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 type="list" allowBlank="1" showInputMessage="1" showErrorMessage="1" sqref="D7" xr:uid="{CB768487-5E0F-45C1-B3EB-EBB169A2F02B}">
      <formula1>"* ,[ASTM] D4176 Procedure 1"</formula1>
    </dataValidation>
    <dataValidation type="list" allowBlank="1" showInputMessage="1" showErrorMessage="1" sqref="D8 D9" xr:uid="{2ACB2CD5-69CF-4DD1-BA78-206A6A016725}">
      <formula1>"* ,[OTHER] Visual"</formula1>
    </dataValidation>
    <dataValidation type="list" allowBlank="1" showInputMessage="1" showErrorMessage="1" sqref="D10" xr:uid="{96A976C9-5DE3-4696-8C0B-FB0BB65B02F6}">
      <formula1>"* ,[ASTM] D1298,[ASTM] D4052"</formula1>
    </dataValidation>
    <dataValidation type="list" allowBlank="1" showInputMessage="1" showErrorMessage="1" sqref="D11 D12 D13 D14 D15 D16 D17" xr:uid="{3A9A8B31-AF9E-49BE-B8B2-CB7F463D2E41}">
      <formula1>"* ,[ASTM] D86"</formula1>
    </dataValidation>
    <dataValidation type="list" allowBlank="1" showInputMessage="1" showErrorMessage="1" sqref="D18" xr:uid="{1F25312F-BA3E-4455-BF94-ABEA65429284}">
      <formula1>"* ,[OTHER] Odor"</formula1>
    </dataValidation>
    <dataValidation type="list" allowBlank="1" showInputMessage="1" showErrorMessage="1" sqref="I7 I8" xr:uid="{061732F5-1515-477A-B27D-7AC7C38BBB09}">
      <formula1>"pass/fail,visual"</formula1>
    </dataValidation>
    <dataValidation type="list" allowBlank="1" showInputMessage="1" showErrorMessage="1" sqref="I9" xr:uid="{08247973-2AB2-4A10-B4F4-B9E0CFC98C1A}">
      <formula1>"haze no,Pt/Co scale,pass/fail,rating,visual"</formula1>
    </dataValidation>
    <dataValidation type="list" allowBlank="1" showInputMessage="1" showErrorMessage="1" sqref="I10" xr:uid="{82A50DE8-3D16-4893-9859-2DA2A34F4300}">
      <formula1>"g/ cc,g/l,g/cm³,g/ml,kg/m³,kg/l,n/a,tonne/m³"</formula1>
    </dataValidation>
    <dataValidation type="list" allowBlank="1" showInputMessage="1" showErrorMessage="1" sqref="I11 I12 I13 I14 I15 I16 I17" xr:uid="{12CA9A5B-12F1-4703-8101-C7F83AFEF847}">
      <formula1>"°C,°F,%,%vol"</formula1>
    </dataValidation>
    <dataValidation type="list" allowBlank="1" showInputMessage="1" showErrorMessage="1" sqref="I18" xr:uid="{F18281B7-161C-4BFE-BD62-B4D6AA24B509}">
      <formula1>"pass/fail"</formula1>
    </dataValidation>
    <dataValidation type="list" allowBlank="1" showInputMessage="1" showErrorMessage="1" sqref="F10 F11 F12 F13 F14 F15 F16 F17" xr:uid="{929A4106-50D8-417D-B1F9-C2CBB6DAE8D2}">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232</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233</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234</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235</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236</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237</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238</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45239</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0</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2023-11-09T08:12:37Z</dcterms:modified>
</cp:coreProperties>
</file>