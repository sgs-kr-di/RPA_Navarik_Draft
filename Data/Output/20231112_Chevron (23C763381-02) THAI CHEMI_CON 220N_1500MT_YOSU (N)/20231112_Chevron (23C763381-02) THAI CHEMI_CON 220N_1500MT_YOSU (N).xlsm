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12_Chevron (23C763381-02) THAI CHEMI_CON 220N_1500MT_YOSU (N)\"/>
    </mc:Choice>
  </mc:AlternateContent>
  <xr:revisionPtr revIDLastSave="0" documentId="13_ncr:1_{FF7D84D3-0F6E-4F8B-8A2B-3DF5807F13B1}" xr6:coauthVersionLast="45" xr6:coauthVersionMax="47" xr10:uidLastSave="{00000000-0000-0000-0000-000000000000}"/>
  <bookViews>
    <workbookView xWindow="0" yWindow="1830" windowWidth="21600" windowHeight="11385" tabRatio="688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<sst xmlns="http://schemas.openxmlformats.org/spreadsheetml/2006/main" count="1178" uniqueCount="739">
  <si>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</si>
  <si>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</si>
  <si>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</si>
  <si>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</si>
  <si>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</si>
  <si>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</si>
  <si>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</si>
  <si>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</si>
  <si>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</si>
  <si>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</si>
  <si>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</si>
  <si>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</si>
  <si>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</si>
  <si>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</si>
  <si>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</si>
  <si>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</si>
  <si>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</si>
  <si>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</si>
  <si>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</si>
  <si>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</si>
  <si>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</si>
  <si>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</si>
  <si>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</si>
  <si>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</si>
  <si>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</si>
  <si>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</si>
  <si>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</si>
  <si>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</si>
  <si>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</si>
  <si>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</si>
  <si>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</si>
  <si>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</si>
  <si>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</si>
  <si>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</si>
  <si>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</si>
  <si>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</si>
  <si>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</si>
  <si>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</si>
  <si>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</si>
  <si>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</si>
  <si>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</si>
  <si>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</si>
  <si>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</si>
  <si>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</si>
  <si>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</si>
  <si>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</si>
  <si>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</si>
  <si>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</si>
  <si>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</si>
  <si>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</si>
  <si>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</si>
  <si>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</si>
  <si>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</si>
  <si>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</si>
  <si>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</si>
  <si>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</si>
  <si>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</si>
  <si>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</si>
  <si>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</si>
  <si>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</si>
  <si>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</si>
  <si>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</si>
  <si>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</si>
  <si>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</si>
  <si>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</si>
  <si>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</si>
  <si>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</si>
  <si>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</si>
  <si>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</si>
  <si>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</si>
  <si>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</si>
  <si>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</si>
  <si>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</si>
  <si>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</si>
  <si>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</si>
  <si>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</si>
  <si>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</si>
  <si>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</si>
  <si>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</si>
  <si>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</si>
  <si>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</si>
  <si>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</si>
  <si>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</si>
  <si>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</si>
  <si>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</si>
  <si>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</si>
  <si>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</si>
  <si>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</si>
  <si>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</si>
  <si>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</si>
  <si>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</si>
  <si>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</si>
  <si>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</si>
  <si>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</si>
  <si>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</si>
  <si>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</si>
  <si>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</si>
  <si>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</si>
  <si>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</si>
  <si>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</si>
  <si>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</si>
  <si>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</si>
  <si>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</si>
  <si>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</si>
  <si>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</si>
  <si>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</si>
  <si>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</si>
  <si>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</si>
  <si>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</si>
  <si>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</si>
  <si>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</si>
  <si>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</si>
  <si>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</si>
  <si>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</si>
  <si>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</si>
  <si>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</si>
  <si>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</si>
  <si>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</si>
  <si>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</si>
  <si>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</si>
  <si>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</si>
  <si>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</si>
  <si>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</si>
  <si>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</si>
  <si>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</si>
  <si>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</si>
  <si>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</si>
  <si>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</si>
  <si>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</si>
  <si>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</si>
  <si>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</si>
  <si>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</si>
  <si>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</si>
  <si>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</si>
  <si>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</si>
  <si>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</si>
  <si>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</si>
  <si>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</si>
  <si>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</si>
  <si>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</si>
  <si>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</si>
  <si>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</si>
  <si>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</si>
  <si>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</si>
  <si>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</si>
  <si>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</si>
  <si>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</si>
  <si>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</si>
  <si>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</si>
  <si>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</si>
  <si>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</si>
  <si>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</si>
  <si>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</si>
  <si>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</si>
  <si>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</si>
  <si>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</si>
  <si>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</si>
  <si>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</si>
  <si>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</si>
  <si>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</si>
  <si>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</si>
  <si>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</si>
  <si>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</si>
  <si>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</si>
  <si>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</si>
  <si>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</si>
  <si>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</si>
  <si>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</si>
  <si>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</si>
  <si>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</si>
  <si>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</si>
  <si>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</si>
  <si>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</si>
  <si>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</si>
  <si>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</si>
  <si>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</si>
  <si>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</si>
  <si>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</si>
  <si>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</si>
  <si>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</si>
  <si>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</si>
  <si>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</si>
  <si>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</si>
  <si>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</si>
  <si>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</si>
  <si>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</si>
  <si>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</si>
  <si>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</si>
  <si>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</si>
  <si>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</si>
  <si>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</si>
  <si>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</si>
  <si>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</si>
  <si>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</si>
  <si>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</si>
  <si>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</si>
  <si>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</si>
  <si>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</si>
  <si>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</si>
  <si>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</si>
  <si>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</si>
  <si>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</si>
  <si>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</si>
  <si>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</si>
  <si>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</si>
  <si>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</si>
  <si>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</si>
  <si>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</si>
  <si>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</si>
  <si>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</si>
  <si>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</si>
  <si>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</si>
  <si>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</si>
  <si>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</si>
  <si>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</si>
  <si>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</si>
  <si>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</si>
  <si>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</si>
  <si>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</si>
  <si>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</si>
  <si>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</si>
  <si>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</si>
  <si>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</si>
  <si>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</si>
  <si>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</si>
  <si>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</si>
  <si>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</si>
  <si>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</si>
  <si>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</si>
  <si>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</si>
  <si>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</si>
  <si>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</si>
  <si>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</si>
  <si>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</si>
  <si>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</si>
  <si>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</si>
  <si>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</si>
  <si>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</si>
  <si>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</si>
  <si>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</si>
  <si>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</si>
  <si>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</si>
  <si>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</si>
  <si>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</si>
  <si>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</si>
  <si>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</si>
  <si>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</si>
  <si>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</si>
  <si>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</si>
  <si>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</si>
  <si>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</si>
  <si>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</si>
  <si>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</si>
  <si>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</si>
  <si>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</si>
  <si>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</si>
  <si>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</si>
  <si>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</si>
  <si>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</si>
  <si>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</si>
  <si>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</si>
  <si>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</si>
  <si>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</si>
  <si>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</si>
  <si>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</si>
  <si>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</si>
  <si>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</si>
  <si>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</si>
  <si>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</si>
  <si>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</si>
  <si>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</si>
  <si>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</si>
  <si>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</si>
  <si>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</si>
  <si>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</si>
  <si>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</si>
  <si>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</si>
  <si>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</si>
  <si>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</si>
  <si>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</si>
  <si>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</si>
  <si>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</si>
  <si>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</si>
  <si>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</si>
  <si>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</si>
  <si>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</si>
  <si>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</si>
  <si>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</si>
  <si>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</si>
  <si>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</si>
  <si>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</si>
  <si>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</si>
  <si>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</si>
  <si>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</si>
  <si>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</si>
  <si>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</si>
  <si>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</si>
  <si>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</si>
  <si>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</si>
  <si>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</si>
  <si>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</si>
  <si>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</si>
  <si>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</si>
  <si>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</si>
  <si>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</si>
  <si>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</si>
  <si>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</si>
  <si>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</si>
  <si>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</si>
  <si>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</si>
  <si>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</si>
  <si>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</si>
  <si>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</si>
  <si>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</si>
  <si>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</si>
  <si>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</si>
  <si>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</si>
  <si>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</si>
  <si>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</si>
  <si>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</si>
  <si>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</si>
  <si>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</si>
  <si>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</si>
  <si>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</si>
  <si>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</si>
  <si>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</si>
  <si>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</si>
  <si>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</si>
  <si>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</si>
  <si>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</si>
  <si>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</si>
  <si>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</si>
  <si>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</si>
  <si>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</si>
  <si>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</si>
  <si>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</si>
  <si>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</si>
  <si>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</si>
  <si>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</si>
  <si>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</si>
  <si>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</si>
  <si>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</si>
  <si>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</si>
  <si>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</si>
  <si>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</si>
  <si>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</si>
  <si>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</si>
  <si>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</si>
  <si>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</si>
  <si>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</si>
  <si>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</si>
  <si>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</si>
  <si>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</si>
  <si>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</si>
  <si>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</si>
  <si>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</si>
  <si>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</si>
  <si>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</si>
  <si>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</si>
  <si>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</si>
  <si>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</si>
  <si>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</si>
  <si>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</si>
  <si>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</si>
  <si>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</si>
  <si>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</si>
  <si>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</si>
  <si>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</si>
  <si>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</si>
  <si>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</si>
  <si>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</si>
  <si>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</si>
  <si>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</si>
  <si>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</si>
  <si>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</si>
  <si>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</si>
  <si>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</si>
  <si>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</si>
  <si>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</si>
  <si>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</si>
  <si>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</si>
  <si>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</si>
  <si>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</si>
  <si>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</si>
  <si>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</si>
  <si>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</si>
  <si>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</si>
  <si>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</si>
  <si>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</si>
  <si>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</si>
  <si>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</si>
  <si>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</si>
  <si>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</si>
  <si>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</si>
  <si>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</si>
  <si>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</si>
  <si>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</si>
  <si>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</si>
  <si>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</si>
  <si>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</si>
  <si>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</si>
  <si>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</si>
  <si>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</si>
  <si>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</si>
  <si>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</si>
  <si>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</si>
  <si>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</si>
  <si>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</si>
  <si>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</si>
  <si>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</si>
  <si>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</si>
  <si>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</si>
  <si>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</si>
  <si>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</si>
  <si>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</si>
  <si>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</si>
  <si>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</si>
  <si>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</si>
  <si>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</si>
  <si>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</si>
  <si>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</si>
  <si>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</si>
  <si>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</si>
  <si>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</si>
  <si>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</si>
  <si>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</si>
  <si>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</si>
  <si>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</si>
  <si>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</si>
  <si>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</si>
  <si>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</si>
  <si>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</si>
  <si>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</si>
  <si>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</si>
  <si>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</si>
  <si>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</si>
  <si>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</si>
  <si>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</si>
  <si>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</si>
  <si>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</si>
  <si>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</si>
  <si>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</si>
  <si>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</si>
  <si>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</si>
  <si>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</si>
  <si>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</si>
  <si>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</si>
  <si>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</si>
  <si>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</si>
  <si>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</si>
  <si>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</si>
  <si>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</si>
  <si>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</si>
  <si>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</si>
  <si>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</si>
  <si>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</si>
  <si>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</si>
  <si>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</si>
  <si>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</si>
  <si>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</si>
  <si>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</si>
  <si>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</si>
  <si>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</si>
  <si>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</si>
  <si>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</si>
  <si>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</si>
  <si>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</si>
  <si>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</si>
  <si>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</si>
  <si>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</si>
  <si>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</si>
  <si>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</si>
  <si>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</si>
  <si>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</si>
  <si>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</si>
  <si>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</si>
  <si>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</si>
  <si>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</si>
  <si>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</si>
  <si>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</si>
  <si>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</si>
  <si>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</si>
  <si>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</si>
  <si>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</si>
  <si>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</si>
  <si>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</si>
  <si>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</si>
  <si>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</si>
  <si>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</si>
  <si>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</si>
  <si>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</si>
  <si>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</si>
  <si>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</si>
  <si>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</si>
  <si>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</si>
  <si>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</si>
  <si>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</si>
  <si>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</si>
  <si>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</si>
  <si>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</si>
  <si>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</si>
  <si>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</si>
  <si>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</si>
  <si>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</si>
  <si>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</si>
  <si>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</si>
  <si>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</si>
  <si>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</si>
  <si>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</si>
  <si>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</si>
  <si>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</si>
  <si>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</si>
  <si>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</si>
  <si>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</si>
  <si>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</si>
  <si>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</si>
  <si>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</si>
  <si>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</si>
  <si>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</si>
  <si>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</si>
  <si>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</si>
  <si>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</si>
  <si>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</si>
  <si>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</si>
  <si>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</si>
  <si>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</si>
  <si>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</si>
  <si>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</si>
  <si>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</si>
  <si>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</si>
  <si>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</si>
  <si>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</si>
  <si>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</si>
  <si>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</si>
  <si>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</si>
  <si>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</si>
  <si>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</si>
  <si>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</si>
  <si>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</si>
  <si>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</si>
  <si>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</si>
  <si>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</si>
  <si>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</si>
  <si>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</si>
  <si>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</si>
  <si>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</si>
  <si>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</si>
  <si>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</si>
  <si>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</si>
  <si>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</si>
  <si>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</si>
  <si>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</si>
  <si>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</si>
  <si>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</si>
  <si>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</si>
  <si>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</si>
  <si>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</si>
  <si>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</si>
  <si>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</si>
  <si>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</si>
  <si>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</si>
  <si>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</si>
  <si>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</si>
  <si>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</si>
  <si>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</si>
  <si>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</si>
  <si>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</si>
  <si>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</si>
  <si>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</si>
  <si>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</si>
  <si>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</si>
  <si>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</si>
  <si>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</si>
  <si>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</si>
  <si>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</si>
  <si>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</si>
  <si>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</si>
  <si>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</si>
  <si>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</si>
  <si>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</si>
  <si>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</si>
  <si>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</si>
  <si>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</si>
  <si>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</si>
  <si>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</si>
  <si>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</si>
  <si>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</si>
  <si>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</si>
  <si>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</si>
  <si>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</si>
  <si>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</si>
  <si>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</si>
  <si>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</si>
  <si>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</si>
  <si>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</si>
  <si>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</si>
  <si>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</si>
  <si>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</si>
  <si>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</si>
  <si>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</si>
  <si>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</si>
  <si>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</si>
  <si>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</si>
  <si>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</si>
  <si>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</si>
  <si>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</si>
  <si>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</si>
  <si>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</si>
  <si>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</si>
  <si>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</si>
  <si>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</si>
  <si>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</si>
  <si>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</si>
  <si>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</si>
  <si>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</si>
  <si>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</si>
  <si>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</si>
  <si>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</si>
  <si>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</si>
  <si>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</si>
  <si>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</si>
  <si>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</si>
  <si>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</si>
  <si>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</si>
  <si>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</si>
  <si>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</si>
  <si>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</si>
  <si>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</si>
  <si>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</si>
  <si>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</si>
  <si>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</si>
  <si>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</si>
  <si>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</si>
  <si>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</si>
  <si>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</si>
  <si>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</si>
  <si>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</si>
  <si>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</si>
  <si>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</si>
  <si>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</si>
  <si>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</si>
  <si>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</si>
  <si>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</si>
  <si>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</si>
  <si>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</si>
  <si>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</si>
  <si>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</si>
  <si>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</si>
  <si>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</si>
  <si>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</si>
  <si>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</si>
  <si>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</si>
  <si>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</si>
  <si>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</si>
  <si>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</si>
  <si>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</si>
  <si>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</si>
  <si>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</si>
  <si>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</si>
  <si>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</si>
  <si>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</si>
  <si>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</si>
  <si>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</si>
  <si>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</si>
  <si>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</si>
  <si>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</si>
  <si>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</si>
  <si>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</si>
  <si>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</si>
  <si>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</si>
  <si>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</si>
  <si>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</si>
  <si>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</si>
  <si>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</si>
  <si>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</si>
  <si>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</si>
  <si>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</si>
  <si>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</si>
  <si>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</si>
  <si>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</si>
  <si>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</si>
  <si>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</si>
  <si>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</si>
  <si>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</si>
  <si>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</si>
  <si>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</si>
  <si>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</si>
  <si>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</si>
  <si>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</si>
  <si>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</si>
  <si>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</si>
  <si>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</si>
  <si>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</si>
  <si>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</si>
  <si>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</si>
  <si>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</si>
  <si>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여수</t>
    <phoneticPr fontId="1" type="noConversion"/>
  </si>
  <si>
    <t>CHEVRON</t>
  </si>
  <si>
    <t>THAI CHEMI</t>
    <phoneticPr fontId="1" type="noConversion"/>
  </si>
  <si>
    <t>23C763381-02</t>
    <phoneticPr fontId="1" type="noConversion"/>
  </si>
  <si>
    <t>CHV NEUTRAL OIL 220N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</si>
  <si>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</si>
  <si>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</si>
  <si>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</si>
  <si>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</si>
  <si>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</si>
  <si>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</si>
  <si>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</si>
  <si>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CHV NEUTRAL OIL 220N - 1500 Metric tonnes</t>
  </si>
  <si>
    <t>Load CHV NEUTRAL OIL 150R - 850 Metric tonnes</t>
  </si>
  <si>
    <t>Load CHV NEUTRAL OIL 600R - 2350 Metric tonnes</t>
  </si>
  <si>
    <t>*</t>
  </si>
  <si>
    <t>Appearance</t>
  </si>
  <si>
    <t>Color of Petroleum Products (ASTM Scale)</t>
  </si>
  <si>
    <t>API Gravity, Density, Relative Density (Specific Gravity) by Digital Density Meter or Oscillating U-tube Method</t>
  </si>
  <si>
    <t>Density @ 20C</t>
  </si>
  <si>
    <t>Flash Point</t>
  </si>
  <si>
    <t>NOACK volatility</t>
  </si>
  <si>
    <t>Pour Point</t>
  </si>
  <si>
    <t>Viscosity - Kinematic at 40ºC (104ºF)</t>
  </si>
  <si>
    <t>Viscosity - Kinematic at 100ºC (212ºF)</t>
  </si>
  <si>
    <t>Viscosity Index (Including Tests)</t>
  </si>
  <si>
    <t>Viscosity of Engine Oils and Base Stocks @-20C (Cold Cranking Simulator)</t>
  </si>
  <si>
    <t>n/a</t>
  </si>
  <si>
    <t>max = 1.5 (buy)</t>
  </si>
  <si>
    <t>Report only</t>
  </si>
  <si>
    <t>min = 222 (buy)</t>
  </si>
  <si>
    <t>max = -12 (buy)</t>
  </si>
  <si>
    <t>min = 7.0 / max = 8.0 (buy)</t>
  </si>
  <si>
    <t>min = 98 (buy)</t>
  </si>
  <si>
    <t>visual</t>
  </si>
  <si>
    <t>rating</t>
  </si>
  <si>
    <t>API@60°F</t>
  </si>
  <si>
    <t>kg/l</t>
  </si>
  <si>
    <t>g/ml</t>
  </si>
  <si>
    <t>°C</t>
  </si>
  <si>
    <t>%wt</t>
  </si>
  <si>
    <t>cSt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</si>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</sst>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2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23" sqref="C23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696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여수</v>
      </c>
      <c r="C6" s="158" t="str">
        <f>IF(C5="","담당자 이름을 입력 또는 선택합니다.",VLOOKUP(C5,Sheet3!$I$1:$L$91,2,))</f>
        <v>kr_ogcyosu@sgs.com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kr_ogcyosu@sgs.com;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697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699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698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700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gabriel.jeong@sgs.com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Password_10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45232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45048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45324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9" t="s">
        <v>241</v>
      </c>
      <c r="C1" s="269"/>
      <c r="D1" s="3"/>
      <c r="E1" s="4"/>
      <c r="F1" s="272"/>
      <c r="G1" s="272"/>
      <c r="H1" s="272"/>
      <c r="I1" s="4"/>
      <c r="J1" s="268" t="s">
        <v>13</v>
      </c>
      <c r="K1" s="268"/>
      <c r="L1" s="4"/>
      <c r="M1" s="4"/>
      <c r="N1" s="4"/>
      <c r="O1" s="4"/>
      <c r="P1" s="4"/>
    </row>
    <row r="2" spans="1:36" ht="13.9" customHeight="1">
      <c r="A2" s="84"/>
      <c r="B2" s="270"/>
      <c r="C2" s="270"/>
      <c r="D2" s="5"/>
      <c r="E2" s="6"/>
      <c r="F2" s="273"/>
      <c r="G2" s="273"/>
      <c r="H2" s="273"/>
      <c r="I2" s="4"/>
      <c r="J2" s="271"/>
      <c r="K2" s="271"/>
      <c r="L2" s="274" t="s">
        <v>328</v>
      </c>
      <c r="M2" s="256"/>
      <c r="N2" s="256" t="s">
        <v>329</v>
      </c>
      <c r="O2" s="257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 t="s">
        <v>458</v>
      </c>
      <c r="D5" s="62"/>
      <c r="E5" s="101"/>
      <c r="F5" s="64"/>
      <c r="G5" s="65"/>
      <c r="H5" s="215" t="str">
        <f t="shared" ref="H5:H36" si="0">IF(OR(B5="*",C5=""),"",IF(OR(E5="",F5=""),"-",""))</f>
        <v>-</v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 t="s">
        <v>711</v>
      </c>
      <c r="C6" s="130" t="s">
        <v>526</v>
      </c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" customHeight="1">
      <c r="A7" s="85">
        <v>3</v>
      </c>
      <c r="B7" s="129"/>
      <c r="C7" s="130" t="s">
        <v>701</v>
      </c>
      <c r="D7" s="62"/>
      <c r="E7" s="101"/>
      <c r="F7" s="64"/>
      <c r="G7" s="65"/>
      <c r="H7" s="215" t="str">
        <f t="shared" si="0"/>
        <v>-</v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 t="s">
        <v>530</v>
      </c>
      <c r="D8" s="62"/>
      <c r="E8" s="101"/>
      <c r="F8" s="64"/>
      <c r="G8" s="65"/>
      <c r="H8" s="215" t="str">
        <f t="shared" si="0"/>
        <v>-</v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 t="s">
        <v>702</v>
      </c>
      <c r="D9" s="62"/>
      <c r="E9" s="101"/>
      <c r="F9" s="64"/>
      <c r="G9" s="65"/>
      <c r="H9" s="215" t="str">
        <f t="shared" si="0"/>
        <v>-</v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 t="s">
        <v>497</v>
      </c>
      <c r="D10" s="62"/>
      <c r="E10" s="101"/>
      <c r="F10" s="64"/>
      <c r="G10" s="65"/>
      <c r="H10" s="215" t="str">
        <f t="shared" si="0"/>
        <v>-</v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 t="s">
        <v>711</v>
      </c>
      <c r="C11" s="130" t="s">
        <v>703</v>
      </c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" customHeight="1">
      <c r="A12" s="85">
        <v>8</v>
      </c>
      <c r="B12" s="129"/>
      <c r="C12" s="130" t="s">
        <v>500</v>
      </c>
      <c r="D12" s="62"/>
      <c r="E12" s="101"/>
      <c r="F12" s="64"/>
      <c r="G12" s="65"/>
      <c r="H12" s="215" t="str">
        <f t="shared" si="0"/>
        <v>-</v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 t="s">
        <v>511</v>
      </c>
      <c r="D13" s="62"/>
      <c r="E13" s="101"/>
      <c r="F13" s="64"/>
      <c r="G13" s="65"/>
      <c r="H13" s="215" t="str">
        <f t="shared" si="0"/>
        <v>-</v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 t="s">
        <v>704</v>
      </c>
      <c r="D14" s="62"/>
      <c r="E14" s="101"/>
      <c r="F14" s="64"/>
      <c r="G14" s="65"/>
      <c r="H14" s="215" t="str">
        <f t="shared" si="0"/>
        <v>-</v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 t="s">
        <v>481</v>
      </c>
      <c r="D15" s="62"/>
      <c r="E15" s="101"/>
      <c r="F15" s="64"/>
      <c r="G15" s="65"/>
      <c r="H15" s="215" t="str">
        <f t="shared" si="0"/>
        <v>-</v>
      </c>
      <c r="I15" s="4"/>
      <c r="J15" s="267" t="s">
        <v>369</v>
      </c>
      <c r="K15" s="267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 t="s">
        <v>711</v>
      </c>
      <c r="C16" s="130" t="s">
        <v>503</v>
      </c>
      <c r="D16" s="62"/>
      <c r="E16" s="101"/>
      <c r="F16" s="64"/>
      <c r="G16" s="65"/>
      <c r="H16" s="215" t="str">
        <f t="shared" si="0"/>
        <v/>
      </c>
      <c r="I16" s="4"/>
      <c r="J16" s="268"/>
      <c r="K16" s="268"/>
      <c r="L16" s="4"/>
      <c r="M16" s="4"/>
      <c r="N16" s="4"/>
      <c r="O16" s="4"/>
      <c r="P16" s="4"/>
      <c r="AA16" s="108">
        <f t="shared" si="1"/>
        <v>1</v>
      </c>
    </row>
    <row r="17" spans="1:27" ht="13.9" customHeight="1">
      <c r="A17" s="85">
        <v>13</v>
      </c>
      <c r="B17" s="129" t="s">
        <v>711</v>
      </c>
      <c r="C17" s="130" t="s">
        <v>705</v>
      </c>
      <c r="D17" s="62" t="s">
        <v>708</v>
      </c>
      <c r="E17" s="101"/>
      <c r="F17" s="64"/>
      <c r="G17" s="65"/>
      <c r="H17" s="215" t="str">
        <f t="shared" si="0"/>
        <v/>
      </c>
      <c r="I17" s="4"/>
      <c r="J17" s="258" t="s">
        <v>652</v>
      </c>
      <c r="K17" s="259"/>
      <c r="L17" s="259"/>
      <c r="M17" s="259"/>
      <c r="N17" s="259"/>
      <c r="O17" s="260"/>
      <c r="P17" s="4"/>
      <c r="AA17" s="108">
        <f t="shared" si="1"/>
        <v>1</v>
      </c>
    </row>
    <row r="18" spans="1:27" ht="13.9" customHeight="1">
      <c r="A18" s="85">
        <v>14</v>
      </c>
      <c r="B18" s="129" t="s">
        <v>711</v>
      </c>
      <c r="C18" s="130" t="s">
        <v>705</v>
      </c>
      <c r="D18" s="62" t="s">
        <v>709</v>
      </c>
      <c r="E18" s="101"/>
      <c r="F18" s="64"/>
      <c r="G18" s="65"/>
      <c r="H18" s="215" t="str">
        <f t="shared" si="0"/>
        <v/>
      </c>
      <c r="I18" s="4"/>
      <c r="J18" s="261"/>
      <c r="K18" s="262"/>
      <c r="L18" s="262"/>
      <c r="M18" s="262"/>
      <c r="N18" s="262"/>
      <c r="O18" s="263"/>
      <c r="P18" s="4"/>
      <c r="AA18" s="108">
        <f t="shared" si="1"/>
        <v>1</v>
      </c>
    </row>
    <row r="19" spans="1:27" ht="13.9" customHeight="1">
      <c r="A19" s="85">
        <v>15</v>
      </c>
      <c r="B19" s="129" t="s">
        <v>711</v>
      </c>
      <c r="C19" s="130" t="s">
        <v>705</v>
      </c>
      <c r="D19" s="62" t="s">
        <v>710</v>
      </c>
      <c r="E19" s="101"/>
      <c r="F19" s="64"/>
      <c r="G19" s="65"/>
      <c r="H19" s="215" t="str">
        <f t="shared" si="0"/>
        <v/>
      </c>
      <c r="I19" s="4"/>
      <c r="J19" s="261"/>
      <c r="K19" s="262"/>
      <c r="L19" s="262"/>
      <c r="M19" s="262"/>
      <c r="N19" s="262"/>
      <c r="O19" s="263"/>
      <c r="P19" s="4"/>
      <c r="AA19" s="108">
        <f t="shared" si="1"/>
        <v>1</v>
      </c>
    </row>
    <row r="20" spans="1:27" ht="13.9" customHeight="1">
      <c r="A20" s="85">
        <v>16</v>
      </c>
      <c r="B20" s="129"/>
      <c r="C20" s="130" t="s">
        <v>706</v>
      </c>
      <c r="D20" s="62"/>
      <c r="E20" s="101"/>
      <c r="F20" s="64"/>
      <c r="G20" s="65"/>
      <c r="H20" s="215" t="str">
        <f t="shared" si="0"/>
        <v>-</v>
      </c>
      <c r="I20" s="4"/>
      <c r="J20" s="261"/>
      <c r="K20" s="262"/>
      <c r="L20" s="262"/>
      <c r="M20" s="262"/>
      <c r="N20" s="262"/>
      <c r="O20" s="263"/>
      <c r="P20" s="4"/>
      <c r="AA20" s="108">
        <f t="shared" si="1"/>
        <v>0</v>
      </c>
    </row>
    <row r="21" spans="1:27" ht="13.9" customHeight="1">
      <c r="A21" s="85">
        <v>17</v>
      </c>
      <c r="B21" s="129"/>
      <c r="C21" s="130" t="s">
        <v>468</v>
      </c>
      <c r="D21" s="62"/>
      <c r="E21" s="101"/>
      <c r="F21" s="64"/>
      <c r="G21" s="65"/>
      <c r="H21" s="215" t="str">
        <f t="shared" si="0"/>
        <v>-</v>
      </c>
      <c r="I21" s="4"/>
      <c r="J21" s="261"/>
      <c r="K21" s="262"/>
      <c r="L21" s="262"/>
      <c r="M21" s="262"/>
      <c r="N21" s="262"/>
      <c r="O21" s="263"/>
      <c r="P21" s="4"/>
      <c r="AA21" s="108">
        <f t="shared" si="1"/>
        <v>0</v>
      </c>
    </row>
    <row r="22" spans="1:27" ht="13.9" customHeight="1">
      <c r="A22" s="85">
        <v>18</v>
      </c>
      <c r="B22" s="129" t="s">
        <v>711</v>
      </c>
      <c r="C22" s="130" t="s">
        <v>480</v>
      </c>
      <c r="D22" s="63" t="s">
        <v>708</v>
      </c>
      <c r="E22" s="101"/>
      <c r="F22" s="64"/>
      <c r="G22" s="65"/>
      <c r="H22" s="215" t="str">
        <f t="shared" si="0"/>
        <v/>
      </c>
      <c r="I22" s="4"/>
      <c r="J22" s="261"/>
      <c r="K22" s="262"/>
      <c r="L22" s="262"/>
      <c r="M22" s="262"/>
      <c r="N22" s="262"/>
      <c r="O22" s="263"/>
      <c r="P22" s="4"/>
      <c r="AA22" s="108">
        <f t="shared" si="1"/>
        <v>1</v>
      </c>
    </row>
    <row r="23" spans="1:27" ht="13.9" customHeight="1">
      <c r="A23" s="85">
        <v>19</v>
      </c>
      <c r="B23" s="129" t="s">
        <v>711</v>
      </c>
      <c r="C23" s="130" t="s">
        <v>480</v>
      </c>
      <c r="D23" s="62" t="s">
        <v>709</v>
      </c>
      <c r="E23" s="101"/>
      <c r="F23" s="64"/>
      <c r="G23" s="65"/>
      <c r="H23" s="215" t="str">
        <f t="shared" si="0"/>
        <v/>
      </c>
      <c r="I23" s="4"/>
      <c r="J23" s="261"/>
      <c r="K23" s="262"/>
      <c r="L23" s="262"/>
      <c r="M23" s="262"/>
      <c r="N23" s="262"/>
      <c r="O23" s="263"/>
      <c r="P23" s="4"/>
      <c r="AA23" s="108">
        <f t="shared" si="1"/>
        <v>1</v>
      </c>
    </row>
    <row r="24" spans="1:27" ht="13.9" customHeight="1">
      <c r="A24" s="85">
        <v>20</v>
      </c>
      <c r="B24" s="129" t="s">
        <v>711</v>
      </c>
      <c r="C24" s="130" t="s">
        <v>480</v>
      </c>
      <c r="D24" s="62" t="s">
        <v>710</v>
      </c>
      <c r="E24" s="101"/>
      <c r="F24" s="64"/>
      <c r="G24" s="65"/>
      <c r="H24" s="215" t="str">
        <f t="shared" si="0"/>
        <v/>
      </c>
      <c r="I24" s="4"/>
      <c r="J24" s="264"/>
      <c r="K24" s="265"/>
      <c r="L24" s="265"/>
      <c r="M24" s="265"/>
      <c r="N24" s="265"/>
      <c r="O24" s="266"/>
      <c r="P24" s="4"/>
      <c r="AA24" s="108">
        <f t="shared" si="1"/>
        <v>1</v>
      </c>
    </row>
    <row r="25" spans="1:27" ht="13.9" customHeight="1">
      <c r="A25" s="85">
        <v>21</v>
      </c>
      <c r="B25" s="129"/>
      <c r="C25" s="130" t="s">
        <v>707</v>
      </c>
      <c r="D25" s="62"/>
      <c r="E25" s="101"/>
      <c r="F25" s="64"/>
      <c r="G25" s="65"/>
      <c r="H25" s="215" t="str">
        <f t="shared" si="0"/>
        <v>-</v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 t="s">
        <v>711</v>
      </c>
      <c r="C26" s="130" t="s">
        <v>504</v>
      </c>
      <c r="D26" s="62"/>
      <c r="E26" s="101"/>
      <c r="F26" s="64"/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1</v>
      </c>
    </row>
    <row r="27" spans="1:27" ht="13.9" customHeight="1">
      <c r="A27" s="85">
        <v>23</v>
      </c>
      <c r="B27" s="129"/>
      <c r="C27" s="130" t="s">
        <v>476</v>
      </c>
      <c r="D27" s="62"/>
      <c r="E27" s="101"/>
      <c r="F27" s="64"/>
      <c r="G27" s="65"/>
      <c r="H27" s="21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/>
      <c r="C28" s="130" t="s">
        <v>467</v>
      </c>
      <c r="D28" s="62"/>
      <c r="E28" s="101"/>
      <c r="F28" s="64"/>
      <c r="G28" s="65"/>
      <c r="H28" s="215" t="str">
        <f t="shared" si="0"/>
        <v>-</v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" customHeight="1">
      <c r="A29" s="85">
        <v>25</v>
      </c>
      <c r="B29" s="129"/>
      <c r="C29" s="130" t="s">
        <v>528</v>
      </c>
      <c r="D29" s="62"/>
      <c r="E29" s="101"/>
      <c r="F29" s="64"/>
      <c r="G29" s="65"/>
      <c r="H29" s="215" t="str">
        <f t="shared" si="0"/>
        <v>-</v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 t="s">
        <v>711</v>
      </c>
      <c r="C30" s="130" t="s">
        <v>563</v>
      </c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1</v>
      </c>
    </row>
    <row r="31" spans="1:27" ht="13.9" customHeight="1">
      <c r="A31" s="85">
        <v>27</v>
      </c>
      <c r="B31" s="129"/>
      <c r="C31" s="130" t="s">
        <v>498</v>
      </c>
      <c r="D31" s="62"/>
      <c r="E31" s="101"/>
      <c r="F31" s="64"/>
      <c r="G31" s="65"/>
      <c r="H31" s="215" t="str">
        <f t="shared" si="0"/>
        <v>-</v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9" t="s">
        <v>240</v>
      </c>
      <c r="C1" s="27"/>
      <c r="D1" s="27"/>
      <c r="E1" s="27"/>
      <c r="F1" s="27"/>
      <c r="G1" s="27"/>
      <c r="H1" s="38"/>
      <c r="J1" s="275" t="s">
        <v>645</v>
      </c>
      <c r="K1" s="276"/>
      <c r="L1" s="276"/>
      <c r="M1" s="276"/>
      <c r="N1" s="277"/>
    </row>
    <row r="2" spans="1:78" ht="15" customHeight="1">
      <c r="A2" s="38"/>
      <c r="B2" s="269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82"/>
      <c r="G4" s="283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8"/>
      <c r="G5" s="279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80" t="str">
        <f>IF('Navarik 설정'!C22="","",'Navarik 설정'!C22)</f>
        <v>CHV NEUTRAL OIL 220N</v>
      </c>
      <c r="G6" s="281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229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 t="s">
        <v>316</v>
      </c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712</v>
      </c>
      <c r="D7" s="252"/>
      <c r="E7" s="133" t="s">
        <v>723</v>
      </c>
      <c r="F7" s="255"/>
      <c r="G7" s="22"/>
      <c r="H7" s="254" t="s">
        <v>730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713</v>
      </c>
      <c r="D8" s="252"/>
      <c r="E8" s="133" t="s">
        <v>724</v>
      </c>
      <c r="F8" s="253"/>
      <c r="G8" s="22"/>
      <c r="H8" s="254" t="s">
        <v>731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714</v>
      </c>
      <c r="D9" s="252"/>
      <c r="E9" s="133" t="s">
        <v>725</v>
      </c>
      <c r="F9" s="253"/>
      <c r="G9" s="22"/>
      <c r="H9" s="254" t="s">
        <v>732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714</v>
      </c>
      <c r="D10" s="252"/>
      <c r="E10" s="133" t="s">
        <v>725</v>
      </c>
      <c r="F10" s="253"/>
      <c r="G10" s="22"/>
      <c r="H10" s="254" t="s">
        <v>733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715</v>
      </c>
      <c r="D11" s="252"/>
      <c r="E11" s="133" t="s">
        <v>725</v>
      </c>
      <c r="F11" s="253"/>
      <c r="G11" s="22"/>
      <c r="H11" s="254" t="s">
        <v>734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716</v>
      </c>
      <c r="D12" s="252"/>
      <c r="E12" s="133" t="s">
        <v>726</v>
      </c>
      <c r="F12" s="253"/>
      <c r="G12" s="22"/>
      <c r="H12" s="254" t="s">
        <v>735</v>
      </c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717</v>
      </c>
      <c r="D13" s="252"/>
      <c r="E13" s="133" t="s">
        <v>725</v>
      </c>
      <c r="F13" s="253"/>
      <c r="G13" s="22"/>
      <c r="H13" s="21" t="s">
        <v>736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718</v>
      </c>
      <c r="D14" s="252"/>
      <c r="E14" s="133" t="s">
        <v>727</v>
      </c>
      <c r="F14" s="253"/>
      <c r="G14" s="22"/>
      <c r="H14" s="254" t="s">
        <v>735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719</v>
      </c>
      <c r="D15" s="252"/>
      <c r="E15" s="133" t="s">
        <v>725</v>
      </c>
      <c r="F15" s="253"/>
      <c r="G15" s="22"/>
      <c r="H15" s="254" t="s">
        <v>737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720</v>
      </c>
      <c r="D16" s="252"/>
      <c r="E16" s="133" t="s">
        <v>728</v>
      </c>
      <c r="F16" s="253"/>
      <c r="G16" s="22"/>
      <c r="H16" s="254" t="s">
        <v>737</v>
      </c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721</v>
      </c>
      <c r="D17" s="252"/>
      <c r="E17" s="133" t="s">
        <v>729</v>
      </c>
      <c r="F17" s="253"/>
      <c r="G17" s="22"/>
      <c r="H17" s="254" t="s">
        <v>737</v>
      </c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722</v>
      </c>
      <c r="D18" s="252"/>
      <c r="E18" s="133" t="s">
        <v>725</v>
      </c>
      <c r="F18" s="253"/>
      <c r="G18" s="22"/>
      <c r="H18" s="21" t="s">
        <v>738</v>
      </c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90"/>
      <c r="G85" s="290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22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12C047A3-EFA4-4BDB-8DB5-740EAAB382DE}">
      <formula1>"* ,[OTHER] Visual"</formula1>
    </dataValidation>
    <dataValidation type="list" allowBlank="1" showInputMessage="1" showErrorMessage="1" sqref="D8" xr:uid="{7C4D59D1-88DB-43DE-A010-5AA136BDF13C}">
      <formula1>"* ,[ASTM] D1500"</formula1>
    </dataValidation>
    <dataValidation type="list" allowBlank="1" showInputMessage="1" showErrorMessage="1" sqref="D9 D10 D11" xr:uid="{E4526079-931B-4BF0-A5F1-D3D792CC75C6}">
      <formula1>"* ,[ASTM] D4052"</formula1>
    </dataValidation>
    <dataValidation type="list" allowBlank="1" showInputMessage="1" showErrorMessage="1" sqref="D12" xr:uid="{7278A0E1-B0EF-4705-A763-37C9A45A7FF3}">
      <formula1>"* ,[ASTM] D92"</formula1>
    </dataValidation>
    <dataValidation type="list" allowBlank="1" showInputMessage="1" showErrorMessage="1" sqref="D13" xr:uid="{B6C7099D-DCFC-4F1D-9442-8665000B5784}">
      <formula1>"* ,[ASTM] D5800"</formula1>
    </dataValidation>
    <dataValidation type="list" allowBlank="1" showInputMessage="1" showErrorMessage="1" sqref="D14" xr:uid="{002EFBE0-6DBC-45A2-B680-43C8D0EB595E}">
      <formula1>"* ,[ASTM] D97"</formula1>
    </dataValidation>
    <dataValidation type="list" allowBlank="1" showInputMessage="1" showErrorMessage="1" sqref="D15 D16" xr:uid="{9B162D82-EF80-4B14-AE19-E4C5C82D1109}">
      <formula1>"* ,[ASTM] D445"</formula1>
    </dataValidation>
    <dataValidation type="list" allowBlank="1" showInputMessage="1" showErrorMessage="1" sqref="D17" xr:uid="{D0A94C27-FDB4-4F57-AAEC-C144FE6C18E7}">
      <formula1>"* ,[ASTM] D2270"</formula1>
    </dataValidation>
    <dataValidation type="list" allowBlank="1" showInputMessage="1" showErrorMessage="1" sqref="D18" xr:uid="{A39FACC5-9421-40A0-AA0E-69EF35B71DCA}">
      <formula1>"* ,[ASTM] D5293"</formula1>
    </dataValidation>
    <dataValidation type="list" allowBlank="1" showInputMessage="1" showErrorMessage="1" sqref="H7" xr:uid="{8DD69662-518E-4595-B7F1-AF53972E8967}">
      <formula1>"pass/fail,visual"</formula1>
    </dataValidation>
    <dataValidation type="list" allowBlank="1" showInputMessage="1" showErrorMessage="1" sqref="H8" xr:uid="{3A324427-B4EE-447F-A2B9-06F9382A82F0}">
      <formula1>"haze no,pass/fail,rating,visual"</formula1>
    </dataValidation>
    <dataValidation type="list" allowBlank="1" showInputMessage="1" showErrorMessage="1" sqref="H9 H10" xr:uid="{2A874E69-DD43-4A07-A5FF-9B947D592BE8}">
      <formula1>"API@60°F,g/ml,kg/m³,kg/l,n/a"</formula1>
    </dataValidation>
    <dataValidation type="list" allowBlank="1" showInputMessage="1" showErrorMessage="1" sqref="H11" xr:uid="{90F534F2-0239-4670-AC2C-759CF35B077A}">
      <formula1>"g/ml,kg/m³,kg/l,n/a"</formula1>
    </dataValidation>
    <dataValidation type="list" allowBlank="1" showInputMessage="1" showErrorMessage="1" sqref="H12" xr:uid="{54E06CDF-F3A5-4531-A6B8-A3B6EA6D7485}">
      <formula1>"°C,°F,Yes/No"</formula1>
    </dataValidation>
    <dataValidation type="list" allowBlank="1" showInputMessage="1" showErrorMessage="1" sqref="H13" xr:uid="{D286A4B0-2C02-4641-920B-D417D505C9EB}">
      <formula1>"%wt"</formula1>
    </dataValidation>
    <dataValidation type="list" allowBlank="1" showInputMessage="1" showErrorMessage="1" sqref="H14" xr:uid="{652EF659-3DE8-451D-98C6-F723BE0BD5F0}">
      <formula1>"°C,°F"</formula1>
    </dataValidation>
    <dataValidation type="list" allowBlank="1" showInputMessage="1" showErrorMessage="1" sqref="H15 H16 H17" xr:uid="{8DCACBEC-684D-4085-8E43-644CA154FA19}">
      <formula1>"cSt,Engler,mm²/s,Pa·s,SUS"</formula1>
    </dataValidation>
    <dataValidation type="list" allowBlank="1" showInputMessage="1" showErrorMessage="1" sqref="H18" xr:uid="{820146F5-B816-4067-BA55-DB1110113ABA}">
      <formula1>"cP"</formula1>
    </dataValidation>
    <dataValidation type="list" allowBlank="1" showInputMessage="1" showErrorMessage="1" sqref="F8 F9 F10 F11 F12 F13 F14 F15 F16 F17 F18" xr:uid="{3B73A50B-5B0A-4102-B068-932F85E4D1F1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230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232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233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234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235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236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237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238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239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45232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2023-11-02T05:06:56Z</dcterms:modified>
</cp:coreProperties>
</file>