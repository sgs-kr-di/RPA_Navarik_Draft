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029_Chevron (23C764770-01) GARNET EXPRESS_NAPHTHA_35KT_YOSU (N)\"/>
    </mc:Choice>
  </mc:AlternateContent>
  <xr:revisionPtr revIDLastSave="0" documentId="13_ncr:1_{4F018441-9DE5-439A-B3BE-0A40D6663885}" xr6:coauthVersionLast="45" xr6:coauthVersionMax="47" xr10:uidLastSave="{00000000-0000-0000-0000-000000000000}"/>
  <bookViews>
    <workbookView xWindow="0" yWindow="975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<sst xmlns="http://schemas.openxmlformats.org/spreadsheetml/2006/main" count="1178" uniqueCount="744">
  <si>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</si>
  <si>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</si>
  <si>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</si>
  <si>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</si>
  <si>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</si>
  <si>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</si>
  <si>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</si>
  <si>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</si>
  <si>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</si>
  <si>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</si>
  <si>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</si>
  <si>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</si>
  <si>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</si>
  <si>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</si>
  <si>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</si>
  <si>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</si>
  <si>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</si>
  <si>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</si>
  <si>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</si>
  <si>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</si>
  <si>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</si>
  <si>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</si>
  <si>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</si>
  <si>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</si>
  <si>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</si>
  <si>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</si>
  <si>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</si>
  <si>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</si>
  <si>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</si>
  <si>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</si>
  <si>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</si>
  <si>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</si>
  <si>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</si>
  <si>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</si>
  <si>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</si>
  <si>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</si>
  <si>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</si>
  <si>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</si>
  <si>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</si>
  <si>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</si>
  <si>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</si>
  <si>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</si>
  <si>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</si>
  <si>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</si>
  <si>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</si>
  <si>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</si>
  <si>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</si>
  <si>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</si>
  <si>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</si>
  <si>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</si>
  <si>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</si>
  <si>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</si>
  <si>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</si>
  <si>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</si>
  <si>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</si>
  <si>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</si>
  <si>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</si>
  <si>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</si>
  <si>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</si>
  <si>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</si>
  <si>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</si>
  <si>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</si>
  <si>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</si>
  <si>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</si>
  <si>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</si>
  <si>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</si>
  <si>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</si>
  <si>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</si>
  <si>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</si>
  <si>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</si>
  <si>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</si>
  <si>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</si>
  <si>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</si>
  <si>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</si>
  <si>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</si>
  <si>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</si>
  <si>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</si>
  <si>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</si>
  <si>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</si>
  <si>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</si>
  <si>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</si>
  <si>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</si>
  <si>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</si>
  <si>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</si>
  <si>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</si>
  <si>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</si>
  <si>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</si>
  <si>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</si>
  <si>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</si>
  <si>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</si>
  <si>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</si>
  <si>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</si>
  <si>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</si>
  <si>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</si>
  <si>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</si>
  <si>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</si>
  <si>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</si>
  <si>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</si>
  <si>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</si>
  <si>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</si>
  <si>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</si>
  <si>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</si>
  <si>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</si>
  <si>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</si>
  <si>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</si>
  <si>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</si>
  <si>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</si>
  <si>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</si>
  <si>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</si>
  <si>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</si>
  <si>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</si>
  <si>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</si>
  <si>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</si>
  <si>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</si>
  <si>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</si>
  <si>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</si>
  <si>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</si>
  <si>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</si>
  <si>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</si>
  <si>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</si>
  <si>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</si>
  <si>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</si>
  <si>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</si>
  <si>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</si>
  <si>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</si>
  <si>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</si>
  <si>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</si>
  <si>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</si>
  <si>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</si>
  <si>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</si>
  <si>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</si>
  <si>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</si>
  <si>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</si>
  <si>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</si>
  <si>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</si>
  <si>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</si>
  <si>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</si>
  <si>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</si>
  <si>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</si>
  <si>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</si>
  <si>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</si>
  <si>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</si>
  <si>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</si>
  <si>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</si>
  <si>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</si>
  <si>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</si>
  <si>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</si>
  <si>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</si>
  <si>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</si>
  <si>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</si>
  <si>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</si>
  <si>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</si>
  <si>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</si>
  <si>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</si>
  <si>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</si>
  <si>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</si>
  <si>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</si>
  <si>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</si>
  <si>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</si>
  <si>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</si>
  <si>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</si>
  <si>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</si>
  <si>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</si>
  <si>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</si>
  <si>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</si>
  <si>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</si>
  <si>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</si>
  <si>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</si>
  <si>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</si>
  <si>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</si>
  <si>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</si>
  <si>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</si>
  <si>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</si>
  <si>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</si>
  <si>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</si>
  <si>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</si>
  <si>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</si>
  <si>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</si>
  <si>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</si>
  <si>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</si>
  <si>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</si>
  <si>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</si>
  <si>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</si>
  <si>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</si>
  <si>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</si>
  <si>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</si>
  <si>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</si>
  <si>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</si>
  <si>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</si>
  <si>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</si>
  <si>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</si>
  <si>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</si>
  <si>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</si>
  <si>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</si>
  <si>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</si>
  <si>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</si>
  <si>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</si>
  <si>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</si>
  <si>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</si>
  <si>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</si>
  <si>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</si>
  <si>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</si>
  <si>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</si>
  <si>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</si>
  <si>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</si>
  <si>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</si>
  <si>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</si>
  <si>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</si>
  <si>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</si>
  <si>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</si>
  <si>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</si>
  <si>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</si>
  <si>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</si>
  <si>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</si>
  <si>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</si>
  <si>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</si>
  <si>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</si>
  <si>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</si>
  <si>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</si>
  <si>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</si>
  <si>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</si>
  <si>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</si>
  <si>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</si>
  <si>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</si>
  <si>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</si>
  <si>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</si>
  <si>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</si>
  <si>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</si>
  <si>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</si>
  <si>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</si>
  <si>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</si>
  <si>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</si>
  <si>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</si>
  <si>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</si>
  <si>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</si>
  <si>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</si>
  <si>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</si>
  <si>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</si>
  <si>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</si>
  <si>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</si>
  <si>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</si>
  <si>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</si>
  <si>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</si>
  <si>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</si>
  <si>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</si>
  <si>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</si>
  <si>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</si>
  <si>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</si>
  <si>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</si>
  <si>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</si>
  <si>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</si>
  <si>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</si>
  <si>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</si>
  <si>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</si>
  <si>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</si>
  <si>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</si>
  <si>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</si>
  <si>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</si>
  <si>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</si>
  <si>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</si>
  <si>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</si>
  <si>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</si>
  <si>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</si>
  <si>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</si>
  <si>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</si>
  <si>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</si>
  <si>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</si>
  <si>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</si>
  <si>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</si>
  <si>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</si>
  <si>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</si>
  <si>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</si>
  <si>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</si>
  <si>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</si>
  <si>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</si>
  <si>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</si>
  <si>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</si>
  <si>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</si>
  <si>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</si>
  <si>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</si>
  <si>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</si>
  <si>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</si>
  <si>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</si>
  <si>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</si>
  <si>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</si>
  <si>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</si>
  <si>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</si>
  <si>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</si>
  <si>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</si>
  <si>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</si>
  <si>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</si>
  <si>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</si>
  <si>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</si>
  <si>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</si>
  <si>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</si>
  <si>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</si>
  <si>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</si>
  <si>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</si>
  <si>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</si>
  <si>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</si>
  <si>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</si>
  <si>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</si>
  <si>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</si>
  <si>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</si>
  <si>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</si>
  <si>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</si>
  <si>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</si>
  <si>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</si>
  <si>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</si>
  <si>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</si>
  <si>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</si>
  <si>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</si>
  <si>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</si>
  <si>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</si>
  <si>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</si>
  <si>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</si>
  <si>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</si>
  <si>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</si>
  <si>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</si>
  <si>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</si>
  <si>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</si>
  <si>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</si>
  <si>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</si>
  <si>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</si>
  <si>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</si>
  <si>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</si>
  <si>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</si>
  <si>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</si>
  <si>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</si>
  <si>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</si>
  <si>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</si>
  <si>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</si>
  <si>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</si>
  <si>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</si>
  <si>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</si>
  <si>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</si>
  <si>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</si>
  <si>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</si>
  <si>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</si>
  <si>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</si>
  <si>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</si>
  <si>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</si>
  <si>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</si>
  <si>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</si>
  <si>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</si>
  <si>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</si>
  <si>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</si>
  <si>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</si>
  <si>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</si>
  <si>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</si>
  <si>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</si>
  <si>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</si>
  <si>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</si>
  <si>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</si>
  <si>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</si>
  <si>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</si>
  <si>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</si>
  <si>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</si>
  <si>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</si>
  <si>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</si>
  <si>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</si>
  <si>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</si>
  <si>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</si>
  <si>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</si>
  <si>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</si>
  <si>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</si>
  <si>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</si>
  <si>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</si>
  <si>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</si>
  <si>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</si>
  <si>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</si>
  <si>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</si>
  <si>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</si>
  <si>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</si>
  <si>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</si>
  <si>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</si>
  <si>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</si>
  <si>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</si>
  <si>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</si>
  <si>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</si>
  <si>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</si>
  <si>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</si>
  <si>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</si>
  <si>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</si>
  <si>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</si>
  <si>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</si>
  <si>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</si>
  <si>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</si>
  <si>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</si>
  <si>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</si>
  <si>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</si>
  <si>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</si>
  <si>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</si>
  <si>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</si>
  <si>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</si>
  <si>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</si>
  <si>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</si>
  <si>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</si>
  <si>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</si>
  <si>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</si>
  <si>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</si>
  <si>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</si>
  <si>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</si>
  <si>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</si>
  <si>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</si>
  <si>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</si>
  <si>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</si>
  <si>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</si>
  <si>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</si>
  <si>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</si>
  <si>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</si>
  <si>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</si>
  <si>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</si>
  <si>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</si>
  <si>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</si>
  <si>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</si>
  <si>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</si>
  <si>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</si>
  <si>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</si>
  <si>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</si>
  <si>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</si>
  <si>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</si>
  <si>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</si>
  <si>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</si>
  <si>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</si>
  <si>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</si>
  <si>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</si>
  <si>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</si>
  <si>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</si>
  <si>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</si>
  <si>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</si>
  <si>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</si>
  <si>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</si>
  <si>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</si>
  <si>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</si>
  <si>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</si>
  <si>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</si>
  <si>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</si>
  <si>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</si>
  <si>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</si>
  <si>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</si>
  <si>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</si>
  <si>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</si>
  <si>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</si>
  <si>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</si>
  <si>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</si>
  <si>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</si>
  <si>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</si>
  <si>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</si>
  <si>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</si>
  <si>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</si>
  <si>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</si>
  <si>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</si>
  <si>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</si>
  <si>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</si>
  <si>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</si>
  <si>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</si>
  <si>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</si>
  <si>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</si>
  <si>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</si>
  <si>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</si>
  <si>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</si>
  <si>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</si>
  <si>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</si>
  <si>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</si>
  <si>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</si>
  <si>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</si>
  <si>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</si>
  <si>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</si>
  <si>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</si>
  <si>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</si>
  <si>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</si>
  <si>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</si>
  <si>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</si>
  <si>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</si>
  <si>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</si>
  <si>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</si>
  <si>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</si>
  <si>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</si>
  <si>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</si>
  <si>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</si>
  <si>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</si>
  <si>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</si>
  <si>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</si>
  <si>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</si>
  <si>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</si>
  <si>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</si>
  <si>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</si>
  <si>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</si>
  <si>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</si>
  <si>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</si>
  <si>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</si>
  <si>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</si>
  <si>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</si>
  <si>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</si>
  <si>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</si>
  <si>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</si>
  <si>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</si>
  <si>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</si>
  <si>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</si>
  <si>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</si>
  <si>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</si>
  <si>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</si>
  <si>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</si>
  <si>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</si>
  <si>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</si>
  <si>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</si>
  <si>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</si>
  <si>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</si>
  <si>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</si>
  <si>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</si>
  <si>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</si>
  <si>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</si>
  <si>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</si>
  <si>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</si>
  <si>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</si>
  <si>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</si>
  <si>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</si>
  <si>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</si>
  <si>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</si>
  <si>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</si>
  <si>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</si>
  <si>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</si>
  <si>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</si>
  <si>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</si>
  <si>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</si>
  <si>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</si>
  <si>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</si>
  <si>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</si>
  <si>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</si>
  <si>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</si>
  <si>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</si>
  <si>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</si>
  <si>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</si>
  <si>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</si>
  <si>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</si>
  <si>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</si>
  <si>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</si>
  <si>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</si>
  <si>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</si>
  <si>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</si>
  <si>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</si>
  <si>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</si>
  <si>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</si>
  <si>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</si>
  <si>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</si>
  <si>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</si>
  <si>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</si>
  <si>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</si>
  <si>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</si>
  <si>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</si>
  <si>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</si>
  <si>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</si>
  <si>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</si>
  <si>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</si>
  <si>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</si>
  <si>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</si>
  <si>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</si>
  <si>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</si>
  <si>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</si>
  <si>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</si>
  <si>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</si>
  <si>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</si>
  <si>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</si>
  <si>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</si>
  <si>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</si>
  <si>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</si>
  <si>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</si>
  <si>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</si>
  <si>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</si>
  <si>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</si>
  <si>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</si>
  <si>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</si>
  <si>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</si>
  <si>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</si>
  <si>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</si>
  <si>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</si>
  <si>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</si>
  <si>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</si>
  <si>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</si>
  <si>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</si>
  <si>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</si>
  <si>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</si>
  <si>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</si>
  <si>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</si>
  <si>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</si>
  <si>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</si>
  <si>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</si>
  <si>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</si>
  <si>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</si>
  <si>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</si>
  <si>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</si>
  <si>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</si>
  <si>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</si>
  <si>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</si>
  <si>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</si>
  <si>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</si>
  <si>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</si>
  <si>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</si>
  <si>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</si>
  <si>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</si>
  <si>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</si>
  <si>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</si>
  <si>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</si>
  <si>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</si>
  <si>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</si>
  <si>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</si>
  <si>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</si>
  <si>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</si>
  <si>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</si>
  <si>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</si>
  <si>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</si>
  <si>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</si>
  <si>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</si>
  <si>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</si>
  <si>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</si>
  <si>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</si>
  <si>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</si>
  <si>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</si>
  <si>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</si>
  <si>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</si>
  <si>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</si>
  <si>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</si>
  <si>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</si>
  <si>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</si>
  <si>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</si>
  <si>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</si>
  <si>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</si>
  <si>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</si>
  <si>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</si>
  <si>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</si>
  <si>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</si>
  <si>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</si>
  <si>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</si>
  <si>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</si>
  <si>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</si>
  <si>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</si>
  <si>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</si>
  <si>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</si>
  <si>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</si>
  <si>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</si>
  <si>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</si>
  <si>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</si>
  <si>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</si>
  <si>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</si>
  <si>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</si>
  <si>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</si>
  <si>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</si>
  <si>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</si>
  <si>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</si>
  <si>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</si>
  <si>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</si>
  <si>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</si>
  <si>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</si>
  <si>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</si>
  <si>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</si>
  <si>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</si>
  <si>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</si>
  <si>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</si>
  <si>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</si>
  <si>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</si>
  <si>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</si>
  <si>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</si>
  <si>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</si>
  <si>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</si>
  <si>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</si>
  <si>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</si>
  <si>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</si>
  <si>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</si>
  <si>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</si>
  <si>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</si>
  <si>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</si>
  <si>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</si>
  <si>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</si>
  <si>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</si>
  <si>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</si>
  <si>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</si>
  <si>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</si>
  <si>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</si>
  <si>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</si>
  <si>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</si>
  <si>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</si>
  <si>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</si>
  <si>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</si>
  <si>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</si>
  <si>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</si>
  <si>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</si>
  <si>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</si>
  <si>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</si>
  <si>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</si>
  <si>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</si>
  <si>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</si>
  <si>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</si>
  <si>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</si>
  <si>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</si>
  <si>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</si>
  <si>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CHEVRON</t>
  </si>
  <si>
    <t>23C764770-01</t>
    <phoneticPr fontId="1" type="noConversion"/>
  </si>
  <si>
    <t>GARNET EXPRESS</t>
    <phoneticPr fontId="1" type="noConversion"/>
  </si>
  <si>
    <t>NAPHTHA</t>
    <phoneticPr fontId="1" type="noConversion"/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</si>
  <si>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</si>
  <si>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</si>
  <si>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</si>
  <si>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</si>
  <si>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</si>
  <si>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</si>
  <si>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</si>
  <si>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</si>
  <si>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Naphtha - 35000 Metric tonnes</t>
  </si>
  <si>
    <t>*</t>
  </si>
  <si>
    <t>Specific Gravity @ 60/60F</t>
  </si>
  <si>
    <t>Saybolt Color (Saybolt Chromometer Method)</t>
  </si>
  <si>
    <t>Vapor Pressure - Reid Method (RVP)</t>
  </si>
  <si>
    <t>Sulfur Content</t>
  </si>
  <si>
    <t>PIONA by Multi-Dimensional Gas Chromatography</t>
  </si>
  <si>
    <t>Distillation IBP</t>
  </si>
  <si>
    <t>Distillation 50% Recovered</t>
  </si>
  <si>
    <t>Distillation 90% Recovered</t>
  </si>
  <si>
    <t>Distillation FBP</t>
  </si>
  <si>
    <t>Lead Content</t>
  </si>
  <si>
    <t>Mercury Content</t>
  </si>
  <si>
    <t>Chlorides in Liquid Aromatic Hydrocarbons or Petroleum Distillates</t>
  </si>
  <si>
    <t>Oxygenated Products</t>
  </si>
  <si>
    <t>Arsenic in Petroleum Naphthas by HG-AAS</t>
  </si>
  <si>
    <t>Nitrogen</t>
  </si>
  <si>
    <t>min = 0.730 (buy)</t>
  </si>
  <si>
    <t>n/a</t>
  </si>
  <si>
    <t>max = 10.5 (buy)</t>
  </si>
  <si>
    <t>max = 500 (buy)</t>
  </si>
  <si>
    <t>max = 1 (buy)</t>
  </si>
  <si>
    <t>min = 35 (buy)</t>
  </si>
  <si>
    <t>min = 70 (buy)</t>
  </si>
  <si>
    <t>min = 100 (buy)</t>
  </si>
  <si>
    <t>min = 120 / max = 155 (buy)</t>
  </si>
  <si>
    <t>max = 180 (buy)</t>
  </si>
  <si>
    <t>max = 50 (buy)</t>
  </si>
  <si>
    <t>max = 3 (buy)</t>
  </si>
  <si>
    <t>Report only</t>
  </si>
  <si>
    <t>rating</t>
  </si>
  <si>
    <t>kPa</t>
  </si>
  <si>
    <t>ppm</t>
  </si>
  <si>
    <t>%vol</t>
  </si>
  <si>
    <t>°C</t>
  </si>
  <si>
    <t>ppb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</si>
</sst>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B24" sqref="B24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700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696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697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699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709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709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6" t="s">
        <v>369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709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709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7" t="s">
        <v>652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706</v>
      </c>
      <c r="D18" s="62"/>
      <c r="E18" s="101"/>
      <c r="F18" s="64"/>
      <c r="G18" s="65"/>
      <c r="H18" s="21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709</v>
      </c>
      <c r="C20" s="130" t="s">
        <v>480</v>
      </c>
      <c r="D20" s="62" t="s">
        <v>708</v>
      </c>
      <c r="E20" s="101"/>
      <c r="F20" s="64"/>
      <c r="G20" s="65"/>
      <c r="H20" s="21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707</v>
      </c>
      <c r="D21" s="62"/>
      <c r="E21" s="101"/>
      <c r="F21" s="64"/>
      <c r="G21" s="65"/>
      <c r="H21" s="215" t="str">
        <f t="shared" si="0"/>
        <v>-</v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709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709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645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1"/>
      <c r="G4" s="282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7"/>
      <c r="G5" s="278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9" t="str">
        <f>IF('Navarik 설정'!C22="","",'Navarik 설정'!C22)</f>
        <v>NAPHTHA</v>
      </c>
      <c r="G6" s="280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229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 t="s">
        <v>315</v>
      </c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725</v>
      </c>
      <c r="F7" s="253"/>
      <c r="G7" s="22"/>
      <c r="H7" s="21" t="s">
        <v>726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726</v>
      </c>
      <c r="F8" s="253"/>
      <c r="G8" s="22"/>
      <c r="H8" s="254" t="s">
        <v>738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727</v>
      </c>
      <c r="F9" s="253"/>
      <c r="G9" s="22"/>
      <c r="H9" s="254" t="s">
        <v>739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728</v>
      </c>
      <c r="F10" s="253"/>
      <c r="G10" s="22"/>
      <c r="H10" s="254" t="s">
        <v>740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729</v>
      </c>
      <c r="F11" s="253"/>
      <c r="G11" s="22"/>
      <c r="H11" s="254" t="s">
        <v>741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714</v>
      </c>
      <c r="D12" s="252"/>
      <c r="E12" s="133" t="s">
        <v>730</v>
      </c>
      <c r="F12" s="253"/>
      <c r="G12" s="22"/>
      <c r="H12" s="254" t="s">
        <v>741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715</v>
      </c>
      <c r="D13" s="252"/>
      <c r="E13" s="133" t="s">
        <v>731</v>
      </c>
      <c r="F13" s="253"/>
      <c r="G13" s="22"/>
      <c r="H13" s="254" t="s">
        <v>742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716</v>
      </c>
      <c r="D14" s="252"/>
      <c r="E14" s="133" t="s">
        <v>732</v>
      </c>
      <c r="F14" s="253"/>
      <c r="G14" s="22"/>
      <c r="H14" s="254" t="s">
        <v>742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717</v>
      </c>
      <c r="D15" s="252"/>
      <c r="E15" s="133" t="s">
        <v>733</v>
      </c>
      <c r="F15" s="253"/>
      <c r="G15" s="22"/>
      <c r="H15" s="254" t="s">
        <v>742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718</v>
      </c>
      <c r="D16" s="252"/>
      <c r="E16" s="133" t="s">
        <v>734</v>
      </c>
      <c r="F16" s="253"/>
      <c r="G16" s="22"/>
      <c r="H16" s="254" t="s">
        <v>742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719</v>
      </c>
      <c r="D17" s="252"/>
      <c r="E17" s="133" t="s">
        <v>735</v>
      </c>
      <c r="F17" s="253"/>
      <c r="G17" s="22"/>
      <c r="H17" s="254" t="s">
        <v>743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720</v>
      </c>
      <c r="D18" s="252"/>
      <c r="E18" s="133" t="s">
        <v>736</v>
      </c>
      <c r="F18" s="253"/>
      <c r="G18" s="22"/>
      <c r="H18" s="254" t="s">
        <v>743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721</v>
      </c>
      <c r="D19" s="252"/>
      <c r="E19" s="133" t="s">
        <v>729</v>
      </c>
      <c r="F19" s="253"/>
      <c r="G19" s="22"/>
      <c r="H19" s="254" t="s">
        <v>740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722</v>
      </c>
      <c r="D20" s="252"/>
      <c r="E20" s="133" t="s">
        <v>735</v>
      </c>
      <c r="F20" s="253"/>
      <c r="G20" s="22"/>
      <c r="H20" s="21" t="s">
        <v>740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723</v>
      </c>
      <c r="D21" s="124"/>
      <c r="E21" s="133" t="s">
        <v>737</v>
      </c>
      <c r="F21" s="253"/>
      <c r="G21" s="22"/>
      <c r="H21" s="21" t="s">
        <v>743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724</v>
      </c>
      <c r="D22" s="252"/>
      <c r="E22" s="133" t="s">
        <v>737</v>
      </c>
      <c r="F22" s="253"/>
      <c r="G22" s="22"/>
      <c r="H22" s="254" t="s">
        <v>740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3"/>
      <c r="G85" s="283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7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459EE849-9F39-4A0E-8F04-AC70A7671BB3}">
      <formula1>"* ,[ASTM] D4052"</formula1>
    </dataValidation>
    <dataValidation type="list" allowBlank="1" showInputMessage="1" showErrorMessage="1" sqref="D8" xr:uid="{7830B5B5-B7B1-46AB-9C59-F52FEE03AF67}">
      <formula1>"* ,[ASTM] D156"</formula1>
    </dataValidation>
    <dataValidation type="list" allowBlank="1" showInputMessage="1" showErrorMessage="1" sqref="D9" xr:uid="{0682734B-1B3E-4F4D-8E87-166C18FD24B4}">
      <formula1>"* ,[ASTM] D323"</formula1>
    </dataValidation>
    <dataValidation type="list" allowBlank="1" showInputMessage="1" showErrorMessage="1" sqref="D10" xr:uid="{2364B472-C86D-4057-92D2-94B5104B1C65}">
      <formula1>"* ,[ASTM] D5453"</formula1>
    </dataValidation>
    <dataValidation type="list" allowBlank="1" showInputMessage="1" showErrorMessage="1" sqref="D11 D12" xr:uid="{251F113A-4150-46A3-BFFC-06153CCB02D7}">
      <formula1>"* ,[ASTM] D6839"</formula1>
    </dataValidation>
    <dataValidation type="list" allowBlank="1" showInputMessage="1" showErrorMessage="1" sqref="D13 D14 D15 D16" xr:uid="{8BD0980A-107E-4F34-8E47-9B9435110086}">
      <formula1>"* ,[ASTM] D86"</formula1>
    </dataValidation>
    <dataValidation type="list" allowBlank="1" showInputMessage="1" showErrorMessage="1" sqref="D17 D18" xr:uid="{7756EF03-1B7A-40B1-B6B9-2A6E04CDA424}">
      <formula1>"* ,[OTHER] ICP-MS"</formula1>
    </dataValidation>
    <dataValidation type="list" allowBlank="1" showInputMessage="1" showErrorMessage="1" sqref="D19" xr:uid="{A4238A76-2EEF-4A63-8CE4-1805496775BE}">
      <formula1>"* ,[ASTM] D5808"</formula1>
    </dataValidation>
    <dataValidation type="list" allowBlank="1" showInputMessage="1" showErrorMessage="1" sqref="D20" xr:uid="{5FEB8080-FC34-4E93-8C83-BE57B619660C}">
      <formula1>"* ,[OTHER] Low Oxygenates GC Analyser"</formula1>
    </dataValidation>
    <dataValidation type="list" allowBlank="1" showInputMessage="1" showErrorMessage="1" sqref="D21" xr:uid="{239A69D7-18E4-4794-8228-5E0E2082FCFF}">
      <formula1>"[UOP] UOP 946"</formula1>
    </dataValidation>
    <dataValidation type="list" allowBlank="1" showInputMessage="1" showErrorMessage="1" sqref="D22" xr:uid="{542F56D3-9898-4BE3-B229-E39BB2D15CA7}">
      <formula1>"* ,[ASTM] D4629"</formula1>
    </dataValidation>
    <dataValidation type="list" allowBlank="1" showInputMessage="1" showErrorMessage="1" sqref="H7" xr:uid="{45F364B5-A4BE-4481-A471-E34BB4794CCA}">
      <formula1>"n/a"</formula1>
    </dataValidation>
    <dataValidation type="list" allowBlank="1" showInputMessage="1" showErrorMessage="1" sqref="H8" xr:uid="{9286FCF2-0144-4F8C-B42F-8A690B77E00B}">
      <formula1>"haze no,pass/fail,rating,visual,Min,Max"</formula1>
    </dataValidation>
    <dataValidation type="list" allowBlank="1" showInputMessage="1" showErrorMessage="1" sqref="H9" xr:uid="{1FFB9A1B-AAE7-447A-86E0-B0A41A002409}">
      <formula1>"bar,kg/cm²,kPa,mbar,%vol,psi,psig,RVP"</formula1>
    </dataValidation>
    <dataValidation type="list" allowBlank="1" showInputMessage="1" showErrorMessage="1" sqref="H10" xr:uid="{B8B88F16-3331-4AB7-954C-FF841E3FB321}">
      <formula1>"μg/g,mg/kg,mg/l,ppm,%m,%m/m,%wt"</formula1>
    </dataValidation>
    <dataValidation type="list" allowBlank="1" showInputMessage="1" showErrorMessage="1" sqref="H11 H12" xr:uid="{5FDC1495-3E99-4301-94C0-1F2E5F6D5CFB}">
      <formula1>"ppm,%m/m,%mole,%vol"</formula1>
    </dataValidation>
    <dataValidation type="list" allowBlank="1" showInputMessage="1" showErrorMessage="1" sqref="H13 H14 H15 H16" xr:uid="{81FD6FE1-33A4-46EA-B1E2-2297A3F1BE37}">
      <formula1>"°C,°F,%,%vol"</formula1>
    </dataValidation>
    <dataValidation type="list" allowBlank="1" showInputMessage="1" showErrorMessage="1" sqref="H17" xr:uid="{4D635EDE-D5E7-4766-B2E3-490D4C16A911}">
      <formula1>"g Pb/l,g Pb/UK gal,g Pb/US gal,g/US gal,μg/l,mg/kg,mg/l,ppb,ppm,ppm w/w,%vol,μg/kg"</formula1>
    </dataValidation>
    <dataValidation type="list" allowBlank="1" showInputMessage="1" showErrorMessage="1" sqref="H18" xr:uid="{75E26C3D-8CE0-4F47-BF6E-55A3D0ECF224}">
      <formula1>"ppb,μg/kg,ng/m3"</formula1>
    </dataValidation>
    <dataValidation type="list" allowBlank="1" showInputMessage="1" showErrorMessage="1" sqref="H19" xr:uid="{0A9EB08D-D2FB-422C-A325-7A7F1A33B005}">
      <formula1>"L,mg/kg,mg/l,ppb,ppm,ppm w/w,%vol,%wt"</formula1>
    </dataValidation>
    <dataValidation type="list" allowBlank="1" showInputMessage="1" showErrorMessage="1" sqref="H20" xr:uid="{3C74B941-B9C5-4ADF-99CA-6F99567A96CA}">
      <formula1>"ppm"</formula1>
    </dataValidation>
    <dataValidation type="list" allowBlank="1" showInputMessage="1" showErrorMessage="1" sqref="H21" xr:uid="{CBE3608E-FF21-49A1-8260-87936AFC4E6E}">
      <formula1>"ppb"</formula1>
    </dataValidation>
    <dataValidation type="list" allowBlank="1" showInputMessage="1" showErrorMessage="1" sqref="H22" xr:uid="{2BC26C39-B3B3-436A-B6EE-DC5056A4F08D}">
      <formula1>"mg/kg,ppm,%m/m,%mole,%vol,%wt"</formula1>
    </dataValidation>
    <dataValidation type="list" allowBlank="1" showInputMessage="1" showErrorMessage="1" sqref="F7 F8 F9 F10 F11 F12 F13 F14 F15 F16 F17 F18 F19 F20 F21 F22" xr:uid="{C0F19511-286C-41E2-95A0-DF64E584F9D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230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232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233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234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235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236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237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238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2023-10-30T00:42:26Z</dcterms:modified>
</cp:coreProperties>
</file>