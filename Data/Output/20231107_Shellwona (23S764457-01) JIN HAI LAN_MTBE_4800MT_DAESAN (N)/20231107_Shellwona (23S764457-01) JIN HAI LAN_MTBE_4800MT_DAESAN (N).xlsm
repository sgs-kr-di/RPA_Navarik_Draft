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7_Shellwona (23S764457-01) JIN HAI LAN_MTBE_4800MT_DAESAN (N)\"/>
    </mc:Choice>
  </mc:AlternateContent>
  <xr:revisionPtr revIDLastSave="0" documentId="13_ncr:1_{E358B863-2C15-4108-805E-6503C4024174}" xr6:coauthVersionLast="45" xr6:coauthVersionMax="47" xr10:uidLastSave="{00000000-0000-0000-0000-000000000000}"/>
  <bookViews>
    <workbookView xWindow="0" yWindow="975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<sst xmlns="http://schemas.openxmlformats.org/spreadsheetml/2006/main" count="1145" uniqueCount="723">
  <si>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</si>
  <si>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</si>
  <si>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</si>
  <si>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</si>
  <si>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</si>
  <si>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</si>
  <si>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</si>
  <si>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</si>
  <si>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</si>
  <si>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</si>
  <si>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</si>
  <si>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</si>
  <si>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</si>
  <si>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</si>
  <si>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</si>
  <si>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</si>
  <si>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</si>
  <si>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</si>
  <si>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</si>
  <si>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</si>
  <si>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</si>
  <si>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</si>
  <si>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</si>
  <si>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</si>
  <si>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</si>
  <si>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</si>
  <si>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</si>
  <si>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</si>
  <si>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</si>
  <si>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</si>
  <si>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</si>
  <si>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</si>
  <si>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</si>
  <si>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</si>
  <si>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</si>
  <si>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</si>
  <si>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</si>
  <si>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</si>
  <si>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</si>
  <si>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</si>
  <si>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</si>
  <si>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</si>
  <si>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</si>
  <si>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</si>
  <si>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</si>
  <si>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</si>
  <si>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</si>
  <si>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</si>
  <si>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</si>
  <si>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</si>
  <si>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</si>
  <si>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</si>
  <si>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</si>
  <si>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</si>
  <si>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</si>
  <si>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</si>
  <si>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</si>
  <si>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</si>
  <si>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</si>
  <si>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</si>
  <si>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</si>
  <si>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</si>
  <si>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</si>
  <si>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</si>
  <si>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</si>
  <si>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</si>
  <si>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</si>
  <si>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</si>
  <si>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</si>
  <si>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</si>
  <si>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</si>
  <si>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</si>
  <si>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</si>
  <si>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</si>
  <si>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</si>
  <si>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</si>
  <si>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</si>
  <si>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</si>
  <si>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</si>
  <si>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</si>
  <si>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</si>
  <si>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</si>
  <si>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</si>
  <si>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</si>
  <si>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</si>
  <si>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</si>
  <si>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</si>
  <si>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</si>
  <si>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</si>
  <si>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</si>
  <si>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</si>
  <si>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</si>
  <si>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</si>
  <si>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</si>
  <si>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</si>
  <si>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</si>
  <si>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</si>
  <si>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</si>
  <si>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</si>
  <si>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</si>
  <si>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</si>
  <si>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</si>
  <si>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</si>
  <si>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</si>
  <si>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</si>
  <si>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</si>
  <si>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</si>
  <si>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</si>
  <si>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</si>
  <si>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</si>
  <si>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</si>
  <si>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</si>
  <si>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</si>
  <si>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</si>
  <si>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</si>
  <si>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</si>
  <si>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</si>
  <si>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</si>
  <si>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</si>
  <si>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</si>
  <si>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</si>
  <si>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</si>
  <si>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</si>
  <si>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</si>
  <si>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</si>
  <si>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</si>
  <si>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</si>
  <si>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</si>
  <si>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</si>
  <si>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</si>
  <si>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</si>
  <si>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</si>
  <si>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</si>
  <si>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</si>
  <si>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</si>
  <si>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</si>
  <si>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</si>
  <si>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</si>
  <si>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</si>
  <si>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</si>
  <si>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</si>
  <si>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</si>
  <si>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</si>
  <si>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</si>
  <si>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</si>
  <si>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</si>
  <si>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</si>
  <si>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</si>
  <si>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</si>
  <si>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</si>
  <si>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</si>
  <si>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</si>
  <si>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</si>
  <si>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</si>
  <si>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</si>
  <si>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</si>
  <si>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</si>
  <si>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</si>
  <si>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</si>
  <si>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</si>
  <si>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</si>
  <si>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</si>
  <si>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</si>
  <si>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</si>
  <si>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</si>
  <si>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</si>
  <si>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</si>
  <si>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</si>
  <si>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</si>
  <si>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</si>
  <si>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</si>
  <si>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</si>
  <si>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</si>
  <si>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</si>
  <si>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</si>
  <si>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</si>
  <si>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</si>
  <si>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</si>
  <si>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</si>
  <si>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</si>
  <si>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</si>
  <si>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</si>
  <si>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</si>
  <si>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</si>
  <si>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</si>
  <si>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</si>
  <si>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</si>
  <si>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</si>
  <si>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</si>
  <si>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</si>
  <si>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</si>
  <si>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</si>
  <si>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</si>
  <si>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</si>
  <si>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</si>
  <si>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</si>
  <si>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</si>
  <si>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</si>
  <si>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</si>
  <si>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</si>
  <si>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</si>
  <si>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</si>
  <si>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</si>
  <si>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</si>
  <si>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</si>
  <si>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</si>
  <si>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</si>
  <si>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</si>
  <si>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</si>
  <si>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</si>
  <si>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</si>
  <si>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</si>
  <si>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</si>
  <si>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</si>
  <si>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</si>
  <si>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</si>
  <si>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</si>
  <si>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</si>
  <si>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</si>
  <si>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</si>
  <si>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</si>
  <si>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</si>
  <si>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</si>
  <si>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</si>
  <si>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</si>
  <si>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</si>
  <si>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</si>
  <si>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</si>
  <si>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</si>
  <si>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</si>
  <si>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</si>
  <si>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</si>
  <si>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</si>
  <si>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</si>
  <si>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</si>
  <si>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</si>
  <si>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</si>
  <si>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</si>
  <si>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</si>
  <si>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</si>
  <si>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</si>
  <si>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</si>
  <si>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</si>
  <si>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</si>
  <si>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</si>
  <si>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</si>
  <si>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</si>
  <si>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</si>
  <si>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</si>
  <si>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</si>
  <si>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</si>
  <si>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</si>
  <si>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</si>
  <si>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</si>
  <si>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</si>
  <si>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</si>
  <si>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</si>
  <si>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</si>
  <si>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</si>
  <si>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</si>
  <si>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</si>
  <si>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</si>
  <si>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</si>
  <si>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</si>
  <si>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</si>
  <si>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</si>
  <si>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</si>
  <si>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</si>
  <si>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</si>
  <si>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</si>
  <si>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</si>
  <si>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</si>
  <si>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</si>
  <si>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</si>
  <si>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</si>
  <si>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</si>
  <si>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</si>
  <si>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</si>
  <si>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</si>
  <si>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</si>
  <si>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</si>
  <si>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</si>
  <si>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</si>
  <si>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</si>
  <si>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</si>
  <si>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</si>
  <si>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</si>
  <si>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</si>
  <si>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</si>
  <si>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</si>
  <si>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</si>
  <si>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</si>
  <si>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</si>
  <si>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</si>
  <si>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</si>
  <si>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</si>
  <si>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</si>
  <si>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</si>
  <si>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</si>
  <si>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</si>
  <si>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</si>
  <si>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</si>
  <si>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</si>
  <si>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</si>
  <si>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</si>
  <si>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</si>
  <si>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</si>
  <si>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</si>
  <si>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</si>
  <si>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</si>
  <si>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</si>
  <si>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</si>
  <si>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</si>
  <si>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</si>
  <si>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</si>
  <si>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</si>
  <si>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</si>
  <si>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</si>
  <si>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</si>
  <si>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</si>
  <si>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</si>
  <si>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</si>
  <si>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</si>
  <si>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</si>
  <si>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</si>
  <si>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</si>
  <si>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</si>
  <si>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</si>
  <si>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</si>
  <si>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</si>
  <si>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</si>
  <si>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</si>
  <si>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</si>
  <si>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</si>
  <si>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</si>
  <si>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</si>
  <si>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</si>
  <si>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</si>
  <si>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</si>
  <si>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</si>
  <si>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</si>
  <si>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</si>
  <si>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</si>
  <si>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</si>
  <si>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</si>
  <si>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</si>
  <si>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</si>
  <si>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</si>
  <si>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</si>
  <si>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</si>
  <si>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</si>
  <si>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</si>
  <si>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</si>
  <si>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</si>
  <si>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</si>
  <si>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</si>
  <si>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</si>
  <si>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</si>
  <si>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</si>
  <si>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</si>
  <si>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</si>
  <si>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</si>
  <si>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</si>
  <si>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</si>
  <si>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</si>
  <si>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</si>
  <si>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</si>
  <si>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</si>
  <si>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</si>
  <si>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</si>
  <si>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</si>
  <si>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</si>
  <si>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</si>
  <si>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</si>
  <si>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</si>
  <si>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</si>
  <si>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</si>
  <si>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</si>
  <si>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</si>
  <si>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</si>
  <si>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</si>
  <si>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</si>
  <si>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</si>
  <si>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</si>
  <si>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</si>
  <si>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</si>
  <si>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</si>
  <si>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</si>
  <si>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</si>
  <si>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</si>
  <si>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</si>
  <si>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</si>
  <si>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</si>
  <si>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</si>
  <si>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</si>
  <si>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</si>
  <si>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</si>
  <si>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</si>
  <si>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</si>
  <si>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</si>
  <si>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</si>
  <si>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</si>
  <si>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</si>
  <si>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</si>
  <si>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</si>
  <si>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</si>
  <si>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</si>
  <si>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</si>
  <si>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</si>
  <si>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</si>
  <si>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</si>
  <si>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</si>
  <si>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</si>
  <si>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</si>
  <si>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</si>
  <si>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</si>
  <si>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</si>
  <si>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</si>
  <si>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</si>
  <si>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</si>
  <si>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</si>
  <si>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</si>
  <si>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</si>
  <si>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</si>
  <si>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</si>
  <si>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</si>
  <si>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</si>
  <si>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</si>
  <si>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</si>
  <si>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</si>
  <si>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</si>
  <si>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</si>
  <si>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</si>
  <si>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</si>
  <si>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</si>
  <si>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</si>
  <si>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</si>
  <si>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</si>
  <si>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</si>
  <si>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</si>
  <si>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</si>
  <si>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</si>
  <si>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</si>
  <si>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</si>
  <si>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</si>
  <si>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</si>
  <si>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</si>
  <si>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</si>
  <si>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</si>
  <si>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</si>
  <si>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</si>
  <si>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</si>
  <si>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</si>
  <si>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</si>
  <si>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</si>
  <si>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</si>
  <si>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</si>
  <si>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</si>
  <si>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</si>
  <si>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</si>
  <si>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</si>
  <si>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</si>
  <si>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</si>
  <si>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</si>
  <si>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</si>
  <si>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</si>
  <si>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</si>
  <si>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</si>
  <si>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</si>
  <si>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</si>
  <si>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</si>
  <si>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</si>
  <si>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</si>
  <si>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</si>
  <si>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</si>
  <si>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</si>
  <si>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</si>
  <si>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</si>
  <si>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</si>
  <si>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</si>
  <si>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</si>
  <si>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</si>
  <si>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</si>
  <si>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</si>
  <si>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</si>
  <si>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</si>
  <si>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</si>
  <si>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</si>
  <si>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</si>
  <si>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</si>
  <si>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</si>
  <si>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</si>
  <si>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</si>
  <si>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</si>
  <si>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</si>
  <si>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</si>
  <si>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</si>
  <si>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</si>
  <si>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</si>
  <si>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</si>
  <si>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</si>
  <si>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</si>
  <si>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</si>
  <si>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</si>
  <si>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</si>
  <si>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</si>
  <si>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</si>
  <si>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</si>
  <si>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</si>
  <si>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</si>
  <si>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</si>
  <si>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</si>
  <si>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</si>
  <si>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</si>
  <si>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</si>
  <si>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</si>
  <si>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</si>
  <si>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</si>
  <si>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</si>
  <si>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</si>
  <si>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</si>
  <si>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</si>
  <si>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</si>
  <si>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</si>
  <si>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</si>
  <si>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</si>
  <si>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</si>
  <si>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</si>
  <si>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</si>
  <si>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</si>
  <si>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</si>
  <si>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</si>
  <si>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</si>
  <si>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</si>
  <si>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</si>
  <si>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</si>
  <si>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</si>
  <si>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</si>
  <si>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</si>
  <si>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</si>
  <si>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</si>
  <si>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</si>
  <si>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</si>
  <si>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</si>
  <si>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</si>
  <si>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</si>
  <si>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</si>
  <si>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</si>
  <si>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</si>
  <si>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</si>
  <si>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</si>
  <si>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</si>
  <si>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</si>
  <si>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</si>
  <si>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</si>
  <si>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</si>
  <si>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</si>
  <si>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</si>
  <si>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</si>
  <si>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</si>
  <si>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</si>
  <si>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</si>
  <si>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</si>
  <si>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</si>
  <si>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</si>
  <si>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</si>
  <si>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</si>
  <si>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</si>
  <si>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</si>
  <si>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</si>
  <si>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</si>
  <si>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</si>
  <si>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</si>
  <si>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</si>
  <si>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</si>
  <si>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</si>
  <si>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</si>
  <si>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</si>
  <si>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</si>
  <si>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</si>
  <si>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</si>
  <si>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</si>
  <si>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</si>
  <si>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</si>
  <si>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</si>
  <si>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</si>
  <si>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</si>
  <si>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</si>
  <si>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</si>
  <si>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</si>
  <si>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</si>
  <si>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</si>
  <si>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</si>
  <si>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</si>
  <si>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</si>
  <si>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</si>
  <si>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</si>
  <si>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</si>
  <si>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</si>
  <si>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</si>
  <si>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</si>
  <si>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</si>
  <si>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</si>
  <si>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</si>
  <si>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</si>
  <si>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</si>
  <si>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</si>
  <si>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</si>
  <si>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</si>
  <si>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</si>
  <si>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</si>
  <si>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</si>
  <si>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</si>
  <si>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</si>
  <si>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</si>
  <si>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</si>
  <si>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</si>
  <si>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</si>
  <si>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</si>
  <si>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</si>
  <si>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</si>
  <si>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</si>
  <si>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</si>
  <si>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</si>
  <si>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</si>
  <si>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</si>
  <si>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</si>
  <si>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</si>
  <si>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</si>
  <si>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</si>
  <si>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</si>
  <si>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</si>
  <si>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</si>
  <si>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</si>
  <si>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</si>
  <si>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</si>
  <si>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</si>
  <si>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</si>
  <si>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</si>
  <si>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</si>
  <si>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</si>
  <si>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</si>
  <si>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</si>
  <si>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</si>
  <si>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</si>
  <si>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</si>
  <si>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</si>
  <si>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</si>
  <si>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</si>
  <si>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</si>
  <si>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</si>
  <si>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</si>
  <si>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</si>
  <si>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</si>
  <si>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</si>
  <si>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</si>
  <si>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</si>
  <si>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</si>
  <si>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</si>
  <si>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</si>
  <si>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</si>
  <si>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</si>
  <si>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</si>
  <si>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</si>
  <si>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</si>
  <si>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</si>
  <si>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</si>
  <si>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</si>
  <si>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</si>
  <si>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</si>
  <si>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</si>
  <si>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</si>
  <si>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</si>
  <si>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</si>
  <si>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</si>
  <si>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</si>
  <si>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</si>
  <si>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</si>
  <si>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</si>
  <si>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</si>
  <si>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</si>
  <si>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</si>
  <si>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</si>
  <si>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</si>
  <si>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</si>
  <si>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</si>
  <si>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</si>
  <si>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</si>
  <si>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</si>
  <si>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</si>
  <si>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</si>
  <si>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</si>
  <si>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</si>
  <si>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</si>
  <si>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</si>
  <si>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</si>
  <si>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대산</t>
    <phoneticPr fontId="1" type="noConversion"/>
  </si>
  <si>
    <t>23S764457-01</t>
    <phoneticPr fontId="1" type="noConversion"/>
  </si>
  <si>
    <t>JIN HAI LAN</t>
    <phoneticPr fontId="1" type="noConversion"/>
  </si>
  <si>
    <t>MTBE</t>
    <phoneticPr fontId="1" type="noConversion"/>
  </si>
  <si>
    <t>SHELLWONA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</si>
  <si>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</si>
  <si>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</si>
  <si>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</si>
  <si>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</si>
  <si>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</si>
  <si>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</si>
  <si>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</si>
  <si>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MTBE (MTBE) - 4800 Metric tonnes</t>
  </si>
  <si>
    <t>*</t>
  </si>
  <si>
    <t>Methanol</t>
  </si>
  <si>
    <t>Methanol, Ethanol, ETBE, MTBE, TBA</t>
  </si>
  <si>
    <t>Doctor Test</t>
  </si>
  <si>
    <t>Copper Corrosion 3 hours @ 122°F (50°C)</t>
  </si>
  <si>
    <t>Water Content</t>
  </si>
  <si>
    <t>max = 0.3 (buy)</t>
  </si>
  <si>
    <t>max = 1 (buy)</t>
  </si>
  <si>
    <t>n/a</t>
  </si>
  <si>
    <t>max = 500 (buy)</t>
  </si>
  <si>
    <t>%m/m</t>
  </si>
  <si>
    <t>pass/fail</t>
  </si>
  <si>
    <t>rating</t>
  </si>
  <si>
    <t>visual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</si>
</sst>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18" sqref="C18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대산</v>
      </c>
      <c r="C6" s="158" t="str">
        <f>IF(C5="","담당자 이름을 입력 또는 선택합니다.",VLOOKUP(C5,Sheet3!$I$1:$L$91,2,))</f>
        <v>kr_ogcwest@sgs.com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kr_ogcwest@sgs.com;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700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697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699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Kr_ogculsan@sgs.com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Password_00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45229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45046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45321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709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709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709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709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/>
      <c r="C18" s="130" t="s">
        <v>706</v>
      </c>
      <c r="D18" s="62"/>
      <c r="E18" s="101"/>
      <c r="F18" s="64"/>
      <c r="G18" s="65"/>
      <c r="H18" s="215" t="str">
        <f t="shared" si="0"/>
        <v>-</v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 t="s">
        <v>468</v>
      </c>
      <c r="D19" s="62"/>
      <c r="E19" s="101"/>
      <c r="F19" s="64"/>
      <c r="G19" s="65"/>
      <c r="H19" s="215" t="str">
        <f t="shared" si="0"/>
        <v>-</v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0</v>
      </c>
    </row>
    <row r="20" spans="1:27" ht="13.9" customHeight="1">
      <c r="A20" s="85">
        <v>16</v>
      </c>
      <c r="B20" s="129" t="s">
        <v>709</v>
      </c>
      <c r="C20" s="130" t="s">
        <v>480</v>
      </c>
      <c r="D20" s="62" t="s">
        <v>708</v>
      </c>
      <c r="E20" s="101"/>
      <c r="F20" s="64"/>
      <c r="G20" s="65"/>
      <c r="H20" s="215" t="str">
        <f t="shared" si="0"/>
        <v/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1</v>
      </c>
    </row>
    <row r="21" spans="1:27" ht="13.9" customHeight="1">
      <c r="A21" s="85">
        <v>17</v>
      </c>
      <c r="B21" s="129"/>
      <c r="C21" s="130" t="s">
        <v>707</v>
      </c>
      <c r="D21" s="62"/>
      <c r="E21" s="101"/>
      <c r="F21" s="64"/>
      <c r="G21" s="65"/>
      <c r="H21" s="215" t="str">
        <f t="shared" si="0"/>
        <v>-</v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709</v>
      </c>
      <c r="C22" s="130" t="s">
        <v>504</v>
      </c>
      <c r="D22" s="63"/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476</v>
      </c>
      <c r="D23" s="62"/>
      <c r="E23" s="101"/>
      <c r="F23" s="64"/>
      <c r="G23" s="65"/>
      <c r="H23" s="215" t="str">
        <f t="shared" si="0"/>
        <v>-</v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 t="s">
        <v>467</v>
      </c>
      <c r="D24" s="62"/>
      <c r="E24" s="101"/>
      <c r="F24" s="64"/>
      <c r="G24" s="65"/>
      <c r="H24" s="215" t="str">
        <f t="shared" si="0"/>
        <v>-</v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 t="s">
        <v>528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709</v>
      </c>
      <c r="C26" s="130" t="s">
        <v>563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498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MTBE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229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 t="s">
        <v>316</v>
      </c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710</v>
      </c>
      <c r="D7" s="252"/>
      <c r="E7" s="133" t="s">
        <v>715</v>
      </c>
      <c r="F7" s="253"/>
      <c r="G7" s="22"/>
      <c r="H7" s="254" t="s">
        <v>719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711</v>
      </c>
      <c r="D8" s="252"/>
      <c r="E8" s="133" t="s">
        <v>716</v>
      </c>
      <c r="F8" s="253"/>
      <c r="G8" s="22"/>
      <c r="H8" s="254" t="s">
        <v>719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712</v>
      </c>
      <c r="D9" s="252"/>
      <c r="E9" s="133" t="s">
        <v>717</v>
      </c>
      <c r="F9" s="255"/>
      <c r="G9" s="22"/>
      <c r="H9" s="254" t="s">
        <v>720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713</v>
      </c>
      <c r="D10" s="124"/>
      <c r="E10" s="133" t="s">
        <v>717</v>
      </c>
      <c r="F10" s="253"/>
      <c r="G10" s="22"/>
      <c r="H10" s="254" t="s">
        <v>721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714</v>
      </c>
      <c r="D11" s="124"/>
      <c r="E11" s="133" t="s">
        <v>718</v>
      </c>
      <c r="F11" s="253"/>
      <c r="G11" s="22"/>
      <c r="H11" s="254" t="s">
        <v>722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4"/>
      <c r="G85" s="284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1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11697422-86D3-418B-99EA-D4A94F56C1EA}">
      <formula1>"* ,[ASTM] D7423"</formula1>
    </dataValidation>
    <dataValidation type="list" allowBlank="1" showInputMessage="1" showErrorMessage="1" sqref="D8" xr:uid="{95C9D069-41C3-499A-A522-DA01A102CE80}">
      <formula1>"* ,[ASTM] D5441"</formula1>
    </dataValidation>
    <dataValidation type="list" allowBlank="1" showInputMessage="1" showErrorMessage="1" sqref="D9" xr:uid="{14EF5BFC-3755-4A30-BD6E-2F6EA27E1322}">
      <formula1>"* ,[ASTM] D4952"</formula1>
    </dataValidation>
    <dataValidation type="list" allowBlank="1" showInputMessage="1" showErrorMessage="1" sqref="D10" xr:uid="{7870254F-534B-476E-A7E9-3C9203D65957}">
      <formula1>"[ASTM] D130"</formula1>
    </dataValidation>
    <dataValidation type="list" allowBlank="1" showInputMessage="1" showErrorMessage="1" sqref="D11" xr:uid="{0A060761-C461-40FD-BFD7-C5F6B133AD35}">
      <formula1>"[ASTM] E203"</formula1>
    </dataValidation>
    <dataValidation type="list" allowBlank="1" showInputMessage="1" showErrorMessage="1" sqref="H7 H8" xr:uid="{3161F4B5-40D2-4FAC-9463-EE918E6460FB}">
      <formula1>"%m/m,%mole,%liq vol,mg/kg,%vol,%wt,ppm,ppm v/v,ppm w/w"</formula1>
    </dataValidation>
    <dataValidation type="list" allowBlank="1" showInputMessage="1" showErrorMessage="1" sqref="H9" xr:uid="{D0629338-1BFB-4A0D-825B-06F2EC13C1E4}">
      <formula1>"pass/fail,n/a,pos/neg"</formula1>
    </dataValidation>
    <dataValidation type="list" allowBlank="1" showInputMessage="1" showErrorMessage="1" sqref="H10" xr:uid="{01530AE2-9921-4842-8CC1-C7595D71C0D2}">
      <formula1>"rating,n/a"</formula1>
    </dataValidation>
    <dataValidation type="list" allowBlank="1" showInputMessage="1" showErrorMessage="1" sqref="H11" xr:uid="{BA19234D-8BCE-4018-88BD-29F90F4EAF46}">
      <formula1>"visual,mg/kg,%wt,ppm,ppm v/v,wt ppm"</formula1>
    </dataValidation>
    <dataValidation type="list" allowBlank="1" showInputMessage="1" showErrorMessage="1" sqref="F7 F8 F10 F11" xr:uid="{FE74C31A-AADF-405E-AF56-46742985107A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230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232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233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234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235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236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237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238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45229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2023-10-30T02:02:17Z</dcterms:modified>
</cp:coreProperties>
</file>