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12_Chevron (23C763381-02) THAI CHEMI_CON 220N_1500MT_YOSU (N) 4\"/>
    </mc:Choice>
  </mc:AlternateContent>
  <xr:revisionPtr revIDLastSave="0" documentId="13_ncr:1_{9A47308F-1694-485E-B0CD-DB3F42921454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R6" i="181"/>
  <c r="BS6" i="181" s="1"/>
  <c r="BQ6" i="181"/>
  <c r="BP6" i="181"/>
  <c r="AR6" i="181"/>
  <c r="AL6" i="181"/>
  <c r="AM6" i="181" s="1"/>
  <c r="AK6" i="181"/>
  <c r="AF6" i="181"/>
  <c r="X6" i="181"/>
  <c r="BT5" i="181"/>
  <c r="BP5" i="181"/>
  <c r="AV5" i="181"/>
  <c r="BT4" i="181"/>
  <c r="BS4" i="181"/>
  <c r="BO4" i="181"/>
  <c r="BP4" i="181" s="1"/>
  <c r="BK4" i="181"/>
  <c r="BL5" i="181" s="1"/>
  <c r="BH4" i="181"/>
  <c r="BG4" i="181"/>
  <c r="BH6" i="181" s="1"/>
  <c r="BC4" i="181"/>
  <c r="BD4" i="181" s="1"/>
  <c r="AY4" i="181"/>
  <c r="AZ4" i="181" s="1"/>
  <c r="AU4" i="181"/>
  <c r="AV4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Z6" i="181" s="1"/>
  <c r="AA6" i="181" s="1"/>
  <c r="S4" i="181"/>
  <c r="T4" i="181" s="1"/>
  <c r="O4" i="181"/>
  <c r="P5" i="181" s="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U6" i="180"/>
  <c r="BR6" i="180"/>
  <c r="BS6" i="180" s="1"/>
  <c r="BE6" i="180"/>
  <c r="BB6" i="180"/>
  <c r="BC6" i="180" s="1"/>
  <c r="BA6" i="180"/>
  <c r="AT6" i="180"/>
  <c r="AU6" i="180" s="1"/>
  <c r="AP6" i="180"/>
  <c r="AQ6" i="180" s="1"/>
  <c r="AG6" i="180"/>
  <c r="Y6" i="180"/>
  <c r="X6" i="180"/>
  <c r="BP5" i="180"/>
  <c r="BD5" i="180"/>
  <c r="AZ5" i="180"/>
  <c r="AB5" i="180"/>
  <c r="P5" i="180"/>
  <c r="BS4" i="180"/>
  <c r="BT5" i="180" s="1"/>
  <c r="BP4" i="180"/>
  <c r="BO4" i="180"/>
  <c r="BP6" i="180" s="1"/>
  <c r="BL4" i="180"/>
  <c r="BK4" i="180"/>
  <c r="BM6" i="180" s="1"/>
  <c r="BG4" i="180"/>
  <c r="BH5" i="180" s="1"/>
  <c r="BD4" i="180"/>
  <c r="BC4" i="180"/>
  <c r="BF6" i="180" s="1"/>
  <c r="BG6" i="180" s="1"/>
  <c r="AY4" i="180"/>
  <c r="AZ6" i="180" s="1"/>
  <c r="AU4" i="180"/>
  <c r="AV4" i="180" s="1"/>
  <c r="AR4" i="180"/>
  <c r="AQ4" i="180"/>
  <c r="AR6" i="180" s="1"/>
  <c r="AN4" i="180"/>
  <c r="AM4" i="180"/>
  <c r="AO6" i="180" s="1"/>
  <c r="AI4" i="180"/>
  <c r="AJ6" i="180" s="1"/>
  <c r="AF4" i="180"/>
  <c r="AE4" i="180"/>
  <c r="AH6" i="180" s="1"/>
  <c r="AI6" i="180" s="1"/>
  <c r="AB4" i="180"/>
  <c r="AA4" i="180"/>
  <c r="AB6" i="180" s="1"/>
  <c r="W4" i="180"/>
  <c r="X5" i="180" s="1"/>
  <c r="S4" i="180"/>
  <c r="T6" i="180" s="1"/>
  <c r="P4" i="180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U6" i="179"/>
  <c r="BO6" i="179"/>
  <c r="BN6" i="179"/>
  <c r="BM6" i="179"/>
  <c r="BB6" i="179"/>
  <c r="BC6" i="179" s="1"/>
  <c r="BA6" i="179"/>
  <c r="AW6" i="179"/>
  <c r="AK6" i="179"/>
  <c r="AC6" i="179"/>
  <c r="R6" i="179"/>
  <c r="S6" i="179" s="1"/>
  <c r="Q6" i="179"/>
  <c r="AZ5" i="179"/>
  <c r="AV5" i="179"/>
  <c r="AF5" i="179"/>
  <c r="BT4" i="179"/>
  <c r="BS4" i="179"/>
  <c r="BT5" i="179" s="1"/>
  <c r="BO4" i="179"/>
  <c r="BR6" i="179" s="1"/>
  <c r="BS6" i="179" s="1"/>
  <c r="BL4" i="179"/>
  <c r="BK4" i="179"/>
  <c r="BL5" i="179" s="1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M4" i="179"/>
  <c r="AN6" i="179" s="1"/>
  <c r="AJ4" i="179"/>
  <c r="AI4" i="179"/>
  <c r="AL6" i="179" s="1"/>
  <c r="AM6" i="179" s="1"/>
  <c r="AE4" i="179"/>
  <c r="AF4" i="179" s="1"/>
  <c r="AA4" i="179"/>
  <c r="AB4" i="179" s="1"/>
  <c r="X4" i="179"/>
  <c r="W4" i="179"/>
  <c r="X5" i="179" s="1"/>
  <c r="T4" i="179"/>
  <c r="S4" i="179"/>
  <c r="V6" i="179" s="1"/>
  <c r="W6" i="179" s="1"/>
  <c r="P4" i="179"/>
  <c r="O4" i="179"/>
  <c r="P5" i="179" s="1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I6" i="178"/>
  <c r="AW6" i="178"/>
  <c r="AL6" i="178"/>
  <c r="AM6" i="178" s="1"/>
  <c r="Z6" i="178"/>
  <c r="AA6" i="178" s="1"/>
  <c r="BD5" i="178"/>
  <c r="AF5" i="178"/>
  <c r="BT4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U4" i="178"/>
  <c r="AV5" i="178" s="1"/>
  <c r="AQ4" i="178"/>
  <c r="AT6" i="178" s="1"/>
  <c r="AU6" i="178" s="1"/>
  <c r="AM4" i="178"/>
  <c r="AP6" i="178" s="1"/>
  <c r="AQ6" i="178" s="1"/>
  <c r="AJ4" i="178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R6" i="177"/>
  <c r="BS6" i="177" s="1"/>
  <c r="BI6" i="177"/>
  <c r="BB6" i="177"/>
  <c r="BC6" i="177" s="1"/>
  <c r="BA6" i="177"/>
  <c r="AT6" i="177"/>
  <c r="AU6" i="177" s="1"/>
  <c r="AD6" i="177"/>
  <c r="AE6" i="177" s="1"/>
  <c r="Z6" i="177"/>
  <c r="AA6" i="177" s="1"/>
  <c r="Y6" i="177"/>
  <c r="BP5" i="177"/>
  <c r="BT4" i="177"/>
  <c r="BS4" i="177"/>
  <c r="BT5" i="177" s="1"/>
  <c r="BP4" i="177"/>
  <c r="BO4" i="177"/>
  <c r="BQ6" i="177" s="1"/>
  <c r="BK4" i="177"/>
  <c r="BL5" i="177" s="1"/>
  <c r="BH4" i="177"/>
  <c r="BG4" i="177"/>
  <c r="BH5" i="177" s="1"/>
  <c r="BC4" i="177"/>
  <c r="BD4" i="177" s="1"/>
  <c r="AZ4" i="177"/>
  <c r="AY4" i="177"/>
  <c r="AZ5" i="177" s="1"/>
  <c r="AU4" i="177"/>
  <c r="AX6" i="177" s="1"/>
  <c r="AY6" i="177" s="1"/>
  <c r="AR4" i="177"/>
  <c r="AQ4" i="177"/>
  <c r="AS6" i="177" s="1"/>
  <c r="AM4" i="177"/>
  <c r="AP6" i="177" s="1"/>
  <c r="AQ6" i="177" s="1"/>
  <c r="AJ4" i="177"/>
  <c r="AI4" i="177"/>
  <c r="AL6" i="177" s="1"/>
  <c r="AM6" i="177" s="1"/>
  <c r="AE4" i="177"/>
  <c r="AF4" i="177" s="1"/>
  <c r="AA4" i="177"/>
  <c r="AB4" i="177" s="1"/>
  <c r="X4" i="177"/>
  <c r="W4" i="177"/>
  <c r="X5" i="177" s="1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BE6" i="176"/>
  <c r="AW6" i="176"/>
  <c r="Y6" i="176"/>
  <c r="X6" i="176"/>
  <c r="AV5" i="176"/>
  <c r="BT4" i="176"/>
  <c r="BS4" i="176"/>
  <c r="BT5" i="176" s="1"/>
  <c r="BP4" i="176"/>
  <c r="BO4" i="176"/>
  <c r="BR6" i="176" s="1"/>
  <c r="BS6" i="176" s="1"/>
  <c r="BK4" i="176"/>
  <c r="BL5" i="176" s="1"/>
  <c r="BG4" i="176"/>
  <c r="BH5" i="176" s="1"/>
  <c r="BD4" i="176"/>
  <c r="BC4" i="176"/>
  <c r="BF6" i="176" s="1"/>
  <c r="BG6" i="176" s="1"/>
  <c r="AY4" i="176"/>
  <c r="AZ4" i="176" s="1"/>
  <c r="AV4" i="176"/>
  <c r="AU4" i="176"/>
  <c r="AX6" i="176" s="1"/>
  <c r="AY6" i="176" s="1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X4" i="176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V6" i="175"/>
  <c r="BW6" i="175" s="1"/>
  <c r="BU6" i="175"/>
  <c r="BP6" i="175"/>
  <c r="BE6" i="175"/>
  <c r="BD6" i="175"/>
  <c r="AW6" i="175"/>
  <c r="AS6" i="175"/>
  <c r="AO6" i="175"/>
  <c r="AF6" i="175"/>
  <c r="BT5" i="175"/>
  <c r="BD5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V4" i="175"/>
  <c r="AU4" i="175"/>
  <c r="AV5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W4" i="175"/>
  <c r="X5" i="175" s="1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Q6" i="174"/>
  <c r="BM6" i="174"/>
  <c r="BE6" i="174"/>
  <c r="BA6" i="174"/>
  <c r="AZ6" i="174"/>
  <c r="AX6" i="174"/>
  <c r="AY6" i="174" s="1"/>
  <c r="AV6" i="174"/>
  <c r="AO6" i="174"/>
  <c r="AN6" i="174"/>
  <c r="AC6" i="174"/>
  <c r="U6" i="174"/>
  <c r="P6" i="174"/>
  <c r="M6" i="174"/>
  <c r="AV5" i="174"/>
  <c r="AN5" i="174"/>
  <c r="BS4" i="174"/>
  <c r="BT5" i="174" s="1"/>
  <c r="BO4" i="174"/>
  <c r="BR6" i="174" s="1"/>
  <c r="BS6" i="174" s="1"/>
  <c r="BK4" i="174"/>
  <c r="BN6" i="174" s="1"/>
  <c r="BO6" i="174" s="1"/>
  <c r="BH4" i="174"/>
  <c r="BG4" i="174"/>
  <c r="BH5" i="174" s="1"/>
  <c r="BD4" i="174"/>
  <c r="BC4" i="174"/>
  <c r="BF6" i="174" s="1"/>
  <c r="BG6" i="174" s="1"/>
  <c r="AZ4" i="174"/>
  <c r="AY4" i="174"/>
  <c r="BB6" i="174" s="1"/>
  <c r="BC6" i="174" s="1"/>
  <c r="AV4" i="174"/>
  <c r="AU4" i="174"/>
  <c r="AW6" i="174" s="1"/>
  <c r="AQ4" i="174"/>
  <c r="AT6" i="174" s="1"/>
  <c r="AU6" i="174" s="1"/>
  <c r="AN4" i="174"/>
  <c r="AM4" i="174"/>
  <c r="AP6" i="174" s="1"/>
  <c r="AQ6" i="174" s="1"/>
  <c r="AI4" i="174"/>
  <c r="AL6" i="174" s="1"/>
  <c r="AM6" i="174" s="1"/>
  <c r="AE4" i="174"/>
  <c r="AH6" i="174" s="1"/>
  <c r="AI6" i="174" s="1"/>
  <c r="AA4" i="174"/>
  <c r="AD6" i="174" s="1"/>
  <c r="AE6" i="174" s="1"/>
  <c r="W4" i="174"/>
  <c r="Z6" i="174" s="1"/>
  <c r="AA6" i="174" s="1"/>
  <c r="S4" i="174"/>
  <c r="V6" i="174" s="1"/>
  <c r="W6" i="174" s="1"/>
  <c r="P4" i="174"/>
  <c r="O4" i="174"/>
  <c r="R6" i="174" s="1"/>
  <c r="S6" i="174" s="1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I6" i="173"/>
  <c r="AV6" i="173"/>
  <c r="AO6" i="173"/>
  <c r="AL6" i="173"/>
  <c r="AM6" i="173" s="1"/>
  <c r="N6" i="173"/>
  <c r="O6" i="173" s="1"/>
  <c r="M6" i="173"/>
  <c r="AV5" i="173"/>
  <c r="BS4" i="173"/>
  <c r="BT5" i="173" s="1"/>
  <c r="BO4" i="173"/>
  <c r="BR6" i="173" s="1"/>
  <c r="BS6" i="173" s="1"/>
  <c r="BK4" i="173"/>
  <c r="BL5" i="173" s="1"/>
  <c r="BG4" i="173"/>
  <c r="BH5" i="173" s="1"/>
  <c r="BC4" i="173"/>
  <c r="BD4" i="173" s="1"/>
  <c r="AY4" i="173"/>
  <c r="AZ4" i="173" s="1"/>
  <c r="AU4" i="173"/>
  <c r="AV4" i="173" s="1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M6" i="181" l="1"/>
  <c r="AS6" i="181"/>
  <c r="N6" i="181"/>
  <c r="O6" i="181" s="1"/>
  <c r="AT6" i="181"/>
  <c r="AU6" i="181" s="1"/>
  <c r="AJ4" i="181"/>
  <c r="T6" i="181"/>
  <c r="AV6" i="181"/>
  <c r="U6" i="181"/>
  <c r="AW6" i="181"/>
  <c r="L5" i="181"/>
  <c r="V6" i="181"/>
  <c r="W6" i="181" s="1"/>
  <c r="AX6" i="181"/>
  <c r="AY6" i="181" s="1"/>
  <c r="T5" i="181"/>
  <c r="BD6" i="181"/>
  <c r="L4" i="181"/>
  <c r="X5" i="181"/>
  <c r="Y6" i="181"/>
  <c r="BI6" i="181"/>
  <c r="AJ5" i="181"/>
  <c r="BJ6" i="181"/>
  <c r="BK6" i="181" s="1"/>
  <c r="BH5" i="181"/>
  <c r="BL5" i="180"/>
  <c r="AS6" i="180"/>
  <c r="BT6" i="180"/>
  <c r="R6" i="180"/>
  <c r="S6" i="180" s="1"/>
  <c r="U6" i="180"/>
  <c r="AV6" i="180"/>
  <c r="V6" i="180"/>
  <c r="W6" i="180" s="1"/>
  <c r="AW6" i="180"/>
  <c r="T5" i="180"/>
  <c r="T4" i="180"/>
  <c r="AZ4" i="180"/>
  <c r="AF5" i="180"/>
  <c r="AC6" i="180"/>
  <c r="BN6" i="180"/>
  <c r="BO6" i="180" s="1"/>
  <c r="AN5" i="180"/>
  <c r="AD6" i="180"/>
  <c r="AE6" i="180" s="1"/>
  <c r="BQ6" i="180"/>
  <c r="Y6" i="179"/>
  <c r="BD6" i="179"/>
  <c r="L4" i="179"/>
  <c r="AB5" i="179"/>
  <c r="AD6" i="179"/>
  <c r="AE6" i="179" s="1"/>
  <c r="BI6" i="179"/>
  <c r="AN4" i="179"/>
  <c r="AN5" i="179"/>
  <c r="AF6" i="179"/>
  <c r="AO6" i="179"/>
  <c r="BH4" i="179"/>
  <c r="BD5" i="179"/>
  <c r="AP6" i="179"/>
  <c r="AQ6" i="179" s="1"/>
  <c r="BP4" i="179"/>
  <c r="M6" i="179"/>
  <c r="AB5" i="178"/>
  <c r="AV6" i="178"/>
  <c r="AJ5" i="178"/>
  <c r="AX6" i="178"/>
  <c r="AY6" i="178" s="1"/>
  <c r="L4" i="178"/>
  <c r="AV4" i="178"/>
  <c r="BJ6" i="178"/>
  <c r="BK6" i="178" s="1"/>
  <c r="M6" i="178"/>
  <c r="BT6" i="178"/>
  <c r="N6" i="178"/>
  <c r="O6" i="178" s="1"/>
  <c r="BU6" i="178"/>
  <c r="X4" i="178"/>
  <c r="BH4" i="178"/>
  <c r="X6" i="178"/>
  <c r="BV6" i="178"/>
  <c r="BW6" i="178" s="1"/>
  <c r="Y6" i="178"/>
  <c r="AK6" i="178"/>
  <c r="L4" i="177"/>
  <c r="X6" i="177"/>
  <c r="AZ6" i="177"/>
  <c r="T4" i="177"/>
  <c r="AV4" i="177"/>
  <c r="AB6" i="177"/>
  <c r="AB5" i="177"/>
  <c r="AC6" i="177"/>
  <c r="AF5" i="177"/>
  <c r="AV5" i="177"/>
  <c r="BT6" i="177"/>
  <c r="AK6" i="177"/>
  <c r="BU6" i="177"/>
  <c r="T5" i="177"/>
  <c r="AV6" i="177"/>
  <c r="M6" i="177"/>
  <c r="AW6" i="177"/>
  <c r="V6" i="177"/>
  <c r="W6" i="177" s="1"/>
  <c r="U6" i="176"/>
  <c r="AF4" i="176"/>
  <c r="Z6" i="176"/>
  <c r="AA6" i="176" s="1"/>
  <c r="AF6" i="176"/>
  <c r="AG6" i="176"/>
  <c r="BV6" i="176"/>
  <c r="BW6" i="176" s="1"/>
  <c r="AR6" i="176"/>
  <c r="AR4" i="176"/>
  <c r="AB5" i="176"/>
  <c r="AS6" i="176"/>
  <c r="AF5" i="176"/>
  <c r="AV6" i="176"/>
  <c r="T4" i="176"/>
  <c r="BD5" i="176"/>
  <c r="T6" i="176"/>
  <c r="BD6" i="176"/>
  <c r="AR6" i="175"/>
  <c r="T4" i="175"/>
  <c r="Q6" i="175"/>
  <c r="AV6" i="175"/>
  <c r="T6" i="175"/>
  <c r="X4" i="175"/>
  <c r="U6" i="175"/>
  <c r="AX6" i="175"/>
  <c r="AY6" i="175" s="1"/>
  <c r="X6" i="175"/>
  <c r="BA6" i="175"/>
  <c r="Y6" i="175"/>
  <c r="Z6" i="175"/>
  <c r="AA6" i="175" s="1"/>
  <c r="BT4" i="175"/>
  <c r="AC6" i="175"/>
  <c r="BM6" i="175"/>
  <c r="AR4" i="175"/>
  <c r="AF5" i="175"/>
  <c r="AG6" i="175"/>
  <c r="BQ6" i="175"/>
  <c r="BT4" i="174"/>
  <c r="Q6" i="174"/>
  <c r="AS6" i="174"/>
  <c r="BT6" i="174"/>
  <c r="P5" i="174"/>
  <c r="BU6" i="174"/>
  <c r="X4" i="174"/>
  <c r="X5" i="174"/>
  <c r="X6" i="174"/>
  <c r="BV6" i="174"/>
  <c r="BW6" i="174" s="1"/>
  <c r="AB5" i="174"/>
  <c r="Y6" i="174"/>
  <c r="AB4" i="174"/>
  <c r="AF5" i="174"/>
  <c r="AF4" i="174"/>
  <c r="AR5" i="174"/>
  <c r="AB6" i="174"/>
  <c r="AJ4" i="174"/>
  <c r="BL5" i="174"/>
  <c r="AG6" i="174"/>
  <c r="BI6" i="174"/>
  <c r="L4" i="174"/>
  <c r="BL4" i="174"/>
  <c r="AK6" i="174"/>
  <c r="BL6" i="174"/>
  <c r="AF5" i="173"/>
  <c r="BT6" i="173"/>
  <c r="BU6" i="173"/>
  <c r="AZ5" i="173"/>
  <c r="BV6" i="173"/>
  <c r="BW6" i="173" s="1"/>
  <c r="AR4" i="173"/>
  <c r="Q6" i="173"/>
  <c r="L4" i="173"/>
  <c r="AF6" i="173"/>
  <c r="AK6" i="173"/>
  <c r="T4" i="173"/>
  <c r="AJ4" i="173"/>
  <c r="BP4" i="173"/>
  <c r="X6" i="173"/>
  <c r="AW6" i="173"/>
  <c r="Y6" i="173"/>
  <c r="AX6" i="173"/>
  <c r="AY6" i="173" s="1"/>
  <c r="X4" i="173"/>
  <c r="BT4" i="173"/>
  <c r="Z6" i="173"/>
  <c r="AA6" i="173" s="1"/>
  <c r="AZ6" i="173"/>
  <c r="BD5" i="173"/>
  <c r="AB5" i="173"/>
  <c r="AB6" i="173"/>
  <c r="BA6" i="173"/>
  <c r="BH4" i="173"/>
  <c r="AC6" i="173"/>
  <c r="BB6" i="173"/>
  <c r="BC6" i="173" s="1"/>
  <c r="AJ5" i="173"/>
  <c r="AD6" i="173"/>
  <c r="AE6" i="173" s="1"/>
  <c r="BJ6" i="173"/>
  <c r="BK6" i="173" s="1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<sst xmlns="http://schemas.openxmlformats.org/spreadsheetml/2006/main" count="1133" uniqueCount="727">
  <si>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</si>
  <si>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</si>
  <si>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</si>
  <si>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</si>
  <si>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</si>
  <si>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</si>
  <si>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</si>
  <si>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</si>
  <si>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</si>
  <si>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</si>
  <si>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</si>
  <si>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</si>
  <si>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</si>
  <si>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</si>
  <si>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</si>
  <si>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</si>
  <si>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</si>
  <si>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</si>
  <si>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</si>
  <si>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</si>
  <si>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</si>
  <si>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</si>
  <si>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</si>
  <si>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</si>
  <si>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</si>
  <si>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</si>
  <si>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</si>
  <si>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</si>
  <si>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</si>
  <si>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</si>
  <si>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</si>
  <si>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</si>
  <si>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</si>
  <si>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</si>
  <si>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</si>
  <si>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</si>
  <si>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</si>
  <si>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</si>
  <si>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</si>
  <si>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</si>
  <si>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</si>
  <si>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</si>
  <si>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</si>
  <si>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</si>
  <si>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</si>
  <si>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</si>
  <si>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</si>
  <si>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</si>
  <si>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</si>
  <si>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</si>
  <si>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</si>
  <si>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</si>
  <si>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</si>
  <si>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</si>
  <si>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</si>
  <si>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</si>
  <si>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</si>
  <si>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</si>
  <si>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</si>
  <si>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</si>
  <si>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</si>
  <si>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</si>
  <si>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</si>
  <si>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</si>
  <si>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</si>
  <si>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</si>
  <si>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</si>
  <si>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</si>
  <si>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</si>
  <si>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</si>
  <si>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</si>
  <si>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</si>
  <si>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</si>
  <si>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</si>
  <si>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</si>
  <si>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</si>
  <si>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</si>
  <si>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</si>
  <si>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</si>
  <si>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</si>
  <si>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</si>
  <si>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</si>
  <si>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</si>
  <si>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</si>
  <si>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</si>
  <si>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</si>
  <si>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</si>
  <si>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</si>
  <si>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</si>
  <si>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</si>
  <si>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</si>
  <si>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</si>
  <si>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</si>
  <si>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</si>
  <si>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</si>
  <si>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</si>
  <si>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</si>
  <si>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</si>
  <si>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</si>
  <si>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</si>
  <si>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</si>
  <si>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</si>
  <si>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</si>
  <si>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</si>
  <si>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</si>
  <si>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</si>
  <si>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</si>
  <si>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</si>
  <si>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</si>
  <si>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</si>
  <si>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</si>
  <si>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</si>
  <si>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</si>
  <si>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</si>
  <si>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</si>
  <si>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</si>
  <si>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</si>
  <si>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</si>
  <si>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</si>
  <si>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</si>
  <si>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</si>
  <si>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</si>
  <si>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</si>
  <si>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</si>
  <si>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</si>
  <si>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</si>
  <si>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</si>
  <si>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</si>
  <si>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</si>
  <si>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</si>
  <si>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</si>
  <si>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</si>
  <si>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</si>
  <si>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</si>
  <si>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</si>
  <si>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</si>
  <si>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</si>
  <si>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</si>
  <si>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</si>
  <si>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</si>
  <si>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</si>
  <si>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</si>
  <si>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</si>
  <si>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</si>
  <si>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</si>
  <si>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</si>
  <si>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</si>
  <si>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</si>
  <si>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</si>
  <si>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</si>
  <si>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</si>
  <si>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</si>
  <si>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</si>
  <si>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</si>
  <si>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</si>
  <si>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</si>
  <si>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</si>
  <si>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</si>
  <si>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</si>
  <si>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</si>
  <si>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</si>
  <si>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</si>
  <si>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</si>
  <si>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</si>
  <si>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</si>
  <si>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</si>
  <si>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</si>
  <si>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</si>
  <si>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</si>
  <si>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</si>
  <si>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</si>
  <si>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</si>
  <si>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</si>
  <si>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</si>
  <si>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</si>
  <si>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</si>
  <si>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</si>
  <si>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</si>
  <si>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</si>
  <si>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</si>
  <si>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</si>
  <si>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</si>
  <si>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</si>
  <si>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</si>
  <si>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</si>
  <si>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</si>
  <si>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</si>
  <si>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</si>
  <si>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</si>
  <si>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</si>
  <si>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</si>
  <si>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</si>
  <si>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</si>
  <si>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</si>
  <si>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</si>
  <si>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</si>
  <si>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</si>
  <si>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</si>
  <si>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</si>
  <si>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</si>
  <si>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</si>
  <si>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</si>
  <si>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</si>
  <si>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</si>
  <si>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</si>
  <si>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</si>
  <si>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</si>
  <si>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</si>
  <si>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</si>
  <si>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</si>
  <si>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</si>
  <si>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</si>
  <si>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</si>
  <si>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</si>
  <si>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</si>
  <si>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</si>
  <si>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</si>
  <si>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</si>
  <si>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</si>
  <si>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</si>
  <si>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</si>
  <si>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</si>
  <si>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</si>
  <si>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</si>
  <si>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</si>
  <si>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</si>
  <si>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</si>
  <si>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</si>
  <si>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</si>
  <si>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</si>
  <si>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</si>
  <si>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</si>
  <si>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</si>
  <si>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</si>
  <si>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</si>
  <si>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</si>
  <si>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</si>
  <si>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</si>
  <si>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</si>
  <si>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</si>
  <si>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</si>
  <si>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</si>
  <si>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</si>
  <si>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</si>
  <si>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</si>
  <si>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</si>
  <si>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</si>
  <si>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</si>
  <si>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</si>
  <si>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</si>
  <si>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</si>
  <si>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</si>
  <si>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</si>
  <si>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</si>
  <si>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</si>
  <si>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</si>
  <si>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</si>
  <si>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</si>
  <si>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</si>
  <si>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</si>
  <si>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</si>
  <si>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</si>
  <si>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</si>
  <si>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</si>
  <si>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</si>
  <si>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</si>
  <si>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</si>
  <si>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</si>
  <si>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</si>
  <si>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</si>
  <si>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</si>
  <si>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</si>
  <si>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</si>
  <si>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</si>
  <si>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</si>
  <si>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</si>
  <si>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</si>
  <si>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</si>
  <si>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</si>
  <si>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</si>
  <si>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</si>
  <si>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</si>
  <si>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</si>
  <si>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</si>
  <si>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</si>
  <si>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</si>
  <si>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</si>
  <si>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</si>
  <si>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</si>
  <si>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</si>
  <si>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</si>
  <si>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</si>
  <si>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</si>
  <si>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</si>
  <si>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</si>
  <si>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</si>
  <si>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</si>
  <si>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</si>
  <si>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</si>
  <si>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</si>
  <si>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</si>
  <si>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</si>
  <si>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</si>
  <si>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</si>
  <si>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</si>
  <si>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</si>
  <si>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</si>
  <si>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</si>
  <si>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</si>
  <si>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</si>
  <si>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</si>
  <si>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</si>
  <si>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</si>
  <si>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</si>
  <si>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</si>
  <si>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</si>
  <si>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</si>
  <si>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</si>
  <si>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</si>
  <si>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</si>
  <si>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</si>
  <si>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</si>
  <si>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</si>
  <si>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</si>
  <si>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</si>
  <si>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</si>
  <si>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</si>
  <si>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</si>
  <si>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</si>
  <si>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</si>
  <si>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</si>
  <si>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</si>
  <si>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</si>
  <si>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</si>
  <si>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</si>
  <si>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</si>
  <si>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</si>
  <si>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</si>
  <si>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</si>
  <si>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</si>
  <si>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</si>
  <si>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</si>
  <si>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</si>
  <si>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</si>
  <si>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</si>
  <si>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</si>
  <si>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</si>
  <si>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</si>
  <si>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</si>
  <si>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</si>
  <si>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</si>
  <si>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</si>
  <si>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</si>
  <si>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</si>
  <si>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</si>
  <si>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</si>
  <si>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</si>
  <si>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</si>
  <si>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</si>
  <si>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</si>
  <si>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</si>
  <si>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</si>
  <si>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</si>
  <si>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</si>
  <si>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</si>
  <si>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</si>
  <si>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</si>
  <si>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</si>
  <si>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</si>
  <si>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</si>
  <si>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</si>
  <si>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</si>
  <si>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</si>
  <si>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</si>
  <si>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</si>
  <si>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</si>
  <si>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</si>
  <si>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</si>
  <si>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</si>
  <si>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</si>
  <si>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</si>
  <si>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</si>
  <si>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</si>
  <si>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</si>
  <si>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</si>
  <si>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</si>
  <si>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</si>
  <si>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</si>
  <si>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</si>
  <si>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</si>
  <si>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</si>
  <si>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</si>
  <si>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</si>
  <si>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</si>
  <si>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</si>
  <si>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</si>
  <si>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</si>
  <si>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</si>
  <si>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</si>
  <si>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</si>
  <si>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</si>
  <si>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</si>
  <si>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</si>
  <si>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</si>
  <si>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</si>
  <si>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</si>
  <si>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</si>
  <si>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</si>
  <si>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</si>
  <si>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</si>
  <si>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</si>
  <si>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</si>
  <si>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</si>
  <si>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</si>
  <si>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</si>
  <si>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</si>
  <si>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</si>
  <si>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</si>
  <si>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</si>
  <si>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</si>
  <si>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</si>
  <si>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</si>
  <si>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</si>
  <si>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</si>
  <si>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</si>
  <si>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</si>
  <si>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</si>
  <si>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</si>
  <si>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</si>
  <si>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</si>
  <si>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</si>
  <si>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</si>
  <si>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</si>
  <si>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</si>
  <si>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</si>
  <si>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</si>
  <si>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</si>
  <si>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</si>
  <si>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</si>
  <si>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</si>
  <si>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</si>
  <si>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</si>
  <si>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</si>
  <si>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</si>
  <si>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</si>
  <si>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</si>
  <si>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</si>
  <si>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</si>
  <si>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</si>
  <si>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</si>
  <si>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</si>
  <si>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</si>
  <si>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</si>
  <si>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</si>
  <si>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</si>
  <si>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</si>
  <si>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</si>
  <si>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</si>
  <si>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</si>
  <si>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</si>
  <si>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</si>
  <si>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</si>
  <si>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</si>
  <si>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</si>
  <si>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</si>
  <si>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</si>
  <si>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</si>
  <si>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</si>
  <si>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</si>
  <si>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</si>
  <si>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</si>
  <si>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</si>
  <si>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</si>
  <si>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</si>
  <si>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</si>
  <si>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</si>
  <si>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</si>
  <si>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</si>
  <si>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</si>
  <si>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</si>
  <si>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</si>
  <si>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</si>
  <si>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</si>
  <si>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</si>
  <si>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</si>
  <si>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</si>
  <si>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</si>
  <si>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</si>
  <si>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</si>
  <si>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</si>
  <si>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</si>
  <si>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</si>
  <si>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</si>
  <si>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</si>
  <si>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</si>
  <si>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</si>
  <si>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</si>
  <si>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</si>
  <si>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</si>
  <si>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</si>
  <si>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</si>
  <si>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</si>
  <si>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</si>
  <si>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</si>
  <si>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</si>
  <si>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</si>
  <si>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</si>
  <si>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</si>
  <si>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</si>
  <si>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</si>
  <si>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</si>
  <si>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</si>
  <si>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</si>
  <si>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</si>
  <si>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</si>
  <si>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</si>
  <si>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</si>
  <si>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</si>
  <si>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</si>
  <si>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</si>
  <si>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</si>
  <si>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</si>
  <si>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</si>
  <si>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</si>
  <si>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</si>
  <si>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</si>
  <si>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</si>
  <si>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</si>
  <si>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</si>
  <si>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</si>
  <si>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</si>
  <si>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</si>
  <si>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</si>
  <si>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</si>
  <si>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</si>
  <si>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</si>
  <si>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</si>
  <si>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</si>
  <si>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</si>
  <si>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</si>
  <si>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</si>
  <si>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</si>
  <si>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</si>
  <si>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</si>
  <si>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</si>
  <si>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</si>
  <si>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</si>
  <si>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</si>
  <si>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</si>
  <si>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</si>
  <si>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</si>
  <si>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</si>
  <si>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</si>
  <si>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</si>
  <si>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</si>
  <si>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</si>
  <si>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</si>
  <si>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</si>
  <si>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</si>
  <si>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</si>
  <si>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</si>
  <si>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</si>
  <si>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</si>
  <si>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</si>
  <si>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</si>
  <si>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</si>
  <si>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</si>
  <si>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</si>
  <si>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</si>
  <si>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</si>
  <si>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</si>
  <si>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</si>
  <si>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</si>
  <si>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</si>
  <si>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</si>
  <si>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</si>
  <si>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</si>
  <si>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</si>
  <si>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</si>
  <si>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</si>
  <si>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</si>
  <si>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</si>
  <si>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</si>
  <si>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</si>
  <si>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</si>
  <si>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</si>
  <si>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</si>
  <si>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</si>
  <si>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</si>
  <si>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</si>
  <si>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</si>
  <si>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</si>
  <si>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</si>
  <si>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</si>
  <si>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</si>
  <si>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</si>
  <si>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</si>
  <si>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</si>
  <si>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</si>
  <si>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</si>
  <si>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</si>
  <si>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</si>
  <si>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</si>
  <si>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</si>
  <si>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</si>
  <si>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</si>
  <si>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</si>
  <si>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</si>
  <si>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</si>
  <si>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</si>
  <si>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</si>
  <si>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</si>
  <si>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</si>
  <si>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</si>
  <si>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</si>
  <si>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</si>
  <si>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</si>
  <si>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</si>
  <si>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</si>
  <si>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</si>
  <si>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</si>
  <si>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</si>
  <si>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</si>
  <si>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</si>
  <si>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</si>
  <si>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</si>
  <si>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</si>
  <si>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</si>
  <si>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</si>
  <si>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</si>
  <si>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</si>
  <si>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</si>
  <si>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</si>
  <si>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</si>
  <si>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</si>
  <si>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</si>
  <si>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</si>
  <si>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</si>
  <si>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</si>
  <si>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</si>
  <si>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</si>
  <si>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</si>
  <si>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</si>
  <si>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</si>
  <si>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</si>
  <si>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</si>
  <si>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</si>
  <si>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</si>
  <si>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</si>
  <si>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</si>
  <si>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</si>
  <si>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</si>
  <si>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</si>
  <si>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</si>
  <si>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</si>
  <si>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</si>
  <si>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</si>
  <si>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</si>
  <si>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</si>
  <si>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</si>
  <si>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</si>
  <si>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</si>
  <si>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</si>
  <si>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</si>
  <si>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</si>
  <si>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</si>
  <si>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</si>
  <si>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</si>
  <si>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</si>
  <si>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</si>
  <si>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</si>
  <si>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</si>
  <si>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</si>
  <si>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</si>
  <si>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</si>
  <si>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</si>
  <si>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</si>
  <si>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</si>
  <si>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</si>
  <si>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</si>
  <si>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</si>
  <si>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</si>
  <si>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</si>
  <si>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</si>
  <si>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</si>
  <si>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</si>
  <si>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</si>
  <si>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</si>
  <si>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</si>
  <si>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</si>
  <si>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</si>
  <si>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</si>
  <si>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</si>
  <si>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</si>
  <si>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</si>
  <si>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여수</t>
    <phoneticPr fontId="1" type="noConversion"/>
  </si>
  <si>
    <t>CHEVRON</t>
  </si>
  <si>
    <t>THAI CHEMI</t>
  </si>
  <si>
    <t>23C763381-02</t>
    <phoneticPr fontId="1" type="noConversion"/>
  </si>
  <si>
    <t>CHV NEUTRAL OIL 220N</t>
    <phoneticPr fontId="1" type="noConversion"/>
  </si>
  <si>
    <t>Appearance</t>
  </si>
  <si>
    <t>Color of Petroleum Products (ASTM Scale)</t>
  </si>
  <si>
    <t>API Gravity, Density, Relative Density (Specific Gravity) by Digital Density Meter or Oscillating U-tube Method</t>
  </si>
  <si>
    <t>Density @ 20C</t>
  </si>
  <si>
    <t>Flash Point</t>
  </si>
  <si>
    <t>NOACK volatility</t>
  </si>
  <si>
    <t>Pour Point</t>
  </si>
  <si>
    <t>Viscosity - Kinematic at 40ºC (104ºF)</t>
  </si>
  <si>
    <t>Viscosity - Kinematic at 100ºC (212ºF)</t>
  </si>
  <si>
    <t>Viscosity Index (Including Tests)</t>
  </si>
  <si>
    <t>Viscosity of Engine Oils and Base Stocks @-20C (Cold Cranking Simulator)</t>
  </si>
  <si>
    <t>n/a</t>
  </si>
  <si>
    <t>max = 1.5 (buy)</t>
  </si>
  <si>
    <t>Report only</t>
  </si>
  <si>
    <t>min = 222 (buy)</t>
  </si>
  <si>
    <t>max = -12 (buy)</t>
  </si>
  <si>
    <t>min = 7.0 / max = 8.0 (buy)</t>
  </si>
  <si>
    <t>min = 98 (buy)</t>
  </si>
  <si>
    <t>visual</t>
  </si>
  <si>
    <t>rating</t>
  </si>
  <si>
    <t>API@60°F</t>
  </si>
  <si>
    <t>kg/l</t>
  </si>
  <si>
    <t>g/ml</t>
  </si>
  <si>
    <t>°C</t>
  </si>
  <si>
    <t>%wt</t>
  </si>
  <si>
    <t>cSt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</si>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</sst>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40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C23" sqref="C23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695</v>
      </c>
      <c r="E5" s="221" t="s">
        <v>637</v>
      </c>
      <c r="F5" s="233" t="s">
        <v>666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663</v>
      </c>
      <c r="C9" s="218" t="s">
        <v>664</v>
      </c>
      <c r="E9" s="226" t="s">
        <v>667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637</v>
      </c>
      <c r="F10" s="233" t="s">
        <v>670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671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665</v>
      </c>
      <c r="E13" s="227" t="s">
        <v>668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662</v>
      </c>
      <c r="C14" s="209"/>
      <c r="E14" s="221" t="s">
        <v>637</v>
      </c>
      <c r="F14" s="233" t="s">
        <v>672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660</v>
      </c>
      <c r="C15" s="192"/>
      <c r="E15" s="221" t="s">
        <v>637</v>
      </c>
      <c r="F15" s="233" t="s">
        <v>673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661</v>
      </c>
      <c r="C16" s="169"/>
      <c r="E16" s="221" t="s">
        <v>637</v>
      </c>
      <c r="F16" s="233" t="s">
        <v>674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696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697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699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45244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45060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45336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659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658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8" t="s">
        <v>231</v>
      </c>
      <c r="C1" s="278"/>
      <c r="D1" s="3"/>
      <c r="E1" s="4"/>
      <c r="F1" s="281"/>
      <c r="G1" s="281"/>
      <c r="H1" s="281"/>
      <c r="I1" s="4"/>
      <c r="J1" s="277" t="s">
        <v>12</v>
      </c>
      <c r="K1" s="277"/>
      <c r="L1" s="4"/>
      <c r="M1" s="4"/>
      <c r="N1" s="4"/>
      <c r="O1" s="4"/>
      <c r="P1" s="4"/>
    </row>
    <row r="2" spans="1:36" ht="13.9" customHeight="1">
      <c r="A2" s="79"/>
      <c r="B2" s="279"/>
      <c r="C2" s="279"/>
      <c r="D2" s="5"/>
      <c r="E2" s="6"/>
      <c r="F2" s="282"/>
      <c r="G2" s="282"/>
      <c r="H2" s="282"/>
      <c r="I2" s="4"/>
      <c r="J2" s="280"/>
      <c r="K2" s="280"/>
      <c r="L2" s="283" t="s">
        <v>318</v>
      </c>
      <c r="M2" s="265"/>
      <c r="N2" s="265" t="s">
        <v>319</v>
      </c>
      <c r="O2" s="266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6" t="s">
        <v>359</v>
      </c>
      <c r="K25" s="276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7"/>
      <c r="K26" s="277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7"/>
      <c r="K27" s="268"/>
      <c r="L27" s="268"/>
      <c r="M27" s="268"/>
      <c r="N27" s="268"/>
      <c r="O27" s="269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70"/>
      <c r="K28" s="271"/>
      <c r="L28" s="271"/>
      <c r="M28" s="271"/>
      <c r="N28" s="271"/>
      <c r="O28" s="272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70"/>
      <c r="K29" s="271"/>
      <c r="L29" s="271"/>
      <c r="M29" s="271"/>
      <c r="N29" s="271"/>
      <c r="O29" s="272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0"/>
      <c r="K30" s="271"/>
      <c r="L30" s="271"/>
      <c r="M30" s="271"/>
      <c r="N30" s="271"/>
      <c r="O30" s="272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0"/>
      <c r="K31" s="271"/>
      <c r="L31" s="271"/>
      <c r="M31" s="271"/>
      <c r="N31" s="271"/>
      <c r="O31" s="272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0"/>
      <c r="K32" s="271"/>
      <c r="L32" s="271"/>
      <c r="M32" s="271"/>
      <c r="N32" s="271"/>
      <c r="O32" s="272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0"/>
      <c r="K33" s="271"/>
      <c r="L33" s="271"/>
      <c r="M33" s="271"/>
      <c r="N33" s="271"/>
      <c r="O33" s="272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3"/>
      <c r="K34" s="274"/>
      <c r="L34" s="274"/>
      <c r="M34" s="274"/>
      <c r="N34" s="274"/>
      <c r="O34" s="275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8" t="s">
        <v>230</v>
      </c>
      <c r="C1" s="25"/>
      <c r="D1" s="25"/>
      <c r="E1" s="25"/>
      <c r="F1" s="25"/>
      <c r="G1" s="25"/>
      <c r="H1" s="36"/>
      <c r="J1" s="284" t="s">
        <v>635</v>
      </c>
      <c r="K1" s="285"/>
      <c r="L1" s="285"/>
      <c r="M1" s="285"/>
      <c r="N1" s="286"/>
    </row>
    <row r="2" spans="1:78" ht="15" customHeight="1">
      <c r="A2" s="36"/>
      <c r="B2" s="278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1"/>
      <c r="G4" s="292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7"/>
      <c r="G5" s="288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89" t="str">
        <f>IF('Navarik 설정'!C22="","",'Navarik 설정'!C22)</f>
        <v>CHV NEUTRAL OIL 220N</v>
      </c>
      <c r="G6" s="290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95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675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675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15" sqref="C15"/>
      <selection pane="topRight" activeCell="C15" sqref="C15"/>
      <selection pane="bottomLeft" activeCell="C15" sqref="C15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228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 t="s">
        <v>306</v>
      </c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700</v>
      </c>
      <c r="D7" s="261"/>
      <c r="E7" s="126" t="s">
        <v>711</v>
      </c>
      <c r="F7" s="264"/>
      <c r="G7" s="20"/>
      <c r="H7" s="20"/>
      <c r="I7" s="263" t="s">
        <v>718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701</v>
      </c>
      <c r="D8" s="261"/>
      <c r="E8" s="126" t="s">
        <v>712</v>
      </c>
      <c r="F8" s="262"/>
      <c r="G8" s="20"/>
      <c r="H8" s="20"/>
      <c r="I8" s="263" t="s">
        <v>719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702</v>
      </c>
      <c r="D9" s="261"/>
      <c r="E9" s="126" t="s">
        <v>713</v>
      </c>
      <c r="F9" s="262"/>
      <c r="G9" s="20"/>
      <c r="H9" s="20"/>
      <c r="I9" s="263" t="s">
        <v>720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702</v>
      </c>
      <c r="D10" s="261"/>
      <c r="E10" s="126" t="s">
        <v>713</v>
      </c>
      <c r="F10" s="262"/>
      <c r="G10" s="20"/>
      <c r="H10" s="20"/>
      <c r="I10" s="263" t="s">
        <v>721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703</v>
      </c>
      <c r="D11" s="261"/>
      <c r="E11" s="126" t="s">
        <v>713</v>
      </c>
      <c r="F11" s="262"/>
      <c r="G11" s="20"/>
      <c r="H11" s="20"/>
      <c r="I11" s="263" t="s">
        <v>722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704</v>
      </c>
      <c r="D12" s="261"/>
      <c r="E12" s="126" t="s">
        <v>714</v>
      </c>
      <c r="F12" s="262"/>
      <c r="G12" s="20"/>
      <c r="H12" s="20"/>
      <c r="I12" s="263" t="s">
        <v>723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705</v>
      </c>
      <c r="D13" s="261"/>
      <c r="E13" s="126" t="s">
        <v>713</v>
      </c>
      <c r="F13" s="262"/>
      <c r="G13" s="20"/>
      <c r="H13" s="20"/>
      <c r="I13" s="19" t="s">
        <v>724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706</v>
      </c>
      <c r="D14" s="261"/>
      <c r="E14" s="126" t="s">
        <v>715</v>
      </c>
      <c r="F14" s="262"/>
      <c r="G14" s="20"/>
      <c r="H14" s="20"/>
      <c r="I14" s="263" t="s">
        <v>723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707</v>
      </c>
      <c r="D15" s="261"/>
      <c r="E15" s="126" t="s">
        <v>713</v>
      </c>
      <c r="F15" s="262"/>
      <c r="G15" s="20"/>
      <c r="H15" s="20"/>
      <c r="I15" s="263" t="s">
        <v>725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708</v>
      </c>
      <c r="D16" s="261"/>
      <c r="E16" s="126" t="s">
        <v>716</v>
      </c>
      <c r="F16" s="262"/>
      <c r="G16" s="20"/>
      <c r="H16" s="20"/>
      <c r="I16" s="263" t="s">
        <v>725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709</v>
      </c>
      <c r="D17" s="261"/>
      <c r="E17" s="126" t="s">
        <v>717</v>
      </c>
      <c r="F17" s="262"/>
      <c r="G17" s="20"/>
      <c r="H17" s="20"/>
      <c r="I17" s="263" t="s">
        <v>725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710</v>
      </c>
      <c r="D18" s="261"/>
      <c r="E18" s="126" t="s">
        <v>713</v>
      </c>
      <c r="F18" s="262"/>
      <c r="G18" s="20"/>
      <c r="H18" s="20"/>
      <c r="I18" s="19" t="s">
        <v>726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3"/>
      <c r="G85" s="303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2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E2BE6B27-17C4-41A5-A9E9-69629B6CDC86}">
      <formula1>"* ,[OTHER] Visual"</formula1>
    </dataValidation>
    <dataValidation type="list" allowBlank="1" showInputMessage="1" showErrorMessage="1" sqref="D8" xr:uid="{D117B87D-12B5-4BA1-85F5-B01FEDC57E51}">
      <formula1>"* ,[ASTM] D1500"</formula1>
    </dataValidation>
    <dataValidation type="list" allowBlank="1" showInputMessage="1" showErrorMessage="1" sqref="D9 D10 D11" xr:uid="{C5B68375-459B-4BB6-8E6F-237E784D4A3B}">
      <formula1>"* ,[ASTM] D4052"</formula1>
    </dataValidation>
    <dataValidation type="list" allowBlank="1" showInputMessage="1" showErrorMessage="1" sqref="D12" xr:uid="{58BA8249-397A-4756-8E97-95D2F64F9AB5}">
      <formula1>"* ,[ASTM] D92"</formula1>
    </dataValidation>
    <dataValidation type="list" allowBlank="1" showInputMessage="1" showErrorMessage="1" sqref="D13" xr:uid="{4A6ECF0B-789C-4C56-9E9A-7FB700E06562}">
      <formula1>"* ,[ASTM] D5800"</formula1>
    </dataValidation>
    <dataValidation type="list" allowBlank="1" showInputMessage="1" showErrorMessage="1" sqref="D14" xr:uid="{D69C5311-6329-4D50-A68B-CD1C3D1F4167}">
      <formula1>"* ,[ASTM] D97"</formula1>
    </dataValidation>
    <dataValidation type="list" allowBlank="1" showInputMessage="1" showErrorMessage="1" sqref="D15 D16" xr:uid="{EC595E5B-45BF-4BF4-9060-326E3EECCD98}">
      <formula1>"* ,[ASTM] D445"</formula1>
    </dataValidation>
    <dataValidation type="list" allowBlank="1" showInputMessage="1" showErrorMessage="1" sqref="D17" xr:uid="{C6386BB7-4B8A-41BC-96A0-BC1DB5133675}">
      <formula1>"* ,[ASTM] D2270"</formula1>
    </dataValidation>
    <dataValidation type="list" allowBlank="1" showInputMessage="1" showErrorMessage="1" sqref="D18" xr:uid="{51ECF801-BD5E-4597-82BE-CA27559E77A5}">
      <formula1>"* ,[ASTM] D5293"</formula1>
    </dataValidation>
    <dataValidation type="list" allowBlank="1" showInputMessage="1" showErrorMessage="1" sqref="I7" xr:uid="{AC67E966-7881-4D6C-918C-36DB64999EDD}">
      <formula1>"pass/fail,visual"</formula1>
    </dataValidation>
    <dataValidation type="list" allowBlank="1" showInputMessage="1" showErrorMessage="1" sqref="I8" xr:uid="{50F11900-28CD-4826-8D53-7504A62B7F0F}">
      <formula1>"haze no,pass/fail,rating,visual"</formula1>
    </dataValidation>
    <dataValidation type="list" allowBlank="1" showInputMessage="1" showErrorMessage="1" sqref="I9 I10" xr:uid="{519C97FB-D8D1-48D3-B8FA-8759AA6910A5}">
      <formula1>"API@60°F,g/ml,kg/m³,kg/l,n/a"</formula1>
    </dataValidation>
    <dataValidation type="list" allowBlank="1" showInputMessage="1" showErrorMessage="1" sqref="I11" xr:uid="{5D86AED4-8CE5-49D1-8F01-2475BDF3606B}">
      <formula1>"g/ml,kg/m³,kg/l,n/a"</formula1>
    </dataValidation>
    <dataValidation type="list" allowBlank="1" showInputMessage="1" showErrorMessage="1" sqref="I12" xr:uid="{1A3CA9E3-EFFF-45E1-99D1-DD0EC945181B}">
      <formula1>"°C,°F,Yes/No"</formula1>
    </dataValidation>
    <dataValidation type="list" allowBlank="1" showInputMessage="1" showErrorMessage="1" sqref="I13" xr:uid="{0BC42BF5-4F02-4D07-BDA8-0C59A53F5D14}">
      <formula1>"%wt"</formula1>
    </dataValidation>
    <dataValidation type="list" allowBlank="1" showInputMessage="1" showErrorMessage="1" sqref="I14" xr:uid="{A933B94C-1312-4B00-A0FD-D32AB1426D1D}">
      <formula1>"°C,°F"</formula1>
    </dataValidation>
    <dataValidation type="list" allowBlank="1" showInputMessage="1" showErrorMessage="1" sqref="I15 I16 I17" xr:uid="{5BF2EFB4-3E8F-475C-9BD5-74F119C8D2BC}">
      <formula1>"cSt,Engler,mm²/s,Pa·s,SUS"</formula1>
    </dataValidation>
    <dataValidation type="list" allowBlank="1" showInputMessage="1" showErrorMessage="1" sqref="I18" xr:uid="{FB6392B5-B730-4B61-ABAB-8C9739A96F17}">
      <formula1>"cP"</formula1>
    </dataValidation>
    <dataValidation type="list" allowBlank="1" showInputMessage="1" showErrorMessage="1" sqref="F8 F9 F10 F11 F12 F13 F14 F15 F16 F17 F18" xr:uid="{0737F99B-61F6-4D44-B56C-49B019E96153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686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687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688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689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690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691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692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693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6" t="s">
        <v>694</v>
      </c>
      <c r="C1" s="296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6"/>
      <c r="C2" s="296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0"/>
      <c r="G3" s="301"/>
      <c r="H3" s="301"/>
      <c r="I3" s="302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7"/>
      <c r="G4" s="298"/>
      <c r="H4" s="298"/>
      <c r="I4" s="299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4"/>
      <c r="N4" s="294"/>
      <c r="O4" s="249" t="str">
        <f>IF(F2&gt;=3,1,"")</f>
        <v/>
      </c>
      <c r="P4" s="63" t="str">
        <f>IF(O4=1,"Tk No.:","")</f>
        <v/>
      </c>
      <c r="Q4" s="294"/>
      <c r="R4" s="294"/>
      <c r="S4" s="55" t="str">
        <f>IF(F2&gt;=4,1,"")</f>
        <v/>
      </c>
      <c r="T4" s="63" t="str">
        <f>IF(S4=1,"Tk No.:","")</f>
        <v/>
      </c>
      <c r="U4" s="294"/>
      <c r="V4" s="294"/>
      <c r="W4" s="55" t="str">
        <f>IF(F2&gt;=5,1,"")</f>
        <v/>
      </c>
      <c r="X4" s="63" t="str">
        <f>IF(W4=1,"Tk No.:","")</f>
        <v/>
      </c>
      <c r="Y4" s="294"/>
      <c r="Z4" s="294"/>
      <c r="AA4" s="55" t="str">
        <f>IF(F2&gt;=6,1,"")</f>
        <v/>
      </c>
      <c r="AB4" s="63" t="str">
        <f>IF(AA4=1,"Tk No.:","")</f>
        <v/>
      </c>
      <c r="AC4" s="294"/>
      <c r="AD4" s="294"/>
      <c r="AE4" s="55" t="str">
        <f>IF($F$2&gt;=7,1,"")</f>
        <v/>
      </c>
      <c r="AF4" s="63" t="str">
        <f>IF(AE4=1,"Tk No.:","")</f>
        <v/>
      </c>
      <c r="AG4" s="294"/>
      <c r="AH4" s="294"/>
      <c r="AI4" s="55" t="str">
        <f>IF($F$2&gt;=8,1,"")</f>
        <v/>
      </c>
      <c r="AJ4" s="63" t="str">
        <f>IF(AI4=1,"Tk No.:","")</f>
        <v/>
      </c>
      <c r="AK4" s="294"/>
      <c r="AL4" s="294"/>
      <c r="AM4" s="55" t="str">
        <f>IF($F$2&gt;=9,1,"")</f>
        <v/>
      </c>
      <c r="AN4" s="63" t="str">
        <f>IF(AM4=1,"Tk No.:","")</f>
        <v/>
      </c>
      <c r="AO4" s="294"/>
      <c r="AP4" s="294"/>
      <c r="AQ4" s="55" t="str">
        <f>IF($F$2&gt;=10,1,"")</f>
        <v/>
      </c>
      <c r="AR4" s="63" t="str">
        <f>IF(AQ4=1,"Tk No.:","")</f>
        <v/>
      </c>
      <c r="AS4" s="294"/>
      <c r="AT4" s="294"/>
      <c r="AU4" s="55" t="str">
        <f>IF($F$2&gt;=11,1,"")</f>
        <v/>
      </c>
      <c r="AV4" s="63" t="str">
        <f>IF(AU4=1,"Tk No.:","")</f>
        <v/>
      </c>
      <c r="AW4" s="294"/>
      <c r="AX4" s="294"/>
      <c r="AY4" s="55" t="str">
        <f>IF($F$2&gt;=12,1,"")</f>
        <v/>
      </c>
      <c r="AZ4" s="63" t="str">
        <f>IF(AY4=1,"Tk No.:","")</f>
        <v/>
      </c>
      <c r="BA4" s="294"/>
      <c r="BB4" s="294"/>
      <c r="BC4" s="55" t="str">
        <f>IF($F$2&gt;=13,1,"")</f>
        <v/>
      </c>
      <c r="BD4" s="63" t="str">
        <f>IF(BC4=1,"Tk No.:","")</f>
        <v/>
      </c>
      <c r="BE4" s="294"/>
      <c r="BF4" s="294"/>
      <c r="BG4" s="55" t="str">
        <f>IF($F$2&gt;=14,1,"")</f>
        <v/>
      </c>
      <c r="BH4" s="63" t="str">
        <f>IF(BG4=1,"Tk No.:","")</f>
        <v/>
      </c>
      <c r="BI4" s="294"/>
      <c r="BJ4" s="294"/>
      <c r="BK4" s="55" t="str">
        <f>IF($F$2&gt;=15,1,"")</f>
        <v/>
      </c>
      <c r="BL4" s="63" t="str">
        <f>IF(BK4=1,"Tk No.:","")</f>
        <v/>
      </c>
      <c r="BM4" s="294"/>
      <c r="BN4" s="294"/>
      <c r="BO4" s="55" t="str">
        <f>IF($F$2&gt;=16,1,"")</f>
        <v/>
      </c>
      <c r="BP4" s="63" t="str">
        <f>IF(BO4=1,"Tk No.:","")</f>
        <v/>
      </c>
      <c r="BQ4" s="294"/>
      <c r="BR4" s="294"/>
      <c r="BS4" s="55" t="str">
        <f>IF($F$2&gt;=17,1,"")</f>
        <v/>
      </c>
      <c r="BT4" s="63" t="str">
        <f>IF(BS4=1,"Tk No.:","")</f>
        <v/>
      </c>
      <c r="BU4" s="294"/>
      <c r="BV4" s="294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304" t="s">
        <v>258</v>
      </c>
      <c r="G5" s="304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3"/>
      <c r="G85" s="30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45244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676</v>
      </c>
      <c r="J87" s="146" t="s">
        <v>680</v>
      </c>
      <c r="K87" t="s">
        <v>676</v>
      </c>
      <c r="L87" s="146" t="s">
        <v>680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677</v>
      </c>
      <c r="J88" s="146" t="s">
        <v>681</v>
      </c>
      <c r="K88" t="s">
        <v>677</v>
      </c>
      <c r="L88" s="146" t="s">
        <v>681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678</v>
      </c>
      <c r="J89" s="146" t="s">
        <v>682</v>
      </c>
      <c r="K89" t="s">
        <v>678</v>
      </c>
      <c r="L89" s="146" t="s">
        <v>682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679</v>
      </c>
      <c r="J90" s="146" t="s">
        <v>682</v>
      </c>
      <c r="K90" t="s">
        <v>679</v>
      </c>
      <c r="L90" s="146" t="s">
        <v>682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683</v>
      </c>
      <c r="J91" s="146" t="s">
        <v>684</v>
      </c>
      <c r="K91" t="s">
        <v>683</v>
      </c>
      <c r="L91" s="146" t="s">
        <v>684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2023-11-14T06:04:57Z</dcterms:modified>
</cp:coreProperties>
</file>