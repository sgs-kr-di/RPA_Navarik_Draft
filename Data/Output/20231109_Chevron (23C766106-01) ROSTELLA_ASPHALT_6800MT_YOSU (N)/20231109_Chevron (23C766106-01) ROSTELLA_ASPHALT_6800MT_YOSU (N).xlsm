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9_Chevron (23C766106-01) ROSTELLA_ASPHALT_6800MT_YOSU (N)\"/>
    </mc:Choice>
  </mc:AlternateContent>
  <xr:revisionPtr revIDLastSave="0" documentId="13_ncr:1_{DCD76359-9B04-4916-9D95-2383B081AF4B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<sst xmlns="http://schemas.openxmlformats.org/spreadsheetml/2006/main" count="1165" uniqueCount="739">
  <si>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</si>
  <si>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</si>
  <si>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</si>
  <si>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</si>
  <si>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</si>
  <si>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</si>
  <si>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</si>
  <si>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</si>
  <si>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</si>
  <si>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</si>
  <si>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</si>
  <si>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</si>
  <si>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</si>
  <si>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</si>
  <si>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</si>
  <si>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</si>
  <si>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</si>
  <si>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</si>
  <si>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</si>
  <si>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</si>
  <si>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</si>
  <si>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</si>
  <si>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</si>
  <si>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</si>
  <si>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</si>
  <si>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</si>
  <si>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</si>
  <si>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</si>
  <si>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</si>
  <si>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</si>
  <si>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</si>
  <si>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</si>
  <si>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</si>
  <si>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</si>
  <si>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</si>
  <si>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</si>
  <si>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</si>
  <si>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</si>
  <si>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</si>
  <si>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</si>
  <si>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</si>
  <si>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</si>
  <si>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</si>
  <si>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</si>
  <si>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</si>
  <si>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</si>
  <si>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</si>
  <si>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</si>
  <si>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</si>
  <si>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</si>
  <si>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</si>
  <si>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</si>
  <si>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</si>
  <si>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</si>
  <si>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</si>
  <si>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</si>
  <si>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</si>
  <si>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</si>
  <si>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</si>
  <si>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</si>
  <si>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</si>
  <si>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</si>
  <si>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</si>
  <si>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</si>
  <si>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</si>
  <si>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</si>
  <si>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</si>
  <si>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</si>
  <si>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</si>
  <si>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</si>
  <si>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</si>
  <si>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</si>
  <si>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</si>
  <si>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</si>
  <si>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</si>
  <si>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</si>
  <si>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</si>
  <si>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</si>
  <si>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</si>
  <si>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</si>
  <si>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</si>
  <si>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</si>
  <si>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</si>
  <si>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</si>
  <si>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</si>
  <si>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</si>
  <si>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</si>
  <si>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</si>
  <si>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</si>
  <si>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</si>
  <si>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</si>
  <si>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</si>
  <si>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</si>
  <si>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</si>
  <si>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</si>
  <si>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</si>
  <si>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</si>
  <si>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</si>
  <si>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</si>
  <si>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</si>
  <si>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</si>
  <si>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</si>
  <si>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</si>
  <si>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</si>
  <si>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</si>
  <si>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</si>
  <si>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</si>
  <si>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</si>
  <si>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</si>
  <si>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</si>
  <si>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</si>
  <si>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</si>
  <si>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</si>
  <si>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</si>
  <si>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</si>
  <si>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</si>
  <si>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</si>
  <si>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</si>
  <si>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</si>
  <si>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</si>
  <si>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</si>
  <si>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</si>
  <si>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</si>
  <si>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</si>
  <si>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</si>
  <si>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</si>
  <si>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</si>
  <si>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</si>
  <si>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</si>
  <si>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</si>
  <si>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</si>
  <si>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</si>
  <si>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</si>
  <si>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</si>
  <si>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</si>
  <si>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</si>
  <si>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</si>
  <si>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</si>
  <si>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</si>
  <si>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</si>
  <si>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</si>
  <si>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</si>
  <si>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</si>
  <si>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</si>
  <si>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</si>
  <si>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</si>
  <si>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</si>
  <si>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</si>
  <si>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</si>
  <si>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</si>
  <si>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</si>
  <si>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</si>
  <si>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</si>
  <si>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</si>
  <si>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</si>
  <si>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</si>
  <si>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</si>
  <si>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</si>
  <si>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</si>
  <si>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</si>
  <si>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</si>
  <si>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</si>
  <si>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</si>
  <si>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</si>
  <si>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</si>
  <si>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</si>
  <si>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</si>
  <si>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</si>
  <si>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</si>
  <si>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</si>
  <si>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</si>
  <si>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</si>
  <si>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</si>
  <si>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</si>
  <si>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</si>
  <si>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</si>
  <si>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</si>
  <si>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</si>
  <si>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</si>
  <si>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</si>
  <si>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</si>
  <si>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</si>
  <si>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</si>
  <si>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</si>
  <si>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</si>
  <si>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</si>
  <si>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</si>
  <si>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</si>
  <si>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</si>
  <si>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</si>
  <si>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</si>
  <si>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</si>
  <si>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</si>
  <si>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</si>
  <si>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</si>
  <si>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</si>
  <si>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</si>
  <si>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</si>
  <si>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</si>
  <si>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</si>
  <si>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</si>
  <si>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</si>
  <si>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</si>
  <si>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</si>
  <si>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</si>
  <si>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</si>
  <si>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</si>
  <si>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</si>
  <si>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</si>
  <si>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</si>
  <si>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</si>
  <si>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</si>
  <si>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</si>
  <si>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</si>
  <si>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</si>
  <si>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</si>
  <si>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</si>
  <si>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</si>
  <si>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</si>
  <si>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</si>
  <si>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</si>
  <si>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</si>
  <si>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</si>
  <si>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</si>
  <si>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</si>
  <si>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</si>
  <si>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</si>
  <si>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</si>
  <si>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</si>
  <si>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</si>
  <si>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</si>
  <si>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</si>
  <si>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</si>
  <si>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</si>
  <si>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</si>
  <si>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</si>
  <si>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</si>
  <si>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</si>
  <si>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</si>
  <si>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</si>
  <si>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</si>
  <si>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</si>
  <si>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</si>
  <si>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</si>
  <si>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</si>
  <si>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</si>
  <si>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</si>
  <si>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</si>
  <si>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</si>
  <si>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</si>
  <si>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</si>
  <si>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</si>
  <si>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</si>
  <si>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</si>
  <si>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</si>
  <si>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</si>
  <si>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</si>
  <si>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</si>
  <si>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</si>
  <si>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</si>
  <si>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</si>
  <si>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</si>
  <si>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</si>
  <si>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</si>
  <si>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</si>
  <si>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</si>
  <si>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</si>
  <si>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</si>
  <si>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</si>
  <si>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</si>
  <si>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</si>
  <si>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</si>
  <si>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</si>
  <si>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</si>
  <si>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</si>
  <si>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</si>
  <si>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</si>
  <si>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</si>
  <si>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</si>
  <si>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</si>
  <si>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</si>
  <si>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</si>
  <si>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</si>
  <si>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</si>
  <si>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</si>
  <si>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</si>
  <si>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</si>
  <si>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</si>
  <si>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</si>
  <si>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</si>
  <si>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</si>
  <si>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</si>
  <si>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</si>
  <si>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</si>
  <si>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</si>
  <si>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</si>
  <si>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</si>
  <si>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</si>
  <si>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</si>
  <si>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</si>
  <si>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</si>
  <si>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</si>
  <si>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</si>
  <si>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</si>
  <si>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</si>
  <si>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</si>
  <si>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</si>
  <si>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</si>
  <si>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</si>
  <si>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</si>
  <si>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</si>
  <si>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</si>
  <si>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</si>
  <si>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</si>
  <si>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</si>
  <si>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</si>
  <si>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</si>
  <si>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</si>
  <si>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</si>
  <si>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</si>
  <si>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</si>
  <si>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</si>
  <si>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</si>
  <si>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</si>
  <si>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</si>
  <si>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</si>
  <si>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</si>
  <si>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</si>
  <si>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</si>
  <si>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</si>
  <si>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</si>
  <si>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</si>
  <si>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</si>
  <si>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</si>
  <si>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</si>
  <si>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</si>
  <si>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</si>
  <si>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</si>
  <si>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</si>
  <si>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</si>
  <si>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</si>
  <si>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</si>
  <si>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</si>
  <si>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</si>
  <si>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</si>
  <si>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</si>
  <si>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</si>
  <si>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</si>
  <si>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</si>
  <si>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</si>
  <si>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</si>
  <si>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</si>
  <si>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</si>
  <si>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</si>
  <si>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</si>
  <si>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</si>
  <si>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</si>
  <si>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</si>
  <si>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</si>
  <si>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</si>
  <si>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</si>
  <si>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</si>
  <si>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</si>
  <si>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</si>
  <si>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</si>
  <si>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</si>
  <si>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</si>
  <si>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</si>
  <si>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</si>
  <si>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</si>
  <si>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</si>
  <si>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</si>
  <si>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</si>
  <si>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</si>
  <si>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</si>
  <si>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</si>
  <si>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</si>
  <si>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</si>
  <si>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</si>
  <si>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</si>
  <si>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</si>
  <si>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</si>
  <si>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</si>
  <si>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</si>
  <si>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</si>
  <si>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</si>
  <si>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</si>
  <si>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</si>
  <si>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</si>
  <si>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</si>
  <si>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</si>
  <si>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</si>
  <si>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</si>
  <si>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</si>
  <si>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</si>
  <si>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</si>
  <si>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</si>
  <si>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</si>
  <si>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</si>
  <si>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</si>
  <si>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</si>
  <si>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</si>
  <si>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</si>
  <si>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</si>
  <si>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</si>
  <si>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</si>
  <si>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</si>
  <si>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</si>
  <si>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</si>
  <si>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</si>
  <si>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</si>
  <si>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</si>
  <si>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</si>
  <si>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</si>
  <si>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</si>
  <si>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</si>
  <si>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</si>
  <si>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</si>
  <si>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</si>
  <si>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</si>
  <si>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</si>
  <si>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</si>
  <si>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</si>
  <si>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</si>
  <si>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</si>
  <si>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</si>
  <si>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</si>
  <si>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</si>
  <si>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</si>
  <si>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</si>
  <si>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</si>
  <si>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</si>
  <si>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</si>
  <si>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</si>
  <si>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</si>
  <si>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</si>
  <si>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</si>
  <si>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</si>
  <si>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</si>
  <si>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</si>
  <si>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</si>
  <si>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</si>
  <si>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</si>
  <si>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</si>
  <si>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</si>
  <si>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</si>
  <si>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</si>
  <si>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</si>
  <si>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</si>
  <si>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</si>
  <si>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</si>
  <si>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</si>
  <si>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</si>
  <si>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</si>
  <si>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</si>
  <si>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</si>
  <si>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</si>
  <si>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</si>
  <si>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</si>
  <si>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</si>
  <si>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</si>
  <si>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</si>
  <si>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</si>
  <si>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</si>
  <si>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</si>
  <si>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</si>
  <si>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</si>
  <si>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</si>
  <si>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</si>
  <si>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</si>
  <si>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</si>
  <si>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</si>
  <si>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</si>
  <si>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</si>
  <si>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</si>
  <si>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</si>
  <si>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</si>
  <si>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</si>
  <si>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</si>
  <si>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</si>
  <si>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</si>
  <si>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</si>
  <si>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</si>
  <si>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</si>
  <si>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</si>
  <si>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</si>
  <si>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</si>
  <si>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</si>
  <si>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</si>
  <si>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</si>
  <si>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</si>
  <si>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</si>
  <si>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</si>
  <si>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</si>
  <si>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</si>
  <si>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</si>
  <si>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</si>
  <si>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</si>
  <si>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</si>
  <si>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</si>
  <si>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</si>
  <si>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</si>
  <si>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</si>
  <si>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</si>
  <si>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</si>
  <si>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</si>
  <si>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</si>
  <si>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</si>
  <si>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</si>
  <si>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</si>
  <si>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</si>
  <si>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</si>
  <si>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</si>
  <si>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</si>
  <si>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</si>
  <si>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</si>
  <si>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</si>
  <si>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</si>
  <si>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</si>
  <si>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</si>
  <si>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</si>
  <si>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</si>
  <si>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</si>
  <si>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</si>
  <si>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</si>
  <si>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</si>
  <si>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</si>
  <si>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</si>
  <si>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</si>
  <si>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</si>
  <si>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</si>
  <si>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</si>
  <si>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</si>
  <si>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</si>
  <si>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</si>
  <si>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</si>
  <si>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</si>
  <si>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</si>
  <si>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</si>
  <si>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</si>
  <si>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</si>
  <si>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</si>
  <si>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</si>
  <si>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</si>
  <si>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</si>
  <si>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</si>
  <si>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</si>
  <si>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</si>
  <si>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</si>
  <si>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</si>
  <si>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</si>
  <si>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</si>
  <si>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</si>
  <si>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</si>
  <si>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</si>
  <si>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</si>
  <si>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</si>
  <si>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</si>
  <si>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</si>
  <si>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</si>
  <si>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</si>
  <si>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</si>
  <si>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</si>
  <si>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</si>
  <si>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</si>
  <si>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</si>
  <si>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</si>
  <si>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</si>
  <si>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</si>
  <si>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</si>
  <si>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</si>
  <si>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</si>
  <si>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</si>
  <si>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</si>
  <si>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</si>
  <si>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</si>
  <si>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</si>
  <si>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</si>
  <si>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</si>
  <si>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</si>
  <si>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</si>
  <si>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</si>
  <si>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</si>
  <si>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</si>
  <si>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</si>
  <si>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</si>
  <si>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</si>
  <si>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</si>
  <si>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</si>
  <si>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</si>
  <si>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</si>
  <si>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</si>
  <si>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</si>
  <si>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</si>
  <si>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</si>
  <si>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</si>
  <si>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</si>
  <si>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</si>
  <si>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</si>
  <si>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</si>
  <si>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</si>
  <si>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</si>
  <si>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</si>
  <si>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</si>
  <si>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</si>
  <si>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</si>
  <si>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</si>
  <si>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</si>
  <si>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</si>
  <si>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</si>
  <si>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</si>
  <si>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</si>
  <si>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</si>
  <si>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</si>
  <si>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</si>
  <si>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</si>
  <si>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</si>
  <si>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</si>
  <si>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</si>
  <si>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</si>
  <si>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</si>
  <si>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</si>
  <si>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</si>
  <si>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</si>
  <si>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</si>
  <si>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</si>
  <si>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</si>
  <si>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</si>
  <si>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</si>
  <si>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</si>
  <si>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</si>
  <si>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</si>
  <si>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</si>
  <si>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</si>
  <si>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</si>
  <si>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</si>
  <si>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</si>
  <si>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</si>
  <si>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</si>
  <si>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</si>
  <si>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</si>
  <si>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</si>
  <si>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</si>
  <si>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</si>
  <si>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</si>
  <si>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</si>
  <si>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</si>
  <si>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</si>
  <si>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</si>
  <si>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</si>
  <si>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</si>
  <si>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</si>
  <si>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</si>
  <si>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</si>
  <si>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</si>
  <si>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</si>
  <si>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</si>
  <si>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</si>
  <si>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</si>
  <si>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</si>
  <si>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</si>
  <si>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</si>
  <si>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</si>
  <si>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</si>
  <si>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</si>
  <si>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</si>
  <si>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</si>
  <si>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</si>
  <si>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</si>
  <si>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</si>
  <si>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</si>
  <si>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</si>
  <si>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</si>
  <si>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</si>
  <si>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</si>
  <si>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</si>
  <si>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</si>
  <si>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</si>
  <si>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</si>
  <si>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</si>
  <si>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</si>
  <si>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</si>
  <si>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</si>
  <si>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</si>
  <si>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</si>
  <si>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</si>
  <si>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</si>
  <si>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</si>
  <si>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</si>
  <si>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</si>
  <si>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</si>
  <si>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</si>
  <si>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</si>
  <si>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</si>
  <si>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</si>
  <si>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</si>
  <si>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CHEVRON</t>
  </si>
  <si>
    <t>23C766106-01</t>
    <phoneticPr fontId="1" type="noConversion"/>
  </si>
  <si>
    <t>ROSTELLA</t>
    <phoneticPr fontId="1" type="noConversion"/>
  </si>
  <si>
    <t>ASPHALT 60/70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</si>
  <si>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</si>
  <si>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</si>
  <si>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</si>
  <si>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</si>
  <si>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</si>
  <si>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</si>
  <si>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</si>
  <si>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60/70 - 6857 Metric tonnes</t>
  </si>
  <si>
    <t>*</t>
  </si>
  <si>
    <t>Density @ 15C</t>
  </si>
  <si>
    <t>Softening Point of Bitumen (Ring-and-Ball Apparatus)</t>
  </si>
  <si>
    <t>Penetration @ 25 Deg C</t>
  </si>
  <si>
    <t>Ductility @ 25 Deg C</t>
  </si>
  <si>
    <t>Ductility @ 15 Deg C</t>
  </si>
  <si>
    <t>Flash Point</t>
  </si>
  <si>
    <t>Solubility of Asphalt Materials in Trichloroethylene (TCE)</t>
  </si>
  <si>
    <t>Ductility of Residue @ 15 Deg C ( TFOT )</t>
  </si>
  <si>
    <t>Loss on heating</t>
  </si>
  <si>
    <t>Penetration of Residue</t>
  </si>
  <si>
    <t>Wax Content</t>
  </si>
  <si>
    <t>Viscosity @ 120 Deg C</t>
  </si>
  <si>
    <t>min = 1.00 (buy)</t>
  </si>
  <si>
    <t>min = 47 (buy)</t>
  </si>
  <si>
    <t>min = 60 / max = 70 (buy)</t>
  </si>
  <si>
    <t>min = 140 (buy)</t>
  </si>
  <si>
    <t>min = 275 (buy)</t>
  </si>
  <si>
    <t>min = 99 (buy)</t>
  </si>
  <si>
    <t>Report only</t>
  </si>
  <si>
    <t>max = 0.6 (buy)</t>
  </si>
  <si>
    <t>min = 55 (buy)</t>
  </si>
  <si>
    <t>max = 2.2 (buy)</t>
  </si>
  <si>
    <t>kg/l</t>
  </si>
  <si>
    <t>°C</t>
  </si>
  <si>
    <t>mm</t>
  </si>
  <si>
    <t>CM</t>
  </si>
  <si>
    <t>mass%</t>
  </si>
  <si>
    <t>%</t>
  </si>
  <si>
    <t>%wt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</si>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</sst>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23" sqref="C23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/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/>
      </c>
      <c r="C6" s="158" t="str">
        <f>IF(C5="","담당자 이름을 입력 또는 선택합니다.",VLOOKUP(C5,Sheet3!$I$1:$L$91,2,))</f>
        <v>담당자 이름을 입력 또는 선택합니다.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/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696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697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699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Kr_ogculsan@sgs.com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Password_00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45233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45049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45325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8" t="s">
        <v>241</v>
      </c>
      <c r="C1" s="268"/>
      <c r="D1" s="3"/>
      <c r="E1" s="4"/>
      <c r="F1" s="271"/>
      <c r="G1" s="271"/>
      <c r="H1" s="271"/>
      <c r="I1" s="4"/>
      <c r="J1" s="267" t="s">
        <v>13</v>
      </c>
      <c r="K1" s="267"/>
      <c r="L1" s="4"/>
      <c r="M1" s="4"/>
      <c r="N1" s="4"/>
      <c r="O1" s="4"/>
      <c r="P1" s="4"/>
    </row>
    <row r="2" spans="1:36" ht="13.9" customHeight="1">
      <c r="A2" s="84"/>
      <c r="B2" s="269"/>
      <c r="C2" s="269"/>
      <c r="D2" s="5"/>
      <c r="E2" s="6"/>
      <c r="F2" s="272"/>
      <c r="G2" s="272"/>
      <c r="H2" s="272"/>
      <c r="I2" s="4"/>
      <c r="J2" s="270"/>
      <c r="K2" s="270"/>
      <c r="L2" s="273" t="s">
        <v>328</v>
      </c>
      <c r="M2" s="255"/>
      <c r="N2" s="255" t="s">
        <v>329</v>
      </c>
      <c r="O2" s="256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708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700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701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708</v>
      </c>
      <c r="C11" s="130" t="s">
        <v>702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703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6" t="s">
        <v>369</v>
      </c>
      <c r="K15" s="266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708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7"/>
      <c r="K16" s="267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708</v>
      </c>
      <c r="C17" s="130" t="s">
        <v>704</v>
      </c>
      <c r="D17" s="62" t="s">
        <v>707</v>
      </c>
      <c r="E17" s="101"/>
      <c r="F17" s="64"/>
      <c r="G17" s="65"/>
      <c r="H17" s="215" t="str">
        <f t="shared" si="0"/>
        <v/>
      </c>
      <c r="I17" s="4"/>
      <c r="J17" s="257" t="s">
        <v>652</v>
      </c>
      <c r="K17" s="258"/>
      <c r="L17" s="258"/>
      <c r="M17" s="258"/>
      <c r="N17" s="258"/>
      <c r="O17" s="259"/>
      <c r="P17" s="4"/>
      <c r="AA17" s="108">
        <f t="shared" si="1"/>
        <v>1</v>
      </c>
    </row>
    <row r="18" spans="1:27" ht="13.9" customHeight="1">
      <c r="A18" s="85">
        <v>14</v>
      </c>
      <c r="B18" s="129"/>
      <c r="C18" s="130" t="s">
        <v>705</v>
      </c>
      <c r="D18" s="62"/>
      <c r="E18" s="101"/>
      <c r="F18" s="64"/>
      <c r="G18" s="65"/>
      <c r="H18" s="215" t="str">
        <f t="shared" si="0"/>
        <v>-</v>
      </c>
      <c r="I18" s="4"/>
      <c r="J18" s="260"/>
      <c r="K18" s="261"/>
      <c r="L18" s="261"/>
      <c r="M18" s="261"/>
      <c r="N18" s="261"/>
      <c r="O18" s="262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 t="s">
        <v>468</v>
      </c>
      <c r="D19" s="62"/>
      <c r="E19" s="101"/>
      <c r="F19" s="64"/>
      <c r="G19" s="65"/>
      <c r="H19" s="215" t="str">
        <f t="shared" si="0"/>
        <v>-</v>
      </c>
      <c r="I19" s="4"/>
      <c r="J19" s="260"/>
      <c r="K19" s="261"/>
      <c r="L19" s="261"/>
      <c r="M19" s="261"/>
      <c r="N19" s="261"/>
      <c r="O19" s="262"/>
      <c r="P19" s="4"/>
      <c r="AA19" s="108">
        <f t="shared" si="1"/>
        <v>0</v>
      </c>
    </row>
    <row r="20" spans="1:27" ht="13.9" customHeight="1">
      <c r="A20" s="85">
        <v>16</v>
      </c>
      <c r="B20" s="129" t="s">
        <v>708</v>
      </c>
      <c r="C20" s="130" t="s">
        <v>480</v>
      </c>
      <c r="D20" s="62" t="s">
        <v>707</v>
      </c>
      <c r="E20" s="101"/>
      <c r="F20" s="64"/>
      <c r="G20" s="65"/>
      <c r="H20" s="215" t="str">
        <f t="shared" si="0"/>
        <v/>
      </c>
      <c r="I20" s="4"/>
      <c r="J20" s="260"/>
      <c r="K20" s="261"/>
      <c r="L20" s="261"/>
      <c r="M20" s="261"/>
      <c r="N20" s="261"/>
      <c r="O20" s="262"/>
      <c r="P20" s="4"/>
      <c r="AA20" s="108">
        <f t="shared" si="1"/>
        <v>1</v>
      </c>
    </row>
    <row r="21" spans="1:27" ht="13.9" customHeight="1">
      <c r="A21" s="85">
        <v>17</v>
      </c>
      <c r="B21" s="129"/>
      <c r="C21" s="130" t="s">
        <v>706</v>
      </c>
      <c r="D21" s="62"/>
      <c r="E21" s="101"/>
      <c r="F21" s="64"/>
      <c r="G21" s="65"/>
      <c r="H21" s="215" t="str">
        <f t="shared" si="0"/>
        <v>-</v>
      </c>
      <c r="I21" s="4"/>
      <c r="J21" s="260"/>
      <c r="K21" s="261"/>
      <c r="L21" s="261"/>
      <c r="M21" s="261"/>
      <c r="N21" s="261"/>
      <c r="O21" s="262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708</v>
      </c>
      <c r="C22" s="130" t="s">
        <v>504</v>
      </c>
      <c r="D22" s="63"/>
      <c r="E22" s="101"/>
      <c r="F22" s="64"/>
      <c r="G22" s="65"/>
      <c r="H22" s="215" t="str">
        <f t="shared" si="0"/>
        <v/>
      </c>
      <c r="I22" s="4"/>
      <c r="J22" s="260"/>
      <c r="K22" s="261"/>
      <c r="L22" s="261"/>
      <c r="M22" s="261"/>
      <c r="N22" s="261"/>
      <c r="O22" s="262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476</v>
      </c>
      <c r="D23" s="62"/>
      <c r="E23" s="101"/>
      <c r="F23" s="64"/>
      <c r="G23" s="65"/>
      <c r="H23" s="215" t="str">
        <f t="shared" si="0"/>
        <v>-</v>
      </c>
      <c r="I23" s="4"/>
      <c r="J23" s="260"/>
      <c r="K23" s="261"/>
      <c r="L23" s="261"/>
      <c r="M23" s="261"/>
      <c r="N23" s="261"/>
      <c r="O23" s="262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 t="s">
        <v>467</v>
      </c>
      <c r="D24" s="62"/>
      <c r="E24" s="101"/>
      <c r="F24" s="64"/>
      <c r="G24" s="65"/>
      <c r="H24" s="215" t="str">
        <f t="shared" si="0"/>
        <v>-</v>
      </c>
      <c r="I24" s="4"/>
      <c r="J24" s="263"/>
      <c r="K24" s="264"/>
      <c r="L24" s="264"/>
      <c r="M24" s="264"/>
      <c r="N24" s="264"/>
      <c r="O24" s="265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 t="s">
        <v>528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708</v>
      </c>
      <c r="C26" s="130" t="s">
        <v>563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498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8" t="s">
        <v>240</v>
      </c>
      <c r="C1" s="27"/>
      <c r="D1" s="27"/>
      <c r="E1" s="27"/>
      <c r="F1" s="27"/>
      <c r="G1" s="27"/>
      <c r="H1" s="38"/>
      <c r="J1" s="274" t="s">
        <v>645</v>
      </c>
      <c r="K1" s="275"/>
      <c r="L1" s="275"/>
      <c r="M1" s="275"/>
      <c r="N1" s="276"/>
    </row>
    <row r="2" spans="1:78" ht="15" customHeight="1">
      <c r="A2" s="38"/>
      <c r="B2" s="268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1"/>
      <c r="G4" s="282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7"/>
      <c r="G5" s="278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79" t="str">
        <f>IF('Navarik 설정'!C22="","",'Navarik 설정'!C22)</f>
        <v>ASPHALT 60/70</v>
      </c>
      <c r="G6" s="280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229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 t="s">
        <v>300</v>
      </c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709</v>
      </c>
      <c r="D7" s="252"/>
      <c r="E7" s="133" t="s">
        <v>721</v>
      </c>
      <c r="F7" s="253"/>
      <c r="G7" s="22"/>
      <c r="H7" s="254" t="s">
        <v>731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710</v>
      </c>
      <c r="D8" s="252"/>
      <c r="E8" s="133" t="s">
        <v>722</v>
      </c>
      <c r="F8" s="253"/>
      <c r="G8" s="22"/>
      <c r="H8" s="254" t="s">
        <v>732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711</v>
      </c>
      <c r="D9" s="252"/>
      <c r="E9" s="133" t="s">
        <v>723</v>
      </c>
      <c r="F9" s="253"/>
      <c r="G9" s="22"/>
      <c r="H9" s="254" t="s">
        <v>733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712</v>
      </c>
      <c r="D10" s="252"/>
      <c r="E10" s="133" t="s">
        <v>724</v>
      </c>
      <c r="F10" s="253"/>
      <c r="G10" s="22"/>
      <c r="H10" s="254" t="s">
        <v>734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713</v>
      </c>
      <c r="D11" s="252"/>
      <c r="E11" s="133" t="s">
        <v>724</v>
      </c>
      <c r="F11" s="253"/>
      <c r="G11" s="22"/>
      <c r="H11" s="254" t="s">
        <v>734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714</v>
      </c>
      <c r="D12" s="252"/>
      <c r="E12" s="133" t="s">
        <v>725</v>
      </c>
      <c r="F12" s="253"/>
      <c r="G12" s="22"/>
      <c r="H12" s="254" t="s">
        <v>732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715</v>
      </c>
      <c r="D13" s="252"/>
      <c r="E13" s="133" t="s">
        <v>726</v>
      </c>
      <c r="F13" s="253"/>
      <c r="G13" s="22"/>
      <c r="H13" s="254" t="s">
        <v>735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716</v>
      </c>
      <c r="D14" s="252"/>
      <c r="E14" s="133" t="s">
        <v>727</v>
      </c>
      <c r="F14" s="253"/>
      <c r="G14" s="22"/>
      <c r="H14" s="254" t="s">
        <v>734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717</v>
      </c>
      <c r="D15" s="252"/>
      <c r="E15" s="133" t="s">
        <v>728</v>
      </c>
      <c r="F15" s="253"/>
      <c r="G15" s="22"/>
      <c r="H15" s="254" t="s">
        <v>735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718</v>
      </c>
      <c r="D16" s="252"/>
      <c r="E16" s="133" t="s">
        <v>729</v>
      </c>
      <c r="F16" s="253"/>
      <c r="G16" s="22"/>
      <c r="H16" s="254" t="s">
        <v>736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719</v>
      </c>
      <c r="D17" s="252"/>
      <c r="E17" s="133" t="s">
        <v>730</v>
      </c>
      <c r="F17" s="253"/>
      <c r="G17" s="22"/>
      <c r="H17" s="254" t="s">
        <v>737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720</v>
      </c>
      <c r="D18" s="252"/>
      <c r="E18" s="133" t="s">
        <v>727</v>
      </c>
      <c r="F18" s="253"/>
      <c r="G18" s="22"/>
      <c r="H18" s="254" t="s">
        <v>738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3"/>
      <c r="G85" s="283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A0B3DDB9-ED9C-4A5F-87A9-BDF8383FA830}">
      <formula1>"* ,[ASTM] D70"</formula1>
    </dataValidation>
    <dataValidation type="list" allowBlank="1" showInputMessage="1" showErrorMessage="1" sqref="D8" xr:uid="{3F1DBDB2-A871-458F-BE4B-5C98FA5E364F}">
      <formula1>"* ,[ASTM] D36"</formula1>
    </dataValidation>
    <dataValidation type="list" allowBlank="1" showInputMessage="1" showErrorMessage="1" sqref="D9 D16" xr:uid="{1BB136BA-9BB5-43B7-8E96-4C16A1B0F2CD}">
      <formula1>"* ,[ASTM] D5"</formula1>
    </dataValidation>
    <dataValidation type="list" allowBlank="1" showInputMessage="1" showErrorMessage="1" sqref="D10 D11 D14" xr:uid="{3C820756-E853-48E9-8E30-74D291D0AEF1}">
      <formula1>"* ,[ASTM] D113"</formula1>
    </dataValidation>
    <dataValidation type="list" allowBlank="1" showInputMessage="1" showErrorMessage="1" sqref="D12" xr:uid="{BD6C35DF-810E-4016-9EC5-3A7A970E3D47}">
      <formula1>"* ,[ASTM] D92"</formula1>
    </dataValidation>
    <dataValidation type="list" allowBlank="1" showInputMessage="1" showErrorMessage="1" sqref="D13" xr:uid="{7727B1C8-176B-4ABF-BD5A-5BD8DB33624B}">
      <formula1>"* ,[ASTM] D2042"</formula1>
    </dataValidation>
    <dataValidation type="list" allowBlank="1" showInputMessage="1" showErrorMessage="1" sqref="D15" xr:uid="{24D01CEA-397F-4FC5-A1E9-539A4DF55CDB}">
      <formula1>"* ,[ASTM] D6"</formula1>
    </dataValidation>
    <dataValidation type="list" allowBlank="1" showInputMessage="1" showErrorMessage="1" sqref="D17" xr:uid="{38FE0B02-23F7-4DD6-8D17-5522163DA589}">
      <formula1>"* ,[DIN] DIN 52015"</formula1>
    </dataValidation>
    <dataValidation type="list" allowBlank="1" showInputMessage="1" showErrorMessage="1" sqref="D18" xr:uid="{AB88C7A9-7FBF-4369-A127-C30283ADA003}">
      <formula1>"* ,[ASTM] D4402"</formula1>
    </dataValidation>
    <dataValidation type="list" allowBlank="1" showInputMessage="1" showErrorMessage="1" sqref="H7" xr:uid="{893091CF-8BC0-46B0-8BED-31D5E2B70C5E}">
      <formula1>"g/ cc,g/l,g/cm³,g/ml,kg/m³,kg/l,n/a,tonne/m³"</formula1>
    </dataValidation>
    <dataValidation type="list" allowBlank="1" showInputMessage="1" showErrorMessage="1" sqref="H8" xr:uid="{1863AE38-7ADA-451C-864F-3776D28B82A1}">
      <formula1>"°C,°F"</formula1>
    </dataValidation>
    <dataValidation type="list" allowBlank="1" showInputMessage="1" showErrorMessage="1" sqref="H9" xr:uid="{98EE618E-133B-4827-B288-4D01D935B5A8}">
      <formula1>"mm,mm/10"</formula1>
    </dataValidation>
    <dataValidation type="list" allowBlank="1" showInputMessage="1" showErrorMessage="1" sqref="H10 H11 H14" xr:uid="{584BF3D0-EFB7-4C69-B56C-E6E132D85D62}">
      <formula1>"mm,CM"</formula1>
    </dataValidation>
    <dataValidation type="list" allowBlank="1" showInputMessage="1" showErrorMessage="1" sqref="H12" xr:uid="{45A3538E-398B-46DD-A1A6-7E8483AB9F53}">
      <formula1>"°C,°F,Yes/No"</formula1>
    </dataValidation>
    <dataValidation type="list" allowBlank="1" showInputMessage="1" showErrorMessage="1" sqref="H13" xr:uid="{1DF70182-0962-41E8-88FB-9DCBEDB22FEC}">
      <formula1>"%m/m,%wt,mass%"</formula1>
    </dataValidation>
    <dataValidation type="list" allowBlank="1" showInputMessage="1" showErrorMessage="1" sqref="H15" xr:uid="{3B6571FF-1B6F-4A4C-87A3-82792BFE2673}">
      <formula1>"%,%m/m,mass%"</formula1>
    </dataValidation>
    <dataValidation type="list" allowBlank="1" showInputMessage="1" showErrorMessage="1" sqref="H16" xr:uid="{143D90B8-853C-4B61-8AC2-97BB0376F8D4}">
      <formula1>"mm,%,mm/10"</formula1>
    </dataValidation>
    <dataValidation type="list" allowBlank="1" showInputMessage="1" showErrorMessage="1" sqref="H17" xr:uid="{83A261C8-8759-4449-BF17-E8B13AEDF256}">
      <formula1>"%,%m/m,%wt"</formula1>
    </dataValidation>
    <dataValidation type="list" allowBlank="1" showInputMessage="1" showErrorMessage="1" sqref="H18" xr:uid="{3D5DF39D-EB89-4601-A7DF-3981DCE8641F}">
      <formula1>"cSt,Engler,mm²/s,Pa·s,SUS"</formula1>
    </dataValidation>
    <dataValidation type="list" allowBlank="1" showInputMessage="1" showErrorMessage="1" sqref="F7 F8 F9 F10 F11 F12 F13 F14 F15 F16 F17 F18" xr:uid="{F2223F52-60E7-4043-98A3-6CE0B3277801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230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232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233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234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235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236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237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238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239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45233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2023-11-03T08:51:53Z</dcterms:modified>
</cp:coreProperties>
</file>