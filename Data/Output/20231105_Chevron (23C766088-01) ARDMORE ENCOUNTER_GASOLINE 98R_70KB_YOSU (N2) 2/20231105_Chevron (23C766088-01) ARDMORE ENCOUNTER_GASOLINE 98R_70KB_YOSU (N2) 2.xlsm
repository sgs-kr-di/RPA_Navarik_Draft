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5_Chevron (23C766088-01) ARDMORE ENCOUNTER_GASOLINE 98R_70KB_YOSU (N2) 2\"/>
    </mc:Choice>
  </mc:AlternateContent>
  <xr:revisionPtr revIDLastSave="0" documentId="13_ncr:1_{269DDD73-1E2C-4EE1-AF73-D7D27A1BC8C6}" xr6:coauthVersionLast="45" xr6:coauthVersionMax="47" xr10:uidLastSave="{00000000-0000-0000-0000-000000000000}"/>
  <bookViews>
    <workbookView xWindow="0" yWindow="1830" windowWidth="21600" windowHeight="11385" tabRatio="688" activeTab="4" xr2:uid="{D5438E65-0C1A-43C8-87E4-52658D7A1A13}"/>
  </bookViews>
  <sheets>
    <sheet name="Navarik 설정" sheetId="36" r:id="rId1"/>
    <sheet name="Time" sheetId="4" r:id="rId2"/>
    <sheet name="Quantity" sheetId="1" r:id="rId3"/>
    <sheet name="Quality SET 1" sheetId="2" r:id="rId4"/>
    <sheet name="SET 2" sheetId="128" r:id="rId5"/>
    <sheet name="SET 3" sheetId="129" r:id="rId6"/>
    <sheet name="SET 4" sheetId="130" r:id="rId7"/>
    <sheet name="SET 5" sheetId="131" r:id="rId8"/>
    <sheet name="SET 6" sheetId="132" r:id="rId9"/>
    <sheet name="SET 7" sheetId="133" r:id="rId10"/>
    <sheet name="SET 8" sheetId="134" r:id="rId11"/>
    <sheet name="SET 9" sheetId="135" r:id="rId12"/>
    <sheet name="SET 10" sheetId="136"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2" i="136" l="1"/>
  <c r="J81" i="136"/>
  <c r="W80" i="136"/>
  <c r="J80" i="136"/>
  <c r="J79" i="136"/>
  <c r="J78" i="136"/>
  <c r="J77" i="136"/>
  <c r="BG76" i="136"/>
  <c r="J76" i="136"/>
  <c r="J75" i="136"/>
  <c r="J74" i="136"/>
  <c r="BO73" i="136"/>
  <c r="W73" i="136"/>
  <c r="J73" i="136"/>
  <c r="J72" i="136"/>
  <c r="J71" i="136"/>
  <c r="AE70" i="136"/>
  <c r="J70" i="136"/>
  <c r="J69" i="136"/>
  <c r="J68" i="136"/>
  <c r="J67" i="136"/>
  <c r="BO66" i="136"/>
  <c r="J66" i="136"/>
  <c r="J65" i="136"/>
  <c r="J64" i="136"/>
  <c r="BW63" i="136"/>
  <c r="AE63" i="136"/>
  <c r="J63" i="136"/>
  <c r="J62" i="136"/>
  <c r="J61" i="136"/>
  <c r="AQ60" i="136"/>
  <c r="AM60" i="136"/>
  <c r="J60" i="136"/>
  <c r="J59" i="136"/>
  <c r="J58" i="136"/>
  <c r="J57" i="136"/>
  <c r="BW56" i="136"/>
  <c r="J56" i="136"/>
  <c r="J55" i="136"/>
  <c r="O54" i="136"/>
  <c r="J54" i="136"/>
  <c r="J53" i="136"/>
  <c r="J52" i="136"/>
  <c r="J51" i="136"/>
  <c r="AY50" i="136"/>
  <c r="AU50" i="136"/>
  <c r="J50" i="136"/>
  <c r="J49" i="136"/>
  <c r="J48" i="136"/>
  <c r="O47" i="136"/>
  <c r="J47" i="136"/>
  <c r="J46" i="136"/>
  <c r="J45" i="136"/>
  <c r="BS44" i="136"/>
  <c r="BG44" i="136"/>
  <c r="J44" i="136"/>
  <c r="W43" i="136"/>
  <c r="J43" i="136"/>
  <c r="J42" i="136"/>
  <c r="BK41" i="136"/>
  <c r="AU41" i="136"/>
  <c r="J41" i="136"/>
  <c r="AQ40" i="136"/>
  <c r="AI40" i="136"/>
  <c r="J40" i="136"/>
  <c r="AE39" i="136"/>
  <c r="AA39" i="136"/>
  <c r="J39" i="136"/>
  <c r="AA38" i="136"/>
  <c r="J38" i="136"/>
  <c r="AE37" i="136"/>
  <c r="W37" i="136"/>
  <c r="J37" i="136"/>
  <c r="AA36" i="136"/>
  <c r="S36" i="136"/>
  <c r="J36" i="136"/>
  <c r="BS35" i="136"/>
  <c r="W35" i="136"/>
  <c r="O35" i="136"/>
  <c r="J35" i="136"/>
  <c r="S34" i="136"/>
  <c r="J34" i="136"/>
  <c r="AA33" i="136"/>
  <c r="W33" i="136"/>
  <c r="J33" i="136"/>
  <c r="AU32" i="136"/>
  <c r="AQ32" i="136"/>
  <c r="AM32" i="136"/>
  <c r="W32" i="136"/>
  <c r="J32" i="136"/>
  <c r="BC31" i="136"/>
  <c r="AU31" i="136"/>
  <c r="J31" i="136"/>
  <c r="BK30" i="136"/>
  <c r="BG30" i="136"/>
  <c r="J30" i="136"/>
  <c r="BW29" i="136"/>
  <c r="BS29" i="136"/>
  <c r="W29" i="136"/>
  <c r="O29" i="136"/>
  <c r="J29" i="136"/>
  <c r="AA28" i="136"/>
  <c r="W28" i="136"/>
  <c r="J28" i="136"/>
  <c r="AU27" i="136"/>
  <c r="AM27" i="136"/>
  <c r="AE27" i="136"/>
  <c r="J27" i="136"/>
  <c r="BS26" i="136"/>
  <c r="AY26" i="136"/>
  <c r="AU26" i="136"/>
  <c r="J26" i="136"/>
  <c r="BS25" i="136"/>
  <c r="BK25" i="136"/>
  <c r="BG25" i="136"/>
  <c r="W25" i="136"/>
  <c r="J25" i="136"/>
  <c r="BW24" i="136"/>
  <c r="BO24" i="136"/>
  <c r="O24" i="136"/>
  <c r="J24" i="136"/>
  <c r="AU23" i="136"/>
  <c r="AA23" i="136"/>
  <c r="W23" i="136"/>
  <c r="J23" i="136"/>
  <c r="AU22" i="136"/>
  <c r="AE22" i="136"/>
  <c r="J22" i="136"/>
  <c r="BS21" i="136"/>
  <c r="AU21" i="136"/>
  <c r="AQ21" i="136"/>
  <c r="J21" i="136"/>
  <c r="BS20" i="136"/>
  <c r="BK20" i="136"/>
  <c r="BG20" i="136"/>
  <c r="W20" i="136"/>
  <c r="J20" i="136"/>
  <c r="BS19" i="136"/>
  <c r="BO19" i="136"/>
  <c r="AU19" i="136"/>
  <c r="W19" i="136"/>
  <c r="S19" i="136"/>
  <c r="O19" i="136"/>
  <c r="J19" i="136"/>
  <c r="BS18" i="136"/>
  <c r="AU18" i="136"/>
  <c r="AM18" i="136"/>
  <c r="AI18" i="136"/>
  <c r="W18" i="136"/>
  <c r="J18" i="136"/>
  <c r="BS17" i="136"/>
  <c r="BC17" i="136"/>
  <c r="W17" i="136"/>
  <c r="J17" i="136"/>
  <c r="BW16" i="136"/>
  <c r="BS16" i="136"/>
  <c r="AU16" i="136"/>
  <c r="AE16" i="136"/>
  <c r="AA16" i="136"/>
  <c r="W16" i="136"/>
  <c r="J16" i="136"/>
  <c r="BS15" i="136"/>
  <c r="AY15" i="136"/>
  <c r="AU15" i="136"/>
  <c r="W15" i="136"/>
  <c r="J15" i="136"/>
  <c r="BS14" i="136"/>
  <c r="BO14" i="136"/>
  <c r="W14" i="136"/>
  <c r="S14" i="136"/>
  <c r="J14" i="136"/>
  <c r="BS13" i="136"/>
  <c r="AU13" i="136"/>
  <c r="AQ13" i="136"/>
  <c r="AM13" i="136"/>
  <c r="W13" i="136"/>
  <c r="J13" i="136"/>
  <c r="BS12" i="136"/>
  <c r="BK12" i="136"/>
  <c r="BG12" i="136"/>
  <c r="AU12" i="136"/>
  <c r="W12" i="136"/>
  <c r="O12" i="136"/>
  <c r="J12" i="136"/>
  <c r="AU11" i="136"/>
  <c r="AE11" i="136"/>
  <c r="J11" i="136"/>
  <c r="BS10" i="136"/>
  <c r="BC10" i="136"/>
  <c r="AY10" i="136"/>
  <c r="AU10" i="136"/>
  <c r="W10" i="136"/>
  <c r="J10" i="136"/>
  <c r="BW9" i="136"/>
  <c r="BS9" i="136"/>
  <c r="AU9" i="136"/>
  <c r="AA9" i="136"/>
  <c r="W9" i="136"/>
  <c r="J9" i="136"/>
  <c r="AU8" i="136"/>
  <c r="AQ8" i="136"/>
  <c r="J8" i="136"/>
  <c r="BS7" i="136"/>
  <c r="BO7" i="136"/>
  <c r="BK7" i="136"/>
  <c r="AU7" i="136"/>
  <c r="W7" i="136"/>
  <c r="S7" i="136"/>
  <c r="O7" i="136"/>
  <c r="J7" i="136"/>
  <c r="BS6" i="136"/>
  <c r="BR6" i="136"/>
  <c r="BQ6" i="136"/>
  <c r="BP6" i="136"/>
  <c r="BN6" i="136"/>
  <c r="BO6" i="136" s="1"/>
  <c r="BM6" i="136"/>
  <c r="BB6" i="136"/>
  <c r="BC6" i="136" s="1"/>
  <c r="BA6" i="136"/>
  <c r="AU6" i="136"/>
  <c r="AT6" i="136"/>
  <c r="AS6" i="136"/>
  <c r="AR6" i="136"/>
  <c r="AP6" i="136"/>
  <c r="AQ6" i="136" s="1"/>
  <c r="AO6" i="136"/>
  <c r="AD6" i="136"/>
  <c r="AE6" i="136" s="1"/>
  <c r="AC6" i="136"/>
  <c r="W6" i="136"/>
  <c r="V6" i="136"/>
  <c r="U6" i="136"/>
  <c r="T6" i="136"/>
  <c r="R6" i="136"/>
  <c r="S6" i="136" s="1"/>
  <c r="Q6" i="136"/>
  <c r="BP5" i="136"/>
  <c r="BS5" i="136" s="1"/>
  <c r="BL5" i="136"/>
  <c r="BO5" i="136" s="1"/>
  <c r="AR5" i="136"/>
  <c r="AU5" i="136" s="1"/>
  <c r="AN5" i="136"/>
  <c r="AQ5" i="136" s="1"/>
  <c r="T5" i="136"/>
  <c r="W5" i="136" s="1"/>
  <c r="P5" i="136"/>
  <c r="S5" i="136" s="1"/>
  <c r="BS4" i="136"/>
  <c r="BW68" i="136" s="1"/>
  <c r="BP4" i="136"/>
  <c r="BO4" i="136"/>
  <c r="BS61" i="136" s="1"/>
  <c r="BL4" i="136"/>
  <c r="BK4" i="136"/>
  <c r="BO54" i="136" s="1"/>
  <c r="BG4" i="136"/>
  <c r="BK47" i="136" s="1"/>
  <c r="BC4" i="136"/>
  <c r="BG31" i="136" s="1"/>
  <c r="AZ4" i="136"/>
  <c r="AY4" i="136"/>
  <c r="AU4" i="136"/>
  <c r="AY42" i="136" s="1"/>
  <c r="AR4" i="136"/>
  <c r="AQ4" i="136"/>
  <c r="AU35" i="136" s="1"/>
  <c r="AN4" i="136"/>
  <c r="AM4" i="136"/>
  <c r="AQ36" i="136" s="1"/>
  <c r="AI4" i="136"/>
  <c r="AM39" i="136" s="1"/>
  <c r="AE4" i="136"/>
  <c r="AI35" i="136" s="1"/>
  <c r="AB4" i="136"/>
  <c r="AA4" i="136"/>
  <c r="W4" i="136"/>
  <c r="AA26" i="136" s="1"/>
  <c r="T4" i="136"/>
  <c r="S4" i="136"/>
  <c r="W68" i="136" s="1"/>
  <c r="P4" i="136"/>
  <c r="O4" i="136"/>
  <c r="S30" i="136" s="1"/>
  <c r="K4" i="136"/>
  <c r="O17" i="136" s="1"/>
  <c r="J4" i="136"/>
  <c r="BT3" i="136"/>
  <c r="BP3" i="136"/>
  <c r="BL3" i="136"/>
  <c r="BH3" i="136"/>
  <c r="BD3" i="136"/>
  <c r="AZ3" i="136"/>
  <c r="AV3" i="136"/>
  <c r="AR3" i="136"/>
  <c r="AN3" i="136"/>
  <c r="AJ3" i="136"/>
  <c r="AF3" i="136"/>
  <c r="AB3" i="136"/>
  <c r="X3" i="136"/>
  <c r="T3" i="136"/>
  <c r="P3" i="136"/>
  <c r="L3" i="136"/>
  <c r="J3" i="136"/>
  <c r="J2" i="136"/>
  <c r="F1" i="136"/>
  <c r="J82" i="135"/>
  <c r="J81" i="135"/>
  <c r="J80" i="135"/>
  <c r="J79" i="135"/>
  <c r="J78" i="135"/>
  <c r="J77" i="135"/>
  <c r="J76" i="135"/>
  <c r="J75" i="135"/>
  <c r="J74" i="135"/>
  <c r="J73" i="135"/>
  <c r="J72" i="135"/>
  <c r="J71" i="135"/>
  <c r="J70" i="135"/>
  <c r="J69" i="135"/>
  <c r="BS68" i="135"/>
  <c r="J68" i="135"/>
  <c r="AQ67" i="135"/>
  <c r="J67" i="135"/>
  <c r="J66" i="135"/>
  <c r="J65" i="135"/>
  <c r="J64" i="135"/>
  <c r="BW63" i="135"/>
  <c r="J63" i="135"/>
  <c r="AU62" i="135"/>
  <c r="J62" i="135"/>
  <c r="J61" i="135"/>
  <c r="J60" i="135"/>
  <c r="J59" i="135"/>
  <c r="AE58" i="135"/>
  <c r="J58" i="135"/>
  <c r="J57" i="135"/>
  <c r="J56" i="135"/>
  <c r="J55" i="135"/>
  <c r="J54" i="135"/>
  <c r="AI53" i="135"/>
  <c r="J53" i="135"/>
  <c r="J52" i="135"/>
  <c r="J51" i="135"/>
  <c r="J50" i="135"/>
  <c r="J49" i="135"/>
  <c r="J48" i="135"/>
  <c r="J47" i="135"/>
  <c r="J46" i="135"/>
  <c r="J45" i="135"/>
  <c r="J44" i="135"/>
  <c r="J43" i="135"/>
  <c r="J42" i="135"/>
  <c r="J41" i="135"/>
  <c r="J40" i="135"/>
  <c r="BG39" i="135"/>
  <c r="J39" i="135"/>
  <c r="J38" i="135"/>
  <c r="J37" i="135"/>
  <c r="AI36" i="135"/>
  <c r="J36" i="135"/>
  <c r="BW35" i="135"/>
  <c r="J35" i="135"/>
  <c r="AU34" i="135"/>
  <c r="W34" i="135"/>
  <c r="J34" i="135"/>
  <c r="AY33" i="135"/>
  <c r="J33" i="135"/>
  <c r="J32" i="135"/>
  <c r="BG31" i="135"/>
  <c r="AI31" i="135"/>
  <c r="J31" i="135"/>
  <c r="AI30" i="135"/>
  <c r="J30" i="135"/>
  <c r="AE29" i="135"/>
  <c r="J29" i="135"/>
  <c r="AI28" i="135"/>
  <c r="S28" i="135"/>
  <c r="J28" i="135"/>
  <c r="S27" i="135"/>
  <c r="J27" i="135"/>
  <c r="AE26" i="135"/>
  <c r="J26" i="135"/>
  <c r="AE25" i="135"/>
  <c r="J25" i="135"/>
  <c r="W24" i="135"/>
  <c r="J24" i="135"/>
  <c r="BW23" i="135"/>
  <c r="AY23" i="135"/>
  <c r="AA23" i="135"/>
  <c r="W23" i="135"/>
  <c r="J23" i="135"/>
  <c r="BS22" i="135"/>
  <c r="J22" i="135"/>
  <c r="BO21" i="135"/>
  <c r="AY21" i="135"/>
  <c r="J21" i="135"/>
  <c r="BS20" i="135"/>
  <c r="BO20" i="135"/>
  <c r="AY20" i="135"/>
  <c r="AA20" i="135"/>
  <c r="W20" i="135"/>
  <c r="J20" i="135"/>
  <c r="BW19" i="135"/>
  <c r="AA19" i="135"/>
  <c r="J19" i="135"/>
  <c r="BG18" i="135"/>
  <c r="AU18" i="135"/>
  <c r="AQ18" i="135"/>
  <c r="J18" i="135"/>
  <c r="BO17" i="135"/>
  <c r="AY17" i="135"/>
  <c r="AE17" i="135"/>
  <c r="S17" i="135"/>
  <c r="J17" i="135"/>
  <c r="BW16" i="135"/>
  <c r="AY16" i="135"/>
  <c r="AA16" i="135"/>
  <c r="J16" i="135"/>
  <c r="BW15" i="135"/>
  <c r="BS15" i="135"/>
  <c r="BG15" i="135"/>
  <c r="AY15" i="135"/>
  <c r="AQ15" i="135"/>
  <c r="AA15" i="135"/>
  <c r="W15" i="135"/>
  <c r="J15" i="135"/>
  <c r="BW14" i="135"/>
  <c r="AY14" i="135"/>
  <c r="AQ14" i="135"/>
  <c r="AE14" i="135"/>
  <c r="AA14" i="135"/>
  <c r="J14" i="135"/>
  <c r="BO13" i="135"/>
  <c r="AY13" i="135"/>
  <c r="AU13" i="135"/>
  <c r="AQ13" i="135"/>
  <c r="S13" i="135"/>
  <c r="J13" i="135"/>
  <c r="BS12" i="135"/>
  <c r="BO12" i="135"/>
  <c r="AI12" i="135"/>
  <c r="W12" i="135"/>
  <c r="S12" i="135"/>
  <c r="J12" i="135"/>
  <c r="BW11" i="135"/>
  <c r="BC11" i="135"/>
  <c r="AQ11" i="135"/>
  <c r="AA11" i="135"/>
  <c r="J11" i="135"/>
  <c r="BW10" i="135"/>
  <c r="BG10" i="135"/>
  <c r="AY10" i="135"/>
  <c r="AA10" i="135"/>
  <c r="J10" i="135"/>
  <c r="BW9" i="135"/>
  <c r="BO9" i="135"/>
  <c r="AY9" i="135"/>
  <c r="AU9" i="135"/>
  <c r="AI9" i="135"/>
  <c r="AE9" i="135"/>
  <c r="AA9" i="135"/>
  <c r="S9" i="135"/>
  <c r="J9" i="135"/>
  <c r="BW8" i="135"/>
  <c r="BO8" i="135"/>
  <c r="BC8" i="135"/>
  <c r="AY8" i="135"/>
  <c r="AA8" i="135"/>
  <c r="S8" i="135"/>
  <c r="J8" i="135"/>
  <c r="BW7" i="135"/>
  <c r="BS7" i="135"/>
  <c r="BO7" i="135"/>
  <c r="AQ7" i="135"/>
  <c r="AA7" i="135"/>
  <c r="W7" i="135"/>
  <c r="S7" i="135"/>
  <c r="J7" i="135"/>
  <c r="BU6" i="135"/>
  <c r="BT6" i="135"/>
  <c r="BP6" i="135"/>
  <c r="BO6" i="135"/>
  <c r="BN6" i="135"/>
  <c r="BM6" i="135"/>
  <c r="BL6" i="135"/>
  <c r="BD6" i="135"/>
  <c r="AW6" i="135"/>
  <c r="AV6" i="135"/>
  <c r="AR6" i="135"/>
  <c r="AQ6" i="135"/>
  <c r="AP6" i="135"/>
  <c r="AO6" i="135"/>
  <c r="AN6" i="135"/>
  <c r="AF6" i="135"/>
  <c r="Y6" i="135"/>
  <c r="X6" i="135"/>
  <c r="T6" i="135"/>
  <c r="S6" i="135"/>
  <c r="R6" i="135"/>
  <c r="Q6" i="135"/>
  <c r="P6" i="135"/>
  <c r="BW5" i="135"/>
  <c r="BT5" i="135"/>
  <c r="BP5" i="135"/>
  <c r="BS5" i="135" s="1"/>
  <c r="BO5" i="135"/>
  <c r="BL5" i="135"/>
  <c r="AY5" i="135"/>
  <c r="AV5" i="135"/>
  <c r="AR5" i="135"/>
  <c r="AU5" i="135" s="1"/>
  <c r="AQ5" i="135"/>
  <c r="AN5" i="135"/>
  <c r="T5" i="135"/>
  <c r="W5" i="135" s="1"/>
  <c r="S5" i="135"/>
  <c r="P5" i="135"/>
  <c r="BS4" i="135"/>
  <c r="BW31" i="135" s="1"/>
  <c r="BO4" i="135"/>
  <c r="BS32" i="135" s="1"/>
  <c r="BL4" i="135"/>
  <c r="BK4" i="135"/>
  <c r="BO37" i="135" s="1"/>
  <c r="BG4" i="135"/>
  <c r="BK78" i="135" s="1"/>
  <c r="BD4" i="135"/>
  <c r="BC4" i="135"/>
  <c r="BG71" i="135" s="1"/>
  <c r="AY4" i="135"/>
  <c r="BC40" i="135" s="1"/>
  <c r="AU4" i="135"/>
  <c r="AY69" i="135" s="1"/>
  <c r="AQ4" i="135"/>
  <c r="AU16" i="135" s="1"/>
  <c r="AN4" i="135"/>
  <c r="AM4" i="135"/>
  <c r="AQ16" i="135" s="1"/>
  <c r="AI4" i="135"/>
  <c r="AF4" i="135"/>
  <c r="AE4" i="135"/>
  <c r="AI18" i="135" s="1"/>
  <c r="AA4" i="135"/>
  <c r="AE70" i="135" s="1"/>
  <c r="W4" i="135"/>
  <c r="AA22" i="135" s="1"/>
  <c r="S4" i="135"/>
  <c r="W68" i="135" s="1"/>
  <c r="P4" i="135"/>
  <c r="O4" i="135"/>
  <c r="S73" i="135" s="1"/>
  <c r="K4" i="135"/>
  <c r="O78" i="135" s="1"/>
  <c r="J4" i="135"/>
  <c r="BT3" i="135"/>
  <c r="BP3" i="135"/>
  <c r="BL3" i="135"/>
  <c r="BH3" i="135"/>
  <c r="BD3" i="135"/>
  <c r="AZ3" i="135"/>
  <c r="AV3" i="135"/>
  <c r="AR3" i="135"/>
  <c r="AN3" i="135"/>
  <c r="AJ3" i="135"/>
  <c r="AF3" i="135"/>
  <c r="AB3" i="135"/>
  <c r="X3" i="135"/>
  <c r="T3" i="135"/>
  <c r="P3" i="135"/>
  <c r="L3" i="135"/>
  <c r="J3" i="135"/>
  <c r="J2" i="135"/>
  <c r="F1" i="135"/>
  <c r="J82" i="134"/>
  <c r="J81" i="134"/>
  <c r="BS80" i="134"/>
  <c r="AI80" i="134"/>
  <c r="J80" i="134"/>
  <c r="J79" i="134"/>
  <c r="BO78" i="134"/>
  <c r="AA78" i="134"/>
  <c r="S78" i="134"/>
  <c r="J78" i="134"/>
  <c r="J77" i="134"/>
  <c r="J76" i="134"/>
  <c r="BW75" i="134"/>
  <c r="J75" i="134"/>
  <c r="J74" i="134"/>
  <c r="BS73" i="134"/>
  <c r="W73" i="134"/>
  <c r="J73" i="134"/>
  <c r="J72" i="134"/>
  <c r="BG71" i="134"/>
  <c r="O71" i="134"/>
  <c r="J71" i="134"/>
  <c r="J70" i="134"/>
  <c r="J69" i="134"/>
  <c r="BS68" i="134"/>
  <c r="AI68" i="134"/>
  <c r="J68" i="134"/>
  <c r="J67" i="134"/>
  <c r="BO66" i="134"/>
  <c r="AA66" i="134"/>
  <c r="S66" i="134"/>
  <c r="J66" i="134"/>
  <c r="J65" i="134"/>
  <c r="J64" i="134"/>
  <c r="BW63" i="134"/>
  <c r="J63" i="134"/>
  <c r="J62" i="134"/>
  <c r="BS61" i="134"/>
  <c r="W61" i="134"/>
  <c r="J61" i="134"/>
  <c r="J60" i="134"/>
  <c r="BG59" i="134"/>
  <c r="O59" i="134"/>
  <c r="J59" i="134"/>
  <c r="J58" i="134"/>
  <c r="J57" i="134"/>
  <c r="BS56" i="134"/>
  <c r="AI56" i="134"/>
  <c r="J56" i="134"/>
  <c r="J55" i="134"/>
  <c r="BO54" i="134"/>
  <c r="AA54" i="134"/>
  <c r="S54" i="134"/>
  <c r="J54" i="134"/>
  <c r="J53" i="134"/>
  <c r="J52" i="134"/>
  <c r="BW51" i="134"/>
  <c r="J51" i="134"/>
  <c r="J50" i="134"/>
  <c r="BS49" i="134"/>
  <c r="W49" i="134"/>
  <c r="J49" i="134"/>
  <c r="J48" i="134"/>
  <c r="BG47" i="134"/>
  <c r="O47" i="134"/>
  <c r="J47" i="134"/>
  <c r="J46" i="134"/>
  <c r="J45" i="134"/>
  <c r="BS44" i="134"/>
  <c r="AI44" i="134"/>
  <c r="J44" i="134"/>
  <c r="J43" i="134"/>
  <c r="BO42" i="134"/>
  <c r="AA42" i="134"/>
  <c r="S42" i="134"/>
  <c r="J42" i="134"/>
  <c r="J41" i="134"/>
  <c r="J40" i="134"/>
  <c r="BW39" i="134"/>
  <c r="J39" i="134"/>
  <c r="J38" i="134"/>
  <c r="BS37" i="134"/>
  <c r="W37" i="134"/>
  <c r="J37" i="134"/>
  <c r="J36" i="134"/>
  <c r="BG35" i="134"/>
  <c r="O35" i="134"/>
  <c r="J35" i="134"/>
  <c r="J34" i="134"/>
  <c r="J33" i="134"/>
  <c r="BS32" i="134"/>
  <c r="AI32" i="134"/>
  <c r="J32" i="134"/>
  <c r="J31" i="134"/>
  <c r="BW30" i="134"/>
  <c r="BO30" i="134"/>
  <c r="BK30" i="134"/>
  <c r="J30" i="134"/>
  <c r="AU29" i="134"/>
  <c r="AM29" i="134"/>
  <c r="AI29" i="134"/>
  <c r="J29" i="134"/>
  <c r="AM28" i="134"/>
  <c r="W28" i="134"/>
  <c r="S28" i="134"/>
  <c r="J28" i="134"/>
  <c r="J27" i="134"/>
  <c r="BW26" i="134"/>
  <c r="J26" i="134"/>
  <c r="BS25" i="134"/>
  <c r="BO25" i="134"/>
  <c r="J25" i="134"/>
  <c r="BW24" i="134"/>
  <c r="BO24" i="134"/>
  <c r="BG24" i="134"/>
  <c r="O24" i="134"/>
  <c r="J24" i="134"/>
  <c r="BW23" i="134"/>
  <c r="BS23" i="134"/>
  <c r="AA23" i="134"/>
  <c r="S23" i="134"/>
  <c r="O23" i="134"/>
  <c r="J23" i="134"/>
  <c r="AM22" i="134"/>
  <c r="S22" i="134"/>
  <c r="J22" i="134"/>
  <c r="AY21" i="134"/>
  <c r="AI21" i="134"/>
  <c r="J21" i="134"/>
  <c r="AU20" i="134"/>
  <c r="AQ20" i="134"/>
  <c r="J20" i="134"/>
  <c r="BS19" i="134"/>
  <c r="BK19" i="134"/>
  <c r="BG19" i="134"/>
  <c r="W19" i="134"/>
  <c r="O19" i="134"/>
  <c r="J19" i="134"/>
  <c r="AQ18" i="134"/>
  <c r="AI18" i="134"/>
  <c r="J18" i="134"/>
  <c r="BK17" i="134"/>
  <c r="AY17" i="134"/>
  <c r="O17" i="134"/>
  <c r="J17" i="134"/>
  <c r="BW16" i="134"/>
  <c r="BS16" i="134"/>
  <c r="AI16" i="134"/>
  <c r="AA16" i="134"/>
  <c r="W16" i="134"/>
  <c r="J16" i="134"/>
  <c r="AU15" i="134"/>
  <c r="AQ15" i="134"/>
  <c r="J15" i="134"/>
  <c r="BW14" i="134"/>
  <c r="BO14" i="134"/>
  <c r="BK14" i="134"/>
  <c r="AA14" i="134"/>
  <c r="S14" i="134"/>
  <c r="O14" i="134"/>
  <c r="J14" i="134"/>
  <c r="AY13" i="134"/>
  <c r="AU13" i="134"/>
  <c r="AM13" i="134"/>
  <c r="AI13" i="134"/>
  <c r="J13" i="134"/>
  <c r="BS12" i="134"/>
  <c r="BO12" i="134"/>
  <c r="BG12" i="134"/>
  <c r="W12" i="134"/>
  <c r="S12" i="134"/>
  <c r="J12" i="134"/>
  <c r="BW11" i="134"/>
  <c r="AY11" i="134"/>
  <c r="AM11" i="134"/>
  <c r="AA11" i="134"/>
  <c r="J11" i="134"/>
  <c r="BW10" i="134"/>
  <c r="BS10" i="134"/>
  <c r="BG10" i="134"/>
  <c r="AY10" i="134"/>
  <c r="AU10" i="134"/>
  <c r="AA10" i="134"/>
  <c r="W10" i="134"/>
  <c r="J10" i="134"/>
  <c r="BW9" i="134"/>
  <c r="BS9" i="134"/>
  <c r="BO9" i="134"/>
  <c r="AU9" i="134"/>
  <c r="AA9" i="134"/>
  <c r="W9" i="134"/>
  <c r="S9" i="134"/>
  <c r="J9" i="134"/>
  <c r="BW8" i="134"/>
  <c r="AY8" i="134"/>
  <c r="AU8" i="134"/>
  <c r="AQ8" i="134"/>
  <c r="AM8" i="134"/>
  <c r="AA8" i="134"/>
  <c r="J8" i="134"/>
  <c r="BW7" i="134"/>
  <c r="BS7" i="134"/>
  <c r="BK7" i="134"/>
  <c r="BG7" i="134"/>
  <c r="AU7" i="134"/>
  <c r="AA7" i="134"/>
  <c r="W7" i="134"/>
  <c r="O7" i="134"/>
  <c r="J7" i="134"/>
  <c r="BU6" i="134"/>
  <c r="BR6" i="134"/>
  <c r="BS6" i="134" s="1"/>
  <c r="BP6" i="134"/>
  <c r="BM6" i="134"/>
  <c r="BL6" i="134"/>
  <c r="BD6" i="134"/>
  <c r="AW6" i="134"/>
  <c r="AT6" i="134"/>
  <c r="AU6" i="134" s="1"/>
  <c r="AR6" i="134"/>
  <c r="AO6" i="134"/>
  <c r="AN6" i="134"/>
  <c r="AF6" i="134"/>
  <c r="Y6" i="134"/>
  <c r="V6" i="134"/>
  <c r="W6" i="134" s="1"/>
  <c r="T6" i="134"/>
  <c r="Q6" i="134"/>
  <c r="P6" i="134"/>
  <c r="BT5" i="134"/>
  <c r="BW5" i="134" s="1"/>
  <c r="BP5" i="134"/>
  <c r="BS5" i="134" s="1"/>
  <c r="BH5" i="134"/>
  <c r="BK5" i="134" s="1"/>
  <c r="AV5" i="134"/>
  <c r="AY5" i="134" s="1"/>
  <c r="AR5" i="134"/>
  <c r="AU5" i="134" s="1"/>
  <c r="AJ5" i="134"/>
  <c r="AM5" i="134" s="1"/>
  <c r="X5" i="134"/>
  <c r="AA5" i="134" s="1"/>
  <c r="T5" i="134"/>
  <c r="W5" i="134" s="1"/>
  <c r="L5" i="134"/>
  <c r="O5" i="134" s="1"/>
  <c r="BS4" i="134"/>
  <c r="BW27" i="134" s="1"/>
  <c r="BP4" i="134"/>
  <c r="BO4" i="134"/>
  <c r="BS15" i="134" s="1"/>
  <c r="BK4" i="134"/>
  <c r="BO76" i="134" s="1"/>
  <c r="BG4" i="134"/>
  <c r="BK78" i="134" s="1"/>
  <c r="BD4" i="134"/>
  <c r="BC4" i="134"/>
  <c r="AY4" i="134"/>
  <c r="AU4" i="134"/>
  <c r="AY72" i="134" s="1"/>
  <c r="AR4" i="134"/>
  <c r="AQ4" i="134"/>
  <c r="AU79" i="134" s="1"/>
  <c r="AM4" i="134"/>
  <c r="AQ31" i="134" s="1"/>
  <c r="AI4" i="134"/>
  <c r="AM21" i="134" s="1"/>
  <c r="AF4" i="134"/>
  <c r="AE4" i="134"/>
  <c r="AA4" i="134"/>
  <c r="AE17" i="134" s="1"/>
  <c r="W4" i="134"/>
  <c r="AA75" i="134" s="1"/>
  <c r="T4" i="134"/>
  <c r="S4" i="134"/>
  <c r="W20" i="134" s="1"/>
  <c r="O4" i="134"/>
  <c r="S25" i="134" s="1"/>
  <c r="K4" i="134"/>
  <c r="O12" i="134" s="1"/>
  <c r="J4" i="134"/>
  <c r="BT3" i="134"/>
  <c r="BP3" i="134"/>
  <c r="BL3" i="134"/>
  <c r="BH3" i="134"/>
  <c r="BD3" i="134"/>
  <c r="AZ3" i="134"/>
  <c r="AV3" i="134"/>
  <c r="AR3" i="134"/>
  <c r="AN3" i="134"/>
  <c r="AJ3" i="134"/>
  <c r="AF3" i="134"/>
  <c r="AB3" i="134"/>
  <c r="X3" i="134"/>
  <c r="T3" i="134"/>
  <c r="P3" i="134"/>
  <c r="L3" i="134"/>
  <c r="J3" i="134"/>
  <c r="J2" i="134"/>
  <c r="F1" i="134"/>
  <c r="J82" i="133"/>
  <c r="J81" i="133"/>
  <c r="J80" i="133"/>
  <c r="J79" i="133"/>
  <c r="J78" i="133"/>
  <c r="J77" i="133"/>
  <c r="J76" i="133"/>
  <c r="J75" i="133"/>
  <c r="J74" i="133"/>
  <c r="S73" i="133"/>
  <c r="J73" i="133"/>
  <c r="J72" i="133"/>
  <c r="J71" i="133"/>
  <c r="J70" i="133"/>
  <c r="J69" i="133"/>
  <c r="J68" i="133"/>
  <c r="J67" i="133"/>
  <c r="J66" i="133"/>
  <c r="J65" i="133"/>
  <c r="J64" i="133"/>
  <c r="J63" i="133"/>
  <c r="J62" i="133"/>
  <c r="J61" i="133"/>
  <c r="J60" i="133"/>
  <c r="BG59" i="133"/>
  <c r="J59" i="133"/>
  <c r="J58" i="133"/>
  <c r="AY57" i="133"/>
  <c r="J57" i="133"/>
  <c r="J56" i="133"/>
  <c r="J55" i="133"/>
  <c r="W54" i="133"/>
  <c r="J54" i="133"/>
  <c r="AI53" i="133"/>
  <c r="J53" i="133"/>
  <c r="AY52" i="133"/>
  <c r="J52" i="133"/>
  <c r="BG51" i="133"/>
  <c r="J51" i="133"/>
  <c r="AI50" i="133"/>
  <c r="J50" i="133"/>
  <c r="BC49" i="133"/>
  <c r="J49" i="133"/>
  <c r="BG48" i="133"/>
  <c r="AU48" i="133"/>
  <c r="J48" i="133"/>
  <c r="BG47" i="133"/>
  <c r="AE47" i="133"/>
  <c r="J47" i="133"/>
  <c r="S46" i="133"/>
  <c r="J46" i="133"/>
  <c r="BG45" i="133"/>
  <c r="J45" i="133"/>
  <c r="BG44" i="133"/>
  <c r="J44" i="133"/>
  <c r="J43" i="133"/>
  <c r="BG42" i="133"/>
  <c r="AI42" i="133"/>
  <c r="J42" i="133"/>
  <c r="AQ41" i="133"/>
  <c r="J41" i="133"/>
  <c r="AY40" i="133"/>
  <c r="J40" i="133"/>
  <c r="BW39" i="133"/>
  <c r="BG39" i="133"/>
  <c r="AI39" i="133"/>
  <c r="AA39" i="133"/>
  <c r="J39" i="133"/>
  <c r="BG38" i="133"/>
  <c r="J38" i="133"/>
  <c r="AY37" i="133"/>
  <c r="AA37" i="133"/>
  <c r="J37" i="133"/>
  <c r="BW36" i="133"/>
  <c r="AY36" i="133"/>
  <c r="J36" i="133"/>
  <c r="BO35" i="133"/>
  <c r="AI35" i="133"/>
  <c r="J35" i="133"/>
  <c r="BW34" i="133"/>
  <c r="J34" i="133"/>
  <c r="BW33" i="133"/>
  <c r="BG33" i="133"/>
  <c r="AI33" i="133"/>
  <c r="J33" i="133"/>
  <c r="BG32" i="133"/>
  <c r="AI32" i="133"/>
  <c r="J32" i="133"/>
  <c r="BC31" i="133"/>
  <c r="AA31" i="133"/>
  <c r="J31" i="133"/>
  <c r="BG30" i="133"/>
  <c r="AI30" i="133"/>
  <c r="J30" i="133"/>
  <c r="BW29" i="133"/>
  <c r="BO29" i="133"/>
  <c r="BG29" i="133"/>
  <c r="AY29" i="133"/>
  <c r="AA29" i="133"/>
  <c r="J29" i="133"/>
  <c r="BW28" i="133"/>
  <c r="AY28" i="133"/>
  <c r="AA28" i="133"/>
  <c r="S28" i="133"/>
  <c r="J28" i="133"/>
  <c r="BW27" i="133"/>
  <c r="AY27" i="133"/>
  <c r="AI27" i="133"/>
  <c r="J27" i="133"/>
  <c r="AQ26" i="133"/>
  <c r="J26" i="133"/>
  <c r="BW25" i="133"/>
  <c r="BG25" i="133"/>
  <c r="BC25" i="133"/>
  <c r="AI25" i="133"/>
  <c r="J25" i="133"/>
  <c r="BW24" i="133"/>
  <c r="BG24" i="133"/>
  <c r="AY24" i="133"/>
  <c r="AA24" i="133"/>
  <c r="J24" i="133"/>
  <c r="BW23" i="133"/>
  <c r="BG23" i="133"/>
  <c r="AY23" i="133"/>
  <c r="AI23" i="133"/>
  <c r="AA23" i="133"/>
  <c r="S23" i="133"/>
  <c r="J23" i="133"/>
  <c r="AY22" i="133"/>
  <c r="AE22" i="133"/>
  <c r="J22" i="133"/>
  <c r="BG21" i="133"/>
  <c r="AY21" i="133"/>
  <c r="AU21" i="133"/>
  <c r="AI21" i="133"/>
  <c r="AA21" i="133"/>
  <c r="J21" i="133"/>
  <c r="BG20" i="133"/>
  <c r="AY20" i="133"/>
  <c r="AI20" i="133"/>
  <c r="J20" i="133"/>
  <c r="BW19" i="133"/>
  <c r="BG19" i="133"/>
  <c r="AI19" i="133"/>
  <c r="AA19" i="133"/>
  <c r="J19" i="133"/>
  <c r="BW18" i="133"/>
  <c r="AY18" i="133"/>
  <c r="AU18" i="133"/>
  <c r="AI18" i="133"/>
  <c r="AA18" i="133"/>
  <c r="J18" i="133"/>
  <c r="BW17" i="133"/>
  <c r="BO17" i="133"/>
  <c r="AY17" i="133"/>
  <c r="AI17" i="133"/>
  <c r="AA17" i="133"/>
  <c r="S17" i="133"/>
  <c r="J17" i="133"/>
  <c r="BW16" i="133"/>
  <c r="BG16" i="133"/>
  <c r="AI16" i="133"/>
  <c r="AA16" i="133"/>
  <c r="J16" i="133"/>
  <c r="BW15" i="133"/>
  <c r="BG15" i="133"/>
  <c r="AA15" i="133"/>
  <c r="J15" i="133"/>
  <c r="BW14" i="133"/>
  <c r="BG14" i="133"/>
  <c r="AI14" i="133"/>
  <c r="AE14" i="133"/>
  <c r="AA14" i="133"/>
  <c r="J14" i="133"/>
  <c r="BG13" i="133"/>
  <c r="AY13" i="133"/>
  <c r="AI13" i="133"/>
  <c r="J13" i="133"/>
  <c r="BW12" i="133"/>
  <c r="BS12" i="133"/>
  <c r="BG12" i="133"/>
  <c r="AY12" i="133"/>
  <c r="AA12" i="133"/>
  <c r="W12" i="133"/>
  <c r="J12" i="133"/>
  <c r="BW11" i="133"/>
  <c r="BG11" i="133"/>
  <c r="AY11" i="133"/>
  <c r="AQ11" i="133"/>
  <c r="AA11" i="133"/>
  <c r="J11" i="133"/>
  <c r="BG10" i="133"/>
  <c r="AY10" i="133"/>
  <c r="AI10" i="133"/>
  <c r="J10" i="133"/>
  <c r="BG9" i="133"/>
  <c r="AY9" i="133"/>
  <c r="AI9" i="133"/>
  <c r="J9" i="133"/>
  <c r="BW8" i="133"/>
  <c r="BG8" i="133"/>
  <c r="BC8" i="133"/>
  <c r="AY8" i="133"/>
  <c r="AI8" i="133"/>
  <c r="AA8" i="133"/>
  <c r="J8" i="133"/>
  <c r="BW7" i="133"/>
  <c r="BG7" i="133"/>
  <c r="BC7" i="133"/>
  <c r="AI7" i="133"/>
  <c r="AA7" i="133"/>
  <c r="J7" i="133"/>
  <c r="BU6" i="133"/>
  <c r="BT6" i="133"/>
  <c r="BP6" i="133"/>
  <c r="BF6" i="133"/>
  <c r="BG6" i="133" s="1"/>
  <c r="BE6" i="133"/>
  <c r="BD6" i="133"/>
  <c r="BA6" i="133"/>
  <c r="AW6" i="133"/>
  <c r="AV6" i="133"/>
  <c r="AR6" i="133"/>
  <c r="AH6" i="133"/>
  <c r="AI6" i="133" s="1"/>
  <c r="AG6" i="133"/>
  <c r="AF6" i="133"/>
  <c r="AC6" i="133"/>
  <c r="Y6" i="133"/>
  <c r="X6" i="133"/>
  <c r="T6" i="133"/>
  <c r="BT5" i="133"/>
  <c r="BW5" i="133" s="1"/>
  <c r="BP5" i="133"/>
  <c r="BS5" i="133" s="1"/>
  <c r="BG5" i="133"/>
  <c r="BD5" i="133"/>
  <c r="AZ5" i="133"/>
  <c r="BC5" i="133" s="1"/>
  <c r="AV5" i="133"/>
  <c r="AY5" i="133" s="1"/>
  <c r="AR5" i="133"/>
  <c r="AU5" i="133" s="1"/>
  <c r="AI5" i="133"/>
  <c r="AF5" i="133"/>
  <c r="AB5" i="133"/>
  <c r="AE5" i="133" s="1"/>
  <c r="X5" i="133"/>
  <c r="AA5" i="133" s="1"/>
  <c r="T5" i="133"/>
  <c r="W5" i="133" s="1"/>
  <c r="BT4" i="133"/>
  <c r="BS4" i="133"/>
  <c r="BW48" i="133" s="1"/>
  <c r="BO4" i="133"/>
  <c r="BS54" i="133" s="1"/>
  <c r="BK4" i="133"/>
  <c r="BO73" i="133" s="1"/>
  <c r="BG4" i="133"/>
  <c r="BK45" i="133" s="1"/>
  <c r="BD4" i="133"/>
  <c r="BC4" i="133"/>
  <c r="BG71" i="133" s="1"/>
  <c r="AZ4" i="133"/>
  <c r="AY4" i="133"/>
  <c r="BC38" i="133" s="1"/>
  <c r="AV4" i="133"/>
  <c r="AU4" i="133"/>
  <c r="AY46" i="133" s="1"/>
  <c r="AQ4" i="133"/>
  <c r="AU74" i="133" s="1"/>
  <c r="AM4" i="133"/>
  <c r="AQ27" i="133" s="1"/>
  <c r="AI4" i="133"/>
  <c r="AM36" i="133" s="1"/>
  <c r="AF4" i="133"/>
  <c r="AE4" i="133"/>
  <c r="AI65" i="133" s="1"/>
  <c r="AB4" i="133"/>
  <c r="AA4" i="133"/>
  <c r="AE43" i="133" s="1"/>
  <c r="X4" i="133"/>
  <c r="W4" i="133"/>
  <c r="AA75" i="133" s="1"/>
  <c r="S4" i="133"/>
  <c r="W29" i="133" s="1"/>
  <c r="O4" i="133"/>
  <c r="S29" i="133" s="1"/>
  <c r="K4" i="133"/>
  <c r="O52" i="133" s="1"/>
  <c r="J4" i="133"/>
  <c r="BT3" i="133"/>
  <c r="BP3" i="133"/>
  <c r="BL3" i="133"/>
  <c r="BH3" i="133"/>
  <c r="BD3" i="133"/>
  <c r="AZ3" i="133"/>
  <c r="AV3" i="133"/>
  <c r="AR3" i="133"/>
  <c r="AN3" i="133"/>
  <c r="AJ3" i="133"/>
  <c r="AF3" i="133"/>
  <c r="AB3" i="133"/>
  <c r="X3" i="133"/>
  <c r="T3" i="133"/>
  <c r="P3" i="133"/>
  <c r="L3" i="133"/>
  <c r="J3" i="133"/>
  <c r="J2" i="133"/>
  <c r="F1" i="133"/>
  <c r="J82" i="132"/>
  <c r="AY81" i="132"/>
  <c r="J81" i="132"/>
  <c r="J80" i="132"/>
  <c r="J79" i="132"/>
  <c r="O78" i="132"/>
  <c r="J78" i="132"/>
  <c r="J77" i="132"/>
  <c r="J76" i="132"/>
  <c r="J75" i="132"/>
  <c r="J74" i="132"/>
  <c r="J73" i="132"/>
  <c r="J72" i="132"/>
  <c r="J71" i="132"/>
  <c r="J70" i="132"/>
  <c r="J69" i="132"/>
  <c r="J68" i="132"/>
  <c r="J67" i="132"/>
  <c r="J66" i="132"/>
  <c r="J65" i="132"/>
  <c r="J64" i="132"/>
  <c r="BW63" i="132"/>
  <c r="AA63" i="132"/>
  <c r="J63" i="132"/>
  <c r="J62" i="132"/>
  <c r="BW61" i="132"/>
  <c r="AA61" i="132"/>
  <c r="J61" i="132"/>
  <c r="BW60" i="132"/>
  <c r="AY60" i="132"/>
  <c r="J60" i="132"/>
  <c r="BW59" i="132"/>
  <c r="AA59" i="132"/>
  <c r="J59" i="132"/>
  <c r="AU58" i="132"/>
  <c r="J58" i="132"/>
  <c r="AY57" i="132"/>
  <c r="J57" i="132"/>
  <c r="J56" i="132"/>
  <c r="BW55" i="132"/>
  <c r="AA55" i="132"/>
  <c r="J55" i="132"/>
  <c r="BW54" i="132"/>
  <c r="AY54" i="132"/>
  <c r="J54" i="132"/>
  <c r="BW53" i="132"/>
  <c r="AY53" i="132"/>
  <c r="J53" i="132"/>
  <c r="AM52" i="132"/>
  <c r="J52" i="132"/>
  <c r="BW51" i="132"/>
  <c r="BK51" i="132"/>
  <c r="AA51" i="132"/>
  <c r="J51" i="132"/>
  <c r="AU50" i="132"/>
  <c r="J50" i="132"/>
  <c r="AY49" i="132"/>
  <c r="AA49" i="132"/>
  <c r="J49" i="132"/>
  <c r="BW48" i="132"/>
  <c r="AA48" i="132"/>
  <c r="W48" i="132"/>
  <c r="J48" i="132"/>
  <c r="AA47" i="132"/>
  <c r="J47" i="132"/>
  <c r="BK46" i="132"/>
  <c r="O46" i="132"/>
  <c r="J46" i="132"/>
  <c r="AY45" i="132"/>
  <c r="AM45" i="132"/>
  <c r="J45" i="132"/>
  <c r="BK44" i="132"/>
  <c r="J44" i="132"/>
  <c r="BW43" i="132"/>
  <c r="AY43" i="132"/>
  <c r="AA43" i="132"/>
  <c r="J43" i="132"/>
  <c r="BW42" i="132"/>
  <c r="AY42" i="132"/>
  <c r="AA42" i="132"/>
  <c r="J42" i="132"/>
  <c r="BW41" i="132"/>
  <c r="AY41" i="132"/>
  <c r="AA41" i="132"/>
  <c r="W41" i="132"/>
  <c r="J41" i="132"/>
  <c r="BK40" i="132"/>
  <c r="AM40" i="132"/>
  <c r="O40" i="132"/>
  <c r="J40" i="132"/>
  <c r="BK39" i="132"/>
  <c r="AA39" i="132"/>
  <c r="O39" i="132"/>
  <c r="J39" i="132"/>
  <c r="AM38" i="132"/>
  <c r="J38" i="132"/>
  <c r="BW37" i="132"/>
  <c r="AA37" i="132"/>
  <c r="J37" i="132"/>
  <c r="BW36" i="132"/>
  <c r="AY36" i="132"/>
  <c r="AU36" i="132"/>
  <c r="AA36" i="132"/>
  <c r="J36" i="132"/>
  <c r="BW35" i="132"/>
  <c r="AY35" i="132"/>
  <c r="AQ35" i="132"/>
  <c r="J35" i="132"/>
  <c r="AY34" i="132"/>
  <c r="AM34" i="132"/>
  <c r="O34" i="132"/>
  <c r="J34" i="132"/>
  <c r="AY33" i="132"/>
  <c r="AM33" i="132"/>
  <c r="O33" i="132"/>
  <c r="J33" i="132"/>
  <c r="AM32" i="132"/>
  <c r="O32" i="132"/>
  <c r="J32" i="132"/>
  <c r="BW31" i="132"/>
  <c r="AY31" i="132"/>
  <c r="AQ31" i="132"/>
  <c r="AM31" i="132"/>
  <c r="O31" i="132"/>
  <c r="J31" i="132"/>
  <c r="BW30" i="132"/>
  <c r="AY30" i="132"/>
  <c r="AM30" i="132"/>
  <c r="AA30" i="132"/>
  <c r="O30" i="132"/>
  <c r="J30" i="132"/>
  <c r="BW29" i="132"/>
  <c r="AY29" i="132"/>
  <c r="AA29" i="132"/>
  <c r="J29" i="132"/>
  <c r="BW28" i="132"/>
  <c r="BS28" i="132"/>
  <c r="BK28" i="132"/>
  <c r="AM28" i="132"/>
  <c r="AA28" i="132"/>
  <c r="O28" i="132"/>
  <c r="J28" i="132"/>
  <c r="BW27" i="132"/>
  <c r="BK27" i="132"/>
  <c r="AY27" i="132"/>
  <c r="AA27" i="132"/>
  <c r="J27" i="132"/>
  <c r="BK26" i="132"/>
  <c r="AM26" i="132"/>
  <c r="O26" i="132"/>
  <c r="J26" i="132"/>
  <c r="BW25" i="132"/>
  <c r="AY25" i="132"/>
  <c r="AM25" i="132"/>
  <c r="AA25" i="132"/>
  <c r="O25" i="132"/>
  <c r="J25" i="132"/>
  <c r="BW24" i="132"/>
  <c r="BK24" i="132"/>
  <c r="AY24" i="132"/>
  <c r="AA24" i="132"/>
  <c r="J24" i="132"/>
  <c r="BW23" i="132"/>
  <c r="BS23" i="132"/>
  <c r="AA23" i="132"/>
  <c r="J23" i="132"/>
  <c r="BW22" i="132"/>
  <c r="BS22" i="132"/>
  <c r="AY22" i="132"/>
  <c r="AU22" i="132"/>
  <c r="AA22" i="132"/>
  <c r="W22" i="132"/>
  <c r="O22" i="132"/>
  <c r="J22" i="132"/>
  <c r="BK21" i="132"/>
  <c r="AY21" i="132"/>
  <c r="AM21" i="132"/>
  <c r="AA21" i="132"/>
  <c r="O21" i="132"/>
  <c r="J21" i="132"/>
  <c r="AY20" i="132"/>
  <c r="AU20" i="132"/>
  <c r="W20" i="132"/>
  <c r="J20" i="132"/>
  <c r="BW19" i="132"/>
  <c r="BS19" i="132"/>
  <c r="BK19" i="132"/>
  <c r="AY19" i="132"/>
  <c r="AM19" i="132"/>
  <c r="AA19" i="132"/>
  <c r="O19" i="132"/>
  <c r="J19" i="132"/>
  <c r="BW18" i="132"/>
  <c r="BK18" i="132"/>
  <c r="AY18" i="132"/>
  <c r="AM18" i="132"/>
  <c r="AA18" i="132"/>
  <c r="O18" i="132"/>
  <c r="J18" i="132"/>
  <c r="BW17" i="132"/>
  <c r="BK17" i="132"/>
  <c r="AY17" i="132"/>
  <c r="AM17" i="132"/>
  <c r="AA17" i="132"/>
  <c r="O17" i="132"/>
  <c r="J17" i="132"/>
  <c r="BW16" i="132"/>
  <c r="BS16" i="132"/>
  <c r="AY16" i="132"/>
  <c r="AA16" i="132"/>
  <c r="W16" i="132"/>
  <c r="J16" i="132"/>
  <c r="BW15" i="132"/>
  <c r="BS15" i="132"/>
  <c r="BK15" i="132"/>
  <c r="AY15" i="132"/>
  <c r="AM15" i="132"/>
  <c r="AA15" i="132"/>
  <c r="W15" i="132"/>
  <c r="O15" i="132"/>
  <c r="J15" i="132"/>
  <c r="BW14" i="132"/>
  <c r="BS14" i="132"/>
  <c r="BK14" i="132"/>
  <c r="AY14" i="132"/>
  <c r="AQ14" i="132"/>
  <c r="AA14" i="132"/>
  <c r="W14" i="132"/>
  <c r="O14" i="132"/>
  <c r="J14" i="132"/>
  <c r="BK13" i="132"/>
  <c r="AY13" i="132"/>
  <c r="AQ13" i="132"/>
  <c r="AM13" i="132"/>
  <c r="O13" i="132"/>
  <c r="J13" i="132"/>
  <c r="BW12" i="132"/>
  <c r="BK12" i="132"/>
  <c r="AY12" i="132"/>
  <c r="AM12" i="132"/>
  <c r="AA12" i="132"/>
  <c r="O12" i="132"/>
  <c r="J12" i="132"/>
  <c r="BW11" i="132"/>
  <c r="BK11" i="132"/>
  <c r="BC11" i="132"/>
  <c r="AY11" i="132"/>
  <c r="AM11" i="132"/>
  <c r="AA11" i="132"/>
  <c r="O11" i="132"/>
  <c r="J11" i="132"/>
  <c r="BW10" i="132"/>
  <c r="BC10" i="132"/>
  <c r="AY10" i="132"/>
  <c r="AU10" i="132"/>
  <c r="AA10" i="132"/>
  <c r="J10" i="132"/>
  <c r="BW9" i="132"/>
  <c r="BO9" i="132"/>
  <c r="BK9" i="132"/>
  <c r="AY9" i="132"/>
  <c r="AU9" i="132"/>
  <c r="AM9" i="132"/>
  <c r="AA9" i="132"/>
  <c r="O9" i="132"/>
  <c r="J9" i="132"/>
  <c r="BW8" i="132"/>
  <c r="BK8" i="132"/>
  <c r="AY8" i="132"/>
  <c r="AU8" i="132"/>
  <c r="AM8" i="132"/>
  <c r="AA8" i="132"/>
  <c r="O8" i="132"/>
  <c r="J8" i="132"/>
  <c r="BW7" i="132"/>
  <c r="BK7" i="132"/>
  <c r="AM7" i="132"/>
  <c r="AA7" i="132"/>
  <c r="O7" i="132"/>
  <c r="J7" i="132"/>
  <c r="BU6" i="132"/>
  <c r="BT6" i="132"/>
  <c r="BI6" i="132"/>
  <c r="BH6" i="132"/>
  <c r="BB6" i="132"/>
  <c r="BC6" i="132" s="1"/>
  <c r="AW6" i="132"/>
  <c r="AV6" i="132"/>
  <c r="AP6" i="132"/>
  <c r="AQ6" i="132" s="1"/>
  <c r="AN6" i="132"/>
  <c r="AK6" i="132"/>
  <c r="AJ6" i="132"/>
  <c r="Y6" i="132"/>
  <c r="X6" i="132"/>
  <c r="M6" i="132"/>
  <c r="L6" i="132"/>
  <c r="BW5" i="132"/>
  <c r="BT5" i="132"/>
  <c r="BH5" i="132"/>
  <c r="BK5" i="132" s="1"/>
  <c r="AV5" i="132"/>
  <c r="AY5" i="132" s="1"/>
  <c r="AJ5" i="132"/>
  <c r="AM5" i="132" s="1"/>
  <c r="X5" i="132"/>
  <c r="AA5" i="132" s="1"/>
  <c r="L5" i="132"/>
  <c r="O5" i="132" s="1"/>
  <c r="BT4" i="132"/>
  <c r="BS4" i="132"/>
  <c r="BW75" i="132" s="1"/>
  <c r="BO4" i="132"/>
  <c r="BS47" i="132" s="1"/>
  <c r="BK4" i="132"/>
  <c r="BH4" i="132"/>
  <c r="BG4" i="132"/>
  <c r="BK57" i="132" s="1"/>
  <c r="BC4" i="132"/>
  <c r="AY4" i="132"/>
  <c r="BC20" i="132" s="1"/>
  <c r="AV4" i="132"/>
  <c r="AU4" i="132"/>
  <c r="AY47" i="132" s="1"/>
  <c r="AQ4" i="132"/>
  <c r="AU54" i="132" s="1"/>
  <c r="AM4" i="132"/>
  <c r="AQ43" i="132" s="1"/>
  <c r="AJ4" i="132"/>
  <c r="AI4" i="132"/>
  <c r="AM48" i="132" s="1"/>
  <c r="AE4" i="132"/>
  <c r="AI11" i="132" s="1"/>
  <c r="AA4" i="132"/>
  <c r="AE18" i="132" s="1"/>
  <c r="X4" i="132"/>
  <c r="W4" i="132"/>
  <c r="AA75" i="132" s="1"/>
  <c r="S4" i="132"/>
  <c r="W35" i="132" s="1"/>
  <c r="O4" i="132"/>
  <c r="S19" i="132" s="1"/>
  <c r="L4" i="132"/>
  <c r="K4" i="132"/>
  <c r="O54" i="132" s="1"/>
  <c r="J4" i="132"/>
  <c r="BT3" i="132"/>
  <c r="BP3" i="132"/>
  <c r="BL3" i="132"/>
  <c r="BH3" i="132"/>
  <c r="BD3" i="132"/>
  <c r="AZ3" i="132"/>
  <c r="AV3" i="132"/>
  <c r="AR3" i="132"/>
  <c r="AN3" i="132"/>
  <c r="AJ3" i="132"/>
  <c r="AF3" i="132"/>
  <c r="AB3" i="132"/>
  <c r="X3" i="132"/>
  <c r="T3" i="132"/>
  <c r="P3" i="132"/>
  <c r="L3" i="132"/>
  <c r="J3" i="132"/>
  <c r="J2" i="132"/>
  <c r="F1" i="132"/>
  <c r="J82" i="131"/>
  <c r="J81" i="131"/>
  <c r="J80" i="131"/>
  <c r="AU79" i="131"/>
  <c r="J79" i="131"/>
  <c r="J78" i="131"/>
  <c r="J77" i="131"/>
  <c r="BG76" i="131"/>
  <c r="BC76" i="131"/>
  <c r="J76" i="131"/>
  <c r="J75" i="131"/>
  <c r="J74" i="131"/>
  <c r="W73" i="131"/>
  <c r="S73" i="131"/>
  <c r="J73" i="131"/>
  <c r="J72" i="131"/>
  <c r="J71" i="131"/>
  <c r="J70" i="131"/>
  <c r="BC69" i="131"/>
  <c r="J69" i="131"/>
  <c r="J68" i="131"/>
  <c r="J67" i="131"/>
  <c r="BO66" i="131"/>
  <c r="BK66" i="131"/>
  <c r="J66" i="131"/>
  <c r="J65" i="131"/>
  <c r="J64" i="131"/>
  <c r="AE63" i="131"/>
  <c r="J63" i="131"/>
  <c r="J62" i="131"/>
  <c r="J61" i="131"/>
  <c r="AM60" i="131"/>
  <c r="J60" i="131"/>
  <c r="J59" i="131"/>
  <c r="J58" i="131"/>
  <c r="J57" i="131"/>
  <c r="BS56" i="131"/>
  <c r="J56" i="131"/>
  <c r="J55" i="131"/>
  <c r="J54" i="131"/>
  <c r="AM53" i="131"/>
  <c r="J53" i="131"/>
  <c r="J52" i="131"/>
  <c r="J51" i="131"/>
  <c r="AU50" i="131"/>
  <c r="J50" i="131"/>
  <c r="J49" i="131"/>
  <c r="J48" i="131"/>
  <c r="O47" i="131"/>
  <c r="J47" i="131"/>
  <c r="J46" i="131"/>
  <c r="J45" i="131"/>
  <c r="J44" i="131"/>
  <c r="AU43" i="131"/>
  <c r="J43" i="131"/>
  <c r="J42" i="131"/>
  <c r="J41" i="131"/>
  <c r="BG40" i="131"/>
  <c r="BC40" i="131"/>
  <c r="J40" i="131"/>
  <c r="J39" i="131"/>
  <c r="J38" i="131"/>
  <c r="BS37" i="131"/>
  <c r="AI37" i="131"/>
  <c r="W37" i="131"/>
  <c r="J37" i="131"/>
  <c r="J36" i="131"/>
  <c r="O35" i="131"/>
  <c r="J35" i="131"/>
  <c r="J34" i="131"/>
  <c r="J33" i="131"/>
  <c r="BS32" i="131"/>
  <c r="AM32" i="131"/>
  <c r="J32" i="131"/>
  <c r="J31" i="131"/>
  <c r="AE30" i="131"/>
  <c r="S30" i="131"/>
  <c r="J30" i="131"/>
  <c r="W29" i="131"/>
  <c r="J29" i="131"/>
  <c r="BS28" i="131"/>
  <c r="J28" i="131"/>
  <c r="BC27" i="131"/>
  <c r="AQ27" i="131"/>
  <c r="J27" i="131"/>
  <c r="AI26" i="131"/>
  <c r="J26" i="131"/>
  <c r="S25" i="131"/>
  <c r="J25" i="131"/>
  <c r="S24" i="131"/>
  <c r="J24" i="131"/>
  <c r="W23" i="131"/>
  <c r="S23" i="131"/>
  <c r="J23" i="131"/>
  <c r="AE22" i="131"/>
  <c r="J22" i="131"/>
  <c r="AU21" i="131"/>
  <c r="AI21" i="131"/>
  <c r="AE21" i="131"/>
  <c r="J21" i="131"/>
  <c r="AM20" i="131"/>
  <c r="AI20" i="131"/>
  <c r="J20" i="131"/>
  <c r="BC19" i="131"/>
  <c r="J19" i="131"/>
  <c r="BS18" i="131"/>
  <c r="W18" i="131"/>
  <c r="J18" i="131"/>
  <c r="BC17" i="131"/>
  <c r="AU17" i="131"/>
  <c r="AQ17" i="131"/>
  <c r="J17" i="131"/>
  <c r="BO16" i="131"/>
  <c r="BK16" i="131"/>
  <c r="S16" i="131"/>
  <c r="O16" i="131"/>
  <c r="J16" i="131"/>
  <c r="AU15" i="131"/>
  <c r="AM15" i="131"/>
  <c r="AI15" i="131"/>
  <c r="J15" i="131"/>
  <c r="BO14" i="131"/>
  <c r="BG14" i="131"/>
  <c r="BC14" i="131"/>
  <c r="S14" i="131"/>
  <c r="J14" i="131"/>
  <c r="AM13" i="131"/>
  <c r="AE13" i="131"/>
  <c r="J13" i="131"/>
  <c r="BS12" i="131"/>
  <c r="BG12" i="131"/>
  <c r="AU12" i="131"/>
  <c r="W12" i="131"/>
  <c r="J12" i="131"/>
  <c r="BS11" i="131"/>
  <c r="BO11" i="131"/>
  <c r="AQ11" i="131"/>
  <c r="AE11" i="131"/>
  <c r="W11" i="131"/>
  <c r="S11" i="131"/>
  <c r="J11" i="131"/>
  <c r="BO10" i="131"/>
  <c r="BC10" i="131"/>
  <c r="AQ10" i="131"/>
  <c r="AM10" i="131"/>
  <c r="S10" i="131"/>
  <c r="J10" i="131"/>
  <c r="BS9" i="131"/>
  <c r="BK9" i="131"/>
  <c r="BG9" i="131"/>
  <c r="AE9" i="131"/>
  <c r="W9" i="131"/>
  <c r="O9" i="131"/>
  <c r="J9" i="131"/>
  <c r="BC8" i="131"/>
  <c r="AU8" i="131"/>
  <c r="AQ8" i="131"/>
  <c r="AI8" i="131"/>
  <c r="AE8" i="131"/>
  <c r="J8" i="131"/>
  <c r="BS7" i="131"/>
  <c r="BO7" i="131"/>
  <c r="BK7" i="131"/>
  <c r="BC7" i="131"/>
  <c r="AE7" i="131"/>
  <c r="W7" i="131"/>
  <c r="S7" i="131"/>
  <c r="O7" i="131"/>
  <c r="J7" i="131"/>
  <c r="BQ6" i="131"/>
  <c r="BP6" i="131"/>
  <c r="BN6" i="131"/>
  <c r="BO6" i="131" s="1"/>
  <c r="BM6" i="131"/>
  <c r="BJ6" i="131"/>
  <c r="BK6" i="131" s="1"/>
  <c r="BB6" i="131"/>
  <c r="BC6" i="131" s="1"/>
  <c r="BA6" i="131"/>
  <c r="AS6" i="131"/>
  <c r="AR6" i="131"/>
  <c r="AP6" i="131"/>
  <c r="AQ6" i="131" s="1"/>
  <c r="AO6" i="131"/>
  <c r="AL6" i="131"/>
  <c r="AM6" i="131" s="1"/>
  <c r="AD6" i="131"/>
  <c r="AE6" i="131" s="1"/>
  <c r="AC6" i="131"/>
  <c r="U6" i="131"/>
  <c r="T6" i="131"/>
  <c r="R6" i="131"/>
  <c r="S6" i="131" s="1"/>
  <c r="Q6" i="131"/>
  <c r="N6" i="131"/>
  <c r="O6" i="131" s="1"/>
  <c r="BP5" i="131"/>
  <c r="BS5" i="131" s="1"/>
  <c r="BL5" i="131"/>
  <c r="BO5" i="131" s="1"/>
  <c r="BD5" i="131"/>
  <c r="BG5" i="131" s="1"/>
  <c r="AR5" i="131"/>
  <c r="AU5" i="131" s="1"/>
  <c r="AN5" i="131"/>
  <c r="AQ5" i="131" s="1"/>
  <c r="AF5" i="131"/>
  <c r="AI5" i="131" s="1"/>
  <c r="T5" i="131"/>
  <c r="W5" i="131" s="1"/>
  <c r="P5" i="131"/>
  <c r="S5" i="131" s="1"/>
  <c r="BS4" i="131"/>
  <c r="BW12" i="131" s="1"/>
  <c r="BO4" i="131"/>
  <c r="BS29" i="131" s="1"/>
  <c r="BK4" i="131"/>
  <c r="BO33" i="131" s="1"/>
  <c r="BG4" i="131"/>
  <c r="BK26" i="131" s="1"/>
  <c r="BC4" i="131"/>
  <c r="BG35" i="131" s="1"/>
  <c r="AZ4" i="131"/>
  <c r="AY4" i="131"/>
  <c r="AU4" i="131"/>
  <c r="AY74" i="131" s="1"/>
  <c r="AQ4" i="131"/>
  <c r="AU62" i="131" s="1"/>
  <c r="AM4" i="131"/>
  <c r="AQ55" i="131" s="1"/>
  <c r="AI4" i="131"/>
  <c r="AM48" i="131" s="1"/>
  <c r="AE4" i="131"/>
  <c r="AI77" i="131" s="1"/>
  <c r="AB4" i="131"/>
  <c r="AA4" i="131"/>
  <c r="W4" i="131"/>
  <c r="AA35" i="131" s="1"/>
  <c r="S4" i="131"/>
  <c r="W49" i="131" s="1"/>
  <c r="O4" i="131"/>
  <c r="S78" i="131" s="1"/>
  <c r="K4" i="131"/>
  <c r="O71" i="131" s="1"/>
  <c r="J4" i="131"/>
  <c r="BT3" i="131"/>
  <c r="BP3" i="131"/>
  <c r="BL3" i="131"/>
  <c r="BH3" i="131"/>
  <c r="BD3" i="131"/>
  <c r="AZ3" i="131"/>
  <c r="AV3" i="131"/>
  <c r="AR3" i="131"/>
  <c r="AN3" i="131"/>
  <c r="AJ3" i="131"/>
  <c r="AF3" i="131"/>
  <c r="AB3" i="131"/>
  <c r="X3" i="131"/>
  <c r="T3" i="131"/>
  <c r="P3" i="131"/>
  <c r="L3" i="131"/>
  <c r="J3" i="131"/>
  <c r="J2" i="131"/>
  <c r="F1" i="131"/>
  <c r="J82" i="130"/>
  <c r="J81" i="130"/>
  <c r="J80" i="130"/>
  <c r="J79" i="130"/>
  <c r="J78" i="130"/>
  <c r="J77" i="130"/>
  <c r="J76" i="130"/>
  <c r="J75" i="130"/>
  <c r="J74" i="130"/>
  <c r="BO73" i="130"/>
  <c r="S73" i="130"/>
  <c r="J73" i="130"/>
  <c r="J72" i="130"/>
  <c r="J71" i="130"/>
  <c r="J70" i="130"/>
  <c r="J69" i="130"/>
  <c r="J68" i="130"/>
  <c r="J67" i="130"/>
  <c r="J66" i="130"/>
  <c r="J65" i="130"/>
  <c r="J64" i="130"/>
  <c r="J63" i="130"/>
  <c r="J62" i="130"/>
  <c r="AE61" i="130"/>
  <c r="J61" i="130"/>
  <c r="BC60" i="130"/>
  <c r="J60" i="130"/>
  <c r="S59" i="130"/>
  <c r="J59" i="130"/>
  <c r="BO58" i="130"/>
  <c r="AQ58" i="130"/>
  <c r="AE58" i="130"/>
  <c r="J58" i="130"/>
  <c r="BO57" i="130"/>
  <c r="BG57" i="130"/>
  <c r="S57" i="130"/>
  <c r="J57" i="130"/>
  <c r="BC56" i="130"/>
  <c r="J56" i="130"/>
  <c r="AQ55" i="130"/>
  <c r="AE55" i="130"/>
  <c r="J55" i="130"/>
  <c r="AE54" i="130"/>
  <c r="J54" i="130"/>
  <c r="BO53" i="130"/>
  <c r="S53" i="130"/>
  <c r="J53" i="130"/>
  <c r="BC52" i="130"/>
  <c r="S52" i="130"/>
  <c r="J52" i="130"/>
  <c r="AQ51" i="130"/>
  <c r="J51" i="130"/>
  <c r="BG50" i="130"/>
  <c r="AE50" i="130"/>
  <c r="J50" i="130"/>
  <c r="BO49" i="130"/>
  <c r="BC49" i="130"/>
  <c r="S49" i="130"/>
  <c r="J49" i="130"/>
  <c r="AE48" i="130"/>
  <c r="J48" i="130"/>
  <c r="AQ47" i="130"/>
  <c r="J47" i="130"/>
  <c r="BO46" i="130"/>
  <c r="AE46" i="130"/>
  <c r="S46" i="130"/>
  <c r="J46" i="130"/>
  <c r="S45" i="130"/>
  <c r="J45" i="130"/>
  <c r="BC44" i="130"/>
  <c r="J44" i="130"/>
  <c r="BC43" i="130"/>
  <c r="AE43" i="130"/>
  <c r="J43" i="130"/>
  <c r="BC42" i="130"/>
  <c r="J42" i="130"/>
  <c r="AQ41" i="130"/>
  <c r="AI41" i="130"/>
  <c r="S41" i="130"/>
  <c r="J41" i="130"/>
  <c r="AQ40" i="130"/>
  <c r="J40" i="130"/>
  <c r="BO39" i="130"/>
  <c r="S39" i="130"/>
  <c r="J39" i="130"/>
  <c r="BC38" i="130"/>
  <c r="AE38" i="130"/>
  <c r="J38" i="130"/>
  <c r="BC37" i="130"/>
  <c r="S37" i="130"/>
  <c r="J37" i="130"/>
  <c r="J36" i="130"/>
  <c r="BC35" i="130"/>
  <c r="S35" i="130"/>
  <c r="J35" i="130"/>
  <c r="S34" i="130"/>
  <c r="J34" i="130"/>
  <c r="BO33" i="130"/>
  <c r="S33" i="130"/>
  <c r="J33" i="130"/>
  <c r="BO32" i="130"/>
  <c r="AQ32" i="130"/>
  <c r="AE32" i="130"/>
  <c r="J32" i="130"/>
  <c r="BC31" i="130"/>
  <c r="AQ31" i="130"/>
  <c r="S31" i="130"/>
  <c r="J31" i="130"/>
  <c r="BC30" i="130"/>
  <c r="AE30" i="130"/>
  <c r="J30" i="130"/>
  <c r="BO29" i="130"/>
  <c r="BG29" i="130"/>
  <c r="AQ29" i="130"/>
  <c r="S29" i="130"/>
  <c r="J29" i="130"/>
  <c r="BC28" i="130"/>
  <c r="S28" i="130"/>
  <c r="J28" i="130"/>
  <c r="BO27" i="130"/>
  <c r="AQ27" i="130"/>
  <c r="AI27" i="130"/>
  <c r="J27" i="130"/>
  <c r="BO26" i="130"/>
  <c r="BC26" i="130"/>
  <c r="AQ26" i="130"/>
  <c r="S26" i="130"/>
  <c r="J26" i="130"/>
  <c r="BO25" i="130"/>
  <c r="BG25" i="130"/>
  <c r="BC25" i="130"/>
  <c r="AQ25" i="130"/>
  <c r="AI25" i="130"/>
  <c r="AE25" i="130"/>
  <c r="J25" i="130"/>
  <c r="BS24" i="130"/>
  <c r="BO24" i="130"/>
  <c r="BC24" i="130"/>
  <c r="AE24" i="130"/>
  <c r="S24" i="130"/>
  <c r="J24" i="130"/>
  <c r="BO23" i="130"/>
  <c r="BC23" i="130"/>
  <c r="AQ23" i="130"/>
  <c r="AI23" i="130"/>
  <c r="AE23" i="130"/>
  <c r="S23" i="130"/>
  <c r="J23" i="130"/>
  <c r="BG22" i="130"/>
  <c r="BC22" i="130"/>
  <c r="AE22" i="130"/>
  <c r="S22" i="130"/>
  <c r="J22" i="130"/>
  <c r="BO21" i="130"/>
  <c r="AQ21" i="130"/>
  <c r="S21" i="130"/>
  <c r="J21" i="130"/>
  <c r="BO20" i="130"/>
  <c r="BG20" i="130"/>
  <c r="BC20" i="130"/>
  <c r="AQ20" i="130"/>
  <c r="AI20" i="130"/>
  <c r="AE20" i="130"/>
  <c r="J20" i="130"/>
  <c r="BO19" i="130"/>
  <c r="BG19" i="130"/>
  <c r="BC19" i="130"/>
  <c r="AQ19" i="130"/>
  <c r="AE19" i="130"/>
  <c r="S19" i="130"/>
  <c r="J19" i="130"/>
  <c r="BO18" i="130"/>
  <c r="AQ18" i="130"/>
  <c r="S18" i="130"/>
  <c r="J18" i="130"/>
  <c r="BO17" i="130"/>
  <c r="BC17" i="130"/>
  <c r="AQ17" i="130"/>
  <c r="AI17" i="130"/>
  <c r="AE17" i="130"/>
  <c r="S17" i="130"/>
  <c r="J17" i="130"/>
  <c r="BO16" i="130"/>
  <c r="BG16" i="130"/>
  <c r="BC16" i="130"/>
  <c r="AQ16" i="130"/>
  <c r="AI16" i="130"/>
  <c r="AE16" i="130"/>
  <c r="S16" i="130"/>
  <c r="J16" i="130"/>
  <c r="BG15" i="130"/>
  <c r="BC15" i="130"/>
  <c r="AI15" i="130"/>
  <c r="AE15" i="130"/>
  <c r="J15" i="130"/>
  <c r="BO14" i="130"/>
  <c r="BG14" i="130"/>
  <c r="BC14" i="130"/>
  <c r="AU14" i="130"/>
  <c r="AQ14" i="130"/>
  <c r="AE14" i="130"/>
  <c r="S14" i="130"/>
  <c r="J14" i="130"/>
  <c r="BS13" i="130"/>
  <c r="BO13" i="130"/>
  <c r="BC13" i="130"/>
  <c r="AQ13" i="130"/>
  <c r="AE13" i="130"/>
  <c r="S13" i="130"/>
  <c r="J13" i="130"/>
  <c r="BO12" i="130"/>
  <c r="AQ12" i="130"/>
  <c r="W12" i="130"/>
  <c r="S12" i="130"/>
  <c r="J12" i="130"/>
  <c r="BO11" i="130"/>
  <c r="BG11" i="130"/>
  <c r="BC11" i="130"/>
  <c r="AQ11" i="130"/>
  <c r="AE11" i="130"/>
  <c r="S11" i="130"/>
  <c r="J11" i="130"/>
  <c r="BO10" i="130"/>
  <c r="BG10" i="130"/>
  <c r="BC10" i="130"/>
  <c r="AQ10" i="130"/>
  <c r="AI10" i="130"/>
  <c r="AE10" i="130"/>
  <c r="S10" i="130"/>
  <c r="J10" i="130"/>
  <c r="BG9" i="130"/>
  <c r="BC9" i="130"/>
  <c r="AI9" i="130"/>
  <c r="AE9" i="130"/>
  <c r="J9" i="130"/>
  <c r="BO8" i="130"/>
  <c r="BG8" i="130"/>
  <c r="BC8" i="130"/>
  <c r="AQ8" i="130"/>
  <c r="AI8" i="130"/>
  <c r="AE8" i="130"/>
  <c r="W8" i="130"/>
  <c r="S8" i="130"/>
  <c r="J8" i="130"/>
  <c r="BS7" i="130"/>
  <c r="BO7" i="130"/>
  <c r="BC7" i="130"/>
  <c r="AQ7" i="130"/>
  <c r="AE7" i="130"/>
  <c r="W7" i="130"/>
  <c r="S7" i="130"/>
  <c r="J7" i="130"/>
  <c r="BO6" i="130"/>
  <c r="BN6" i="130"/>
  <c r="BM6" i="130"/>
  <c r="BJ6" i="130"/>
  <c r="BK6" i="130" s="1"/>
  <c r="BE6" i="130"/>
  <c r="BD6" i="130"/>
  <c r="BC6" i="130"/>
  <c r="BB6" i="130"/>
  <c r="BA6" i="130"/>
  <c r="AS6" i="130"/>
  <c r="AQ6" i="130"/>
  <c r="AP6" i="130"/>
  <c r="AO6" i="130"/>
  <c r="AG6" i="130"/>
  <c r="AF6" i="130"/>
  <c r="AE6" i="130"/>
  <c r="AD6" i="130"/>
  <c r="AC6" i="130"/>
  <c r="U6" i="130"/>
  <c r="S6" i="130"/>
  <c r="R6" i="130"/>
  <c r="Q6" i="130"/>
  <c r="BP5" i="130"/>
  <c r="BS5" i="130" s="1"/>
  <c r="BO5" i="130"/>
  <c r="BL5" i="130"/>
  <c r="BD5" i="130"/>
  <c r="BG5" i="130" s="1"/>
  <c r="AZ5" i="130"/>
  <c r="BC5" i="130" s="1"/>
  <c r="AR5" i="130"/>
  <c r="AU5" i="130" s="1"/>
  <c r="AQ5" i="130"/>
  <c r="AN5" i="130"/>
  <c r="AF5" i="130"/>
  <c r="AI5" i="130" s="1"/>
  <c r="AE5" i="130"/>
  <c r="AB5" i="130"/>
  <c r="S5" i="130"/>
  <c r="P5" i="130"/>
  <c r="BS4" i="130"/>
  <c r="BW8" i="130" s="1"/>
  <c r="BO4" i="130"/>
  <c r="BL4" i="130"/>
  <c r="BK4" i="130"/>
  <c r="BO47" i="130" s="1"/>
  <c r="BH4" i="130"/>
  <c r="BG4" i="130"/>
  <c r="BK10" i="130" s="1"/>
  <c r="BD4" i="130"/>
  <c r="BC4" i="130"/>
  <c r="BG55" i="130" s="1"/>
  <c r="AZ4" i="130"/>
  <c r="AY4" i="130"/>
  <c r="BC50" i="130" s="1"/>
  <c r="AU4" i="130"/>
  <c r="AV6" i="130" s="1"/>
  <c r="AQ4" i="130"/>
  <c r="AN4" i="130"/>
  <c r="AM4" i="130"/>
  <c r="AQ59" i="130" s="1"/>
  <c r="AJ4" i="130"/>
  <c r="AI4" i="130"/>
  <c r="AM31" i="130" s="1"/>
  <c r="AF4" i="130"/>
  <c r="AE4" i="130"/>
  <c r="AI21" i="130" s="1"/>
  <c r="AB4" i="130"/>
  <c r="AA4" i="130"/>
  <c r="AE42" i="130" s="1"/>
  <c r="W4" i="130"/>
  <c r="AA19" i="130" s="1"/>
  <c r="S4" i="130"/>
  <c r="P4" i="130"/>
  <c r="O4" i="130"/>
  <c r="S58" i="130" s="1"/>
  <c r="L4" i="130"/>
  <c r="K4" i="130"/>
  <c r="O78" i="130" s="1"/>
  <c r="J4" i="130"/>
  <c r="BT3" i="130"/>
  <c r="BP3" i="130"/>
  <c r="BL3" i="130"/>
  <c r="BH3" i="130"/>
  <c r="BD3" i="130"/>
  <c r="AZ3" i="130"/>
  <c r="AV3" i="130"/>
  <c r="AR3" i="130"/>
  <c r="AN3" i="130"/>
  <c r="AJ3" i="130"/>
  <c r="AF3" i="130"/>
  <c r="AB3" i="130"/>
  <c r="X3" i="130"/>
  <c r="T3" i="130"/>
  <c r="P3" i="130"/>
  <c r="L3" i="130"/>
  <c r="J3" i="130"/>
  <c r="J2" i="130"/>
  <c r="F1" i="130"/>
  <c r="J82" i="129"/>
  <c r="J81" i="129"/>
  <c r="J80" i="129"/>
  <c r="J79" i="129"/>
  <c r="J78" i="129"/>
  <c r="J77" i="129"/>
  <c r="J76" i="129"/>
  <c r="J75" i="129"/>
  <c r="J74" i="129"/>
  <c r="J73" i="129"/>
  <c r="J72" i="129"/>
  <c r="J71" i="129"/>
  <c r="J70" i="129"/>
  <c r="J69" i="129"/>
  <c r="AY68" i="129"/>
  <c r="J68" i="129"/>
  <c r="J67" i="129"/>
  <c r="J66" i="129"/>
  <c r="J65" i="129"/>
  <c r="J64" i="129"/>
  <c r="J63" i="129"/>
  <c r="J62" i="129"/>
  <c r="J61" i="129"/>
  <c r="J60" i="129"/>
  <c r="J59" i="129"/>
  <c r="J58" i="129"/>
  <c r="J57" i="129"/>
  <c r="BW56" i="129"/>
  <c r="J56" i="129"/>
  <c r="J55" i="129"/>
  <c r="J54" i="129"/>
  <c r="J53" i="129"/>
  <c r="AA52" i="129"/>
  <c r="J52" i="129"/>
  <c r="J51" i="129"/>
  <c r="J50" i="129"/>
  <c r="J49" i="129"/>
  <c r="J48" i="129"/>
  <c r="J47" i="129"/>
  <c r="J46" i="129"/>
  <c r="AY45" i="129"/>
  <c r="J45" i="129"/>
  <c r="BW44" i="129"/>
  <c r="AY44" i="129"/>
  <c r="J44" i="129"/>
  <c r="BW43" i="129"/>
  <c r="J43" i="129"/>
  <c r="J42" i="129"/>
  <c r="AY41" i="129"/>
  <c r="AI41" i="129"/>
  <c r="J41" i="129"/>
  <c r="BW40" i="129"/>
  <c r="AY40" i="129"/>
  <c r="AA40" i="129"/>
  <c r="J40" i="129"/>
  <c r="AY39" i="129"/>
  <c r="AA39" i="129"/>
  <c r="J39" i="129"/>
  <c r="J38" i="129"/>
  <c r="AY37" i="129"/>
  <c r="J37" i="129"/>
  <c r="AY36" i="129"/>
  <c r="J36" i="129"/>
  <c r="BW35" i="129"/>
  <c r="AY35" i="129"/>
  <c r="J35" i="129"/>
  <c r="BW34" i="129"/>
  <c r="AY34" i="129"/>
  <c r="AA34" i="129"/>
  <c r="J34" i="129"/>
  <c r="AY33" i="129"/>
  <c r="AA33" i="129"/>
  <c r="J33" i="129"/>
  <c r="BW32" i="129"/>
  <c r="AY32" i="129"/>
  <c r="AA32" i="129"/>
  <c r="J32" i="129"/>
  <c r="AI31" i="129"/>
  <c r="J31" i="129"/>
  <c r="BW30" i="129"/>
  <c r="AI30" i="129"/>
  <c r="J30" i="129"/>
  <c r="BW29" i="129"/>
  <c r="AY29" i="129"/>
  <c r="J29" i="129"/>
  <c r="BW28" i="129"/>
  <c r="AI28" i="129"/>
  <c r="AA28" i="129"/>
  <c r="J28" i="129"/>
  <c r="BW27" i="129"/>
  <c r="AY27" i="129"/>
  <c r="AA27" i="129"/>
  <c r="J27" i="129"/>
  <c r="BW26" i="129"/>
  <c r="AY26" i="129"/>
  <c r="AA26" i="129"/>
  <c r="J26" i="129"/>
  <c r="AI25" i="129"/>
  <c r="J25" i="129"/>
  <c r="AY24" i="129"/>
  <c r="J24" i="129"/>
  <c r="AY23" i="129"/>
  <c r="AA23" i="129"/>
  <c r="J23" i="129"/>
  <c r="BW22" i="129"/>
  <c r="AY22" i="129"/>
  <c r="J22" i="129"/>
  <c r="BW21" i="129"/>
  <c r="AY21" i="129"/>
  <c r="AA21" i="129"/>
  <c r="J21" i="129"/>
  <c r="BW20" i="129"/>
  <c r="J20" i="129"/>
  <c r="BW19" i="129"/>
  <c r="AY19" i="129"/>
  <c r="AA19" i="129"/>
  <c r="J19" i="129"/>
  <c r="BW18" i="129"/>
  <c r="BC18" i="129"/>
  <c r="AY18" i="129"/>
  <c r="AA18" i="129"/>
  <c r="J18" i="129"/>
  <c r="BO17" i="129"/>
  <c r="AY17" i="129"/>
  <c r="AA17" i="129"/>
  <c r="J17" i="129"/>
  <c r="BW16" i="129"/>
  <c r="AY16" i="129"/>
  <c r="J16" i="129"/>
  <c r="AI15" i="129"/>
  <c r="J15" i="129"/>
  <c r="BW14" i="129"/>
  <c r="BG14" i="129"/>
  <c r="AQ14" i="129"/>
  <c r="AA14" i="129"/>
  <c r="J14" i="129"/>
  <c r="BW13" i="129"/>
  <c r="BG13" i="129"/>
  <c r="AY13" i="129"/>
  <c r="AA13" i="129"/>
  <c r="J13" i="129"/>
  <c r="BW12" i="129"/>
  <c r="BG12" i="129"/>
  <c r="AY12" i="129"/>
  <c r="AQ12" i="129"/>
  <c r="AI12" i="129"/>
  <c r="J12" i="129"/>
  <c r="BW11" i="129"/>
  <c r="AY11" i="129"/>
  <c r="AA11" i="129"/>
  <c r="J11" i="129"/>
  <c r="BW10" i="129"/>
  <c r="BG10" i="129"/>
  <c r="AY10" i="129"/>
  <c r="AQ10" i="129"/>
  <c r="AA10" i="129"/>
  <c r="S10" i="129"/>
  <c r="J10" i="129"/>
  <c r="BW9" i="129"/>
  <c r="BG9" i="129"/>
  <c r="AI9" i="129"/>
  <c r="J9" i="129"/>
  <c r="BW8" i="129"/>
  <c r="BC8" i="129"/>
  <c r="AY8" i="129"/>
  <c r="AA8" i="129"/>
  <c r="S8" i="129"/>
  <c r="J8" i="129"/>
  <c r="BW7" i="129"/>
  <c r="BO7" i="129"/>
  <c r="AY7" i="129"/>
  <c r="AI7" i="129"/>
  <c r="AA7" i="129"/>
  <c r="S7" i="129"/>
  <c r="J7" i="129"/>
  <c r="BV6" i="129"/>
  <c r="BW6" i="129" s="1"/>
  <c r="BU6" i="129"/>
  <c r="BM6" i="129"/>
  <c r="BL6" i="129"/>
  <c r="BE6" i="129"/>
  <c r="BD6" i="129"/>
  <c r="AZ6" i="129"/>
  <c r="AV6" i="129"/>
  <c r="AN6" i="129"/>
  <c r="AG6" i="129"/>
  <c r="AF6" i="129"/>
  <c r="X6" i="129"/>
  <c r="U6" i="129"/>
  <c r="P6" i="129"/>
  <c r="BW5" i="129"/>
  <c r="BT5" i="129"/>
  <c r="BP5" i="129"/>
  <c r="BS5" i="129" s="1"/>
  <c r="AZ5" i="129"/>
  <c r="BC5" i="129" s="1"/>
  <c r="AY5" i="129"/>
  <c r="AV5" i="129"/>
  <c r="AA5" i="129"/>
  <c r="X5" i="129"/>
  <c r="L5" i="129"/>
  <c r="O5" i="129" s="1"/>
  <c r="BT4" i="129"/>
  <c r="BS4" i="129"/>
  <c r="BW55" i="129" s="1"/>
  <c r="BO4" i="129"/>
  <c r="BQ6" i="129" s="1"/>
  <c r="BL4" i="129"/>
  <c r="BK4" i="129"/>
  <c r="BO57" i="129" s="1"/>
  <c r="BH4" i="129"/>
  <c r="BG4" i="129"/>
  <c r="BD4" i="129"/>
  <c r="BC4" i="129"/>
  <c r="BG76" i="129" s="1"/>
  <c r="AY4" i="129"/>
  <c r="AV4" i="129"/>
  <c r="AU4" i="129"/>
  <c r="AY64" i="129" s="1"/>
  <c r="AQ4" i="129"/>
  <c r="AR6" i="129" s="1"/>
  <c r="AN4" i="129"/>
  <c r="AM4" i="129"/>
  <c r="AQ55" i="129" s="1"/>
  <c r="AJ4" i="129"/>
  <c r="AI4" i="129"/>
  <c r="AM11" i="129" s="1"/>
  <c r="AF4" i="129"/>
  <c r="AE4" i="129"/>
  <c r="AI80" i="129" s="1"/>
  <c r="AA4" i="129"/>
  <c r="X4" i="129"/>
  <c r="W4" i="129"/>
  <c r="AA51" i="129" s="1"/>
  <c r="S4" i="129"/>
  <c r="W12" i="129" s="1"/>
  <c r="P4" i="129"/>
  <c r="O4" i="129"/>
  <c r="S53" i="129" s="1"/>
  <c r="K4" i="129"/>
  <c r="L6" i="129" s="1"/>
  <c r="J4" i="129"/>
  <c r="BT3" i="129"/>
  <c r="BP3" i="129"/>
  <c r="BL3" i="129"/>
  <c r="BH3" i="129"/>
  <c r="BD3" i="129"/>
  <c r="AZ3" i="129"/>
  <c r="AV3" i="129"/>
  <c r="AR3" i="129"/>
  <c r="AN3" i="129"/>
  <c r="AJ3" i="129"/>
  <c r="AF3" i="129"/>
  <c r="AB3" i="129"/>
  <c r="X3" i="129"/>
  <c r="T3" i="129"/>
  <c r="P3" i="129"/>
  <c r="L3" i="129"/>
  <c r="J3" i="129"/>
  <c r="J2" i="129"/>
  <c r="F1" i="129"/>
  <c r="J82" i="128"/>
  <c r="J81" i="128"/>
  <c r="J80" i="128"/>
  <c r="BW79" i="128"/>
  <c r="J79" i="128"/>
  <c r="J78" i="128"/>
  <c r="J77" i="128"/>
  <c r="AM76" i="128"/>
  <c r="J76" i="128"/>
  <c r="J75" i="128"/>
  <c r="J74" i="128"/>
  <c r="O73" i="128"/>
  <c r="J73" i="128"/>
  <c r="J72" i="128"/>
  <c r="J71" i="128"/>
  <c r="O70" i="128"/>
  <c r="J70" i="128"/>
  <c r="J69" i="128"/>
  <c r="J68" i="128"/>
  <c r="J67" i="128"/>
  <c r="BG66" i="128"/>
  <c r="J66" i="128"/>
  <c r="J65" i="128"/>
  <c r="J64" i="128"/>
  <c r="BG63" i="128"/>
  <c r="W63" i="128"/>
  <c r="J63" i="128"/>
  <c r="J62" i="128"/>
  <c r="J61" i="128"/>
  <c r="W60" i="128"/>
  <c r="J60" i="128"/>
  <c r="J59" i="128"/>
  <c r="J58" i="128"/>
  <c r="J57" i="128"/>
  <c r="BO56" i="128"/>
  <c r="J56" i="128"/>
  <c r="J55" i="128"/>
  <c r="J54" i="128"/>
  <c r="BO53" i="128"/>
  <c r="AE53" i="128"/>
  <c r="J53" i="128"/>
  <c r="J52" i="128"/>
  <c r="J51" i="128"/>
  <c r="J50" i="128"/>
  <c r="J49" i="128"/>
  <c r="J48" i="128"/>
  <c r="J47" i="128"/>
  <c r="BW46" i="128"/>
  <c r="J46" i="128"/>
  <c r="J45" i="128"/>
  <c r="J44" i="128"/>
  <c r="BW43" i="128"/>
  <c r="J43" i="128"/>
  <c r="J42" i="128"/>
  <c r="J41" i="128"/>
  <c r="AM40" i="128"/>
  <c r="J40" i="128"/>
  <c r="J39" i="128"/>
  <c r="AQ38" i="128"/>
  <c r="AE38" i="128"/>
  <c r="J38" i="128"/>
  <c r="J37" i="128"/>
  <c r="BO36" i="128"/>
  <c r="BK36" i="128"/>
  <c r="J36" i="128"/>
  <c r="AQ35" i="128"/>
  <c r="AM35" i="128"/>
  <c r="J35" i="128"/>
  <c r="AQ34" i="128"/>
  <c r="J34" i="128"/>
  <c r="AU33" i="128"/>
  <c r="AI33" i="128"/>
  <c r="J33" i="128"/>
  <c r="AU32" i="128"/>
  <c r="AQ32" i="128"/>
  <c r="J32" i="128"/>
  <c r="AY31" i="128"/>
  <c r="J31" i="128"/>
  <c r="BO30" i="128"/>
  <c r="BG30" i="128"/>
  <c r="J30" i="128"/>
  <c r="BO29" i="128"/>
  <c r="BK29" i="128"/>
  <c r="J29" i="128"/>
  <c r="BO28" i="128"/>
  <c r="J28" i="128"/>
  <c r="BS27" i="128"/>
  <c r="BO27" i="128"/>
  <c r="J27" i="128"/>
  <c r="BW26" i="128"/>
  <c r="S26" i="128"/>
  <c r="J26" i="128"/>
  <c r="W25" i="128"/>
  <c r="O25" i="128"/>
  <c r="J25" i="128"/>
  <c r="W24" i="128"/>
  <c r="S24" i="128"/>
  <c r="J24" i="128"/>
  <c r="W23" i="128"/>
  <c r="S23" i="128"/>
  <c r="J23" i="128"/>
  <c r="AM22" i="128"/>
  <c r="AI22" i="128"/>
  <c r="J22" i="128"/>
  <c r="AQ21" i="128"/>
  <c r="AM21" i="128"/>
  <c r="J21" i="128"/>
  <c r="AY20" i="128"/>
  <c r="J20" i="128"/>
  <c r="BO19" i="128"/>
  <c r="BK19" i="128"/>
  <c r="J19" i="128"/>
  <c r="BW18" i="128"/>
  <c r="AA18" i="128"/>
  <c r="J18" i="128"/>
  <c r="BO17" i="128"/>
  <c r="AU17" i="128"/>
  <c r="AQ17" i="128"/>
  <c r="S17" i="128"/>
  <c r="J17" i="128"/>
  <c r="BS16" i="128"/>
  <c r="BO16" i="128"/>
  <c r="W16" i="128"/>
  <c r="S16" i="128"/>
  <c r="J16" i="128"/>
  <c r="AQ15" i="128"/>
  <c r="AM15" i="128"/>
  <c r="J15" i="128"/>
  <c r="BO14" i="128"/>
  <c r="BK14" i="128"/>
  <c r="BG14" i="128"/>
  <c r="AQ14" i="128"/>
  <c r="S14" i="128"/>
  <c r="O14" i="128"/>
  <c r="J14" i="128"/>
  <c r="BO13" i="128"/>
  <c r="AQ13" i="128"/>
  <c r="AI13" i="128"/>
  <c r="AE13" i="128"/>
  <c r="S13" i="128"/>
  <c r="J13" i="128"/>
  <c r="AY12" i="128"/>
  <c r="J12" i="128"/>
  <c r="BW11" i="128"/>
  <c r="BS11" i="128"/>
  <c r="BO11" i="128"/>
  <c r="AQ11" i="128"/>
  <c r="W11" i="128"/>
  <c r="S11" i="128"/>
  <c r="J11" i="128"/>
  <c r="AU10" i="128"/>
  <c r="AQ10" i="128"/>
  <c r="AM10" i="128"/>
  <c r="J10" i="128"/>
  <c r="BO9" i="128"/>
  <c r="BK9" i="128"/>
  <c r="BG9" i="128"/>
  <c r="S9" i="128"/>
  <c r="O9" i="128"/>
  <c r="J9" i="128"/>
  <c r="BO8" i="128"/>
  <c r="AQ8" i="128"/>
  <c r="AM8" i="128"/>
  <c r="AI8" i="128"/>
  <c r="S8" i="128"/>
  <c r="J8" i="128"/>
  <c r="BO7" i="128"/>
  <c r="BG7" i="128"/>
  <c r="BC7" i="128"/>
  <c r="AQ7" i="128"/>
  <c r="S7" i="128"/>
  <c r="J7" i="128"/>
  <c r="BN6" i="128"/>
  <c r="BO6" i="128" s="1"/>
  <c r="BM6" i="128"/>
  <c r="BL6" i="128"/>
  <c r="BK6" i="128"/>
  <c r="BJ6" i="128"/>
  <c r="AP6" i="128"/>
  <c r="AQ6" i="128" s="1"/>
  <c r="AO6" i="128"/>
  <c r="AN6" i="128"/>
  <c r="AM6" i="128"/>
  <c r="AL6" i="128"/>
  <c r="R6" i="128"/>
  <c r="S6" i="128" s="1"/>
  <c r="Q6" i="128"/>
  <c r="P6" i="128"/>
  <c r="O6" i="128"/>
  <c r="N6" i="128"/>
  <c r="BL5" i="128"/>
  <c r="BO5" i="128" s="1"/>
  <c r="BH5" i="128"/>
  <c r="BK5" i="128" s="1"/>
  <c r="BG5" i="128"/>
  <c r="BD5" i="128"/>
  <c r="AN5" i="128"/>
  <c r="AQ5" i="128" s="1"/>
  <c r="AJ5" i="128"/>
  <c r="AM5" i="128" s="1"/>
  <c r="AI5" i="128"/>
  <c r="AF5" i="128"/>
  <c r="P5" i="128"/>
  <c r="S5" i="128" s="1"/>
  <c r="L5" i="128"/>
  <c r="O5" i="128" s="1"/>
  <c r="BT4" i="128"/>
  <c r="BS4" i="128"/>
  <c r="BO4" i="128"/>
  <c r="BS15" i="128" s="1"/>
  <c r="BL4" i="128"/>
  <c r="BK4" i="128"/>
  <c r="BO10" i="128" s="1"/>
  <c r="BG4" i="128"/>
  <c r="BK34" i="128" s="1"/>
  <c r="BC4" i="128"/>
  <c r="BG8" i="128" s="1"/>
  <c r="AY4" i="128"/>
  <c r="BC26" i="128" s="1"/>
  <c r="AV4" i="128"/>
  <c r="AU4" i="128"/>
  <c r="AQ4" i="128"/>
  <c r="AU29" i="128" s="1"/>
  <c r="AN4" i="128"/>
  <c r="AM4" i="128"/>
  <c r="AQ74" i="128" s="1"/>
  <c r="AI4" i="128"/>
  <c r="AM27" i="128" s="1"/>
  <c r="AE4" i="128"/>
  <c r="AI81" i="128" s="1"/>
  <c r="AA4" i="128"/>
  <c r="AE24" i="128" s="1"/>
  <c r="X4" i="128"/>
  <c r="W4" i="128"/>
  <c r="S4" i="128"/>
  <c r="W75" i="128" s="1"/>
  <c r="P4" i="128"/>
  <c r="O4" i="128"/>
  <c r="S68" i="128" s="1"/>
  <c r="K4" i="128"/>
  <c r="O61" i="128" s="1"/>
  <c r="J4" i="128"/>
  <c r="BT3" i="128"/>
  <c r="BP3" i="128"/>
  <c r="BL3" i="128"/>
  <c r="BH3" i="128"/>
  <c r="BD3" i="128"/>
  <c r="AZ3" i="128"/>
  <c r="AV3" i="128"/>
  <c r="AR3" i="128"/>
  <c r="AN3" i="128"/>
  <c r="AJ3" i="128"/>
  <c r="AF3" i="128"/>
  <c r="AB3" i="128"/>
  <c r="X3" i="128"/>
  <c r="T3" i="128"/>
  <c r="P3" i="128"/>
  <c r="L3" i="128"/>
  <c r="J3" i="128"/>
  <c r="J2" i="128"/>
  <c r="F1" i="128"/>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G37" i="1"/>
  <c r="F36" i="1"/>
  <c r="D37" i="1"/>
  <c r="E37" i="1"/>
  <c r="G36" i="1"/>
  <c r="E36" i="1"/>
  <c r="D36" i="1"/>
  <c r="C11" i="36"/>
  <c r="C10" i="36"/>
  <c r="C29" i="36"/>
  <c r="C31" i="36" s="1"/>
  <c r="J110" i="3"/>
  <c r="AE77" i="136" l="1"/>
  <c r="AE65" i="136"/>
  <c r="AE53" i="136"/>
  <c r="AE41" i="136"/>
  <c r="AE72" i="136"/>
  <c r="AE60" i="136"/>
  <c r="AE48" i="136"/>
  <c r="AE79" i="136"/>
  <c r="AE67" i="136"/>
  <c r="AE55" i="136"/>
  <c r="AE74" i="136"/>
  <c r="AE62" i="136"/>
  <c r="AE50" i="136"/>
  <c r="AE38" i="136"/>
  <c r="AE26" i="136"/>
  <c r="AE81" i="136"/>
  <c r="AE69" i="136"/>
  <c r="AE57" i="136"/>
  <c r="AE76" i="136"/>
  <c r="AE64" i="136"/>
  <c r="AE52" i="136"/>
  <c r="AE71" i="136"/>
  <c r="AE59" i="136"/>
  <c r="AE47" i="136"/>
  <c r="AE78" i="136"/>
  <c r="AE66" i="136"/>
  <c r="AE54" i="136"/>
  <c r="AE42" i="136"/>
  <c r="AE73" i="136"/>
  <c r="AE61" i="136"/>
  <c r="AE49" i="136"/>
  <c r="AE80" i="136"/>
  <c r="AE68" i="136"/>
  <c r="AE56" i="136"/>
  <c r="AE44" i="136"/>
  <c r="AE32" i="136"/>
  <c r="AE20" i="136"/>
  <c r="BC71" i="136"/>
  <c r="BC59" i="136"/>
  <c r="BC47" i="136"/>
  <c r="BC35" i="136"/>
  <c r="BC78" i="136"/>
  <c r="BC66" i="136"/>
  <c r="BC54" i="136"/>
  <c r="BC42" i="136"/>
  <c r="BC73" i="136"/>
  <c r="BC61" i="136"/>
  <c r="BC49" i="136"/>
  <c r="BC80" i="136"/>
  <c r="BC68" i="136"/>
  <c r="BC56" i="136"/>
  <c r="BC44" i="136"/>
  <c r="BC32" i="136"/>
  <c r="BC20" i="136"/>
  <c r="BC75" i="136"/>
  <c r="BC63" i="136"/>
  <c r="BC51" i="136"/>
  <c r="BC82" i="136"/>
  <c r="BC70" i="136"/>
  <c r="BC58" i="136"/>
  <c r="BC46" i="136"/>
  <c r="BC77" i="136"/>
  <c r="BC65" i="136"/>
  <c r="BC53" i="136"/>
  <c r="BC41" i="136"/>
  <c r="BC72" i="136"/>
  <c r="BC60" i="136"/>
  <c r="BC48" i="136"/>
  <c r="BC36" i="136"/>
  <c r="BC79" i="136"/>
  <c r="BC67" i="136"/>
  <c r="BC55" i="136"/>
  <c r="BC74" i="136"/>
  <c r="BC62" i="136"/>
  <c r="BC50" i="136"/>
  <c r="BC38" i="136"/>
  <c r="BC26" i="136"/>
  <c r="L5" i="136"/>
  <c r="O5" i="136" s="1"/>
  <c r="AJ5" i="136"/>
  <c r="AM5" i="136" s="1"/>
  <c r="BH5" i="136"/>
  <c r="BK5" i="136" s="1"/>
  <c r="P6" i="136"/>
  <c r="AB6" i="136"/>
  <c r="AN6" i="136"/>
  <c r="AZ6" i="136"/>
  <c r="BL6" i="136"/>
  <c r="BG7" i="136"/>
  <c r="AM8" i="136"/>
  <c r="S9" i="136"/>
  <c r="BO9" i="136"/>
  <c r="AA11" i="136"/>
  <c r="BW11" i="136"/>
  <c r="BC12" i="136"/>
  <c r="AI13" i="136"/>
  <c r="O14" i="136"/>
  <c r="BK14" i="136"/>
  <c r="AQ15" i="136"/>
  <c r="AY17" i="136"/>
  <c r="AE18" i="136"/>
  <c r="BK19" i="136"/>
  <c r="AY20" i="136"/>
  <c r="AM21" i="136"/>
  <c r="AA22" i="136"/>
  <c r="O23" i="136"/>
  <c r="BW23" i="136"/>
  <c r="BK24" i="136"/>
  <c r="BC25" i="136"/>
  <c r="AQ26" i="136"/>
  <c r="AA27" i="136"/>
  <c r="S28" i="136"/>
  <c r="BW28" i="136"/>
  <c r="BK29" i="136"/>
  <c r="BC30" i="136"/>
  <c r="AQ31" i="136"/>
  <c r="AI32" i="136"/>
  <c r="S33" i="136"/>
  <c r="BW33" i="136"/>
  <c r="O36" i="136"/>
  <c r="S37" i="136"/>
  <c r="W38" i="136"/>
  <c r="S39" i="136"/>
  <c r="AE40" i="136"/>
  <c r="AM41" i="136"/>
  <c r="BW42" i="136"/>
  <c r="AY44" i="136"/>
  <c r="AM53" i="136"/>
  <c r="BS56" i="136"/>
  <c r="AA63" i="136"/>
  <c r="BK66" i="136"/>
  <c r="BC69" i="136"/>
  <c r="S73" i="136"/>
  <c r="BC76" i="136"/>
  <c r="AU79" i="136"/>
  <c r="AF4" i="136"/>
  <c r="BD4" i="136"/>
  <c r="AY8" i="136"/>
  <c r="AE9" i="136"/>
  <c r="BG10" i="136"/>
  <c r="AM11" i="136"/>
  <c r="S12" i="136"/>
  <c r="BO12" i="136"/>
  <c r="AA14" i="136"/>
  <c r="BW14" i="136"/>
  <c r="BC15" i="136"/>
  <c r="AI16" i="136"/>
  <c r="BK17" i="136"/>
  <c r="AQ18" i="136"/>
  <c r="BO20" i="136"/>
  <c r="AY21" i="136"/>
  <c r="AQ22" i="136"/>
  <c r="AE23" i="136"/>
  <c r="S24" i="136"/>
  <c r="BO25" i="136"/>
  <c r="BG26" i="136"/>
  <c r="AQ27" i="136"/>
  <c r="AE28" i="136"/>
  <c r="BO30" i="136"/>
  <c r="AE33" i="136"/>
  <c r="W34" i="136"/>
  <c r="AE35" i="136"/>
  <c r="AE36" i="136"/>
  <c r="AM37" i="136"/>
  <c r="AM38" i="136"/>
  <c r="AU40" i="136"/>
  <c r="BS41" i="136"/>
  <c r="AE43" i="136"/>
  <c r="BW44" i="136"/>
  <c r="S54" i="136"/>
  <c r="AY57" i="136"/>
  <c r="AQ67" i="136"/>
  <c r="AI70" i="136"/>
  <c r="BS73" i="136"/>
  <c r="AI77" i="136"/>
  <c r="AA80" i="136"/>
  <c r="BG78" i="136"/>
  <c r="BG66" i="136"/>
  <c r="BG54" i="136"/>
  <c r="BG42" i="136"/>
  <c r="BG73" i="136"/>
  <c r="BG61" i="136"/>
  <c r="BG49" i="136"/>
  <c r="BG80" i="136"/>
  <c r="BG68" i="136"/>
  <c r="BG56" i="136"/>
  <c r="BG75" i="136"/>
  <c r="BG63" i="136"/>
  <c r="BG51" i="136"/>
  <c r="BG39" i="136"/>
  <c r="BG27" i="136"/>
  <c r="BG82" i="136"/>
  <c r="BG70" i="136"/>
  <c r="BG58" i="136"/>
  <c r="BG46" i="136"/>
  <c r="BG77" i="136"/>
  <c r="BG65" i="136"/>
  <c r="BG53" i="136"/>
  <c r="BG41" i="136"/>
  <c r="BG72" i="136"/>
  <c r="BG60" i="136"/>
  <c r="BG48" i="136"/>
  <c r="BG79" i="136"/>
  <c r="BG67" i="136"/>
  <c r="BG55" i="136"/>
  <c r="BG43" i="136"/>
  <c r="BG74" i="136"/>
  <c r="BG62" i="136"/>
  <c r="BG50" i="136"/>
  <c r="BG81" i="136"/>
  <c r="BG69" i="136"/>
  <c r="BG57" i="136"/>
  <c r="BG45" i="136"/>
  <c r="BG33" i="136"/>
  <c r="BG21" i="136"/>
  <c r="O73" i="136"/>
  <c r="O61" i="136"/>
  <c r="O49" i="136"/>
  <c r="O37" i="136"/>
  <c r="O80" i="136"/>
  <c r="O68" i="136"/>
  <c r="O56" i="136"/>
  <c r="O44" i="136"/>
  <c r="O75" i="136"/>
  <c r="O63" i="136"/>
  <c r="O51" i="136"/>
  <c r="O82" i="136"/>
  <c r="O70" i="136"/>
  <c r="O58" i="136"/>
  <c r="O46" i="136"/>
  <c r="O34" i="136"/>
  <c r="O22" i="136"/>
  <c r="O77" i="136"/>
  <c r="O65" i="136"/>
  <c r="O53" i="136"/>
  <c r="O72" i="136"/>
  <c r="O60" i="136"/>
  <c r="O48" i="136"/>
  <c r="O79" i="136"/>
  <c r="O67" i="136"/>
  <c r="O55" i="136"/>
  <c r="O43" i="136"/>
  <c r="O74" i="136"/>
  <c r="O62" i="136"/>
  <c r="O50" i="136"/>
  <c r="O38" i="136"/>
  <c r="O81" i="136"/>
  <c r="O69" i="136"/>
  <c r="O57" i="136"/>
  <c r="O76" i="136"/>
  <c r="O64" i="136"/>
  <c r="O52" i="136"/>
  <c r="O40" i="136"/>
  <c r="O28" i="136"/>
  <c r="AM79" i="136"/>
  <c r="AM67" i="136"/>
  <c r="AM55" i="136"/>
  <c r="AM43" i="136"/>
  <c r="AM74" i="136"/>
  <c r="AM62" i="136"/>
  <c r="AM50" i="136"/>
  <c r="AM81" i="136"/>
  <c r="AM69" i="136"/>
  <c r="AM57" i="136"/>
  <c r="AM45" i="136"/>
  <c r="AM76" i="136"/>
  <c r="AM64" i="136"/>
  <c r="AM52" i="136"/>
  <c r="AM40" i="136"/>
  <c r="AM28" i="136"/>
  <c r="AM71" i="136"/>
  <c r="AM59" i="136"/>
  <c r="AM47" i="136"/>
  <c r="AM78" i="136"/>
  <c r="AM66" i="136"/>
  <c r="AM54" i="136"/>
  <c r="AM42" i="136"/>
  <c r="AM73" i="136"/>
  <c r="AM61" i="136"/>
  <c r="AM49" i="136"/>
  <c r="AM80" i="136"/>
  <c r="AM68" i="136"/>
  <c r="AM56" i="136"/>
  <c r="AM44" i="136"/>
  <c r="AM75" i="136"/>
  <c r="AM63" i="136"/>
  <c r="AM51" i="136"/>
  <c r="AM82" i="136"/>
  <c r="AM70" i="136"/>
  <c r="AM58" i="136"/>
  <c r="AM46" i="136"/>
  <c r="AM34" i="136"/>
  <c r="AM22" i="136"/>
  <c r="BK73" i="136"/>
  <c r="BK61" i="136"/>
  <c r="BK49" i="136"/>
  <c r="BK37" i="136"/>
  <c r="BK80" i="136"/>
  <c r="BK68" i="136"/>
  <c r="BK56" i="136"/>
  <c r="BK44" i="136"/>
  <c r="BK75" i="136"/>
  <c r="BK63" i="136"/>
  <c r="BK51" i="136"/>
  <c r="BK82" i="136"/>
  <c r="BK70" i="136"/>
  <c r="BK58" i="136"/>
  <c r="BK46" i="136"/>
  <c r="BK34" i="136"/>
  <c r="BK22" i="136"/>
  <c r="BK77" i="136"/>
  <c r="BK65" i="136"/>
  <c r="BK53" i="136"/>
  <c r="BK72" i="136"/>
  <c r="BK60" i="136"/>
  <c r="BK48" i="136"/>
  <c r="BK79" i="136"/>
  <c r="BK67" i="136"/>
  <c r="BK55" i="136"/>
  <c r="BK43" i="136"/>
  <c r="BK74" i="136"/>
  <c r="BK62" i="136"/>
  <c r="BK50" i="136"/>
  <c r="BK38" i="136"/>
  <c r="BK81" i="136"/>
  <c r="BK69" i="136"/>
  <c r="BK57" i="136"/>
  <c r="BK45" i="136"/>
  <c r="BK76" i="136"/>
  <c r="BK64" i="136"/>
  <c r="BK52" i="136"/>
  <c r="BK40" i="136"/>
  <c r="BK28" i="136"/>
  <c r="AF6" i="136"/>
  <c r="BD6" i="136"/>
  <c r="AA7" i="136"/>
  <c r="BW7" i="136"/>
  <c r="BC8" i="136"/>
  <c r="AI9" i="136"/>
  <c r="O10" i="136"/>
  <c r="BK10" i="136"/>
  <c r="AQ11" i="136"/>
  <c r="AY13" i="136"/>
  <c r="AE14" i="136"/>
  <c r="BG15" i="136"/>
  <c r="AM16" i="136"/>
  <c r="S17" i="136"/>
  <c r="BO17" i="136"/>
  <c r="AA19" i="136"/>
  <c r="O20" i="136"/>
  <c r="BC21" i="136"/>
  <c r="AI23" i="136"/>
  <c r="AA24" i="136"/>
  <c r="O25" i="136"/>
  <c r="BK26" i="136"/>
  <c r="AI28" i="136"/>
  <c r="AA29" i="136"/>
  <c r="O30" i="136"/>
  <c r="BW30" i="136"/>
  <c r="BK31" i="136"/>
  <c r="AY32" i="136"/>
  <c r="AM33" i="136"/>
  <c r="AE34" i="136"/>
  <c r="AM36" i="136"/>
  <c r="AQ37" i="136"/>
  <c r="AU38" i="136"/>
  <c r="AU39" i="136"/>
  <c r="BC40" i="136"/>
  <c r="AQ43" i="136"/>
  <c r="AA51" i="136"/>
  <c r="BK54" i="136"/>
  <c r="BC57" i="136"/>
  <c r="S61" i="136"/>
  <c r="BC64" i="136"/>
  <c r="AU67" i="136"/>
  <c r="AM77" i="136"/>
  <c r="BS80" i="136"/>
  <c r="AI72" i="136"/>
  <c r="AI60" i="136"/>
  <c r="AI48" i="136"/>
  <c r="AI36" i="136"/>
  <c r="AI79" i="136"/>
  <c r="AI67" i="136"/>
  <c r="AI55" i="136"/>
  <c r="AI43" i="136"/>
  <c r="AI74" i="136"/>
  <c r="AI62" i="136"/>
  <c r="AI50" i="136"/>
  <c r="AI81" i="136"/>
  <c r="AI69" i="136"/>
  <c r="AI57" i="136"/>
  <c r="AI45" i="136"/>
  <c r="AI33" i="136"/>
  <c r="AI21" i="136"/>
  <c r="AI76" i="136"/>
  <c r="AI64" i="136"/>
  <c r="AI52" i="136"/>
  <c r="AI71" i="136"/>
  <c r="AI59" i="136"/>
  <c r="AI47" i="136"/>
  <c r="AI78" i="136"/>
  <c r="AI66" i="136"/>
  <c r="AI54" i="136"/>
  <c r="AI42" i="136"/>
  <c r="AI73" i="136"/>
  <c r="AI61" i="136"/>
  <c r="AI49" i="136"/>
  <c r="AI37" i="136"/>
  <c r="AI80" i="136"/>
  <c r="AI68" i="136"/>
  <c r="AI56" i="136"/>
  <c r="AI75" i="136"/>
  <c r="AI63" i="136"/>
  <c r="AI51" i="136"/>
  <c r="AI39" i="136"/>
  <c r="AI27" i="136"/>
  <c r="L4" i="136"/>
  <c r="AJ4" i="136"/>
  <c r="BH4" i="136"/>
  <c r="AG6" i="136"/>
  <c r="BE6" i="136"/>
  <c r="AE7" i="136"/>
  <c r="BG8" i="136"/>
  <c r="AM9" i="136"/>
  <c r="S10" i="136"/>
  <c r="BO10" i="136"/>
  <c r="AA12" i="136"/>
  <c r="BW12" i="136"/>
  <c r="BC13" i="136"/>
  <c r="AI14" i="136"/>
  <c r="O15" i="136"/>
  <c r="BK15" i="136"/>
  <c r="AQ16" i="136"/>
  <c r="AY18" i="136"/>
  <c r="AE19" i="136"/>
  <c r="S20" i="136"/>
  <c r="BW20" i="136"/>
  <c r="BK21" i="136"/>
  <c r="AY22" i="136"/>
  <c r="AM23" i="136"/>
  <c r="AE24" i="136"/>
  <c r="S25" i="136"/>
  <c r="BO26" i="136"/>
  <c r="AY27" i="136"/>
  <c r="AQ28" i="136"/>
  <c r="AE29" i="136"/>
  <c r="BO31" i="136"/>
  <c r="BG32" i="136"/>
  <c r="AQ33" i="136"/>
  <c r="AI34" i="136"/>
  <c r="AM35" i="136"/>
  <c r="AU37" i="136"/>
  <c r="AY38" i="136"/>
  <c r="AY39" i="136"/>
  <c r="BG40" i="136"/>
  <c r="O42" i="136"/>
  <c r="AU43" i="136"/>
  <c r="O45" i="136"/>
  <c r="AM48" i="136"/>
  <c r="AE51" i="136"/>
  <c r="W61" i="136"/>
  <c r="BG64" i="136"/>
  <c r="O71" i="136"/>
  <c r="AU74" i="136"/>
  <c r="BW80" i="136"/>
  <c r="AI22" i="136"/>
  <c r="S80" i="136"/>
  <c r="S68" i="136"/>
  <c r="S56" i="136"/>
  <c r="S44" i="136"/>
  <c r="S75" i="136"/>
  <c r="S63" i="136"/>
  <c r="S51" i="136"/>
  <c r="S82" i="136"/>
  <c r="S70" i="136"/>
  <c r="S58" i="136"/>
  <c r="S46" i="136"/>
  <c r="S77" i="136"/>
  <c r="S65" i="136"/>
  <c r="S53" i="136"/>
  <c r="S41" i="136"/>
  <c r="S29" i="136"/>
  <c r="S72" i="136"/>
  <c r="S60" i="136"/>
  <c r="S48" i="136"/>
  <c r="S79" i="136"/>
  <c r="S67" i="136"/>
  <c r="S55" i="136"/>
  <c r="S43" i="136"/>
  <c r="S74" i="136"/>
  <c r="S62" i="136"/>
  <c r="S50" i="136"/>
  <c r="S81" i="136"/>
  <c r="S69" i="136"/>
  <c r="S57" i="136"/>
  <c r="S45" i="136"/>
  <c r="S76" i="136"/>
  <c r="S64" i="136"/>
  <c r="S52" i="136"/>
  <c r="S71" i="136"/>
  <c r="S59" i="136"/>
  <c r="S47" i="136"/>
  <c r="S35" i="136"/>
  <c r="S23" i="136"/>
  <c r="AQ74" i="136"/>
  <c r="AQ62" i="136"/>
  <c r="AQ50" i="136"/>
  <c r="AQ38" i="136"/>
  <c r="AQ81" i="136"/>
  <c r="AQ69" i="136"/>
  <c r="AQ57" i="136"/>
  <c r="AQ45" i="136"/>
  <c r="AQ76" i="136"/>
  <c r="AQ64" i="136"/>
  <c r="AQ52" i="136"/>
  <c r="AQ71" i="136"/>
  <c r="AQ59" i="136"/>
  <c r="AQ47" i="136"/>
  <c r="AQ35" i="136"/>
  <c r="AQ23" i="136"/>
  <c r="AQ78" i="136"/>
  <c r="AQ66" i="136"/>
  <c r="AQ54" i="136"/>
  <c r="AQ73" i="136"/>
  <c r="AQ61" i="136"/>
  <c r="AQ49" i="136"/>
  <c r="AQ80" i="136"/>
  <c r="AQ68" i="136"/>
  <c r="AQ56" i="136"/>
  <c r="AQ44" i="136"/>
  <c r="AQ75" i="136"/>
  <c r="AQ63" i="136"/>
  <c r="AQ51" i="136"/>
  <c r="AQ39" i="136"/>
  <c r="AQ82" i="136"/>
  <c r="AQ70" i="136"/>
  <c r="AQ58" i="136"/>
  <c r="AQ46" i="136"/>
  <c r="AQ77" i="136"/>
  <c r="AQ65" i="136"/>
  <c r="AQ53" i="136"/>
  <c r="AQ41" i="136"/>
  <c r="AQ29" i="136"/>
  <c r="BO80" i="136"/>
  <c r="BO68" i="136"/>
  <c r="BO56" i="136"/>
  <c r="BO44" i="136"/>
  <c r="BO75" i="136"/>
  <c r="BO63" i="136"/>
  <c r="BO51" i="136"/>
  <c r="BO82" i="136"/>
  <c r="BO70" i="136"/>
  <c r="BO58" i="136"/>
  <c r="BO46" i="136"/>
  <c r="BO77" i="136"/>
  <c r="BO65" i="136"/>
  <c r="BO53" i="136"/>
  <c r="BO41" i="136"/>
  <c r="BO29" i="136"/>
  <c r="BO72" i="136"/>
  <c r="BO60" i="136"/>
  <c r="BO48" i="136"/>
  <c r="BO79" i="136"/>
  <c r="BO67" i="136"/>
  <c r="BO55" i="136"/>
  <c r="BO43" i="136"/>
  <c r="BO74" i="136"/>
  <c r="BO62" i="136"/>
  <c r="BO50" i="136"/>
  <c r="BO81" i="136"/>
  <c r="BO69" i="136"/>
  <c r="BO57" i="136"/>
  <c r="BO45" i="136"/>
  <c r="BO76" i="136"/>
  <c r="BO64" i="136"/>
  <c r="BO52" i="136"/>
  <c r="BO71" i="136"/>
  <c r="BO59" i="136"/>
  <c r="BO47" i="136"/>
  <c r="BO35" i="136"/>
  <c r="BO23" i="136"/>
  <c r="X5" i="136"/>
  <c r="AA5" i="136" s="1"/>
  <c r="AV5" i="136"/>
  <c r="AY5" i="136" s="1"/>
  <c r="BT5" i="136"/>
  <c r="BW5" i="136" s="1"/>
  <c r="AH6" i="136"/>
  <c r="AI6" i="136" s="1"/>
  <c r="BF6" i="136"/>
  <c r="BG6" i="136" s="1"/>
  <c r="AI7" i="136"/>
  <c r="O8" i="136"/>
  <c r="BK8" i="136"/>
  <c r="AQ9" i="136"/>
  <c r="AY11" i="136"/>
  <c r="AE12" i="136"/>
  <c r="BG13" i="136"/>
  <c r="AM14" i="136"/>
  <c r="S15" i="136"/>
  <c r="BO15" i="136"/>
  <c r="AA17" i="136"/>
  <c r="BW17" i="136"/>
  <c r="BC18" i="136"/>
  <c r="AI19" i="136"/>
  <c r="BO21" i="136"/>
  <c r="BC22" i="136"/>
  <c r="AI24" i="136"/>
  <c r="O26" i="136"/>
  <c r="BC27" i="136"/>
  <c r="AU28" i="136"/>
  <c r="AI29" i="136"/>
  <c r="AA30" i="136"/>
  <c r="O31" i="136"/>
  <c r="BS31" i="136"/>
  <c r="BK32" i="136"/>
  <c r="AU33" i="136"/>
  <c r="AQ34" i="136"/>
  <c r="AY36" i="136"/>
  <c r="BC37" i="136"/>
  <c r="BG38" i="136"/>
  <c r="BC39" i="136"/>
  <c r="BO40" i="136"/>
  <c r="S42" i="136"/>
  <c r="BC43" i="136"/>
  <c r="AE45" i="136"/>
  <c r="AQ48" i="136"/>
  <c r="BW51" i="136"/>
  <c r="AE58" i="136"/>
  <c r="BO61" i="136"/>
  <c r="BG71" i="136"/>
  <c r="AY74" i="136"/>
  <c r="O78" i="136"/>
  <c r="AM7" i="136"/>
  <c r="S8" i="136"/>
  <c r="BO8" i="136"/>
  <c r="AA10" i="136"/>
  <c r="BW10" i="136"/>
  <c r="BC11" i="136"/>
  <c r="AI12" i="136"/>
  <c r="O13" i="136"/>
  <c r="BK13" i="136"/>
  <c r="AQ14" i="136"/>
  <c r="AY16" i="136"/>
  <c r="AE17" i="136"/>
  <c r="BG18" i="136"/>
  <c r="AM19" i="136"/>
  <c r="AA20" i="136"/>
  <c r="O21" i="136"/>
  <c r="BG22" i="136"/>
  <c r="AY23" i="136"/>
  <c r="AM24" i="136"/>
  <c r="AE25" i="136"/>
  <c r="S26" i="136"/>
  <c r="BW26" i="136"/>
  <c r="BK27" i="136"/>
  <c r="AY28" i="136"/>
  <c r="AM29" i="136"/>
  <c r="AE30" i="136"/>
  <c r="S31" i="136"/>
  <c r="BO32" i="136"/>
  <c r="AY33" i="136"/>
  <c r="AY34" i="136"/>
  <c r="AY35" i="136"/>
  <c r="BG36" i="136"/>
  <c r="BG37" i="136"/>
  <c r="BO38" i="136"/>
  <c r="BK39" i="136"/>
  <c r="AA42" i="136"/>
  <c r="BS43" i="136"/>
  <c r="AY45" i="136"/>
  <c r="AQ55" i="136"/>
  <c r="AI58" i="136"/>
  <c r="AI65" i="136"/>
  <c r="AA68" i="136"/>
  <c r="BK71" i="136"/>
  <c r="S78" i="136"/>
  <c r="AY81" i="136"/>
  <c r="AI38" i="136"/>
  <c r="W75" i="136"/>
  <c r="W63" i="136"/>
  <c r="W51" i="136"/>
  <c r="W39" i="136"/>
  <c r="W82" i="136"/>
  <c r="W70" i="136"/>
  <c r="W58" i="136"/>
  <c r="W46" i="136"/>
  <c r="W77" i="136"/>
  <c r="W65" i="136"/>
  <c r="W53" i="136"/>
  <c r="W72" i="136"/>
  <c r="W60" i="136"/>
  <c r="W48" i="136"/>
  <c r="W36" i="136"/>
  <c r="W24" i="136"/>
  <c r="W79" i="136"/>
  <c r="W67" i="136"/>
  <c r="W55" i="136"/>
  <c r="W74" i="136"/>
  <c r="W62" i="136"/>
  <c r="W50" i="136"/>
  <c r="W81" i="136"/>
  <c r="W69" i="136"/>
  <c r="W57" i="136"/>
  <c r="W45" i="136"/>
  <c r="W76" i="136"/>
  <c r="W64" i="136"/>
  <c r="W52" i="136"/>
  <c r="W40" i="136"/>
  <c r="W71" i="136"/>
  <c r="W59" i="136"/>
  <c r="W47" i="136"/>
  <c r="W78" i="136"/>
  <c r="W66" i="136"/>
  <c r="W54" i="136"/>
  <c r="W42" i="136"/>
  <c r="W30" i="136"/>
  <c r="AU81" i="136"/>
  <c r="AU69" i="136"/>
  <c r="AU57" i="136"/>
  <c r="AU45" i="136"/>
  <c r="AU76" i="136"/>
  <c r="AU64" i="136"/>
  <c r="AU52" i="136"/>
  <c r="AU71" i="136"/>
  <c r="AU59" i="136"/>
  <c r="AU47" i="136"/>
  <c r="AU78" i="136"/>
  <c r="AU66" i="136"/>
  <c r="AU54" i="136"/>
  <c r="AU42" i="136"/>
  <c r="AU30" i="136"/>
  <c r="AU73" i="136"/>
  <c r="AU61" i="136"/>
  <c r="AU49" i="136"/>
  <c r="AU80" i="136"/>
  <c r="AU68" i="136"/>
  <c r="AU56" i="136"/>
  <c r="AU44" i="136"/>
  <c r="AU75" i="136"/>
  <c r="AU63" i="136"/>
  <c r="AU51" i="136"/>
  <c r="AU82" i="136"/>
  <c r="AU70" i="136"/>
  <c r="AU58" i="136"/>
  <c r="AU46" i="136"/>
  <c r="AU34" i="136"/>
  <c r="AU77" i="136"/>
  <c r="AU65" i="136"/>
  <c r="AU53" i="136"/>
  <c r="AU72" i="136"/>
  <c r="AU60" i="136"/>
  <c r="AU48" i="136"/>
  <c r="AU36" i="136"/>
  <c r="AU24" i="136"/>
  <c r="BS75" i="136"/>
  <c r="BS63" i="136"/>
  <c r="BS51" i="136"/>
  <c r="BS39" i="136"/>
  <c r="BS82" i="136"/>
  <c r="BS70" i="136"/>
  <c r="BS58" i="136"/>
  <c r="BS46" i="136"/>
  <c r="BS77" i="136"/>
  <c r="BS65" i="136"/>
  <c r="BS53" i="136"/>
  <c r="BS72" i="136"/>
  <c r="BS60" i="136"/>
  <c r="BS48" i="136"/>
  <c r="BS36" i="136"/>
  <c r="BS24" i="136"/>
  <c r="BS79" i="136"/>
  <c r="BS67" i="136"/>
  <c r="BS55" i="136"/>
  <c r="BS74" i="136"/>
  <c r="BS62" i="136"/>
  <c r="BS50" i="136"/>
  <c r="BS81" i="136"/>
  <c r="BS69" i="136"/>
  <c r="BS57" i="136"/>
  <c r="BS45" i="136"/>
  <c r="BS76" i="136"/>
  <c r="BS64" i="136"/>
  <c r="BS52" i="136"/>
  <c r="BS40" i="136"/>
  <c r="BS71" i="136"/>
  <c r="BS59" i="136"/>
  <c r="BS47" i="136"/>
  <c r="BS78" i="136"/>
  <c r="BS66" i="136"/>
  <c r="BS54" i="136"/>
  <c r="BS42" i="136"/>
  <c r="BS30" i="136"/>
  <c r="AB5" i="136"/>
  <c r="AE5" i="136" s="1"/>
  <c r="AZ5" i="136"/>
  <c r="BC5" i="136" s="1"/>
  <c r="L6" i="136"/>
  <c r="X6" i="136"/>
  <c r="AJ6" i="136"/>
  <c r="AV6" i="136"/>
  <c r="BH6" i="136"/>
  <c r="BT6" i="136"/>
  <c r="AQ7" i="136"/>
  <c r="W8" i="136"/>
  <c r="BS8" i="136"/>
  <c r="AY9" i="136"/>
  <c r="AE10" i="136"/>
  <c r="BG11" i="136"/>
  <c r="AM12" i="136"/>
  <c r="S13" i="136"/>
  <c r="BO13" i="136"/>
  <c r="AU14" i="136"/>
  <c r="AA15" i="136"/>
  <c r="BW15" i="136"/>
  <c r="BC16" i="136"/>
  <c r="AI17" i="136"/>
  <c r="O18" i="136"/>
  <c r="BK18" i="136"/>
  <c r="AQ19" i="136"/>
  <c r="AI20" i="136"/>
  <c r="S21" i="136"/>
  <c r="BW21" i="136"/>
  <c r="BO22" i="136"/>
  <c r="BC23" i="136"/>
  <c r="AQ24" i="136"/>
  <c r="AI25" i="136"/>
  <c r="W26" i="136"/>
  <c r="BO27" i="136"/>
  <c r="BC28" i="136"/>
  <c r="AU29" i="136"/>
  <c r="AI30" i="136"/>
  <c r="W31" i="136"/>
  <c r="O32" i="136"/>
  <c r="BS32" i="136"/>
  <c r="BC33" i="136"/>
  <c r="BC34" i="136"/>
  <c r="BG35" i="136"/>
  <c r="BK36" i="136"/>
  <c r="BO37" i="136"/>
  <c r="BS38" i="136"/>
  <c r="BO39" i="136"/>
  <c r="O41" i="136"/>
  <c r="AQ42" i="136"/>
  <c r="BC45" i="136"/>
  <c r="S49" i="136"/>
  <c r="BC52" i="136"/>
  <c r="AU55" i="136"/>
  <c r="AM65" i="136"/>
  <c r="BS68" i="136"/>
  <c r="AA75" i="136"/>
  <c r="BK78" i="136"/>
  <c r="BC81" i="136"/>
  <c r="M6" i="136"/>
  <c r="Y6" i="136"/>
  <c r="AK6" i="136"/>
  <c r="AW6" i="136"/>
  <c r="BI6" i="136"/>
  <c r="BU6" i="136"/>
  <c r="AA8" i="136"/>
  <c r="BW8" i="136"/>
  <c r="BC9" i="136"/>
  <c r="AI10" i="136"/>
  <c r="O11" i="136"/>
  <c r="BK11" i="136"/>
  <c r="AQ12" i="136"/>
  <c r="AY14" i="136"/>
  <c r="AE15" i="136"/>
  <c r="BG16" i="136"/>
  <c r="AM17" i="136"/>
  <c r="S18" i="136"/>
  <c r="BO18" i="136"/>
  <c r="AM20" i="136"/>
  <c r="W21" i="136"/>
  <c r="BS22" i="136"/>
  <c r="BG23" i="136"/>
  <c r="AY24" i="136"/>
  <c r="AM25" i="136"/>
  <c r="O27" i="136"/>
  <c r="BS27" i="136"/>
  <c r="BG28" i="136"/>
  <c r="AY29" i="136"/>
  <c r="AM30" i="136"/>
  <c r="AE31" i="136"/>
  <c r="S32" i="136"/>
  <c r="BW32" i="136"/>
  <c r="BK33" i="136"/>
  <c r="BG34" i="136"/>
  <c r="BK35" i="136"/>
  <c r="BO36" i="136"/>
  <c r="BS37" i="136"/>
  <c r="BW38" i="136"/>
  <c r="BW39" i="136"/>
  <c r="W41" i="136"/>
  <c r="W44" i="136"/>
  <c r="W49" i="136"/>
  <c r="BG52" i="136"/>
  <c r="O59" i="136"/>
  <c r="AU62" i="136"/>
  <c r="AM72" i="136"/>
  <c r="AE75" i="136"/>
  <c r="BO78" i="136"/>
  <c r="AA82" i="136"/>
  <c r="AA70" i="136"/>
  <c r="AA58" i="136"/>
  <c r="AA46" i="136"/>
  <c r="AA34" i="136"/>
  <c r="AA77" i="136"/>
  <c r="AA65" i="136"/>
  <c r="AA53" i="136"/>
  <c r="AA72" i="136"/>
  <c r="AA60" i="136"/>
  <c r="AA48" i="136"/>
  <c r="AA79" i="136"/>
  <c r="AA67" i="136"/>
  <c r="AA55" i="136"/>
  <c r="AA43" i="136"/>
  <c r="AA31" i="136"/>
  <c r="AA74" i="136"/>
  <c r="AA62" i="136"/>
  <c r="AA50" i="136"/>
  <c r="AA81" i="136"/>
  <c r="AA69" i="136"/>
  <c r="AA57" i="136"/>
  <c r="AA45" i="136"/>
  <c r="AA76" i="136"/>
  <c r="AA64" i="136"/>
  <c r="AA52" i="136"/>
  <c r="AA40" i="136"/>
  <c r="AA71" i="136"/>
  <c r="AA59" i="136"/>
  <c r="AA47" i="136"/>
  <c r="AA35" i="136"/>
  <c r="AA78" i="136"/>
  <c r="AA66" i="136"/>
  <c r="AA54" i="136"/>
  <c r="AA73" i="136"/>
  <c r="AA61" i="136"/>
  <c r="AA49" i="136"/>
  <c r="AA37" i="136"/>
  <c r="AA25" i="136"/>
  <c r="AY76" i="136"/>
  <c r="AY64" i="136"/>
  <c r="AY52" i="136"/>
  <c r="AY40" i="136"/>
  <c r="AY71" i="136"/>
  <c r="AY59" i="136"/>
  <c r="AY47" i="136"/>
  <c r="AY78" i="136"/>
  <c r="AY66" i="136"/>
  <c r="AY54" i="136"/>
  <c r="AY73" i="136"/>
  <c r="AY61" i="136"/>
  <c r="AY49" i="136"/>
  <c r="AY37" i="136"/>
  <c r="AY25" i="136"/>
  <c r="AY80" i="136"/>
  <c r="AY68" i="136"/>
  <c r="AY56" i="136"/>
  <c r="AY75" i="136"/>
  <c r="AY63" i="136"/>
  <c r="AY51" i="136"/>
  <c r="AY82" i="136"/>
  <c r="AY70" i="136"/>
  <c r="AY58" i="136"/>
  <c r="AY46" i="136"/>
  <c r="AY77" i="136"/>
  <c r="AY65" i="136"/>
  <c r="AY53" i="136"/>
  <c r="AY41" i="136"/>
  <c r="AY72" i="136"/>
  <c r="AY60" i="136"/>
  <c r="AY48" i="136"/>
  <c r="AY79" i="136"/>
  <c r="AY67" i="136"/>
  <c r="AY55" i="136"/>
  <c r="AY43" i="136"/>
  <c r="AY31" i="136"/>
  <c r="AY19" i="136"/>
  <c r="BW82" i="136"/>
  <c r="BW70" i="136"/>
  <c r="BW58" i="136"/>
  <c r="BW46" i="136"/>
  <c r="BW34" i="136"/>
  <c r="BW77" i="136"/>
  <c r="BW65" i="136"/>
  <c r="BW53" i="136"/>
  <c r="BW41" i="136"/>
  <c r="BW72" i="136"/>
  <c r="BW60" i="136"/>
  <c r="BW48" i="136"/>
  <c r="BW79" i="136"/>
  <c r="BW67" i="136"/>
  <c r="BW55" i="136"/>
  <c r="BW43" i="136"/>
  <c r="BW31" i="136"/>
  <c r="BW19" i="136"/>
  <c r="BW74" i="136"/>
  <c r="BW62" i="136"/>
  <c r="BW50" i="136"/>
  <c r="BW81" i="136"/>
  <c r="BW69" i="136"/>
  <c r="BW57" i="136"/>
  <c r="BW45" i="136"/>
  <c r="BW76" i="136"/>
  <c r="BW64" i="136"/>
  <c r="BW52" i="136"/>
  <c r="BW40" i="136"/>
  <c r="BW71" i="136"/>
  <c r="BW59" i="136"/>
  <c r="BW47" i="136"/>
  <c r="BW35" i="136"/>
  <c r="BW78" i="136"/>
  <c r="BW66" i="136"/>
  <c r="BW54" i="136"/>
  <c r="BW73" i="136"/>
  <c r="BW61" i="136"/>
  <c r="BW49" i="136"/>
  <c r="BW37" i="136"/>
  <c r="BW25" i="136"/>
  <c r="AF5" i="136"/>
  <c r="AI5" i="136" s="1"/>
  <c r="BD5" i="136"/>
  <c r="BG5" i="136" s="1"/>
  <c r="N6" i="136"/>
  <c r="O6" i="136" s="1"/>
  <c r="Z6" i="136"/>
  <c r="AA6" i="136" s="1"/>
  <c r="AL6" i="136"/>
  <c r="AM6" i="136" s="1"/>
  <c r="AX6" i="136"/>
  <c r="AY6" i="136" s="1"/>
  <c r="BJ6" i="136"/>
  <c r="BK6" i="136" s="1"/>
  <c r="BV6" i="136"/>
  <c r="BW6" i="136" s="1"/>
  <c r="AY7" i="136"/>
  <c r="AE8" i="136"/>
  <c r="BG9" i="136"/>
  <c r="AM10" i="136"/>
  <c r="S11" i="136"/>
  <c r="BO11" i="136"/>
  <c r="AA13" i="136"/>
  <c r="BW13" i="136"/>
  <c r="BC14" i="136"/>
  <c r="AI15" i="136"/>
  <c r="O16" i="136"/>
  <c r="BK16" i="136"/>
  <c r="AQ17" i="136"/>
  <c r="BC19" i="136"/>
  <c r="AQ20" i="136"/>
  <c r="AA21" i="136"/>
  <c r="S22" i="136"/>
  <c r="BW22" i="136"/>
  <c r="BK23" i="136"/>
  <c r="BC24" i="136"/>
  <c r="AQ25" i="136"/>
  <c r="AI26" i="136"/>
  <c r="S27" i="136"/>
  <c r="BW27" i="136"/>
  <c r="BO28" i="136"/>
  <c r="BC29" i="136"/>
  <c r="AQ30" i="136"/>
  <c r="AI31" i="136"/>
  <c r="BO33" i="136"/>
  <c r="BO34" i="136"/>
  <c r="BW36" i="136"/>
  <c r="AA41" i="136"/>
  <c r="BK42" i="136"/>
  <c r="AA44" i="136"/>
  <c r="AE46" i="136"/>
  <c r="BO49" i="136"/>
  <c r="W56" i="136"/>
  <c r="BG59" i="136"/>
  <c r="AY62" i="136"/>
  <c r="O66" i="136"/>
  <c r="AQ72" i="136"/>
  <c r="BW75" i="136"/>
  <c r="AE82" i="136"/>
  <c r="AI11" i="136"/>
  <c r="BG17" i="136"/>
  <c r="BG47" i="136"/>
  <c r="X4" i="136"/>
  <c r="AV4" i="136"/>
  <c r="BT4" i="136"/>
  <c r="BC7" i="136"/>
  <c r="AI8" i="136"/>
  <c r="O9" i="136"/>
  <c r="BK9" i="136"/>
  <c r="AQ10" i="136"/>
  <c r="W11" i="136"/>
  <c r="BS11" i="136"/>
  <c r="AY12" i="136"/>
  <c r="AE13" i="136"/>
  <c r="BG14" i="136"/>
  <c r="AM15" i="136"/>
  <c r="S16" i="136"/>
  <c r="BO16" i="136"/>
  <c r="AU17" i="136"/>
  <c r="AA18" i="136"/>
  <c r="BW18" i="136"/>
  <c r="BG19" i="136"/>
  <c r="AU20" i="136"/>
  <c r="AE21" i="136"/>
  <c r="W22" i="136"/>
  <c r="BS23" i="136"/>
  <c r="BG24" i="136"/>
  <c r="AU25" i="136"/>
  <c r="AM26" i="136"/>
  <c r="W27" i="136"/>
  <c r="BS28" i="136"/>
  <c r="BG29" i="136"/>
  <c r="AY30" i="136"/>
  <c r="AM31" i="136"/>
  <c r="AA32" i="136"/>
  <c r="O33" i="136"/>
  <c r="BS33" i="136"/>
  <c r="BS34" i="136"/>
  <c r="S38" i="136"/>
  <c r="O39" i="136"/>
  <c r="S40" i="136"/>
  <c r="AI41" i="136"/>
  <c r="BO42" i="136"/>
  <c r="AI44" i="136"/>
  <c r="AI46" i="136"/>
  <c r="BS49" i="136"/>
  <c r="AI53" i="136"/>
  <c r="AA56" i="136"/>
  <c r="BK59" i="136"/>
  <c r="S66" i="136"/>
  <c r="AY69" i="136"/>
  <c r="AQ79" i="136"/>
  <c r="AI82" i="136"/>
  <c r="AM79" i="135"/>
  <c r="AM67" i="135"/>
  <c r="AM55" i="135"/>
  <c r="AM43" i="135"/>
  <c r="AM74" i="135"/>
  <c r="AM62" i="135"/>
  <c r="AM50" i="135"/>
  <c r="AM38" i="135"/>
  <c r="AM81" i="135"/>
  <c r="AM69" i="135"/>
  <c r="AM57" i="135"/>
  <c r="AM45" i="135"/>
  <c r="AM33" i="135"/>
  <c r="AM21" i="135"/>
  <c r="AM76" i="135"/>
  <c r="AM64" i="135"/>
  <c r="AM52" i="135"/>
  <c r="AM71" i="135"/>
  <c r="AM59" i="135"/>
  <c r="AM47" i="135"/>
  <c r="AM35" i="135"/>
  <c r="AM78" i="135"/>
  <c r="AM66" i="135"/>
  <c r="AM54" i="135"/>
  <c r="AM42" i="135"/>
  <c r="AM30" i="135"/>
  <c r="AM73" i="135"/>
  <c r="AM61" i="135"/>
  <c r="AM49" i="135"/>
  <c r="AM37" i="135"/>
  <c r="AM80" i="135"/>
  <c r="AM68" i="135"/>
  <c r="AM56" i="135"/>
  <c r="AM44" i="135"/>
  <c r="AM75" i="135"/>
  <c r="AM63" i="135"/>
  <c r="AM51" i="135"/>
  <c r="AM39" i="135"/>
  <c r="AM82" i="135"/>
  <c r="AM70" i="135"/>
  <c r="AM58" i="135"/>
  <c r="AM46" i="135"/>
  <c r="AM34" i="135"/>
  <c r="AM22" i="135"/>
  <c r="AM77" i="135"/>
  <c r="AM65" i="135"/>
  <c r="AM53" i="135"/>
  <c r="AM41" i="135"/>
  <c r="AM29" i="135"/>
  <c r="O10" i="135"/>
  <c r="L4" i="135"/>
  <c r="AJ4" i="135"/>
  <c r="BH4" i="135"/>
  <c r="U6" i="135"/>
  <c r="AG6" i="135"/>
  <c r="AS6" i="135"/>
  <c r="BE6" i="135"/>
  <c r="BQ6" i="135"/>
  <c r="AE7" i="135"/>
  <c r="BG8" i="135"/>
  <c r="AM9" i="135"/>
  <c r="S10" i="135"/>
  <c r="BO10" i="135"/>
  <c r="AU11" i="135"/>
  <c r="AA12" i="135"/>
  <c r="BW12" i="135"/>
  <c r="BC13" i="135"/>
  <c r="AI14" i="135"/>
  <c r="O15" i="135"/>
  <c r="BK15" i="135"/>
  <c r="W17" i="135"/>
  <c r="BS17" i="135"/>
  <c r="AY18" i="135"/>
  <c r="AE19" i="135"/>
  <c r="O20" i="135"/>
  <c r="BW20" i="135"/>
  <c r="BS21" i="135"/>
  <c r="BW22" i="135"/>
  <c r="O25" i="135"/>
  <c r="S26" i="135"/>
  <c r="W27" i="135"/>
  <c r="W28" i="135"/>
  <c r="S29" i="135"/>
  <c r="AA30" i="135"/>
  <c r="AM31" i="135"/>
  <c r="BO32" i="135"/>
  <c r="AA34" i="135"/>
  <c r="BS39" i="135"/>
  <c r="O42" i="135"/>
  <c r="BG47" i="135"/>
  <c r="BC52" i="135"/>
  <c r="AY57" i="135"/>
  <c r="O73" i="135"/>
  <c r="O61" i="135"/>
  <c r="O49" i="135"/>
  <c r="O80" i="135"/>
  <c r="O68" i="135"/>
  <c r="O56" i="135"/>
  <c r="O44" i="135"/>
  <c r="O75" i="135"/>
  <c r="O63" i="135"/>
  <c r="O51" i="135"/>
  <c r="O39" i="135"/>
  <c r="O27" i="135"/>
  <c r="O82" i="135"/>
  <c r="O70" i="135"/>
  <c r="O58" i="135"/>
  <c r="O46" i="135"/>
  <c r="O77" i="135"/>
  <c r="O65" i="135"/>
  <c r="O53" i="135"/>
  <c r="O41" i="135"/>
  <c r="O72" i="135"/>
  <c r="O60" i="135"/>
  <c r="O48" i="135"/>
  <c r="O36" i="135"/>
  <c r="O24" i="135"/>
  <c r="O79" i="135"/>
  <c r="O67" i="135"/>
  <c r="O55" i="135"/>
  <c r="O43" i="135"/>
  <c r="O31" i="135"/>
  <c r="O74" i="135"/>
  <c r="O62" i="135"/>
  <c r="O50" i="135"/>
  <c r="O81" i="135"/>
  <c r="O69" i="135"/>
  <c r="O57" i="135"/>
  <c r="O45" i="135"/>
  <c r="O33" i="135"/>
  <c r="O76" i="135"/>
  <c r="O64" i="135"/>
  <c r="O52" i="135"/>
  <c r="O40" i="135"/>
  <c r="O28" i="135"/>
  <c r="O71" i="135"/>
  <c r="O59" i="135"/>
  <c r="O47" i="135"/>
  <c r="O35" i="135"/>
  <c r="O23" i="135"/>
  <c r="BK10" i="135"/>
  <c r="AM16" i="135"/>
  <c r="O26" i="135"/>
  <c r="O29" i="135"/>
  <c r="O30" i="135"/>
  <c r="BK32" i="135"/>
  <c r="BK37" i="135"/>
  <c r="S80" i="135"/>
  <c r="S68" i="135"/>
  <c r="S56" i="135"/>
  <c r="S44" i="135"/>
  <c r="S75" i="135"/>
  <c r="S63" i="135"/>
  <c r="S51" i="135"/>
  <c r="S39" i="135"/>
  <c r="S82" i="135"/>
  <c r="S70" i="135"/>
  <c r="S58" i="135"/>
  <c r="S46" i="135"/>
  <c r="S34" i="135"/>
  <c r="S22" i="135"/>
  <c r="S77" i="135"/>
  <c r="S65" i="135"/>
  <c r="S53" i="135"/>
  <c r="S41" i="135"/>
  <c r="S72" i="135"/>
  <c r="S60" i="135"/>
  <c r="S48" i="135"/>
  <c r="S36" i="135"/>
  <c r="S79" i="135"/>
  <c r="S67" i="135"/>
  <c r="S55" i="135"/>
  <c r="S43" i="135"/>
  <c r="S31" i="135"/>
  <c r="S74" i="135"/>
  <c r="S62" i="135"/>
  <c r="S50" i="135"/>
  <c r="S38" i="135"/>
  <c r="S81" i="135"/>
  <c r="S69" i="135"/>
  <c r="S57" i="135"/>
  <c r="S45" i="135"/>
  <c r="S76" i="135"/>
  <c r="S64" i="135"/>
  <c r="S52" i="135"/>
  <c r="S40" i="135"/>
  <c r="S71" i="135"/>
  <c r="S59" i="135"/>
  <c r="S47" i="135"/>
  <c r="S35" i="135"/>
  <c r="S23" i="135"/>
  <c r="S78" i="135"/>
  <c r="S66" i="135"/>
  <c r="S54" i="135"/>
  <c r="S42" i="135"/>
  <c r="S30" i="135"/>
  <c r="AQ74" i="135"/>
  <c r="AQ62" i="135"/>
  <c r="AQ50" i="135"/>
  <c r="AQ81" i="135"/>
  <c r="AQ69" i="135"/>
  <c r="AQ57" i="135"/>
  <c r="AQ45" i="135"/>
  <c r="AQ76" i="135"/>
  <c r="AQ64" i="135"/>
  <c r="AQ52" i="135"/>
  <c r="AQ40" i="135"/>
  <c r="AQ28" i="135"/>
  <c r="AQ71" i="135"/>
  <c r="AQ59" i="135"/>
  <c r="AQ47" i="135"/>
  <c r="AQ78" i="135"/>
  <c r="AQ66" i="135"/>
  <c r="AQ54" i="135"/>
  <c r="AQ42" i="135"/>
  <c r="AQ73" i="135"/>
  <c r="AQ61" i="135"/>
  <c r="AQ49" i="135"/>
  <c r="AQ37" i="135"/>
  <c r="AQ25" i="135"/>
  <c r="AQ80" i="135"/>
  <c r="AQ68" i="135"/>
  <c r="AQ56" i="135"/>
  <c r="AQ44" i="135"/>
  <c r="AQ32" i="135"/>
  <c r="AQ75" i="135"/>
  <c r="AQ63" i="135"/>
  <c r="AQ51" i="135"/>
  <c r="AQ82" i="135"/>
  <c r="AQ70" i="135"/>
  <c r="AQ58" i="135"/>
  <c r="AQ46" i="135"/>
  <c r="AQ34" i="135"/>
  <c r="AQ77" i="135"/>
  <c r="AQ65" i="135"/>
  <c r="AQ53" i="135"/>
  <c r="AQ41" i="135"/>
  <c r="AQ29" i="135"/>
  <c r="AQ72" i="135"/>
  <c r="AQ60" i="135"/>
  <c r="AQ48" i="135"/>
  <c r="AQ36" i="135"/>
  <c r="AQ24" i="135"/>
  <c r="BO80" i="135"/>
  <c r="BO68" i="135"/>
  <c r="BO56" i="135"/>
  <c r="BO44" i="135"/>
  <c r="BO75" i="135"/>
  <c r="BO63" i="135"/>
  <c r="BO51" i="135"/>
  <c r="BO39" i="135"/>
  <c r="BO82" i="135"/>
  <c r="BO70" i="135"/>
  <c r="BO58" i="135"/>
  <c r="BO46" i="135"/>
  <c r="BO34" i="135"/>
  <c r="BO22" i="135"/>
  <c r="BO77" i="135"/>
  <c r="BO65" i="135"/>
  <c r="BO53" i="135"/>
  <c r="BO41" i="135"/>
  <c r="BO72" i="135"/>
  <c r="BO60" i="135"/>
  <c r="BO48" i="135"/>
  <c r="BO36" i="135"/>
  <c r="BO79" i="135"/>
  <c r="BO67" i="135"/>
  <c r="BO55" i="135"/>
  <c r="BO43" i="135"/>
  <c r="BO31" i="135"/>
  <c r="BO19" i="135"/>
  <c r="BO74" i="135"/>
  <c r="BO62" i="135"/>
  <c r="BO50" i="135"/>
  <c r="BO38" i="135"/>
  <c r="BO81" i="135"/>
  <c r="BO69" i="135"/>
  <c r="BO57" i="135"/>
  <c r="BO45" i="135"/>
  <c r="BO76" i="135"/>
  <c r="BO64" i="135"/>
  <c r="BO52" i="135"/>
  <c r="BO40" i="135"/>
  <c r="BO71" i="135"/>
  <c r="BO59" i="135"/>
  <c r="BO47" i="135"/>
  <c r="BO35" i="135"/>
  <c r="BO23" i="135"/>
  <c r="BO78" i="135"/>
  <c r="BO66" i="135"/>
  <c r="BO54" i="135"/>
  <c r="BO42" i="135"/>
  <c r="BO30" i="135"/>
  <c r="X5" i="135"/>
  <c r="AA5" i="135" s="1"/>
  <c r="V6" i="135"/>
  <c r="W6" i="135" s="1"/>
  <c r="AH6" i="135"/>
  <c r="AI6" i="135" s="1"/>
  <c r="AT6" i="135"/>
  <c r="AU6" i="135" s="1"/>
  <c r="BF6" i="135"/>
  <c r="BG6" i="135" s="1"/>
  <c r="BR6" i="135"/>
  <c r="BS6" i="135" s="1"/>
  <c r="AI7" i="135"/>
  <c r="O8" i="135"/>
  <c r="BK8" i="135"/>
  <c r="AQ9" i="135"/>
  <c r="W10" i="135"/>
  <c r="BS10" i="135"/>
  <c r="AY11" i="135"/>
  <c r="AE12" i="135"/>
  <c r="BG13" i="135"/>
  <c r="AM14" i="135"/>
  <c r="S15" i="135"/>
  <c r="BO15" i="135"/>
  <c r="AA17" i="135"/>
  <c r="BW17" i="135"/>
  <c r="BC18" i="135"/>
  <c r="AI19" i="135"/>
  <c r="S20" i="135"/>
  <c r="S24" i="135"/>
  <c r="S25" i="135"/>
  <c r="AA26" i="135"/>
  <c r="AA27" i="135"/>
  <c r="AA28" i="135"/>
  <c r="AA29" i="135"/>
  <c r="AE30" i="135"/>
  <c r="AQ31" i="135"/>
  <c r="AE34" i="135"/>
  <c r="W36" i="135"/>
  <c r="BW39" i="135"/>
  <c r="BK42" i="135"/>
  <c r="AA63" i="135"/>
  <c r="BO73" i="135"/>
  <c r="BK73" i="135"/>
  <c r="BK61" i="135"/>
  <c r="BK49" i="135"/>
  <c r="BK80" i="135"/>
  <c r="BK68" i="135"/>
  <c r="BK56" i="135"/>
  <c r="BK44" i="135"/>
  <c r="BK75" i="135"/>
  <c r="BK63" i="135"/>
  <c r="BK51" i="135"/>
  <c r="BK39" i="135"/>
  <c r="BK27" i="135"/>
  <c r="BK82" i="135"/>
  <c r="BK70" i="135"/>
  <c r="BK58" i="135"/>
  <c r="BK46" i="135"/>
  <c r="BK77" i="135"/>
  <c r="BK65" i="135"/>
  <c r="BK53" i="135"/>
  <c r="BK41" i="135"/>
  <c r="BK72" i="135"/>
  <c r="BK60" i="135"/>
  <c r="BK48" i="135"/>
  <c r="BK36" i="135"/>
  <c r="BK24" i="135"/>
  <c r="BK79" i="135"/>
  <c r="BK67" i="135"/>
  <c r="BK55" i="135"/>
  <c r="BK43" i="135"/>
  <c r="BK31" i="135"/>
  <c r="BK74" i="135"/>
  <c r="BK62" i="135"/>
  <c r="BK50" i="135"/>
  <c r="BK81" i="135"/>
  <c r="BK69" i="135"/>
  <c r="BK57" i="135"/>
  <c r="BK45" i="135"/>
  <c r="BK33" i="135"/>
  <c r="BK76" i="135"/>
  <c r="BK64" i="135"/>
  <c r="BK52" i="135"/>
  <c r="BK40" i="135"/>
  <c r="BK28" i="135"/>
  <c r="BK71" i="135"/>
  <c r="BK59" i="135"/>
  <c r="BK47" i="135"/>
  <c r="BK35" i="135"/>
  <c r="BK23" i="135"/>
  <c r="O21" i="135"/>
  <c r="W75" i="135"/>
  <c r="W63" i="135"/>
  <c r="W51" i="135"/>
  <c r="W82" i="135"/>
  <c r="W70" i="135"/>
  <c r="W58" i="135"/>
  <c r="W46" i="135"/>
  <c r="W77" i="135"/>
  <c r="W65" i="135"/>
  <c r="W53" i="135"/>
  <c r="W41" i="135"/>
  <c r="W29" i="135"/>
  <c r="W72" i="135"/>
  <c r="W60" i="135"/>
  <c r="W48" i="135"/>
  <c r="W79" i="135"/>
  <c r="W67" i="135"/>
  <c r="W55" i="135"/>
  <c r="W43" i="135"/>
  <c r="W74" i="135"/>
  <c r="W62" i="135"/>
  <c r="W50" i="135"/>
  <c r="W38" i="135"/>
  <c r="W26" i="135"/>
  <c r="W81" i="135"/>
  <c r="W69" i="135"/>
  <c r="W57" i="135"/>
  <c r="W45" i="135"/>
  <c r="W33" i="135"/>
  <c r="W76" i="135"/>
  <c r="W64" i="135"/>
  <c r="W52" i="135"/>
  <c r="W71" i="135"/>
  <c r="W59" i="135"/>
  <c r="W47" i="135"/>
  <c r="W35" i="135"/>
  <c r="W78" i="135"/>
  <c r="W66" i="135"/>
  <c r="W54" i="135"/>
  <c r="W42" i="135"/>
  <c r="W30" i="135"/>
  <c r="W73" i="135"/>
  <c r="W61" i="135"/>
  <c r="W49" i="135"/>
  <c r="W37" i="135"/>
  <c r="W25" i="135"/>
  <c r="AU81" i="135"/>
  <c r="AU69" i="135"/>
  <c r="AU57" i="135"/>
  <c r="AU45" i="135"/>
  <c r="AU76" i="135"/>
  <c r="AU64" i="135"/>
  <c r="AU52" i="135"/>
  <c r="AU40" i="135"/>
  <c r="AU71" i="135"/>
  <c r="AU59" i="135"/>
  <c r="AU47" i="135"/>
  <c r="AU35" i="135"/>
  <c r="AU23" i="135"/>
  <c r="AU78" i="135"/>
  <c r="AU66" i="135"/>
  <c r="AU54" i="135"/>
  <c r="AU42" i="135"/>
  <c r="AU73" i="135"/>
  <c r="AU61" i="135"/>
  <c r="AU49" i="135"/>
  <c r="AU37" i="135"/>
  <c r="AU80" i="135"/>
  <c r="AU68" i="135"/>
  <c r="AU56" i="135"/>
  <c r="AU44" i="135"/>
  <c r="AU32" i="135"/>
  <c r="AU20" i="135"/>
  <c r="AU75" i="135"/>
  <c r="AU63" i="135"/>
  <c r="AU51" i="135"/>
  <c r="AU39" i="135"/>
  <c r="AU82" i="135"/>
  <c r="AU70" i="135"/>
  <c r="AU58" i="135"/>
  <c r="AU46" i="135"/>
  <c r="AU77" i="135"/>
  <c r="AU65" i="135"/>
  <c r="AU53" i="135"/>
  <c r="AU41" i="135"/>
  <c r="AU72" i="135"/>
  <c r="AU60" i="135"/>
  <c r="AU48" i="135"/>
  <c r="AU36" i="135"/>
  <c r="AU24" i="135"/>
  <c r="AU79" i="135"/>
  <c r="AU67" i="135"/>
  <c r="AU55" i="135"/>
  <c r="AU43" i="135"/>
  <c r="AU31" i="135"/>
  <c r="BS75" i="135"/>
  <c r="BS63" i="135"/>
  <c r="BS51" i="135"/>
  <c r="BS82" i="135"/>
  <c r="BS70" i="135"/>
  <c r="BS58" i="135"/>
  <c r="BS46" i="135"/>
  <c r="BS77" i="135"/>
  <c r="BS65" i="135"/>
  <c r="BS53" i="135"/>
  <c r="BS41" i="135"/>
  <c r="BS29" i="135"/>
  <c r="BS72" i="135"/>
  <c r="BS60" i="135"/>
  <c r="BS48" i="135"/>
  <c r="BS79" i="135"/>
  <c r="BS67" i="135"/>
  <c r="BS55" i="135"/>
  <c r="BS43" i="135"/>
  <c r="BS74" i="135"/>
  <c r="BS62" i="135"/>
  <c r="BS50" i="135"/>
  <c r="BS38" i="135"/>
  <c r="BS26" i="135"/>
  <c r="BS81" i="135"/>
  <c r="BS69" i="135"/>
  <c r="BS57" i="135"/>
  <c r="BS45" i="135"/>
  <c r="BS33" i="135"/>
  <c r="BS76" i="135"/>
  <c r="BS64" i="135"/>
  <c r="BS52" i="135"/>
  <c r="BS71" i="135"/>
  <c r="BS59" i="135"/>
  <c r="BS47" i="135"/>
  <c r="BS35" i="135"/>
  <c r="BS78" i="135"/>
  <c r="BS66" i="135"/>
  <c r="BS54" i="135"/>
  <c r="BS42" i="135"/>
  <c r="BS30" i="135"/>
  <c r="BS73" i="135"/>
  <c r="BS61" i="135"/>
  <c r="BS49" i="135"/>
  <c r="BS37" i="135"/>
  <c r="BS25" i="135"/>
  <c r="AB5" i="135"/>
  <c r="AE5" i="135" s="1"/>
  <c r="AZ5" i="135"/>
  <c r="BC5" i="135" s="1"/>
  <c r="L6" i="135"/>
  <c r="AJ6" i="135"/>
  <c r="BH6" i="135"/>
  <c r="W8" i="135"/>
  <c r="BS8" i="135"/>
  <c r="AE10" i="135"/>
  <c r="BG11" i="135"/>
  <c r="AM12" i="135"/>
  <c r="AU14" i="135"/>
  <c r="BC16" i="135"/>
  <c r="AI17" i="135"/>
  <c r="O18" i="135"/>
  <c r="BK18" i="135"/>
  <c r="AQ19" i="135"/>
  <c r="S21" i="135"/>
  <c r="W22" i="135"/>
  <c r="AE24" i="135"/>
  <c r="AI25" i="135"/>
  <c r="AM26" i="135"/>
  <c r="AQ27" i="135"/>
  <c r="AM28" i="135"/>
  <c r="AI29" i="135"/>
  <c r="AQ30" i="135"/>
  <c r="BS31" i="135"/>
  <c r="S33" i="135"/>
  <c r="BK34" i="135"/>
  <c r="AM36" i="135"/>
  <c r="AE38" i="135"/>
  <c r="W40" i="135"/>
  <c r="AQ43" i="135"/>
  <c r="AU74" i="135"/>
  <c r="AQ79" i="135"/>
  <c r="O13" i="135"/>
  <c r="O38" i="135"/>
  <c r="AM48" i="135"/>
  <c r="T4" i="135"/>
  <c r="AR4" i="135"/>
  <c r="BP4" i="135"/>
  <c r="M6" i="135"/>
  <c r="AK6" i="135"/>
  <c r="BI6" i="135"/>
  <c r="AU7" i="135"/>
  <c r="BC9" i="135"/>
  <c r="AI10" i="135"/>
  <c r="O11" i="135"/>
  <c r="BK11" i="135"/>
  <c r="AQ12" i="135"/>
  <c r="W13" i="135"/>
  <c r="BS13" i="135"/>
  <c r="AE15" i="135"/>
  <c r="BG16" i="135"/>
  <c r="AM17" i="135"/>
  <c r="S18" i="135"/>
  <c r="BO18" i="135"/>
  <c r="AU19" i="135"/>
  <c r="AI20" i="135"/>
  <c r="W21" i="135"/>
  <c r="AE23" i="135"/>
  <c r="AI24" i="135"/>
  <c r="AM25" i="135"/>
  <c r="AQ26" i="135"/>
  <c r="AU27" i="135"/>
  <c r="AU28" i="135"/>
  <c r="AU29" i="135"/>
  <c r="AU30" i="135"/>
  <c r="AI33" i="135"/>
  <c r="BS34" i="135"/>
  <c r="BC36" i="135"/>
  <c r="AQ38" i="135"/>
  <c r="AM40" i="135"/>
  <c r="S49" i="135"/>
  <c r="O54" i="135"/>
  <c r="BG59" i="135"/>
  <c r="BC64" i="135"/>
  <c r="AA82" i="135"/>
  <c r="AA70" i="135"/>
  <c r="AA58" i="135"/>
  <c r="AA46" i="135"/>
  <c r="AA77" i="135"/>
  <c r="AA65" i="135"/>
  <c r="AA53" i="135"/>
  <c r="AA41" i="135"/>
  <c r="AA72" i="135"/>
  <c r="AA60" i="135"/>
  <c r="AA48" i="135"/>
  <c r="AA36" i="135"/>
  <c r="AA24" i="135"/>
  <c r="AA79" i="135"/>
  <c r="AA67" i="135"/>
  <c r="AA55" i="135"/>
  <c r="AA43" i="135"/>
  <c r="AA74" i="135"/>
  <c r="AA62" i="135"/>
  <c r="AA50" i="135"/>
  <c r="AA38" i="135"/>
  <c r="AA81" i="135"/>
  <c r="AA69" i="135"/>
  <c r="AA57" i="135"/>
  <c r="AA45" i="135"/>
  <c r="AA33" i="135"/>
  <c r="AA21" i="135"/>
  <c r="AA76" i="135"/>
  <c r="AA64" i="135"/>
  <c r="AA52" i="135"/>
  <c r="AA40" i="135"/>
  <c r="AA71" i="135"/>
  <c r="AA59" i="135"/>
  <c r="AA47" i="135"/>
  <c r="AA78" i="135"/>
  <c r="AA66" i="135"/>
  <c r="AA54" i="135"/>
  <c r="AA42" i="135"/>
  <c r="AA73" i="135"/>
  <c r="AA61" i="135"/>
  <c r="AA49" i="135"/>
  <c r="AA37" i="135"/>
  <c r="AA25" i="135"/>
  <c r="AA80" i="135"/>
  <c r="AA68" i="135"/>
  <c r="AA56" i="135"/>
  <c r="AA44" i="135"/>
  <c r="AA32" i="135"/>
  <c r="AY76" i="135"/>
  <c r="AY64" i="135"/>
  <c r="AY52" i="135"/>
  <c r="AY71" i="135"/>
  <c r="AY59" i="135"/>
  <c r="AY47" i="135"/>
  <c r="AY35" i="135"/>
  <c r="AY78" i="135"/>
  <c r="AY66" i="135"/>
  <c r="AY54" i="135"/>
  <c r="AY42" i="135"/>
  <c r="AY30" i="135"/>
  <c r="AY73" i="135"/>
  <c r="AY61" i="135"/>
  <c r="AY49" i="135"/>
  <c r="AY80" i="135"/>
  <c r="AY68" i="135"/>
  <c r="AY56" i="135"/>
  <c r="AY44" i="135"/>
  <c r="AY32" i="135"/>
  <c r="AY75" i="135"/>
  <c r="AY63" i="135"/>
  <c r="AY51" i="135"/>
  <c r="AY39" i="135"/>
  <c r="AY27" i="135"/>
  <c r="AY82" i="135"/>
  <c r="AY70" i="135"/>
  <c r="AY58" i="135"/>
  <c r="AY46" i="135"/>
  <c r="AY34" i="135"/>
  <c r="AY77" i="135"/>
  <c r="AY65" i="135"/>
  <c r="AY53" i="135"/>
  <c r="AY41" i="135"/>
  <c r="AY72" i="135"/>
  <c r="AY60" i="135"/>
  <c r="AY48" i="135"/>
  <c r="AY36" i="135"/>
  <c r="AY79" i="135"/>
  <c r="AY67" i="135"/>
  <c r="AY55" i="135"/>
  <c r="AY43" i="135"/>
  <c r="AY31" i="135"/>
  <c r="AY74" i="135"/>
  <c r="AY62" i="135"/>
  <c r="AY50" i="135"/>
  <c r="AY38" i="135"/>
  <c r="AY26" i="135"/>
  <c r="BW82" i="135"/>
  <c r="BW70" i="135"/>
  <c r="BW58" i="135"/>
  <c r="BW46" i="135"/>
  <c r="BW77" i="135"/>
  <c r="BW65" i="135"/>
  <c r="BW53" i="135"/>
  <c r="BW41" i="135"/>
  <c r="BW72" i="135"/>
  <c r="BW60" i="135"/>
  <c r="BW48" i="135"/>
  <c r="BW36" i="135"/>
  <c r="BW24" i="135"/>
  <c r="BW79" i="135"/>
  <c r="BW67" i="135"/>
  <c r="BW55" i="135"/>
  <c r="BW43" i="135"/>
  <c r="BW74" i="135"/>
  <c r="BW62" i="135"/>
  <c r="BW50" i="135"/>
  <c r="BW38" i="135"/>
  <c r="BW81" i="135"/>
  <c r="BW69" i="135"/>
  <c r="BW57" i="135"/>
  <c r="BW45" i="135"/>
  <c r="BW33" i="135"/>
  <c r="BW21" i="135"/>
  <c r="BW76" i="135"/>
  <c r="BW64" i="135"/>
  <c r="BW52" i="135"/>
  <c r="BW40" i="135"/>
  <c r="BW71" i="135"/>
  <c r="BW59" i="135"/>
  <c r="BW47" i="135"/>
  <c r="BW78" i="135"/>
  <c r="BW66" i="135"/>
  <c r="BW54" i="135"/>
  <c r="BW42" i="135"/>
  <c r="BW30" i="135"/>
  <c r="BW73" i="135"/>
  <c r="BW61" i="135"/>
  <c r="BW49" i="135"/>
  <c r="BW37" i="135"/>
  <c r="BW25" i="135"/>
  <c r="BW80" i="135"/>
  <c r="BW68" i="135"/>
  <c r="BW56" i="135"/>
  <c r="BW44" i="135"/>
  <c r="BW32" i="135"/>
  <c r="AF5" i="135"/>
  <c r="AI5" i="135" s="1"/>
  <c r="BD5" i="135"/>
  <c r="BG5" i="135" s="1"/>
  <c r="N6" i="135"/>
  <c r="O6" i="135" s="1"/>
  <c r="Z6" i="135"/>
  <c r="AA6" i="135" s="1"/>
  <c r="AL6" i="135"/>
  <c r="AM6" i="135" s="1"/>
  <c r="AX6" i="135"/>
  <c r="AY6" i="135" s="1"/>
  <c r="BJ6" i="135"/>
  <c r="BK6" i="135" s="1"/>
  <c r="BV6" i="135"/>
  <c r="BW6" i="135" s="1"/>
  <c r="AY7" i="135"/>
  <c r="AE8" i="135"/>
  <c r="BG9" i="135"/>
  <c r="AM10" i="135"/>
  <c r="S11" i="135"/>
  <c r="BO11" i="135"/>
  <c r="AU12" i="135"/>
  <c r="AA13" i="135"/>
  <c r="BW13" i="135"/>
  <c r="BC14" i="135"/>
  <c r="AI15" i="135"/>
  <c r="O16" i="135"/>
  <c r="BK16" i="135"/>
  <c r="AQ17" i="135"/>
  <c r="W18" i="135"/>
  <c r="BS18" i="135"/>
  <c r="AY19" i="135"/>
  <c r="AM20" i="135"/>
  <c r="AE21" i="135"/>
  <c r="AE22" i="135"/>
  <c r="AM23" i="135"/>
  <c r="AM24" i="135"/>
  <c r="AU25" i="135"/>
  <c r="AU26" i="135"/>
  <c r="BC27" i="135"/>
  <c r="AY28" i="135"/>
  <c r="AY29" i="135"/>
  <c r="BC30" i="135"/>
  <c r="AQ33" i="135"/>
  <c r="BW34" i="135"/>
  <c r="BS36" i="135"/>
  <c r="AU38" i="135"/>
  <c r="AY40" i="135"/>
  <c r="W44" i="135"/>
  <c r="BO49" i="135"/>
  <c r="BK54" i="135"/>
  <c r="AA75" i="135"/>
  <c r="W80" i="135"/>
  <c r="X4" i="135"/>
  <c r="AV4" i="135"/>
  <c r="BT4" i="135"/>
  <c r="BC7" i="135"/>
  <c r="AI8" i="135"/>
  <c r="O9" i="135"/>
  <c r="BK9" i="135"/>
  <c r="AQ10" i="135"/>
  <c r="W11" i="135"/>
  <c r="BS11" i="135"/>
  <c r="AY12" i="135"/>
  <c r="AE13" i="135"/>
  <c r="BG14" i="135"/>
  <c r="AM15" i="135"/>
  <c r="S16" i="135"/>
  <c r="BO16" i="135"/>
  <c r="AU17" i="135"/>
  <c r="AA18" i="135"/>
  <c r="BW18" i="135"/>
  <c r="BC19" i="135"/>
  <c r="AQ20" i="135"/>
  <c r="AI21" i="135"/>
  <c r="AQ22" i="135"/>
  <c r="AQ23" i="135"/>
  <c r="AY24" i="135"/>
  <c r="AY25" i="135"/>
  <c r="BG26" i="135"/>
  <c r="BG27" i="135"/>
  <c r="BC28" i="135"/>
  <c r="BC29" i="135"/>
  <c r="BG30" i="135"/>
  <c r="O32" i="135"/>
  <c r="AU33" i="135"/>
  <c r="BK38" i="135"/>
  <c r="BS44" i="135"/>
  <c r="AM60" i="135"/>
  <c r="AI65" i="135"/>
  <c r="BW75" i="135"/>
  <c r="BS80" i="135"/>
  <c r="AE77" i="135"/>
  <c r="AE65" i="135"/>
  <c r="AE53" i="135"/>
  <c r="AE72" i="135"/>
  <c r="AE60" i="135"/>
  <c r="AE48" i="135"/>
  <c r="AE36" i="135"/>
  <c r="AE79" i="135"/>
  <c r="AE67" i="135"/>
  <c r="AE55" i="135"/>
  <c r="AE43" i="135"/>
  <c r="AE31" i="135"/>
  <c r="AE74" i="135"/>
  <c r="AE62" i="135"/>
  <c r="AE50" i="135"/>
  <c r="AE81" i="135"/>
  <c r="AE69" i="135"/>
  <c r="AE57" i="135"/>
  <c r="AE45" i="135"/>
  <c r="AE33" i="135"/>
  <c r="AE76" i="135"/>
  <c r="AE64" i="135"/>
  <c r="AE52" i="135"/>
  <c r="AE40" i="135"/>
  <c r="AE28" i="135"/>
  <c r="AE71" i="135"/>
  <c r="AE59" i="135"/>
  <c r="AE47" i="135"/>
  <c r="AE35" i="135"/>
  <c r="AE78" i="135"/>
  <c r="AE66" i="135"/>
  <c r="AE54" i="135"/>
  <c r="AE42" i="135"/>
  <c r="AE73" i="135"/>
  <c r="AE61" i="135"/>
  <c r="AE49" i="135"/>
  <c r="AE37" i="135"/>
  <c r="AE80" i="135"/>
  <c r="AE68" i="135"/>
  <c r="AE56" i="135"/>
  <c r="AE44" i="135"/>
  <c r="AE32" i="135"/>
  <c r="AE20" i="135"/>
  <c r="AE75" i="135"/>
  <c r="AE63" i="135"/>
  <c r="AE51" i="135"/>
  <c r="AE39" i="135"/>
  <c r="AE27" i="135"/>
  <c r="BC71" i="135"/>
  <c r="BC59" i="135"/>
  <c r="BC47" i="135"/>
  <c r="BC78" i="135"/>
  <c r="BC66" i="135"/>
  <c r="BC54" i="135"/>
  <c r="BC42" i="135"/>
  <c r="BC73" i="135"/>
  <c r="BC61" i="135"/>
  <c r="BC49" i="135"/>
  <c r="BC37" i="135"/>
  <c r="BC25" i="135"/>
  <c r="BC80" i="135"/>
  <c r="BC68" i="135"/>
  <c r="BC56" i="135"/>
  <c r="BC44" i="135"/>
  <c r="BC75" i="135"/>
  <c r="BC63" i="135"/>
  <c r="BC51" i="135"/>
  <c r="BC39" i="135"/>
  <c r="BC82" i="135"/>
  <c r="BC70" i="135"/>
  <c r="BC58" i="135"/>
  <c r="BC46" i="135"/>
  <c r="BC34" i="135"/>
  <c r="BC22" i="135"/>
  <c r="BC77" i="135"/>
  <c r="BC65" i="135"/>
  <c r="BC53" i="135"/>
  <c r="BC41" i="135"/>
  <c r="BC72" i="135"/>
  <c r="BC60" i="135"/>
  <c r="BC48" i="135"/>
  <c r="BC79" i="135"/>
  <c r="BC67" i="135"/>
  <c r="BC55" i="135"/>
  <c r="BC43" i="135"/>
  <c r="BC31" i="135"/>
  <c r="BC74" i="135"/>
  <c r="BC62" i="135"/>
  <c r="BC50" i="135"/>
  <c r="BC38" i="135"/>
  <c r="BC26" i="135"/>
  <c r="BC81" i="135"/>
  <c r="BC69" i="135"/>
  <c r="BC57" i="135"/>
  <c r="BC45" i="135"/>
  <c r="BC33" i="135"/>
  <c r="BC21" i="135"/>
  <c r="L5" i="135"/>
  <c r="O5" i="135" s="1"/>
  <c r="AJ5" i="135"/>
  <c r="AM5" i="135" s="1"/>
  <c r="BH5" i="135"/>
  <c r="BK5" i="135" s="1"/>
  <c r="AB6" i="135"/>
  <c r="AZ6" i="135"/>
  <c r="BG7" i="135"/>
  <c r="AM8" i="135"/>
  <c r="AU10" i="135"/>
  <c r="BC12" i="135"/>
  <c r="AI13" i="135"/>
  <c r="O14" i="135"/>
  <c r="BK14" i="135"/>
  <c r="W16" i="135"/>
  <c r="BS16" i="135"/>
  <c r="AE18" i="135"/>
  <c r="BG19" i="135"/>
  <c r="AQ21" i="135"/>
  <c r="AU22" i="135"/>
  <c r="BC24" i="135"/>
  <c r="BG25" i="135"/>
  <c r="BK26" i="135"/>
  <c r="BO27" i="135"/>
  <c r="BO28" i="135"/>
  <c r="BK29" i="135"/>
  <c r="BK30" i="135"/>
  <c r="S32" i="135"/>
  <c r="AA35" i="135"/>
  <c r="O37" i="135"/>
  <c r="BS40" i="135"/>
  <c r="AU50" i="135"/>
  <c r="AQ55" i="135"/>
  <c r="AB4" i="135"/>
  <c r="AZ4" i="135"/>
  <c r="AC6" i="135"/>
  <c r="BA6" i="135"/>
  <c r="O7" i="135"/>
  <c r="BK7" i="135"/>
  <c r="AQ8" i="135"/>
  <c r="W9" i="135"/>
  <c r="BS9" i="135"/>
  <c r="AE11" i="135"/>
  <c r="BG12" i="135"/>
  <c r="AM13" i="135"/>
  <c r="S14" i="135"/>
  <c r="BO14" i="135"/>
  <c r="AU15" i="135"/>
  <c r="BC17" i="135"/>
  <c r="O19" i="135"/>
  <c r="BK19" i="135"/>
  <c r="BC20" i="135"/>
  <c r="AU21" i="135"/>
  <c r="AY22" i="135"/>
  <c r="BC23" i="135"/>
  <c r="BG24" i="135"/>
  <c r="BK25" i="135"/>
  <c r="BO26" i="135"/>
  <c r="BS27" i="135"/>
  <c r="BS28" i="135"/>
  <c r="BO29" i="135"/>
  <c r="W32" i="135"/>
  <c r="BO33" i="135"/>
  <c r="AQ35" i="135"/>
  <c r="S37" i="135"/>
  <c r="W39" i="135"/>
  <c r="AY45" i="135"/>
  <c r="S61" i="135"/>
  <c r="O66" i="135"/>
  <c r="BC76" i="135"/>
  <c r="AY81" i="135"/>
  <c r="AM7" i="135"/>
  <c r="O22" i="135"/>
  <c r="AI72" i="135"/>
  <c r="AI60" i="135"/>
  <c r="AI48" i="135"/>
  <c r="AI79" i="135"/>
  <c r="AI67" i="135"/>
  <c r="AI55" i="135"/>
  <c r="AI43" i="135"/>
  <c r="AI74" i="135"/>
  <c r="AI62" i="135"/>
  <c r="AI50" i="135"/>
  <c r="AI38" i="135"/>
  <c r="AI26" i="135"/>
  <c r="AI81" i="135"/>
  <c r="AI69" i="135"/>
  <c r="AI57" i="135"/>
  <c r="AI45" i="135"/>
  <c r="AI76" i="135"/>
  <c r="AI64" i="135"/>
  <c r="AI52" i="135"/>
  <c r="AI40" i="135"/>
  <c r="AI71" i="135"/>
  <c r="AI59" i="135"/>
  <c r="AI47" i="135"/>
  <c r="AI35" i="135"/>
  <c r="AI23" i="135"/>
  <c r="AI78" i="135"/>
  <c r="AI66" i="135"/>
  <c r="AI54" i="135"/>
  <c r="AI42" i="135"/>
  <c r="AI73" i="135"/>
  <c r="AI61" i="135"/>
  <c r="AI49" i="135"/>
  <c r="AI80" i="135"/>
  <c r="AI68" i="135"/>
  <c r="AI56" i="135"/>
  <c r="AI44" i="135"/>
  <c r="AI32" i="135"/>
  <c r="AI75" i="135"/>
  <c r="AI63" i="135"/>
  <c r="AI51" i="135"/>
  <c r="AI39" i="135"/>
  <c r="AI27" i="135"/>
  <c r="AI82" i="135"/>
  <c r="AI70" i="135"/>
  <c r="AI58" i="135"/>
  <c r="AI46" i="135"/>
  <c r="AI34" i="135"/>
  <c r="AI22" i="135"/>
  <c r="BG78" i="135"/>
  <c r="BG66" i="135"/>
  <c r="BG54" i="135"/>
  <c r="BG42" i="135"/>
  <c r="BG73" i="135"/>
  <c r="BG61" i="135"/>
  <c r="BG49" i="135"/>
  <c r="BG37" i="135"/>
  <c r="BG80" i="135"/>
  <c r="BG68" i="135"/>
  <c r="BG56" i="135"/>
  <c r="BG44" i="135"/>
  <c r="BG32" i="135"/>
  <c r="BG20" i="135"/>
  <c r="BG75" i="135"/>
  <c r="BG63" i="135"/>
  <c r="BG51" i="135"/>
  <c r="BG82" i="135"/>
  <c r="BG70" i="135"/>
  <c r="BG58" i="135"/>
  <c r="BG46" i="135"/>
  <c r="BG34" i="135"/>
  <c r="BG77" i="135"/>
  <c r="BG65" i="135"/>
  <c r="BG53" i="135"/>
  <c r="BG41" i="135"/>
  <c r="BG29" i="135"/>
  <c r="BG72" i="135"/>
  <c r="BG60" i="135"/>
  <c r="BG48" i="135"/>
  <c r="BG36" i="135"/>
  <c r="BG79" i="135"/>
  <c r="BG67" i="135"/>
  <c r="BG55" i="135"/>
  <c r="BG43" i="135"/>
  <c r="BG74" i="135"/>
  <c r="BG62" i="135"/>
  <c r="BG50" i="135"/>
  <c r="BG38" i="135"/>
  <c r="BG81" i="135"/>
  <c r="BG69" i="135"/>
  <c r="BG57" i="135"/>
  <c r="BG45" i="135"/>
  <c r="BG33" i="135"/>
  <c r="BG21" i="135"/>
  <c r="BG76" i="135"/>
  <c r="BG64" i="135"/>
  <c r="BG52" i="135"/>
  <c r="BG40" i="135"/>
  <c r="BG28" i="135"/>
  <c r="AD6" i="135"/>
  <c r="AE6" i="135" s="1"/>
  <c r="BB6" i="135"/>
  <c r="BC6" i="135" s="1"/>
  <c r="AU8" i="135"/>
  <c r="BC10" i="135"/>
  <c r="AI11" i="135"/>
  <c r="O12" i="135"/>
  <c r="BK12" i="135"/>
  <c r="W14" i="135"/>
  <c r="BS14" i="135"/>
  <c r="AE16" i="135"/>
  <c r="BG17" i="135"/>
  <c r="AM18" i="135"/>
  <c r="S19" i="135"/>
  <c r="BS19" i="135"/>
  <c r="BK20" i="135"/>
  <c r="BG22" i="135"/>
  <c r="BG23" i="135"/>
  <c r="BO24" i="135"/>
  <c r="BO25" i="135"/>
  <c r="BW26" i="135"/>
  <c r="BW27" i="135"/>
  <c r="BW28" i="135"/>
  <c r="BW29" i="135"/>
  <c r="W31" i="135"/>
  <c r="AM32" i="135"/>
  <c r="BC35" i="135"/>
  <c r="AI37" i="135"/>
  <c r="AA39" i="135"/>
  <c r="AE41" i="135"/>
  <c r="AA51" i="135"/>
  <c r="W56" i="135"/>
  <c r="BO61" i="135"/>
  <c r="BK66" i="135"/>
  <c r="BK13" i="135"/>
  <c r="AM19" i="135"/>
  <c r="AM27" i="135"/>
  <c r="AM11" i="135"/>
  <c r="BC15" i="135"/>
  <c r="AI16" i="135"/>
  <c r="O17" i="135"/>
  <c r="BK17" i="135"/>
  <c r="W19" i="135"/>
  <c r="BK21" i="135"/>
  <c r="BK22" i="135"/>
  <c r="BS23" i="135"/>
  <c r="BS24" i="135"/>
  <c r="AA31" i="135"/>
  <c r="BC32" i="135"/>
  <c r="O34" i="135"/>
  <c r="BG35" i="135"/>
  <c r="AY37" i="135"/>
  <c r="AQ39" i="135"/>
  <c r="AI41" i="135"/>
  <c r="AE46" i="135"/>
  <c r="BW51" i="135"/>
  <c r="BS56" i="135"/>
  <c r="AM72" i="135"/>
  <c r="AI77" i="135"/>
  <c r="AE82" i="135"/>
  <c r="BC71" i="134"/>
  <c r="BC59" i="134"/>
  <c r="BC47" i="134"/>
  <c r="BC35" i="134"/>
  <c r="BC23" i="134"/>
  <c r="BC78" i="134"/>
  <c r="BC66" i="134"/>
  <c r="BC54" i="134"/>
  <c r="BC42" i="134"/>
  <c r="BC30" i="134"/>
  <c r="BC73" i="134"/>
  <c r="BC61" i="134"/>
  <c r="BC49" i="134"/>
  <c r="BC37" i="134"/>
  <c r="BC25" i="134"/>
  <c r="BC80" i="134"/>
  <c r="BC68" i="134"/>
  <c r="BC56" i="134"/>
  <c r="BC44" i="134"/>
  <c r="BC32" i="134"/>
  <c r="BC75" i="134"/>
  <c r="BC63" i="134"/>
  <c r="BC51" i="134"/>
  <c r="BC39" i="134"/>
  <c r="BC82" i="134"/>
  <c r="BC70" i="134"/>
  <c r="BC58" i="134"/>
  <c r="BC46" i="134"/>
  <c r="BC34" i="134"/>
  <c r="BC77" i="134"/>
  <c r="BC65" i="134"/>
  <c r="BC53" i="134"/>
  <c r="BC41" i="134"/>
  <c r="BC29" i="134"/>
  <c r="BC72" i="134"/>
  <c r="BC60" i="134"/>
  <c r="BC48" i="134"/>
  <c r="BC36" i="134"/>
  <c r="BC74" i="134"/>
  <c r="BC62" i="134"/>
  <c r="BC50" i="134"/>
  <c r="BC38" i="134"/>
  <c r="AZ4" i="134"/>
  <c r="AE11" i="134"/>
  <c r="AE22" i="134"/>
  <c r="AE49" i="134"/>
  <c r="AE61" i="134"/>
  <c r="AE73" i="134"/>
  <c r="AI72" i="134"/>
  <c r="AI60" i="134"/>
  <c r="AI48" i="134"/>
  <c r="AI36" i="134"/>
  <c r="AI24" i="134"/>
  <c r="AI79" i="134"/>
  <c r="AI67" i="134"/>
  <c r="AI55" i="134"/>
  <c r="AI43" i="134"/>
  <c r="AI31" i="134"/>
  <c r="AI74" i="134"/>
  <c r="AI62" i="134"/>
  <c r="AI50" i="134"/>
  <c r="AI38" i="134"/>
  <c r="AI26" i="134"/>
  <c r="AI81" i="134"/>
  <c r="AI69" i="134"/>
  <c r="AI57" i="134"/>
  <c r="AI45" i="134"/>
  <c r="AI33" i="134"/>
  <c r="AI76" i="134"/>
  <c r="AI64" i="134"/>
  <c r="AI52" i="134"/>
  <c r="AI40" i="134"/>
  <c r="AI71" i="134"/>
  <c r="AI59" i="134"/>
  <c r="AI47" i="134"/>
  <c r="AI35" i="134"/>
  <c r="AI78" i="134"/>
  <c r="AI66" i="134"/>
  <c r="AI54" i="134"/>
  <c r="AI42" i="134"/>
  <c r="AI30" i="134"/>
  <c r="AI73" i="134"/>
  <c r="AI61" i="134"/>
  <c r="AI49" i="134"/>
  <c r="AI37" i="134"/>
  <c r="AI75" i="134"/>
  <c r="AI63" i="134"/>
  <c r="AI51" i="134"/>
  <c r="AI39" i="134"/>
  <c r="BG78" i="134"/>
  <c r="BG66" i="134"/>
  <c r="BG54" i="134"/>
  <c r="BG42" i="134"/>
  <c r="BG30" i="134"/>
  <c r="BG73" i="134"/>
  <c r="BG61" i="134"/>
  <c r="BG49" i="134"/>
  <c r="BG37" i="134"/>
  <c r="BG25" i="134"/>
  <c r="BG80" i="134"/>
  <c r="BG68" i="134"/>
  <c r="BG56" i="134"/>
  <c r="BG44" i="134"/>
  <c r="BG32" i="134"/>
  <c r="BG75" i="134"/>
  <c r="BG63" i="134"/>
  <c r="BG51" i="134"/>
  <c r="BG39" i="134"/>
  <c r="BG82" i="134"/>
  <c r="BG70" i="134"/>
  <c r="BG58" i="134"/>
  <c r="BG46" i="134"/>
  <c r="BG34" i="134"/>
  <c r="BG77" i="134"/>
  <c r="BG65" i="134"/>
  <c r="BG53" i="134"/>
  <c r="BG41" i="134"/>
  <c r="BG29" i="134"/>
  <c r="BG72" i="134"/>
  <c r="BG60" i="134"/>
  <c r="BG48" i="134"/>
  <c r="BG36" i="134"/>
  <c r="BG79" i="134"/>
  <c r="BG67" i="134"/>
  <c r="BG55" i="134"/>
  <c r="BG43" i="134"/>
  <c r="BG31" i="134"/>
  <c r="BG81" i="134"/>
  <c r="BG69" i="134"/>
  <c r="BG57" i="134"/>
  <c r="BG45" i="134"/>
  <c r="BG33" i="134"/>
  <c r="P5" i="134"/>
  <c r="S5" i="134" s="1"/>
  <c r="AN5" i="134"/>
  <c r="AQ5" i="134" s="1"/>
  <c r="BL5" i="134"/>
  <c r="BO5" i="134" s="1"/>
  <c r="R6" i="134"/>
  <c r="S6" i="134" s="1"/>
  <c r="AD6" i="134"/>
  <c r="AE6" i="134" s="1"/>
  <c r="AP6" i="134"/>
  <c r="AQ6" i="134" s="1"/>
  <c r="BB6" i="134"/>
  <c r="BC6" i="134" s="1"/>
  <c r="BN6" i="134"/>
  <c r="BO6" i="134" s="1"/>
  <c r="S7" i="134"/>
  <c r="BO7" i="134"/>
  <c r="BC10" i="134"/>
  <c r="AI11" i="134"/>
  <c r="BK12" i="134"/>
  <c r="AQ13" i="134"/>
  <c r="W14" i="134"/>
  <c r="BS14" i="134"/>
  <c r="AY15" i="134"/>
  <c r="AE16" i="134"/>
  <c r="BG17" i="134"/>
  <c r="AM18" i="134"/>
  <c r="S19" i="134"/>
  <c r="BO19" i="134"/>
  <c r="AY20" i="134"/>
  <c r="AI22" i="134"/>
  <c r="W23" i="134"/>
  <c r="BS24" i="134"/>
  <c r="BW25" i="134"/>
  <c r="AA27" i="134"/>
  <c r="AI28" i="134"/>
  <c r="AQ29" i="134"/>
  <c r="BS30" i="134"/>
  <c r="BW32" i="134"/>
  <c r="W35" i="134"/>
  <c r="BO37" i="134"/>
  <c r="S40" i="134"/>
  <c r="BK42" i="134"/>
  <c r="BW44" i="134"/>
  <c r="W47" i="134"/>
  <c r="BO49" i="134"/>
  <c r="S52" i="134"/>
  <c r="BK54" i="134"/>
  <c r="BW56" i="134"/>
  <c r="W59" i="134"/>
  <c r="BO61" i="134"/>
  <c r="S64" i="134"/>
  <c r="BK66" i="134"/>
  <c r="BW68" i="134"/>
  <c r="W71" i="134"/>
  <c r="BO73" i="134"/>
  <c r="S76" i="134"/>
  <c r="BW80" i="134"/>
  <c r="BC17" i="134"/>
  <c r="BC15" i="134"/>
  <c r="BC40" i="134"/>
  <c r="O73" i="134"/>
  <c r="O61" i="134"/>
  <c r="O49" i="134"/>
  <c r="O37" i="134"/>
  <c r="O25" i="134"/>
  <c r="O80" i="134"/>
  <c r="O68" i="134"/>
  <c r="O56" i="134"/>
  <c r="O44" i="134"/>
  <c r="O32" i="134"/>
  <c r="O75" i="134"/>
  <c r="O63" i="134"/>
  <c r="O51" i="134"/>
  <c r="O39" i="134"/>
  <c r="O27" i="134"/>
  <c r="O82" i="134"/>
  <c r="O70" i="134"/>
  <c r="O58" i="134"/>
  <c r="O46" i="134"/>
  <c r="O34" i="134"/>
  <c r="O77" i="134"/>
  <c r="O65" i="134"/>
  <c r="O53" i="134"/>
  <c r="O41" i="134"/>
  <c r="O72" i="134"/>
  <c r="O60" i="134"/>
  <c r="O48" i="134"/>
  <c r="O36" i="134"/>
  <c r="O79" i="134"/>
  <c r="O67" i="134"/>
  <c r="O55" i="134"/>
  <c r="O43" i="134"/>
  <c r="O31" i="134"/>
  <c r="O74" i="134"/>
  <c r="O62" i="134"/>
  <c r="O50" i="134"/>
  <c r="O38" i="134"/>
  <c r="O76" i="134"/>
  <c r="O64" i="134"/>
  <c r="O52" i="134"/>
  <c r="O40" i="134"/>
  <c r="AM79" i="134"/>
  <c r="AM67" i="134"/>
  <c r="AM55" i="134"/>
  <c r="AM43" i="134"/>
  <c r="AM31" i="134"/>
  <c r="AM74" i="134"/>
  <c r="AM62" i="134"/>
  <c r="AM50" i="134"/>
  <c r="AM38" i="134"/>
  <c r="AM26" i="134"/>
  <c r="AM81" i="134"/>
  <c r="AM69" i="134"/>
  <c r="AM57" i="134"/>
  <c r="AM45" i="134"/>
  <c r="AM33" i="134"/>
  <c r="AM76" i="134"/>
  <c r="AM64" i="134"/>
  <c r="AM52" i="134"/>
  <c r="AM40" i="134"/>
  <c r="AM71" i="134"/>
  <c r="AM59" i="134"/>
  <c r="AM47" i="134"/>
  <c r="AM35" i="134"/>
  <c r="AM78" i="134"/>
  <c r="AM66" i="134"/>
  <c r="AM54" i="134"/>
  <c r="AM42" i="134"/>
  <c r="AM30" i="134"/>
  <c r="AM73" i="134"/>
  <c r="AM61" i="134"/>
  <c r="AM49" i="134"/>
  <c r="AM37" i="134"/>
  <c r="AM25" i="134"/>
  <c r="AM80" i="134"/>
  <c r="AM68" i="134"/>
  <c r="AM56" i="134"/>
  <c r="AM44" i="134"/>
  <c r="AM32" i="134"/>
  <c r="AM82" i="134"/>
  <c r="AM70" i="134"/>
  <c r="AM58" i="134"/>
  <c r="AM46" i="134"/>
  <c r="AM34" i="134"/>
  <c r="BK73" i="134"/>
  <c r="BK61" i="134"/>
  <c r="BK49" i="134"/>
  <c r="BK37" i="134"/>
  <c r="BK25" i="134"/>
  <c r="BK80" i="134"/>
  <c r="BK68" i="134"/>
  <c r="BK56" i="134"/>
  <c r="BK44" i="134"/>
  <c r="BK32" i="134"/>
  <c r="BK20" i="134"/>
  <c r="BK75" i="134"/>
  <c r="BK63" i="134"/>
  <c r="BK51" i="134"/>
  <c r="BK39" i="134"/>
  <c r="BK27" i="134"/>
  <c r="BK82" i="134"/>
  <c r="BK70" i="134"/>
  <c r="BK58" i="134"/>
  <c r="BK46" i="134"/>
  <c r="BK34" i="134"/>
  <c r="BK77" i="134"/>
  <c r="BK65" i="134"/>
  <c r="BK53" i="134"/>
  <c r="BK41" i="134"/>
  <c r="BK29" i="134"/>
  <c r="BK72" i="134"/>
  <c r="BK60" i="134"/>
  <c r="BK48" i="134"/>
  <c r="BK36" i="134"/>
  <c r="BK24" i="134"/>
  <c r="BK79" i="134"/>
  <c r="BK67" i="134"/>
  <c r="BK55" i="134"/>
  <c r="BK43" i="134"/>
  <c r="BK31" i="134"/>
  <c r="BK74" i="134"/>
  <c r="BK62" i="134"/>
  <c r="BK50" i="134"/>
  <c r="BK38" i="134"/>
  <c r="BK76" i="134"/>
  <c r="BK64" i="134"/>
  <c r="BK52" i="134"/>
  <c r="BK40" i="134"/>
  <c r="BC8" i="134"/>
  <c r="AI9" i="134"/>
  <c r="O10" i="134"/>
  <c r="BK10" i="134"/>
  <c r="AQ11" i="134"/>
  <c r="AE14" i="134"/>
  <c r="BG15" i="134"/>
  <c r="AM16" i="134"/>
  <c r="S17" i="134"/>
  <c r="BO17" i="134"/>
  <c r="AU18" i="134"/>
  <c r="AA19" i="134"/>
  <c r="BW19" i="134"/>
  <c r="BG20" i="134"/>
  <c r="BC21" i="134"/>
  <c r="AQ22" i="134"/>
  <c r="AE23" i="134"/>
  <c r="S24" i="134"/>
  <c r="O26" i="134"/>
  <c r="AI27" i="134"/>
  <c r="BC28" i="134"/>
  <c r="AY29" i="134"/>
  <c r="O33" i="134"/>
  <c r="BK35" i="134"/>
  <c r="BG40" i="134"/>
  <c r="BW42" i="134"/>
  <c r="O45" i="134"/>
  <c r="BK47" i="134"/>
  <c r="BG52" i="134"/>
  <c r="BW54" i="134"/>
  <c r="O57" i="134"/>
  <c r="BK59" i="134"/>
  <c r="BG64" i="134"/>
  <c r="BW66" i="134"/>
  <c r="O69" i="134"/>
  <c r="BK71" i="134"/>
  <c r="BG76" i="134"/>
  <c r="BW78" i="134"/>
  <c r="O81" i="134"/>
  <c r="AZ6" i="134"/>
  <c r="BC12" i="134"/>
  <c r="AE21" i="134"/>
  <c r="AE37" i="134"/>
  <c r="BC20" i="134"/>
  <c r="L4" i="134"/>
  <c r="AJ4" i="134"/>
  <c r="BH4" i="134"/>
  <c r="U6" i="134"/>
  <c r="AG6" i="134"/>
  <c r="AS6" i="134"/>
  <c r="BE6" i="134"/>
  <c r="BQ6" i="134"/>
  <c r="AE7" i="134"/>
  <c r="BG8" i="134"/>
  <c r="AM9" i="134"/>
  <c r="S10" i="134"/>
  <c r="BO10" i="134"/>
  <c r="AU11" i="134"/>
  <c r="AA12" i="134"/>
  <c r="BW12" i="134"/>
  <c r="BC13" i="134"/>
  <c r="AI14" i="134"/>
  <c r="O15" i="134"/>
  <c r="BK15" i="134"/>
  <c r="AQ16" i="134"/>
  <c r="W17" i="134"/>
  <c r="BS17" i="134"/>
  <c r="AY18" i="134"/>
  <c r="AE19" i="134"/>
  <c r="BS20" i="134"/>
  <c r="BG21" i="134"/>
  <c r="AU22" i="134"/>
  <c r="AI23" i="134"/>
  <c r="W24" i="134"/>
  <c r="AA26" i="134"/>
  <c r="AM27" i="134"/>
  <c r="BG28" i="134"/>
  <c r="BO29" i="134"/>
  <c r="AY33" i="134"/>
  <c r="BS35" i="134"/>
  <c r="AU38" i="134"/>
  <c r="BO40" i="134"/>
  <c r="AY45" i="134"/>
  <c r="BS47" i="134"/>
  <c r="AU50" i="134"/>
  <c r="BO52" i="134"/>
  <c r="AY57" i="134"/>
  <c r="BS59" i="134"/>
  <c r="AU62" i="134"/>
  <c r="BO64" i="134"/>
  <c r="AY69" i="134"/>
  <c r="BS71" i="134"/>
  <c r="AU74" i="134"/>
  <c r="AY81" i="134"/>
  <c r="AE27" i="134"/>
  <c r="BC64" i="134"/>
  <c r="S80" i="134"/>
  <c r="S68" i="134"/>
  <c r="S56" i="134"/>
  <c r="S44" i="134"/>
  <c r="S32" i="134"/>
  <c r="S20" i="134"/>
  <c r="S75" i="134"/>
  <c r="S63" i="134"/>
  <c r="S51" i="134"/>
  <c r="S39" i="134"/>
  <c r="S27" i="134"/>
  <c r="S82" i="134"/>
  <c r="S70" i="134"/>
  <c r="S58" i="134"/>
  <c r="S46" i="134"/>
  <c r="S34" i="134"/>
  <c r="S77" i="134"/>
  <c r="S65" i="134"/>
  <c r="S53" i="134"/>
  <c r="S41" i="134"/>
  <c r="S72" i="134"/>
  <c r="S60" i="134"/>
  <c r="S48" i="134"/>
  <c r="S36" i="134"/>
  <c r="S79" i="134"/>
  <c r="S67" i="134"/>
  <c r="S55" i="134"/>
  <c r="S43" i="134"/>
  <c r="S31" i="134"/>
  <c r="S74" i="134"/>
  <c r="S62" i="134"/>
  <c r="S50" i="134"/>
  <c r="S38" i="134"/>
  <c r="S26" i="134"/>
  <c r="S81" i="134"/>
  <c r="S69" i="134"/>
  <c r="S57" i="134"/>
  <c r="S45" i="134"/>
  <c r="S33" i="134"/>
  <c r="S71" i="134"/>
  <c r="S59" i="134"/>
  <c r="S47" i="134"/>
  <c r="S35" i="134"/>
  <c r="AQ74" i="134"/>
  <c r="AQ62" i="134"/>
  <c r="AQ50" i="134"/>
  <c r="AQ38" i="134"/>
  <c r="AQ26" i="134"/>
  <c r="AQ81" i="134"/>
  <c r="AQ69" i="134"/>
  <c r="AQ57" i="134"/>
  <c r="AQ45" i="134"/>
  <c r="AQ33" i="134"/>
  <c r="AQ21" i="134"/>
  <c r="AQ76" i="134"/>
  <c r="AQ64" i="134"/>
  <c r="AQ52" i="134"/>
  <c r="AQ40" i="134"/>
  <c r="AQ28" i="134"/>
  <c r="AQ71" i="134"/>
  <c r="AQ59" i="134"/>
  <c r="AQ47" i="134"/>
  <c r="AQ35" i="134"/>
  <c r="AQ78" i="134"/>
  <c r="AQ66" i="134"/>
  <c r="AQ54" i="134"/>
  <c r="AQ42" i="134"/>
  <c r="AQ30" i="134"/>
  <c r="AQ73" i="134"/>
  <c r="AQ61" i="134"/>
  <c r="AQ49" i="134"/>
  <c r="AQ37" i="134"/>
  <c r="AQ25" i="134"/>
  <c r="AQ80" i="134"/>
  <c r="AQ68" i="134"/>
  <c r="AQ56" i="134"/>
  <c r="AQ44" i="134"/>
  <c r="AQ32" i="134"/>
  <c r="AQ75" i="134"/>
  <c r="AQ63" i="134"/>
  <c r="AQ51" i="134"/>
  <c r="AQ39" i="134"/>
  <c r="AQ77" i="134"/>
  <c r="AQ65" i="134"/>
  <c r="AQ53" i="134"/>
  <c r="AQ41" i="134"/>
  <c r="BO80" i="134"/>
  <c r="BO68" i="134"/>
  <c r="BO56" i="134"/>
  <c r="BO44" i="134"/>
  <c r="BO32" i="134"/>
  <c r="BO20" i="134"/>
  <c r="BO75" i="134"/>
  <c r="BO63" i="134"/>
  <c r="BO51" i="134"/>
  <c r="BO39" i="134"/>
  <c r="BO27" i="134"/>
  <c r="BO82" i="134"/>
  <c r="BO70" i="134"/>
  <c r="BO58" i="134"/>
  <c r="BO46" i="134"/>
  <c r="BO34" i="134"/>
  <c r="BO77" i="134"/>
  <c r="BO65" i="134"/>
  <c r="BO53" i="134"/>
  <c r="BO41" i="134"/>
  <c r="BO72" i="134"/>
  <c r="BO60" i="134"/>
  <c r="BO48" i="134"/>
  <c r="BO36" i="134"/>
  <c r="BO79" i="134"/>
  <c r="BO67" i="134"/>
  <c r="BO55" i="134"/>
  <c r="BO43" i="134"/>
  <c r="BO31" i="134"/>
  <c r="BO74" i="134"/>
  <c r="BO62" i="134"/>
  <c r="BO50" i="134"/>
  <c r="BO38" i="134"/>
  <c r="BO26" i="134"/>
  <c r="BO81" i="134"/>
  <c r="BO69" i="134"/>
  <c r="BO57" i="134"/>
  <c r="BO45" i="134"/>
  <c r="BO33" i="134"/>
  <c r="BO71" i="134"/>
  <c r="BO59" i="134"/>
  <c r="BO47" i="134"/>
  <c r="BO35" i="134"/>
  <c r="AH6" i="134"/>
  <c r="AI6" i="134" s="1"/>
  <c r="BF6" i="134"/>
  <c r="BG6" i="134" s="1"/>
  <c r="AI7" i="134"/>
  <c r="O8" i="134"/>
  <c r="BK8" i="134"/>
  <c r="AQ9" i="134"/>
  <c r="AE12" i="134"/>
  <c r="BG13" i="134"/>
  <c r="AM14" i="134"/>
  <c r="S15" i="134"/>
  <c r="BO15" i="134"/>
  <c r="AU16" i="134"/>
  <c r="AA17" i="134"/>
  <c r="BW17" i="134"/>
  <c r="BC18" i="134"/>
  <c r="AI19" i="134"/>
  <c r="O20" i="134"/>
  <c r="BW20" i="134"/>
  <c r="BK21" i="134"/>
  <c r="AY22" i="134"/>
  <c r="AM23" i="134"/>
  <c r="AA24" i="134"/>
  <c r="W25" i="134"/>
  <c r="AE26" i="134"/>
  <c r="AQ27" i="134"/>
  <c r="BK28" i="134"/>
  <c r="AU31" i="134"/>
  <c r="BC33" i="134"/>
  <c r="AY38" i="134"/>
  <c r="AQ43" i="134"/>
  <c r="BC45" i="134"/>
  <c r="AY50" i="134"/>
  <c r="AQ55" i="134"/>
  <c r="BC57" i="134"/>
  <c r="AY62" i="134"/>
  <c r="AQ67" i="134"/>
  <c r="BC69" i="134"/>
  <c r="AY74" i="134"/>
  <c r="AQ79" i="134"/>
  <c r="BC81" i="134"/>
  <c r="P4" i="134"/>
  <c r="AN4" i="134"/>
  <c r="BL4" i="134"/>
  <c r="AM7" i="134"/>
  <c r="S8" i="134"/>
  <c r="BO8" i="134"/>
  <c r="BC11" i="134"/>
  <c r="AI12" i="134"/>
  <c r="O13" i="134"/>
  <c r="BK13" i="134"/>
  <c r="AQ14" i="134"/>
  <c r="W15" i="134"/>
  <c r="AY16" i="134"/>
  <c r="BG18" i="134"/>
  <c r="AM19" i="134"/>
  <c r="BO21" i="134"/>
  <c r="BC22" i="134"/>
  <c r="AQ23" i="134"/>
  <c r="AM24" i="134"/>
  <c r="AA25" i="134"/>
  <c r="AU26" i="134"/>
  <c r="BC27" i="134"/>
  <c r="BO28" i="134"/>
  <c r="O30" i="134"/>
  <c r="AY31" i="134"/>
  <c r="BK33" i="134"/>
  <c r="AM36" i="134"/>
  <c r="BG38" i="134"/>
  <c r="AI41" i="134"/>
  <c r="AU43" i="134"/>
  <c r="BK45" i="134"/>
  <c r="AM48" i="134"/>
  <c r="BG50" i="134"/>
  <c r="AI53" i="134"/>
  <c r="AU55" i="134"/>
  <c r="BK57" i="134"/>
  <c r="AM60" i="134"/>
  <c r="BG62" i="134"/>
  <c r="AI65" i="134"/>
  <c r="AU67" i="134"/>
  <c r="BK69" i="134"/>
  <c r="AM72" i="134"/>
  <c r="BG74" i="134"/>
  <c r="AI77" i="134"/>
  <c r="BK81" i="134"/>
  <c r="AE77" i="134"/>
  <c r="AE65" i="134"/>
  <c r="AE53" i="134"/>
  <c r="AE41" i="134"/>
  <c r="AE29" i="134"/>
  <c r="AE72" i="134"/>
  <c r="AE60" i="134"/>
  <c r="AE48" i="134"/>
  <c r="AE36" i="134"/>
  <c r="AE24" i="134"/>
  <c r="AE79" i="134"/>
  <c r="AE67" i="134"/>
  <c r="AE55" i="134"/>
  <c r="AE43" i="134"/>
  <c r="AE31" i="134"/>
  <c r="AE74" i="134"/>
  <c r="AE62" i="134"/>
  <c r="AE50" i="134"/>
  <c r="AE38" i="134"/>
  <c r="AE81" i="134"/>
  <c r="AE69" i="134"/>
  <c r="AE57" i="134"/>
  <c r="AE45" i="134"/>
  <c r="AE33" i="134"/>
  <c r="AE76" i="134"/>
  <c r="AE64" i="134"/>
  <c r="AE52" i="134"/>
  <c r="AE40" i="134"/>
  <c r="AE28" i="134"/>
  <c r="AE71" i="134"/>
  <c r="AE59" i="134"/>
  <c r="AE47" i="134"/>
  <c r="AE35" i="134"/>
  <c r="AE78" i="134"/>
  <c r="AE66" i="134"/>
  <c r="AE54" i="134"/>
  <c r="AE42" i="134"/>
  <c r="AE80" i="134"/>
  <c r="AE68" i="134"/>
  <c r="AE56" i="134"/>
  <c r="AE44" i="134"/>
  <c r="AE32" i="134"/>
  <c r="AE18" i="134"/>
  <c r="AC6" i="134"/>
  <c r="W75" i="134"/>
  <c r="W63" i="134"/>
  <c r="W51" i="134"/>
  <c r="W39" i="134"/>
  <c r="W27" i="134"/>
  <c r="W82" i="134"/>
  <c r="W70" i="134"/>
  <c r="W58" i="134"/>
  <c r="W46" i="134"/>
  <c r="W34" i="134"/>
  <c r="W22" i="134"/>
  <c r="W77" i="134"/>
  <c r="W65" i="134"/>
  <c r="W53" i="134"/>
  <c r="W41" i="134"/>
  <c r="W29" i="134"/>
  <c r="W72" i="134"/>
  <c r="W60" i="134"/>
  <c r="W48" i="134"/>
  <c r="W36" i="134"/>
  <c r="W79" i="134"/>
  <c r="W67" i="134"/>
  <c r="W55" i="134"/>
  <c r="W43" i="134"/>
  <c r="W31" i="134"/>
  <c r="W74" i="134"/>
  <c r="W62" i="134"/>
  <c r="W50" i="134"/>
  <c r="W38" i="134"/>
  <c r="W26" i="134"/>
  <c r="W81" i="134"/>
  <c r="W69" i="134"/>
  <c r="W57" i="134"/>
  <c r="W45" i="134"/>
  <c r="W33" i="134"/>
  <c r="W76" i="134"/>
  <c r="W64" i="134"/>
  <c r="W52" i="134"/>
  <c r="W40" i="134"/>
  <c r="W78" i="134"/>
  <c r="W66" i="134"/>
  <c r="W54" i="134"/>
  <c r="W42" i="134"/>
  <c r="AU81" i="134"/>
  <c r="AU69" i="134"/>
  <c r="AU57" i="134"/>
  <c r="AU45" i="134"/>
  <c r="AU33" i="134"/>
  <c r="AU21" i="134"/>
  <c r="AU76" i="134"/>
  <c r="AU64" i="134"/>
  <c r="AU52" i="134"/>
  <c r="AU40" i="134"/>
  <c r="AU28" i="134"/>
  <c r="AU71" i="134"/>
  <c r="AU59" i="134"/>
  <c r="AU47" i="134"/>
  <c r="AU35" i="134"/>
  <c r="AU78" i="134"/>
  <c r="AU66" i="134"/>
  <c r="AU54" i="134"/>
  <c r="AU42" i="134"/>
  <c r="AU30" i="134"/>
  <c r="AU73" i="134"/>
  <c r="AU61" i="134"/>
  <c r="AU49" i="134"/>
  <c r="AU37" i="134"/>
  <c r="AU80" i="134"/>
  <c r="AU68" i="134"/>
  <c r="AU56" i="134"/>
  <c r="AU44" i="134"/>
  <c r="AU32" i="134"/>
  <c r="AU75" i="134"/>
  <c r="AU63" i="134"/>
  <c r="AU51" i="134"/>
  <c r="AU39" i="134"/>
  <c r="AU27" i="134"/>
  <c r="AU82" i="134"/>
  <c r="AU70" i="134"/>
  <c r="AU58" i="134"/>
  <c r="AU46" i="134"/>
  <c r="AU34" i="134"/>
  <c r="AU72" i="134"/>
  <c r="AU60" i="134"/>
  <c r="AU48" i="134"/>
  <c r="AU36" i="134"/>
  <c r="BS75" i="134"/>
  <c r="BS63" i="134"/>
  <c r="BS51" i="134"/>
  <c r="BS39" i="134"/>
  <c r="BS27" i="134"/>
  <c r="BS82" i="134"/>
  <c r="BS70" i="134"/>
  <c r="BS58" i="134"/>
  <c r="BS46" i="134"/>
  <c r="BS34" i="134"/>
  <c r="BS22" i="134"/>
  <c r="BS77" i="134"/>
  <c r="BS65" i="134"/>
  <c r="BS53" i="134"/>
  <c r="BS41" i="134"/>
  <c r="BS29" i="134"/>
  <c r="BS72" i="134"/>
  <c r="BS60" i="134"/>
  <c r="BS48" i="134"/>
  <c r="BS36" i="134"/>
  <c r="BS79" i="134"/>
  <c r="BS67" i="134"/>
  <c r="BS55" i="134"/>
  <c r="BS43" i="134"/>
  <c r="BS31" i="134"/>
  <c r="BS74" i="134"/>
  <c r="BS62" i="134"/>
  <c r="BS50" i="134"/>
  <c r="BS38" i="134"/>
  <c r="BS26" i="134"/>
  <c r="BS81" i="134"/>
  <c r="BS69" i="134"/>
  <c r="BS57" i="134"/>
  <c r="BS45" i="134"/>
  <c r="BS33" i="134"/>
  <c r="BS76" i="134"/>
  <c r="BS64" i="134"/>
  <c r="BS52" i="134"/>
  <c r="BS40" i="134"/>
  <c r="BS78" i="134"/>
  <c r="BS66" i="134"/>
  <c r="BS54" i="134"/>
  <c r="BS42" i="134"/>
  <c r="AB5" i="134"/>
  <c r="AE5" i="134" s="1"/>
  <c r="AZ5" i="134"/>
  <c r="BC5" i="134" s="1"/>
  <c r="L6" i="134"/>
  <c r="X6" i="134"/>
  <c r="AJ6" i="134"/>
  <c r="AV6" i="134"/>
  <c r="BH6" i="134"/>
  <c r="BT6" i="134"/>
  <c r="AQ7" i="134"/>
  <c r="W8" i="134"/>
  <c r="BS8" i="134"/>
  <c r="AY9" i="134"/>
  <c r="AE10" i="134"/>
  <c r="BG11" i="134"/>
  <c r="AM12" i="134"/>
  <c r="S13" i="134"/>
  <c r="BO13" i="134"/>
  <c r="AU14" i="134"/>
  <c r="AA15" i="134"/>
  <c r="BW15" i="134"/>
  <c r="BC16" i="134"/>
  <c r="AI17" i="134"/>
  <c r="O18" i="134"/>
  <c r="BK18" i="134"/>
  <c r="AQ19" i="134"/>
  <c r="AA20" i="134"/>
  <c r="O21" i="134"/>
  <c r="BS21" i="134"/>
  <c r="BG22" i="134"/>
  <c r="AU23" i="134"/>
  <c r="AQ24" i="134"/>
  <c r="AE25" i="134"/>
  <c r="AY26" i="134"/>
  <c r="BG27" i="134"/>
  <c r="BS28" i="134"/>
  <c r="S30" i="134"/>
  <c r="BC31" i="134"/>
  <c r="AQ36" i="134"/>
  <c r="AM41" i="134"/>
  <c r="BC43" i="134"/>
  <c r="AQ48" i="134"/>
  <c r="AM53" i="134"/>
  <c r="BC55" i="134"/>
  <c r="AQ60" i="134"/>
  <c r="AM65" i="134"/>
  <c r="BC67" i="134"/>
  <c r="AQ72" i="134"/>
  <c r="AM77" i="134"/>
  <c r="BC79" i="134"/>
  <c r="AB6" i="134"/>
  <c r="AB4" i="134"/>
  <c r="M6" i="134"/>
  <c r="AK6" i="134"/>
  <c r="BI6" i="134"/>
  <c r="BC9" i="134"/>
  <c r="AI10" i="134"/>
  <c r="O11" i="134"/>
  <c r="BK11" i="134"/>
  <c r="AQ12" i="134"/>
  <c r="W13" i="134"/>
  <c r="BS13" i="134"/>
  <c r="AY14" i="134"/>
  <c r="AE15" i="134"/>
  <c r="BG16" i="134"/>
  <c r="AM17" i="134"/>
  <c r="S18" i="134"/>
  <c r="BO18" i="134"/>
  <c r="AU19" i="134"/>
  <c r="AE20" i="134"/>
  <c r="S21" i="134"/>
  <c r="BW21" i="134"/>
  <c r="BK22" i="134"/>
  <c r="BG23" i="134"/>
  <c r="AU24" i="134"/>
  <c r="AI25" i="134"/>
  <c r="BC26" i="134"/>
  <c r="W30" i="134"/>
  <c r="AE34" i="134"/>
  <c r="AY36" i="134"/>
  <c r="AA39" i="134"/>
  <c r="AU41" i="134"/>
  <c r="AE46" i="134"/>
  <c r="AY48" i="134"/>
  <c r="AA51" i="134"/>
  <c r="AU53" i="134"/>
  <c r="AE58" i="134"/>
  <c r="AY60" i="134"/>
  <c r="AA63" i="134"/>
  <c r="AU65" i="134"/>
  <c r="AE70" i="134"/>
  <c r="AU77" i="134"/>
  <c r="AE82" i="134"/>
  <c r="BC76" i="134"/>
  <c r="AA82" i="134"/>
  <c r="AA70" i="134"/>
  <c r="AA58" i="134"/>
  <c r="AA46" i="134"/>
  <c r="AA34" i="134"/>
  <c r="AA22" i="134"/>
  <c r="AA77" i="134"/>
  <c r="AA65" i="134"/>
  <c r="AA53" i="134"/>
  <c r="AA41" i="134"/>
  <c r="AA29" i="134"/>
  <c r="AA72" i="134"/>
  <c r="AA60" i="134"/>
  <c r="AA48" i="134"/>
  <c r="AA36" i="134"/>
  <c r="AA79" i="134"/>
  <c r="AA67" i="134"/>
  <c r="AA55" i="134"/>
  <c r="AA43" i="134"/>
  <c r="AA31" i="134"/>
  <c r="AA74" i="134"/>
  <c r="AA62" i="134"/>
  <c r="AA50" i="134"/>
  <c r="AA38" i="134"/>
  <c r="AA81" i="134"/>
  <c r="AA69" i="134"/>
  <c r="AA57" i="134"/>
  <c r="AA45" i="134"/>
  <c r="AA33" i="134"/>
  <c r="AA76" i="134"/>
  <c r="AA64" i="134"/>
  <c r="AA52" i="134"/>
  <c r="AA40" i="134"/>
  <c r="AA28" i="134"/>
  <c r="AA71" i="134"/>
  <c r="AA59" i="134"/>
  <c r="AA47" i="134"/>
  <c r="AA35" i="134"/>
  <c r="AA73" i="134"/>
  <c r="AA61" i="134"/>
  <c r="AA49" i="134"/>
  <c r="AA37" i="134"/>
  <c r="AY76" i="134"/>
  <c r="AY64" i="134"/>
  <c r="AY52" i="134"/>
  <c r="AY40" i="134"/>
  <c r="AY28" i="134"/>
  <c r="AY71" i="134"/>
  <c r="AY59" i="134"/>
  <c r="AY47" i="134"/>
  <c r="AY35" i="134"/>
  <c r="AY23" i="134"/>
  <c r="AY78" i="134"/>
  <c r="AY66" i="134"/>
  <c r="AY54" i="134"/>
  <c r="AY42" i="134"/>
  <c r="AY30" i="134"/>
  <c r="AY73" i="134"/>
  <c r="AY61" i="134"/>
  <c r="AY49" i="134"/>
  <c r="AY37" i="134"/>
  <c r="AY80" i="134"/>
  <c r="AY68" i="134"/>
  <c r="AY56" i="134"/>
  <c r="AY44" i="134"/>
  <c r="AY32" i="134"/>
  <c r="AY75" i="134"/>
  <c r="AY63" i="134"/>
  <c r="AY51" i="134"/>
  <c r="AY39" i="134"/>
  <c r="AY27" i="134"/>
  <c r="AY82" i="134"/>
  <c r="AY70" i="134"/>
  <c r="AY58" i="134"/>
  <c r="AY46" i="134"/>
  <c r="AY34" i="134"/>
  <c r="AY77" i="134"/>
  <c r="AY65" i="134"/>
  <c r="AY53" i="134"/>
  <c r="AY41" i="134"/>
  <c r="AY79" i="134"/>
  <c r="AY67" i="134"/>
  <c r="AY55" i="134"/>
  <c r="AY43" i="134"/>
  <c r="BW82" i="134"/>
  <c r="BW70" i="134"/>
  <c r="BW58" i="134"/>
  <c r="BW46" i="134"/>
  <c r="BW34" i="134"/>
  <c r="BW22" i="134"/>
  <c r="BW77" i="134"/>
  <c r="BW65" i="134"/>
  <c r="BW53" i="134"/>
  <c r="BW41" i="134"/>
  <c r="BW29" i="134"/>
  <c r="BW72" i="134"/>
  <c r="BW60" i="134"/>
  <c r="BW48" i="134"/>
  <c r="BW36" i="134"/>
  <c r="BW79" i="134"/>
  <c r="BW67" i="134"/>
  <c r="BW55" i="134"/>
  <c r="BW43" i="134"/>
  <c r="BW31" i="134"/>
  <c r="BW74" i="134"/>
  <c r="BW62" i="134"/>
  <c r="BW50" i="134"/>
  <c r="BW38" i="134"/>
  <c r="BW81" i="134"/>
  <c r="BW69" i="134"/>
  <c r="BW57" i="134"/>
  <c r="BW45" i="134"/>
  <c r="BW33" i="134"/>
  <c r="BW76" i="134"/>
  <c r="BW64" i="134"/>
  <c r="BW52" i="134"/>
  <c r="BW40" i="134"/>
  <c r="BW28" i="134"/>
  <c r="BW71" i="134"/>
  <c r="BW59" i="134"/>
  <c r="BW47" i="134"/>
  <c r="BW35" i="134"/>
  <c r="BW73" i="134"/>
  <c r="BW61" i="134"/>
  <c r="BW49" i="134"/>
  <c r="BW37" i="134"/>
  <c r="AF5" i="134"/>
  <c r="AI5" i="134" s="1"/>
  <c r="BD5" i="134"/>
  <c r="BG5" i="134" s="1"/>
  <c r="N6" i="134"/>
  <c r="O6" i="134" s="1"/>
  <c r="Z6" i="134"/>
  <c r="AA6" i="134" s="1"/>
  <c r="AL6" i="134"/>
  <c r="AM6" i="134" s="1"/>
  <c r="AX6" i="134"/>
  <c r="AY6" i="134" s="1"/>
  <c r="BJ6" i="134"/>
  <c r="BK6" i="134" s="1"/>
  <c r="BV6" i="134"/>
  <c r="BW6" i="134" s="1"/>
  <c r="AY7" i="134"/>
  <c r="AE8" i="134"/>
  <c r="BG9" i="134"/>
  <c r="AM10" i="134"/>
  <c r="S11" i="134"/>
  <c r="BO11" i="134"/>
  <c r="AU12" i="134"/>
  <c r="AA13" i="134"/>
  <c r="BW13" i="134"/>
  <c r="BC14" i="134"/>
  <c r="AI15" i="134"/>
  <c r="O16" i="134"/>
  <c r="BK16" i="134"/>
  <c r="AQ17" i="134"/>
  <c r="W18" i="134"/>
  <c r="BS18" i="134"/>
  <c r="AY19" i="134"/>
  <c r="AI20" i="134"/>
  <c r="W21" i="134"/>
  <c r="BO22" i="134"/>
  <c r="BK23" i="134"/>
  <c r="AY24" i="134"/>
  <c r="AU25" i="134"/>
  <c r="BG26" i="134"/>
  <c r="O29" i="134"/>
  <c r="AA30" i="134"/>
  <c r="W32" i="134"/>
  <c r="AI34" i="134"/>
  <c r="AE39" i="134"/>
  <c r="W44" i="134"/>
  <c r="AI46" i="134"/>
  <c r="AE51" i="134"/>
  <c r="W56" i="134"/>
  <c r="AI58" i="134"/>
  <c r="AE63" i="134"/>
  <c r="W68" i="134"/>
  <c r="AI70" i="134"/>
  <c r="AE75" i="134"/>
  <c r="W80" i="134"/>
  <c r="AI82" i="134"/>
  <c r="BA6" i="134"/>
  <c r="AE9" i="134"/>
  <c r="BC52" i="134"/>
  <c r="X4" i="134"/>
  <c r="AV4" i="134"/>
  <c r="BT4" i="134"/>
  <c r="BC7" i="134"/>
  <c r="AI8" i="134"/>
  <c r="O9" i="134"/>
  <c r="BK9" i="134"/>
  <c r="AQ10" i="134"/>
  <c r="W11" i="134"/>
  <c r="BS11" i="134"/>
  <c r="AY12" i="134"/>
  <c r="AE13" i="134"/>
  <c r="BG14" i="134"/>
  <c r="AM15" i="134"/>
  <c r="S16" i="134"/>
  <c r="BO16" i="134"/>
  <c r="AU17" i="134"/>
  <c r="AA18" i="134"/>
  <c r="BW18" i="134"/>
  <c r="BC19" i="134"/>
  <c r="AM20" i="134"/>
  <c r="AA21" i="134"/>
  <c r="O22" i="134"/>
  <c r="BO23" i="134"/>
  <c r="BC24" i="134"/>
  <c r="AY25" i="134"/>
  <c r="BK26" i="134"/>
  <c r="O28" i="134"/>
  <c r="S29" i="134"/>
  <c r="AE30" i="134"/>
  <c r="AA32" i="134"/>
  <c r="AQ34" i="134"/>
  <c r="S37" i="134"/>
  <c r="AM39" i="134"/>
  <c r="O42" i="134"/>
  <c r="AA44" i="134"/>
  <c r="AQ46" i="134"/>
  <c r="S49" i="134"/>
  <c r="AM51" i="134"/>
  <c r="O54" i="134"/>
  <c r="AA56" i="134"/>
  <c r="AQ58" i="134"/>
  <c r="S61" i="134"/>
  <c r="AM63" i="134"/>
  <c r="O66" i="134"/>
  <c r="AA68" i="134"/>
  <c r="AQ70" i="134"/>
  <c r="S73" i="134"/>
  <c r="AM75" i="134"/>
  <c r="O78" i="134"/>
  <c r="AA80" i="134"/>
  <c r="AQ82" i="134"/>
  <c r="BK10" i="133"/>
  <c r="W7" i="133"/>
  <c r="BS7" i="133"/>
  <c r="AE9" i="133"/>
  <c r="AM11" i="133"/>
  <c r="S12" i="133"/>
  <c r="BO12" i="133"/>
  <c r="AU13" i="133"/>
  <c r="BC15" i="133"/>
  <c r="O17" i="133"/>
  <c r="BK17" i="133"/>
  <c r="AQ18" i="133"/>
  <c r="W19" i="133"/>
  <c r="AQ21" i="133"/>
  <c r="AA22" i="133"/>
  <c r="BS23" i="133"/>
  <c r="AY25" i="133"/>
  <c r="AM26" i="133"/>
  <c r="AA27" i="133"/>
  <c r="O28" i="133"/>
  <c r="BS28" i="133"/>
  <c r="AY30" i="133"/>
  <c r="AY31" i="133"/>
  <c r="BC32" i="133"/>
  <c r="BC34" i="133"/>
  <c r="BG35" i="133"/>
  <c r="BS36" i="133"/>
  <c r="BW37" i="133"/>
  <c r="W39" i="133"/>
  <c r="AA40" i="133"/>
  <c r="AI41" i="133"/>
  <c r="AY42" i="133"/>
  <c r="BC43" i="133"/>
  <c r="BS44" i="133"/>
  <c r="O46" i="133"/>
  <c r="W47" i="133"/>
  <c r="AM48" i="133"/>
  <c r="AY49" i="133"/>
  <c r="AQ52" i="133"/>
  <c r="O54" i="133"/>
  <c r="AU62" i="133"/>
  <c r="AQ67" i="133"/>
  <c r="L4" i="133"/>
  <c r="AJ4" i="133"/>
  <c r="BH4" i="133"/>
  <c r="U6" i="133"/>
  <c r="AS6" i="133"/>
  <c r="BQ6" i="133"/>
  <c r="AE7" i="133"/>
  <c r="AM9" i="133"/>
  <c r="S10" i="133"/>
  <c r="BO10" i="133"/>
  <c r="AU11" i="133"/>
  <c r="BC13" i="133"/>
  <c r="O15" i="133"/>
  <c r="BK15" i="133"/>
  <c r="AQ16" i="133"/>
  <c r="W17" i="133"/>
  <c r="BS17" i="133"/>
  <c r="AE19" i="133"/>
  <c r="O20" i="133"/>
  <c r="BO20" i="133"/>
  <c r="AM22" i="133"/>
  <c r="W23" i="133"/>
  <c r="BS24" i="133"/>
  <c r="AU26" i="133"/>
  <c r="AM27" i="133"/>
  <c r="W28" i="133"/>
  <c r="BS29" i="133"/>
  <c r="BK30" i="133"/>
  <c r="BK31" i="133"/>
  <c r="BO32" i="133"/>
  <c r="BS33" i="133"/>
  <c r="BO34" i="133"/>
  <c r="BS35" i="133"/>
  <c r="S38" i="133"/>
  <c r="AQ40" i="133"/>
  <c r="AU41" i="133"/>
  <c r="BK42" i="133"/>
  <c r="BW43" i="133"/>
  <c r="O45" i="133"/>
  <c r="AA46" i="133"/>
  <c r="AQ47" i="133"/>
  <c r="AY48" i="133"/>
  <c r="BK49" i="133"/>
  <c r="W51" i="133"/>
  <c r="BC52" i="133"/>
  <c r="AY54" i="133"/>
  <c r="AA63" i="133"/>
  <c r="W68" i="133"/>
  <c r="BK78" i="133"/>
  <c r="BO80" i="133"/>
  <c r="BO68" i="133"/>
  <c r="BO56" i="133"/>
  <c r="BO75" i="133"/>
  <c r="BO63" i="133"/>
  <c r="BO51" i="133"/>
  <c r="BO39" i="133"/>
  <c r="BO82" i="133"/>
  <c r="BO70" i="133"/>
  <c r="BO58" i="133"/>
  <c r="BO77" i="133"/>
  <c r="BO65" i="133"/>
  <c r="BO53" i="133"/>
  <c r="BO72" i="133"/>
  <c r="BO60" i="133"/>
  <c r="BO48" i="133"/>
  <c r="BO36" i="133"/>
  <c r="BO24" i="133"/>
  <c r="BO79" i="133"/>
  <c r="BO67" i="133"/>
  <c r="BO55" i="133"/>
  <c r="BO43" i="133"/>
  <c r="BO74" i="133"/>
  <c r="BO62" i="133"/>
  <c r="BO50" i="133"/>
  <c r="BO81" i="133"/>
  <c r="BO69" i="133"/>
  <c r="BO57" i="133"/>
  <c r="BO45" i="133"/>
  <c r="BO33" i="133"/>
  <c r="BO76" i="133"/>
  <c r="BO64" i="133"/>
  <c r="BO52" i="133"/>
  <c r="BO71" i="133"/>
  <c r="BO59" i="133"/>
  <c r="BO78" i="133"/>
  <c r="BO66" i="133"/>
  <c r="BO54" i="133"/>
  <c r="BO42" i="133"/>
  <c r="BO30" i="133"/>
  <c r="AT6" i="133"/>
  <c r="AU6" i="133" s="1"/>
  <c r="BR6" i="133"/>
  <c r="BS6" i="133" s="1"/>
  <c r="O8" i="133"/>
  <c r="BK8" i="133"/>
  <c r="AQ9" i="133"/>
  <c r="W10" i="133"/>
  <c r="BS10" i="133"/>
  <c r="AE12" i="133"/>
  <c r="AM14" i="133"/>
  <c r="S15" i="133"/>
  <c r="BO15" i="133"/>
  <c r="AU16" i="133"/>
  <c r="BC18" i="133"/>
  <c r="S20" i="133"/>
  <c r="BS20" i="133"/>
  <c r="AQ22" i="133"/>
  <c r="O24" i="133"/>
  <c r="BK25" i="133"/>
  <c r="BC26" i="133"/>
  <c r="BS30" i="133"/>
  <c r="BO31" i="133"/>
  <c r="BS32" i="133"/>
  <c r="O37" i="133"/>
  <c r="AE38" i="133"/>
  <c r="AM39" i="133"/>
  <c r="BC41" i="133"/>
  <c r="BS42" i="133"/>
  <c r="W45" i="133"/>
  <c r="AE46" i="133"/>
  <c r="AU47" i="133"/>
  <c r="BO49" i="133"/>
  <c r="AA51" i="133"/>
  <c r="BK52" i="133"/>
  <c r="BK54" i="133"/>
  <c r="AE58" i="133"/>
  <c r="BW63" i="133"/>
  <c r="BS68" i="133"/>
  <c r="AM16" i="133"/>
  <c r="BK24" i="133"/>
  <c r="BK33" i="133"/>
  <c r="BK34" i="133"/>
  <c r="BK43" i="133"/>
  <c r="O78" i="133"/>
  <c r="S80" i="133"/>
  <c r="S68" i="133"/>
  <c r="S56" i="133"/>
  <c r="S75" i="133"/>
  <c r="S63" i="133"/>
  <c r="S51" i="133"/>
  <c r="S39" i="133"/>
  <c r="S82" i="133"/>
  <c r="S70" i="133"/>
  <c r="S58" i="133"/>
  <c r="S77" i="133"/>
  <c r="S65" i="133"/>
  <c r="S72" i="133"/>
  <c r="S60" i="133"/>
  <c r="S48" i="133"/>
  <c r="S36" i="133"/>
  <c r="S24" i="133"/>
  <c r="S79" i="133"/>
  <c r="S67" i="133"/>
  <c r="S55" i="133"/>
  <c r="S43" i="133"/>
  <c r="S74" i="133"/>
  <c r="S62" i="133"/>
  <c r="S81" i="133"/>
  <c r="S69" i="133"/>
  <c r="S57" i="133"/>
  <c r="S45" i="133"/>
  <c r="S33" i="133"/>
  <c r="S76" i="133"/>
  <c r="S64" i="133"/>
  <c r="S52" i="133"/>
  <c r="S71" i="133"/>
  <c r="S59" i="133"/>
  <c r="S78" i="133"/>
  <c r="S66" i="133"/>
  <c r="S54" i="133"/>
  <c r="S42" i="133"/>
  <c r="S30" i="133"/>
  <c r="AQ74" i="133"/>
  <c r="AQ62" i="133"/>
  <c r="AQ81" i="133"/>
  <c r="AQ69" i="133"/>
  <c r="AQ57" i="133"/>
  <c r="AQ45" i="133"/>
  <c r="AQ33" i="133"/>
  <c r="AQ76" i="133"/>
  <c r="AQ64" i="133"/>
  <c r="AQ71" i="133"/>
  <c r="AQ59" i="133"/>
  <c r="AQ78" i="133"/>
  <c r="AQ66" i="133"/>
  <c r="AQ54" i="133"/>
  <c r="AQ42" i="133"/>
  <c r="AQ30" i="133"/>
  <c r="AQ73" i="133"/>
  <c r="AQ61" i="133"/>
  <c r="AQ49" i="133"/>
  <c r="AQ37" i="133"/>
  <c r="AQ80" i="133"/>
  <c r="AQ68" i="133"/>
  <c r="AQ56" i="133"/>
  <c r="AQ75" i="133"/>
  <c r="AQ63" i="133"/>
  <c r="AQ51" i="133"/>
  <c r="AQ39" i="133"/>
  <c r="AQ82" i="133"/>
  <c r="AQ70" i="133"/>
  <c r="AQ58" i="133"/>
  <c r="AQ77" i="133"/>
  <c r="AQ65" i="133"/>
  <c r="AQ72" i="133"/>
  <c r="AQ60" i="133"/>
  <c r="AQ48" i="133"/>
  <c r="AQ36" i="133"/>
  <c r="AQ24" i="133"/>
  <c r="V6" i="133"/>
  <c r="W6" i="133" s="1"/>
  <c r="P4" i="133"/>
  <c r="AN4" i="133"/>
  <c r="BL4" i="133"/>
  <c r="AM7" i="133"/>
  <c r="S8" i="133"/>
  <c r="BO8" i="133"/>
  <c r="AU9" i="133"/>
  <c r="AA10" i="133"/>
  <c r="BW10" i="133"/>
  <c r="BC11" i="133"/>
  <c r="AI12" i="133"/>
  <c r="O13" i="133"/>
  <c r="BK13" i="133"/>
  <c r="AQ14" i="133"/>
  <c r="W15" i="133"/>
  <c r="BS15" i="133"/>
  <c r="AY16" i="133"/>
  <c r="AE17" i="133"/>
  <c r="BG18" i="133"/>
  <c r="AM19" i="133"/>
  <c r="W20" i="133"/>
  <c r="BK21" i="133"/>
  <c r="AU22" i="133"/>
  <c r="AE23" i="133"/>
  <c r="W24" i="133"/>
  <c r="BO25" i="133"/>
  <c r="BG26" i="133"/>
  <c r="AU27" i="133"/>
  <c r="AE28" i="133"/>
  <c r="BW30" i="133"/>
  <c r="BW31" i="133"/>
  <c r="O36" i="133"/>
  <c r="S37" i="133"/>
  <c r="AI38" i="133"/>
  <c r="AU39" i="133"/>
  <c r="BC40" i="133"/>
  <c r="BO41" i="133"/>
  <c r="BW42" i="133"/>
  <c r="S44" i="133"/>
  <c r="AI45" i="133"/>
  <c r="AM46" i="133"/>
  <c r="BC47" i="133"/>
  <c r="BS48" i="133"/>
  <c r="BW49" i="133"/>
  <c r="AI51" i="133"/>
  <c r="AQ79" i="133"/>
  <c r="W75" i="133"/>
  <c r="W63" i="133"/>
  <c r="W82" i="133"/>
  <c r="W70" i="133"/>
  <c r="W58" i="133"/>
  <c r="W46" i="133"/>
  <c r="W34" i="133"/>
  <c r="W77" i="133"/>
  <c r="W65" i="133"/>
  <c r="W72" i="133"/>
  <c r="W60" i="133"/>
  <c r="W79" i="133"/>
  <c r="W67" i="133"/>
  <c r="W55" i="133"/>
  <c r="W43" i="133"/>
  <c r="W31" i="133"/>
  <c r="W74" i="133"/>
  <c r="W62" i="133"/>
  <c r="W50" i="133"/>
  <c r="W38" i="133"/>
  <c r="W81" i="133"/>
  <c r="W69" i="133"/>
  <c r="W57" i="133"/>
  <c r="W76" i="133"/>
  <c r="W64" i="133"/>
  <c r="W52" i="133"/>
  <c r="W40" i="133"/>
  <c r="W71" i="133"/>
  <c r="W59" i="133"/>
  <c r="W78" i="133"/>
  <c r="W66" i="133"/>
  <c r="W73" i="133"/>
  <c r="W61" i="133"/>
  <c r="W49" i="133"/>
  <c r="W37" i="133"/>
  <c r="W25" i="133"/>
  <c r="AU81" i="133"/>
  <c r="AU69" i="133"/>
  <c r="AU57" i="133"/>
  <c r="AU76" i="133"/>
  <c r="AU64" i="133"/>
  <c r="AU52" i="133"/>
  <c r="AU40" i="133"/>
  <c r="AU71" i="133"/>
  <c r="AU59" i="133"/>
  <c r="AU78" i="133"/>
  <c r="AU66" i="133"/>
  <c r="AU54" i="133"/>
  <c r="AU73" i="133"/>
  <c r="AU61" i="133"/>
  <c r="AU49" i="133"/>
  <c r="AU37" i="133"/>
  <c r="AU25" i="133"/>
  <c r="AU80" i="133"/>
  <c r="AU68" i="133"/>
  <c r="AU56" i="133"/>
  <c r="AU44" i="133"/>
  <c r="AU75" i="133"/>
  <c r="AU63" i="133"/>
  <c r="AU51" i="133"/>
  <c r="AU82" i="133"/>
  <c r="AU70" i="133"/>
  <c r="AU58" i="133"/>
  <c r="AU46" i="133"/>
  <c r="AU34" i="133"/>
  <c r="AU77" i="133"/>
  <c r="AU65" i="133"/>
  <c r="AU53" i="133"/>
  <c r="AU72" i="133"/>
  <c r="AU60" i="133"/>
  <c r="AU79" i="133"/>
  <c r="AU67" i="133"/>
  <c r="AU55" i="133"/>
  <c r="AU43" i="133"/>
  <c r="AU31" i="133"/>
  <c r="AU19" i="133"/>
  <c r="BS75" i="133"/>
  <c r="BS63" i="133"/>
  <c r="BS82" i="133"/>
  <c r="BS70" i="133"/>
  <c r="BS58" i="133"/>
  <c r="BS46" i="133"/>
  <c r="BS34" i="133"/>
  <c r="BS77" i="133"/>
  <c r="BS65" i="133"/>
  <c r="BS72" i="133"/>
  <c r="BS60" i="133"/>
  <c r="BS79" i="133"/>
  <c r="BS67" i="133"/>
  <c r="BS55" i="133"/>
  <c r="BS43" i="133"/>
  <c r="BS31" i="133"/>
  <c r="BS74" i="133"/>
  <c r="BS62" i="133"/>
  <c r="BS50" i="133"/>
  <c r="BS38" i="133"/>
  <c r="BS81" i="133"/>
  <c r="BS69" i="133"/>
  <c r="BS57" i="133"/>
  <c r="BS76" i="133"/>
  <c r="BS64" i="133"/>
  <c r="BS52" i="133"/>
  <c r="BS40" i="133"/>
  <c r="BS71" i="133"/>
  <c r="BS59" i="133"/>
  <c r="BS78" i="133"/>
  <c r="BS66" i="133"/>
  <c r="BS73" i="133"/>
  <c r="BS61" i="133"/>
  <c r="BS49" i="133"/>
  <c r="BS37" i="133"/>
  <c r="BS25" i="133"/>
  <c r="AJ6" i="133"/>
  <c r="BH6" i="133"/>
  <c r="AQ7" i="133"/>
  <c r="W8" i="133"/>
  <c r="BS8" i="133"/>
  <c r="AE10" i="133"/>
  <c r="AM12" i="133"/>
  <c r="S13" i="133"/>
  <c r="BO13" i="133"/>
  <c r="AU14" i="133"/>
  <c r="BC16" i="133"/>
  <c r="O18" i="133"/>
  <c r="BK18" i="133"/>
  <c r="AQ19" i="133"/>
  <c r="AE20" i="133"/>
  <c r="O21" i="133"/>
  <c r="BO21" i="133"/>
  <c r="O25" i="133"/>
  <c r="BK26" i="133"/>
  <c r="AM28" i="133"/>
  <c r="O30" i="133"/>
  <c r="O33" i="133"/>
  <c r="O34" i="133"/>
  <c r="S35" i="133"/>
  <c r="W36" i="133"/>
  <c r="AQ38" i="133"/>
  <c r="BK40" i="133"/>
  <c r="BS41" i="133"/>
  <c r="W44" i="133"/>
  <c r="AM45" i="133"/>
  <c r="AQ46" i="133"/>
  <c r="S53" i="133"/>
  <c r="BC64" i="133"/>
  <c r="AY69" i="133"/>
  <c r="T4" i="133"/>
  <c r="AR4" i="133"/>
  <c r="BP4" i="133"/>
  <c r="M6" i="133"/>
  <c r="AK6" i="133"/>
  <c r="BI6" i="133"/>
  <c r="AU7" i="133"/>
  <c r="BC9" i="133"/>
  <c r="O11" i="133"/>
  <c r="BK11" i="133"/>
  <c r="AQ12" i="133"/>
  <c r="W13" i="133"/>
  <c r="BS13" i="133"/>
  <c r="AY14" i="133"/>
  <c r="AE15" i="133"/>
  <c r="AM17" i="133"/>
  <c r="S18" i="133"/>
  <c r="BO18" i="133"/>
  <c r="AY19" i="133"/>
  <c r="S21" i="133"/>
  <c r="BS21" i="133"/>
  <c r="BC22" i="133"/>
  <c r="AQ23" i="133"/>
  <c r="AE24" i="133"/>
  <c r="S25" i="133"/>
  <c r="BO26" i="133"/>
  <c r="BG27" i="133"/>
  <c r="AQ28" i="133"/>
  <c r="AE29" i="133"/>
  <c r="W30" i="133"/>
  <c r="O31" i="133"/>
  <c r="S32" i="133"/>
  <c r="W33" i="133"/>
  <c r="S34" i="133"/>
  <c r="W35" i="133"/>
  <c r="AA36" i="133"/>
  <c r="AE37" i="133"/>
  <c r="AU38" i="133"/>
  <c r="BK39" i="133"/>
  <c r="BO40" i="133"/>
  <c r="O43" i="133"/>
  <c r="AE44" i="133"/>
  <c r="AU45" i="133"/>
  <c r="BO47" i="133"/>
  <c r="S50" i="133"/>
  <c r="BK51" i="133"/>
  <c r="W53" i="133"/>
  <c r="AE55" i="133"/>
  <c r="W80" i="133"/>
  <c r="L6" i="133"/>
  <c r="AA82" i="133"/>
  <c r="AA70" i="133"/>
  <c r="AA58" i="133"/>
  <c r="AA77" i="133"/>
  <c r="AA65" i="133"/>
  <c r="AA53" i="133"/>
  <c r="AA41" i="133"/>
  <c r="AA72" i="133"/>
  <c r="AA60" i="133"/>
  <c r="AA79" i="133"/>
  <c r="AA67" i="133"/>
  <c r="AA55" i="133"/>
  <c r="AA74" i="133"/>
  <c r="AA62" i="133"/>
  <c r="AA50" i="133"/>
  <c r="AA38" i="133"/>
  <c r="AA26" i="133"/>
  <c r="AA81" i="133"/>
  <c r="AA69" i="133"/>
  <c r="AA57" i="133"/>
  <c r="AA45" i="133"/>
  <c r="AA76" i="133"/>
  <c r="AA64" i="133"/>
  <c r="AA52" i="133"/>
  <c r="AA71" i="133"/>
  <c r="AA59" i="133"/>
  <c r="AA47" i="133"/>
  <c r="AA35" i="133"/>
  <c r="AA78" i="133"/>
  <c r="AA66" i="133"/>
  <c r="AA54" i="133"/>
  <c r="AA73" i="133"/>
  <c r="AA61" i="133"/>
  <c r="AA80" i="133"/>
  <c r="AA68" i="133"/>
  <c r="AA56" i="133"/>
  <c r="AA44" i="133"/>
  <c r="AA32" i="133"/>
  <c r="AA20" i="133"/>
  <c r="AY76" i="133"/>
  <c r="AY64" i="133"/>
  <c r="AY71" i="133"/>
  <c r="AY59" i="133"/>
  <c r="AY47" i="133"/>
  <c r="AY35" i="133"/>
  <c r="AY78" i="133"/>
  <c r="AY66" i="133"/>
  <c r="AY73" i="133"/>
  <c r="AY61" i="133"/>
  <c r="AY80" i="133"/>
  <c r="AY68" i="133"/>
  <c r="AY56" i="133"/>
  <c r="AY44" i="133"/>
  <c r="AY32" i="133"/>
  <c r="AY75" i="133"/>
  <c r="AY63" i="133"/>
  <c r="AY51" i="133"/>
  <c r="AY39" i="133"/>
  <c r="AY82" i="133"/>
  <c r="AY70" i="133"/>
  <c r="AY58" i="133"/>
  <c r="AY77" i="133"/>
  <c r="AY65" i="133"/>
  <c r="AY53" i="133"/>
  <c r="AY41" i="133"/>
  <c r="AY72" i="133"/>
  <c r="AY60" i="133"/>
  <c r="AY79" i="133"/>
  <c r="AY67" i="133"/>
  <c r="AY74" i="133"/>
  <c r="AY62" i="133"/>
  <c r="AY50" i="133"/>
  <c r="AY38" i="133"/>
  <c r="AY26" i="133"/>
  <c r="BW82" i="133"/>
  <c r="BW70" i="133"/>
  <c r="BW58" i="133"/>
  <c r="BW77" i="133"/>
  <c r="BW65" i="133"/>
  <c r="BW53" i="133"/>
  <c r="BW41" i="133"/>
  <c r="BW72" i="133"/>
  <c r="BW60" i="133"/>
  <c r="BW79" i="133"/>
  <c r="BW67" i="133"/>
  <c r="BW55" i="133"/>
  <c r="BW74" i="133"/>
  <c r="BW62" i="133"/>
  <c r="BW50" i="133"/>
  <c r="BW38" i="133"/>
  <c r="BW26" i="133"/>
  <c r="BW81" i="133"/>
  <c r="BW69" i="133"/>
  <c r="BW57" i="133"/>
  <c r="BW45" i="133"/>
  <c r="BW76" i="133"/>
  <c r="BW64" i="133"/>
  <c r="BW52" i="133"/>
  <c r="BW71" i="133"/>
  <c r="BW59" i="133"/>
  <c r="BW47" i="133"/>
  <c r="BW35" i="133"/>
  <c r="BW78" i="133"/>
  <c r="BW66" i="133"/>
  <c r="BW54" i="133"/>
  <c r="BW73" i="133"/>
  <c r="BW61" i="133"/>
  <c r="BW80" i="133"/>
  <c r="BW68" i="133"/>
  <c r="BW56" i="133"/>
  <c r="BW44" i="133"/>
  <c r="BW32" i="133"/>
  <c r="BW20" i="133"/>
  <c r="N6" i="133"/>
  <c r="O6" i="133" s="1"/>
  <c r="Z6" i="133"/>
  <c r="AA6" i="133" s="1"/>
  <c r="AL6" i="133"/>
  <c r="AM6" i="133" s="1"/>
  <c r="AX6" i="133"/>
  <c r="AY6" i="133" s="1"/>
  <c r="BJ6" i="133"/>
  <c r="BK6" i="133" s="1"/>
  <c r="BV6" i="133"/>
  <c r="BW6" i="133" s="1"/>
  <c r="AY7" i="133"/>
  <c r="AE8" i="133"/>
  <c r="AM10" i="133"/>
  <c r="S11" i="133"/>
  <c r="BO11" i="133"/>
  <c r="AU12" i="133"/>
  <c r="AA13" i="133"/>
  <c r="BW13" i="133"/>
  <c r="BC14" i="133"/>
  <c r="AI15" i="133"/>
  <c r="O16" i="133"/>
  <c r="BK16" i="133"/>
  <c r="AQ17" i="133"/>
  <c r="W18" i="133"/>
  <c r="BS18" i="133"/>
  <c r="BC19" i="133"/>
  <c r="AM20" i="133"/>
  <c r="W21" i="133"/>
  <c r="BW21" i="133"/>
  <c r="BG22" i="133"/>
  <c r="AU23" i="133"/>
  <c r="AI24" i="133"/>
  <c r="AA25" i="133"/>
  <c r="O26" i="133"/>
  <c r="BS26" i="133"/>
  <c r="BK27" i="133"/>
  <c r="AU28" i="133"/>
  <c r="AI29" i="133"/>
  <c r="AA30" i="133"/>
  <c r="S31" i="133"/>
  <c r="W32" i="133"/>
  <c r="AA33" i="133"/>
  <c r="AA34" i="133"/>
  <c r="AE35" i="133"/>
  <c r="AI36" i="133"/>
  <c r="AM37" i="133"/>
  <c r="BS39" i="133"/>
  <c r="BW40" i="133"/>
  <c r="O42" i="133"/>
  <c r="AA43" i="133"/>
  <c r="AI44" i="133"/>
  <c r="AY45" i="133"/>
  <c r="BK46" i="133"/>
  <c r="BS47" i="133"/>
  <c r="O49" i="133"/>
  <c r="AE50" i="133"/>
  <c r="BS51" i="133"/>
  <c r="AE53" i="133"/>
  <c r="AQ55" i="133"/>
  <c r="AM60" i="133"/>
  <c r="AE70" i="133"/>
  <c r="BW75" i="133"/>
  <c r="BS80" i="133"/>
  <c r="O9" i="133"/>
  <c r="BK9" i="133"/>
  <c r="AQ10" i="133"/>
  <c r="W11" i="133"/>
  <c r="BS11" i="133"/>
  <c r="AE13" i="133"/>
  <c r="AM15" i="133"/>
  <c r="S16" i="133"/>
  <c r="BO16" i="133"/>
  <c r="AU17" i="133"/>
  <c r="AQ20" i="133"/>
  <c r="BK22" i="133"/>
  <c r="AM24" i="133"/>
  <c r="AE25" i="133"/>
  <c r="S26" i="133"/>
  <c r="BO27" i="133"/>
  <c r="AQ29" i="133"/>
  <c r="AE30" i="133"/>
  <c r="AE32" i="133"/>
  <c r="AE34" i="133"/>
  <c r="W42" i="133"/>
  <c r="AQ44" i="133"/>
  <c r="BO46" i="133"/>
  <c r="S49" i="133"/>
  <c r="BW51" i="133"/>
  <c r="AY55" i="133"/>
  <c r="AM79" i="133"/>
  <c r="AM67" i="133"/>
  <c r="AM55" i="133"/>
  <c r="AM74" i="133"/>
  <c r="AM62" i="133"/>
  <c r="AM50" i="133"/>
  <c r="AM38" i="133"/>
  <c r="AM81" i="133"/>
  <c r="AM69" i="133"/>
  <c r="AM57" i="133"/>
  <c r="AM76" i="133"/>
  <c r="AM64" i="133"/>
  <c r="AM71" i="133"/>
  <c r="AM59" i="133"/>
  <c r="AM47" i="133"/>
  <c r="AM35" i="133"/>
  <c r="AM23" i="133"/>
  <c r="AM78" i="133"/>
  <c r="AM66" i="133"/>
  <c r="AM54" i="133"/>
  <c r="AM42" i="133"/>
  <c r="AM73" i="133"/>
  <c r="AM61" i="133"/>
  <c r="AM80" i="133"/>
  <c r="AM68" i="133"/>
  <c r="AM56" i="133"/>
  <c r="AM44" i="133"/>
  <c r="AM32" i="133"/>
  <c r="AM75" i="133"/>
  <c r="AM63" i="133"/>
  <c r="AM51" i="133"/>
  <c r="AM82" i="133"/>
  <c r="AM70" i="133"/>
  <c r="AM58" i="133"/>
  <c r="AM77" i="133"/>
  <c r="AM65" i="133"/>
  <c r="AM53" i="133"/>
  <c r="AM41" i="133"/>
  <c r="AM29" i="133"/>
  <c r="AE77" i="133"/>
  <c r="AE65" i="133"/>
  <c r="AE72" i="133"/>
  <c r="AE60" i="133"/>
  <c r="AE48" i="133"/>
  <c r="AE36" i="133"/>
  <c r="AE79" i="133"/>
  <c r="AE67" i="133"/>
  <c r="AE74" i="133"/>
  <c r="AE62" i="133"/>
  <c r="AE81" i="133"/>
  <c r="AE69" i="133"/>
  <c r="AE57" i="133"/>
  <c r="AE45" i="133"/>
  <c r="AE33" i="133"/>
  <c r="AE76" i="133"/>
  <c r="AE64" i="133"/>
  <c r="AE52" i="133"/>
  <c r="AE40" i="133"/>
  <c r="AE71" i="133"/>
  <c r="AE59" i="133"/>
  <c r="AE78" i="133"/>
  <c r="AE66" i="133"/>
  <c r="AE54" i="133"/>
  <c r="AE42" i="133"/>
  <c r="AE73" i="133"/>
  <c r="AE61" i="133"/>
  <c r="AE80" i="133"/>
  <c r="AE68" i="133"/>
  <c r="AE56" i="133"/>
  <c r="AE75" i="133"/>
  <c r="AE63" i="133"/>
  <c r="AE51" i="133"/>
  <c r="AE39" i="133"/>
  <c r="AE27" i="133"/>
  <c r="BC71" i="133"/>
  <c r="BC59" i="133"/>
  <c r="BC78" i="133"/>
  <c r="BC66" i="133"/>
  <c r="BC54" i="133"/>
  <c r="BC42" i="133"/>
  <c r="BC30" i="133"/>
  <c r="BC73" i="133"/>
  <c r="BC61" i="133"/>
  <c r="BC80" i="133"/>
  <c r="BC68" i="133"/>
  <c r="BC56" i="133"/>
  <c r="BC75" i="133"/>
  <c r="BC63" i="133"/>
  <c r="BC51" i="133"/>
  <c r="BC39" i="133"/>
  <c r="BC27" i="133"/>
  <c r="BC82" i="133"/>
  <c r="BC70" i="133"/>
  <c r="BC58" i="133"/>
  <c r="BC46" i="133"/>
  <c r="BC77" i="133"/>
  <c r="BC65" i="133"/>
  <c r="BC53" i="133"/>
  <c r="BC72" i="133"/>
  <c r="BC60" i="133"/>
  <c r="BC48" i="133"/>
  <c r="BC36" i="133"/>
  <c r="BC79" i="133"/>
  <c r="BC67" i="133"/>
  <c r="BC55" i="133"/>
  <c r="BC74" i="133"/>
  <c r="BC62" i="133"/>
  <c r="BC81" i="133"/>
  <c r="BC69" i="133"/>
  <c r="BC57" i="133"/>
  <c r="BC45" i="133"/>
  <c r="BC33" i="133"/>
  <c r="BC21" i="133"/>
  <c r="L5" i="133"/>
  <c r="O5" i="133" s="1"/>
  <c r="AJ5" i="133"/>
  <c r="AM5" i="133" s="1"/>
  <c r="BH5" i="133"/>
  <c r="BK5" i="133" s="1"/>
  <c r="P6" i="133"/>
  <c r="AB6" i="133"/>
  <c r="AN6" i="133"/>
  <c r="AZ6" i="133"/>
  <c r="BL6" i="133"/>
  <c r="AM8" i="133"/>
  <c r="S9" i="133"/>
  <c r="BO9" i="133"/>
  <c r="AU10" i="133"/>
  <c r="BC12" i="133"/>
  <c r="O14" i="133"/>
  <c r="BK14" i="133"/>
  <c r="AQ15" i="133"/>
  <c r="W16" i="133"/>
  <c r="BS16" i="133"/>
  <c r="AE18" i="133"/>
  <c r="BK19" i="133"/>
  <c r="AU20" i="133"/>
  <c r="AE21" i="133"/>
  <c r="O22" i="133"/>
  <c r="BO22" i="133"/>
  <c r="BC23" i="133"/>
  <c r="AU24" i="133"/>
  <c r="W26" i="133"/>
  <c r="O27" i="133"/>
  <c r="BS27" i="133"/>
  <c r="BC28" i="133"/>
  <c r="AU29" i="133"/>
  <c r="AE31" i="133"/>
  <c r="AM33" i="133"/>
  <c r="AM34" i="133"/>
  <c r="AQ35" i="133"/>
  <c r="AU36" i="133"/>
  <c r="BC37" i="133"/>
  <c r="BO38" i="133"/>
  <c r="S41" i="133"/>
  <c r="AA42" i="133"/>
  <c r="AM43" i="133"/>
  <c r="BC44" i="133"/>
  <c r="BW46" i="133"/>
  <c r="W48" i="133"/>
  <c r="AA49" i="133"/>
  <c r="AQ50" i="133"/>
  <c r="AQ53" i="133"/>
  <c r="S61" i="133"/>
  <c r="O66" i="133"/>
  <c r="BC76" i="133"/>
  <c r="AY81" i="133"/>
  <c r="BK73" i="133"/>
  <c r="BK61" i="133"/>
  <c r="BK80" i="133"/>
  <c r="BK68" i="133"/>
  <c r="BK56" i="133"/>
  <c r="BK44" i="133"/>
  <c r="BK32" i="133"/>
  <c r="BK75" i="133"/>
  <c r="BK63" i="133"/>
  <c r="BK82" i="133"/>
  <c r="BK70" i="133"/>
  <c r="BK58" i="133"/>
  <c r="BK77" i="133"/>
  <c r="BK65" i="133"/>
  <c r="BK53" i="133"/>
  <c r="BK41" i="133"/>
  <c r="BK29" i="133"/>
  <c r="BK72" i="133"/>
  <c r="BK60" i="133"/>
  <c r="BK48" i="133"/>
  <c r="BK36" i="133"/>
  <c r="BK79" i="133"/>
  <c r="BK67" i="133"/>
  <c r="BK55" i="133"/>
  <c r="BK74" i="133"/>
  <c r="BK62" i="133"/>
  <c r="BK50" i="133"/>
  <c r="BK38" i="133"/>
  <c r="BK81" i="133"/>
  <c r="BK69" i="133"/>
  <c r="BK57" i="133"/>
  <c r="BK76" i="133"/>
  <c r="BK64" i="133"/>
  <c r="BK71" i="133"/>
  <c r="BK59" i="133"/>
  <c r="BK47" i="133"/>
  <c r="BK35" i="133"/>
  <c r="BK23" i="133"/>
  <c r="Q6" i="133"/>
  <c r="AO6" i="133"/>
  <c r="BM6" i="133"/>
  <c r="O7" i="133"/>
  <c r="BK7" i="133"/>
  <c r="AQ8" i="133"/>
  <c r="W9" i="133"/>
  <c r="BS9" i="133"/>
  <c r="AE11" i="133"/>
  <c r="AM13" i="133"/>
  <c r="S14" i="133"/>
  <c r="BO14" i="133"/>
  <c r="AU15" i="133"/>
  <c r="BC17" i="133"/>
  <c r="O19" i="133"/>
  <c r="BO19" i="133"/>
  <c r="S22" i="133"/>
  <c r="BS22" i="133"/>
  <c r="AM25" i="133"/>
  <c r="AE26" i="133"/>
  <c r="S27" i="133"/>
  <c r="BK28" i="133"/>
  <c r="AM30" i="133"/>
  <c r="AM31" i="133"/>
  <c r="AQ32" i="133"/>
  <c r="AU33" i="133"/>
  <c r="AQ34" i="133"/>
  <c r="AU35" i="133"/>
  <c r="BK37" i="133"/>
  <c r="O40" i="133"/>
  <c r="W41" i="133"/>
  <c r="AQ43" i="133"/>
  <c r="BS45" i="133"/>
  <c r="AA48" i="133"/>
  <c r="AE49" i="133"/>
  <c r="AU50" i="133"/>
  <c r="BS53" i="133"/>
  <c r="W56" i="133"/>
  <c r="BO61" i="133"/>
  <c r="BK66" i="133"/>
  <c r="O73" i="133"/>
  <c r="O61" i="133"/>
  <c r="O80" i="133"/>
  <c r="O68" i="133"/>
  <c r="O56" i="133"/>
  <c r="O44" i="133"/>
  <c r="O32" i="133"/>
  <c r="O75" i="133"/>
  <c r="O63" i="133"/>
  <c r="O82" i="133"/>
  <c r="O70" i="133"/>
  <c r="O58" i="133"/>
  <c r="O77" i="133"/>
  <c r="O65" i="133"/>
  <c r="O53" i="133"/>
  <c r="O41" i="133"/>
  <c r="O29" i="133"/>
  <c r="O72" i="133"/>
  <c r="O60" i="133"/>
  <c r="O48" i="133"/>
  <c r="O79" i="133"/>
  <c r="O67" i="133"/>
  <c r="O55" i="133"/>
  <c r="O74" i="133"/>
  <c r="O62" i="133"/>
  <c r="O50" i="133"/>
  <c r="O38" i="133"/>
  <c r="O81" i="133"/>
  <c r="O69" i="133"/>
  <c r="O57" i="133"/>
  <c r="O76" i="133"/>
  <c r="O64" i="133"/>
  <c r="O71" i="133"/>
  <c r="O59" i="133"/>
  <c r="O47" i="133"/>
  <c r="O35" i="133"/>
  <c r="O23" i="133"/>
  <c r="O10" i="133"/>
  <c r="BK20" i="133"/>
  <c r="AM40" i="133"/>
  <c r="O51" i="133"/>
  <c r="AI72" i="133"/>
  <c r="AI60" i="133"/>
  <c r="AI79" i="133"/>
  <c r="AI67" i="133"/>
  <c r="AI55" i="133"/>
  <c r="AI43" i="133"/>
  <c r="AI31" i="133"/>
  <c r="AI74" i="133"/>
  <c r="AI62" i="133"/>
  <c r="AI81" i="133"/>
  <c r="AI69" i="133"/>
  <c r="AI57" i="133"/>
  <c r="AI76" i="133"/>
  <c r="AI64" i="133"/>
  <c r="AI52" i="133"/>
  <c r="AI40" i="133"/>
  <c r="AI28" i="133"/>
  <c r="AI71" i="133"/>
  <c r="AI59" i="133"/>
  <c r="AI47" i="133"/>
  <c r="AI78" i="133"/>
  <c r="AI66" i="133"/>
  <c r="AI54" i="133"/>
  <c r="AI73" i="133"/>
  <c r="AI61" i="133"/>
  <c r="AI49" i="133"/>
  <c r="AI37" i="133"/>
  <c r="AI80" i="133"/>
  <c r="AI68" i="133"/>
  <c r="AI56" i="133"/>
  <c r="AI75" i="133"/>
  <c r="AI63" i="133"/>
  <c r="AI82" i="133"/>
  <c r="AI70" i="133"/>
  <c r="AI58" i="133"/>
  <c r="AI46" i="133"/>
  <c r="AI34" i="133"/>
  <c r="AI22" i="133"/>
  <c r="BG78" i="133"/>
  <c r="BG66" i="133"/>
  <c r="BG54" i="133"/>
  <c r="BG73" i="133"/>
  <c r="BG61" i="133"/>
  <c r="BG49" i="133"/>
  <c r="BG37" i="133"/>
  <c r="BG80" i="133"/>
  <c r="BG68" i="133"/>
  <c r="BG56" i="133"/>
  <c r="BG75" i="133"/>
  <c r="BG63" i="133"/>
  <c r="BG82" i="133"/>
  <c r="BG70" i="133"/>
  <c r="BG58" i="133"/>
  <c r="BG46" i="133"/>
  <c r="BG34" i="133"/>
  <c r="BG77" i="133"/>
  <c r="BG65" i="133"/>
  <c r="BG53" i="133"/>
  <c r="BG41" i="133"/>
  <c r="BG72" i="133"/>
  <c r="BG60" i="133"/>
  <c r="BG79" i="133"/>
  <c r="BG67" i="133"/>
  <c r="BG55" i="133"/>
  <c r="BG43" i="133"/>
  <c r="BG31" i="133"/>
  <c r="BG74" i="133"/>
  <c r="BG62" i="133"/>
  <c r="BG50" i="133"/>
  <c r="BG81" i="133"/>
  <c r="BG69" i="133"/>
  <c r="BG57" i="133"/>
  <c r="BG76" i="133"/>
  <c r="BG64" i="133"/>
  <c r="BG52" i="133"/>
  <c r="BG40" i="133"/>
  <c r="BG28" i="133"/>
  <c r="P5" i="133"/>
  <c r="S5" i="133" s="1"/>
  <c r="AN5" i="133"/>
  <c r="AQ5" i="133" s="1"/>
  <c r="BL5" i="133"/>
  <c r="BO5" i="133" s="1"/>
  <c r="R6" i="133"/>
  <c r="S6" i="133" s="1"/>
  <c r="AD6" i="133"/>
  <c r="AE6" i="133" s="1"/>
  <c r="AP6" i="133"/>
  <c r="AQ6" i="133" s="1"/>
  <c r="BB6" i="133"/>
  <c r="BC6" i="133" s="1"/>
  <c r="BN6" i="133"/>
  <c r="BO6" i="133" s="1"/>
  <c r="S7" i="133"/>
  <c r="BO7" i="133"/>
  <c r="AU8" i="133"/>
  <c r="AA9" i="133"/>
  <c r="BW9" i="133"/>
  <c r="BC10" i="133"/>
  <c r="AI11" i="133"/>
  <c r="O12" i="133"/>
  <c r="BK12" i="133"/>
  <c r="AQ13" i="133"/>
  <c r="W14" i="133"/>
  <c r="BS14" i="133"/>
  <c r="AY15" i="133"/>
  <c r="AE16" i="133"/>
  <c r="BG17" i="133"/>
  <c r="AM18" i="133"/>
  <c r="S19" i="133"/>
  <c r="BS19" i="133"/>
  <c r="BC20" i="133"/>
  <c r="AM21" i="133"/>
  <c r="W22" i="133"/>
  <c r="BW22" i="133"/>
  <c r="BO23" i="133"/>
  <c r="BC24" i="133"/>
  <c r="AQ25" i="133"/>
  <c r="AI26" i="133"/>
  <c r="W27" i="133"/>
  <c r="BO28" i="133"/>
  <c r="BC29" i="133"/>
  <c r="AU30" i="133"/>
  <c r="AQ31" i="133"/>
  <c r="AU32" i="133"/>
  <c r="AY33" i="133"/>
  <c r="AY34" i="133"/>
  <c r="BC35" i="133"/>
  <c r="BG36" i="133"/>
  <c r="BO37" i="133"/>
  <c r="O39" i="133"/>
  <c r="S40" i="133"/>
  <c r="AE41" i="133"/>
  <c r="AU42" i="133"/>
  <c r="AY43" i="133"/>
  <c r="BO44" i="133"/>
  <c r="S47" i="133"/>
  <c r="AI48" i="133"/>
  <c r="AM49" i="133"/>
  <c r="BC50" i="133"/>
  <c r="AM52" i="133"/>
  <c r="BS56" i="133"/>
  <c r="AM72" i="133"/>
  <c r="AI77" i="133"/>
  <c r="AE82" i="133"/>
  <c r="BG78" i="132"/>
  <c r="BG66" i="132"/>
  <c r="BG54" i="132"/>
  <c r="BG42" i="132"/>
  <c r="BG73" i="132"/>
  <c r="BG61" i="132"/>
  <c r="BG80" i="132"/>
  <c r="BG68" i="132"/>
  <c r="BG75" i="132"/>
  <c r="BG63" i="132"/>
  <c r="BG82" i="132"/>
  <c r="BG70" i="132"/>
  <c r="BG58" i="132"/>
  <c r="BG46" i="132"/>
  <c r="BG34" i="132"/>
  <c r="BG22" i="132"/>
  <c r="BG77" i="132"/>
  <c r="BG65" i="132"/>
  <c r="BG53" i="132"/>
  <c r="BG41" i="132"/>
  <c r="BG72" i="132"/>
  <c r="BG60" i="132"/>
  <c r="BG48" i="132"/>
  <c r="BG36" i="132"/>
  <c r="BG79" i="132"/>
  <c r="BG67" i="132"/>
  <c r="BG74" i="132"/>
  <c r="BG62" i="132"/>
  <c r="BG81" i="132"/>
  <c r="BG69" i="132"/>
  <c r="BG76" i="132"/>
  <c r="BG64" i="132"/>
  <c r="BG52" i="132"/>
  <c r="BG40" i="132"/>
  <c r="BG28" i="132"/>
  <c r="BG45" i="132"/>
  <c r="BG38" i="132"/>
  <c r="BG9" i="132"/>
  <c r="BD5" i="132"/>
  <c r="BG5" i="132" s="1"/>
  <c r="BG11" i="132"/>
  <c r="BG18" i="132"/>
  <c r="BG16" i="132"/>
  <c r="BG71" i="132"/>
  <c r="BG27" i="132"/>
  <c r="BG55" i="132"/>
  <c r="BG47" i="132"/>
  <c r="BG39" i="132"/>
  <c r="BG26" i="132"/>
  <c r="BG21" i="132"/>
  <c r="BG13" i="132"/>
  <c r="BF6" i="132"/>
  <c r="BG6" i="132" s="1"/>
  <c r="BG31" i="132"/>
  <c r="BG8" i="132"/>
  <c r="BE6" i="132"/>
  <c r="BG56" i="132"/>
  <c r="BG49" i="132"/>
  <c r="BG32" i="132"/>
  <c r="BG30" i="132"/>
  <c r="BG25" i="132"/>
  <c r="BG15" i="132"/>
  <c r="BD6" i="132"/>
  <c r="BG10" i="132"/>
  <c r="BD4" i="132"/>
  <c r="BG29" i="132"/>
  <c r="BG43" i="132"/>
  <c r="BG35" i="132"/>
  <c r="BG33" i="132"/>
  <c r="BG20" i="132"/>
  <c r="BG57" i="132"/>
  <c r="BG50" i="132"/>
  <c r="BG12" i="132"/>
  <c r="BG59" i="132"/>
  <c r="BG51" i="132"/>
  <c r="BG19" i="132"/>
  <c r="BG14" i="132"/>
  <c r="AN5" i="132"/>
  <c r="AQ5" i="132" s="1"/>
  <c r="AZ6" i="132"/>
  <c r="S7" i="132"/>
  <c r="BC12" i="132"/>
  <c r="AQ15" i="132"/>
  <c r="BG23" i="132"/>
  <c r="AE77" i="132"/>
  <c r="AE65" i="132"/>
  <c r="AE53" i="132"/>
  <c r="AE41" i="132"/>
  <c r="AE72" i="132"/>
  <c r="AE79" i="132"/>
  <c r="AE67" i="132"/>
  <c r="AE74" i="132"/>
  <c r="AE62" i="132"/>
  <c r="AE81" i="132"/>
  <c r="AE69" i="132"/>
  <c r="AE57" i="132"/>
  <c r="AE45" i="132"/>
  <c r="AE33" i="132"/>
  <c r="AE76" i="132"/>
  <c r="AE64" i="132"/>
  <c r="AE52" i="132"/>
  <c r="AE40" i="132"/>
  <c r="AE71" i="132"/>
  <c r="AE59" i="132"/>
  <c r="AE47" i="132"/>
  <c r="AE78" i="132"/>
  <c r="AE66" i="132"/>
  <c r="AE73" i="132"/>
  <c r="AE80" i="132"/>
  <c r="AE68" i="132"/>
  <c r="AE75" i="132"/>
  <c r="AE63" i="132"/>
  <c r="AE51" i="132"/>
  <c r="AE39" i="132"/>
  <c r="AE27" i="132"/>
  <c r="AE82" i="132"/>
  <c r="AE43" i="132"/>
  <c r="AE36" i="132"/>
  <c r="AE30" i="132"/>
  <c r="AE25" i="132"/>
  <c r="AE8" i="132"/>
  <c r="AB5" i="132"/>
  <c r="AE5" i="132" s="1"/>
  <c r="AE58" i="132"/>
  <c r="AE50" i="132"/>
  <c r="AE15" i="132"/>
  <c r="AE44" i="132"/>
  <c r="AE37" i="132"/>
  <c r="AE29" i="132"/>
  <c r="AE24" i="132"/>
  <c r="AE20" i="132"/>
  <c r="AE10" i="132"/>
  <c r="AE70" i="132"/>
  <c r="AE60" i="132"/>
  <c r="AE28" i="132"/>
  <c r="AE23" i="132"/>
  <c r="AE12" i="132"/>
  <c r="AE54" i="132"/>
  <c r="AE46" i="132"/>
  <c r="AE38" i="132"/>
  <c r="AE19" i="132"/>
  <c r="AE7" i="132"/>
  <c r="AE61" i="132"/>
  <c r="AE22" i="132"/>
  <c r="AE14" i="132"/>
  <c r="AE9" i="132"/>
  <c r="AE55" i="132"/>
  <c r="AE48" i="132"/>
  <c r="AE42" i="132"/>
  <c r="AE11" i="132"/>
  <c r="AC6" i="132"/>
  <c r="AB4" i="132"/>
  <c r="AE35" i="132"/>
  <c r="AE34" i="132"/>
  <c r="AE32" i="132"/>
  <c r="AE31" i="132"/>
  <c r="AE13" i="132"/>
  <c r="BG37" i="132"/>
  <c r="AI72" i="132"/>
  <c r="AI60" i="132"/>
  <c r="AI48" i="132"/>
  <c r="AI36" i="132"/>
  <c r="AI79" i="132"/>
  <c r="AI67" i="132"/>
  <c r="AI74" i="132"/>
  <c r="AI62" i="132"/>
  <c r="AI81" i="132"/>
  <c r="AI69" i="132"/>
  <c r="AI76" i="132"/>
  <c r="AI64" i="132"/>
  <c r="AI52" i="132"/>
  <c r="AI40" i="132"/>
  <c r="AI28" i="132"/>
  <c r="AI71" i="132"/>
  <c r="AI59" i="132"/>
  <c r="AI47" i="132"/>
  <c r="AI35" i="132"/>
  <c r="AI78" i="132"/>
  <c r="AI66" i="132"/>
  <c r="AI54" i="132"/>
  <c r="AI42" i="132"/>
  <c r="AI73" i="132"/>
  <c r="AI80" i="132"/>
  <c r="AI68" i="132"/>
  <c r="AI75" i="132"/>
  <c r="AI82" i="132"/>
  <c r="AI70" i="132"/>
  <c r="AI58" i="132"/>
  <c r="AI46" i="132"/>
  <c r="AI34" i="132"/>
  <c r="AI22" i="132"/>
  <c r="AI77" i="132"/>
  <c r="AI57" i="132"/>
  <c r="AI50" i="132"/>
  <c r="AI15" i="132"/>
  <c r="AF5" i="132"/>
  <c r="AI5" i="132" s="1"/>
  <c r="AI10" i="132"/>
  <c r="AI23" i="132"/>
  <c r="AI44" i="132"/>
  <c r="AI37" i="132"/>
  <c r="AI29" i="132"/>
  <c r="AI24" i="132"/>
  <c r="AI20" i="132"/>
  <c r="AI51" i="132"/>
  <c r="AI17" i="132"/>
  <c r="AI65" i="132"/>
  <c r="AI53" i="132"/>
  <c r="AI45" i="132"/>
  <c r="AI38" i="132"/>
  <c r="AI19" i="132"/>
  <c r="AI7" i="132"/>
  <c r="AH6" i="132"/>
  <c r="AI6" i="132" s="1"/>
  <c r="AI61" i="132"/>
  <c r="AI14" i="132"/>
  <c r="AG6" i="132"/>
  <c r="AI39" i="132"/>
  <c r="AI9" i="132"/>
  <c r="AF6" i="132"/>
  <c r="AI55" i="132"/>
  <c r="AI27" i="132"/>
  <c r="AI16" i="132"/>
  <c r="AF4" i="132"/>
  <c r="AI41" i="132"/>
  <c r="AI63" i="132"/>
  <c r="AI56" i="132"/>
  <c r="AI49" i="132"/>
  <c r="AI26" i="132"/>
  <c r="AI21" i="132"/>
  <c r="AI18" i="132"/>
  <c r="AI43" i="132"/>
  <c r="AI33" i="132"/>
  <c r="AI30" i="132"/>
  <c r="AI25" i="132"/>
  <c r="AI8" i="132"/>
  <c r="BO80" i="132"/>
  <c r="BO68" i="132"/>
  <c r="BO56" i="132"/>
  <c r="BO44" i="132"/>
  <c r="BO32" i="132"/>
  <c r="BO75" i="132"/>
  <c r="BO63" i="132"/>
  <c r="BO82" i="132"/>
  <c r="BO70" i="132"/>
  <c r="BO77" i="132"/>
  <c r="BO65" i="132"/>
  <c r="BO72" i="132"/>
  <c r="BO60" i="132"/>
  <c r="BO48" i="132"/>
  <c r="BO36" i="132"/>
  <c r="BO24" i="132"/>
  <c r="BO79" i="132"/>
  <c r="BO67" i="132"/>
  <c r="BO55" i="132"/>
  <c r="BO43" i="132"/>
  <c r="BO31" i="132"/>
  <c r="BO74" i="132"/>
  <c r="BO62" i="132"/>
  <c r="BO50" i="132"/>
  <c r="BO38" i="132"/>
  <c r="BO81" i="132"/>
  <c r="BO69" i="132"/>
  <c r="BO76" i="132"/>
  <c r="BO64" i="132"/>
  <c r="BO71" i="132"/>
  <c r="BO78" i="132"/>
  <c r="BO66" i="132"/>
  <c r="BO54" i="132"/>
  <c r="BO42" i="132"/>
  <c r="BO30" i="132"/>
  <c r="BO53" i="132"/>
  <c r="BO46" i="132"/>
  <c r="BO27" i="132"/>
  <c r="BO11" i="132"/>
  <c r="BO18" i="132"/>
  <c r="BO39" i="132"/>
  <c r="BO47" i="132"/>
  <c r="BO40" i="132"/>
  <c r="BO26" i="132"/>
  <c r="BO21" i="132"/>
  <c r="BO13" i="132"/>
  <c r="BO61" i="132"/>
  <c r="BO41" i="132"/>
  <c r="BO25" i="132"/>
  <c r="BO15" i="132"/>
  <c r="BO49" i="132"/>
  <c r="BO34" i="132"/>
  <c r="BO33" i="132"/>
  <c r="BO20" i="132"/>
  <c r="BO10" i="132"/>
  <c r="BO57" i="132"/>
  <c r="BO35" i="132"/>
  <c r="BO17" i="132"/>
  <c r="BO12" i="132"/>
  <c r="BO29" i="132"/>
  <c r="BO58" i="132"/>
  <c r="BO73" i="132"/>
  <c r="BO51" i="132"/>
  <c r="BO37" i="132"/>
  <c r="BO28" i="132"/>
  <c r="BO23" i="132"/>
  <c r="BO19" i="132"/>
  <c r="BO14" i="132"/>
  <c r="BM6" i="132"/>
  <c r="BO22" i="132"/>
  <c r="BO16" i="132"/>
  <c r="AB6" i="132"/>
  <c r="BO59" i="132"/>
  <c r="BL4" i="132"/>
  <c r="AE17" i="132"/>
  <c r="BL5" i="132"/>
  <c r="BO5" i="132" s="1"/>
  <c r="AI32" i="132"/>
  <c r="BG44" i="132"/>
  <c r="AQ74" i="132"/>
  <c r="AQ62" i="132"/>
  <c r="AQ50" i="132"/>
  <c r="AQ38" i="132"/>
  <c r="AQ81" i="132"/>
  <c r="AQ69" i="132"/>
  <c r="AQ76" i="132"/>
  <c r="AQ64" i="132"/>
  <c r="AQ71" i="132"/>
  <c r="AQ78" i="132"/>
  <c r="AQ66" i="132"/>
  <c r="AQ54" i="132"/>
  <c r="AQ42" i="132"/>
  <c r="AQ30" i="132"/>
  <c r="AQ73" i="132"/>
  <c r="AQ61" i="132"/>
  <c r="AQ49" i="132"/>
  <c r="AQ37" i="132"/>
  <c r="AQ80" i="132"/>
  <c r="AQ68" i="132"/>
  <c r="AQ56" i="132"/>
  <c r="AQ44" i="132"/>
  <c r="AQ75" i="132"/>
  <c r="AQ63" i="132"/>
  <c r="AQ82" i="132"/>
  <c r="AQ70" i="132"/>
  <c r="AQ77" i="132"/>
  <c r="AQ65" i="132"/>
  <c r="AQ72" i="132"/>
  <c r="AQ60" i="132"/>
  <c r="AQ48" i="132"/>
  <c r="AQ36" i="132"/>
  <c r="AQ24" i="132"/>
  <c r="AQ51" i="132"/>
  <c r="AQ29" i="132"/>
  <c r="AQ17" i="132"/>
  <c r="AQ7" i="132"/>
  <c r="AQ12" i="132"/>
  <c r="AQ59" i="132"/>
  <c r="AQ52" i="132"/>
  <c r="AQ45" i="132"/>
  <c r="AQ28" i="132"/>
  <c r="AQ23" i="132"/>
  <c r="AQ19" i="132"/>
  <c r="AQ53" i="132"/>
  <c r="AQ46" i="132"/>
  <c r="AQ39" i="132"/>
  <c r="AQ22" i="132"/>
  <c r="AQ9" i="132"/>
  <c r="AQ27" i="132"/>
  <c r="AQ16" i="132"/>
  <c r="AQ55" i="132"/>
  <c r="AQ47" i="132"/>
  <c r="AQ40" i="132"/>
  <c r="AQ11" i="132"/>
  <c r="AQ32" i="132"/>
  <c r="AQ79" i="132"/>
  <c r="AQ41" i="132"/>
  <c r="AQ26" i="132"/>
  <c r="AQ21" i="132"/>
  <c r="AQ18" i="132"/>
  <c r="AQ34" i="132"/>
  <c r="AQ33" i="132"/>
  <c r="AQ25" i="132"/>
  <c r="AQ8" i="132"/>
  <c r="AO6" i="132"/>
  <c r="AQ67" i="132"/>
  <c r="AQ58" i="132"/>
  <c r="AQ20" i="132"/>
  <c r="AQ10" i="132"/>
  <c r="AI13" i="132"/>
  <c r="AE26" i="132"/>
  <c r="AD6" i="132"/>
  <c r="AE6" i="132" s="1"/>
  <c r="BG7" i="132"/>
  <c r="BO8" i="132"/>
  <c r="BL6" i="132"/>
  <c r="BO7" i="132"/>
  <c r="AN4" i="132"/>
  <c r="BN6" i="132"/>
  <c r="BO6" i="132" s="1"/>
  <c r="BG17" i="132"/>
  <c r="BG24" i="132"/>
  <c r="AE56" i="132"/>
  <c r="S9" i="132"/>
  <c r="BO52" i="132"/>
  <c r="S80" i="132"/>
  <c r="S68" i="132"/>
  <c r="S56" i="132"/>
  <c r="S44" i="132"/>
  <c r="S32" i="132"/>
  <c r="S75" i="132"/>
  <c r="S63" i="132"/>
  <c r="S82" i="132"/>
  <c r="S70" i="132"/>
  <c r="S77" i="132"/>
  <c r="S65" i="132"/>
  <c r="S72" i="132"/>
  <c r="S60" i="132"/>
  <c r="S48" i="132"/>
  <c r="S36" i="132"/>
  <c r="S24" i="132"/>
  <c r="S79" i="132"/>
  <c r="S67" i="132"/>
  <c r="S55" i="132"/>
  <c r="S43" i="132"/>
  <c r="S31" i="132"/>
  <c r="S74" i="132"/>
  <c r="S62" i="132"/>
  <c r="S50" i="132"/>
  <c r="S38" i="132"/>
  <c r="S81" i="132"/>
  <c r="S69" i="132"/>
  <c r="S76" i="132"/>
  <c r="S64" i="132"/>
  <c r="S71" i="132"/>
  <c r="S78" i="132"/>
  <c r="S66" i="132"/>
  <c r="S54" i="132"/>
  <c r="S42" i="132"/>
  <c r="S30" i="132"/>
  <c r="S49" i="132"/>
  <c r="S26" i="132"/>
  <c r="S11" i="132"/>
  <c r="S21" i="132"/>
  <c r="S18" i="132"/>
  <c r="S57" i="132"/>
  <c r="S34" i="132"/>
  <c r="S33" i="132"/>
  <c r="S35" i="132"/>
  <c r="S25" i="132"/>
  <c r="S13" i="132"/>
  <c r="S58" i="132"/>
  <c r="S51" i="132"/>
  <c r="S37" i="132"/>
  <c r="S20" i="132"/>
  <c r="S15" i="132"/>
  <c r="S59" i="132"/>
  <c r="S52" i="132"/>
  <c r="S45" i="132"/>
  <c r="S29" i="132"/>
  <c r="S10" i="132"/>
  <c r="S17" i="132"/>
  <c r="S12" i="132"/>
  <c r="S53" i="132"/>
  <c r="S46" i="132"/>
  <c r="S28" i="132"/>
  <c r="S23" i="132"/>
  <c r="S61" i="132"/>
  <c r="S39" i="132"/>
  <c r="S47" i="132"/>
  <c r="S40" i="132"/>
  <c r="S22" i="132"/>
  <c r="S14" i="132"/>
  <c r="Q6" i="132"/>
  <c r="S73" i="132"/>
  <c r="S41" i="132"/>
  <c r="S16" i="132"/>
  <c r="P5" i="132"/>
  <c r="S5" i="132" s="1"/>
  <c r="AE16" i="132"/>
  <c r="AQ57" i="132"/>
  <c r="P4" i="132"/>
  <c r="P6" i="132"/>
  <c r="S8" i="132"/>
  <c r="AI12" i="132"/>
  <c r="S27" i="132"/>
  <c r="AI31" i="132"/>
  <c r="BO45" i="132"/>
  <c r="AE49" i="132"/>
  <c r="BC71" i="132"/>
  <c r="BC59" i="132"/>
  <c r="BC47" i="132"/>
  <c r="BC35" i="132"/>
  <c r="BC78" i="132"/>
  <c r="BC66" i="132"/>
  <c r="BC73" i="132"/>
  <c r="BC61" i="132"/>
  <c r="BC80" i="132"/>
  <c r="BC68" i="132"/>
  <c r="BC75" i="132"/>
  <c r="BC63" i="132"/>
  <c r="BC51" i="132"/>
  <c r="BC39" i="132"/>
  <c r="BC27" i="132"/>
  <c r="BC82" i="132"/>
  <c r="BC70" i="132"/>
  <c r="BC58" i="132"/>
  <c r="BC46" i="132"/>
  <c r="BC34" i="132"/>
  <c r="BC77" i="132"/>
  <c r="BC65" i="132"/>
  <c r="BC53" i="132"/>
  <c r="BC41" i="132"/>
  <c r="BC72" i="132"/>
  <c r="BC79" i="132"/>
  <c r="BC67" i="132"/>
  <c r="BC74" i="132"/>
  <c r="BC81" i="132"/>
  <c r="BC69" i="132"/>
  <c r="BC57" i="132"/>
  <c r="BC45" i="132"/>
  <c r="BC33" i="132"/>
  <c r="BC21" i="132"/>
  <c r="BC62" i="132"/>
  <c r="BC60" i="132"/>
  <c r="BC52" i="132"/>
  <c r="BC19" i="132"/>
  <c r="BC14" i="132"/>
  <c r="AZ5" i="132"/>
  <c r="BC5" i="132" s="1"/>
  <c r="BC38" i="132"/>
  <c r="BC22" i="132"/>
  <c r="BC9" i="132"/>
  <c r="BC76" i="132"/>
  <c r="BC54" i="132"/>
  <c r="BC16" i="132"/>
  <c r="BC55" i="132"/>
  <c r="BC48" i="132"/>
  <c r="BC40" i="132"/>
  <c r="BC18" i="132"/>
  <c r="BC26" i="132"/>
  <c r="BC13" i="132"/>
  <c r="BC64" i="132"/>
  <c r="BC42" i="132"/>
  <c r="BC31" i="132"/>
  <c r="BC8" i="132"/>
  <c r="BC56" i="132"/>
  <c r="BC49" i="132"/>
  <c r="BC32" i="132"/>
  <c r="BC30" i="132"/>
  <c r="BC25" i="132"/>
  <c r="BC15" i="132"/>
  <c r="BC43" i="132"/>
  <c r="BC36" i="132"/>
  <c r="BC50" i="132"/>
  <c r="BC29" i="132"/>
  <c r="BC24" i="132"/>
  <c r="BC17" i="132"/>
  <c r="BA6" i="132"/>
  <c r="AZ4" i="132"/>
  <c r="BC44" i="132"/>
  <c r="BC37" i="132"/>
  <c r="BC28" i="132"/>
  <c r="BC23" i="132"/>
  <c r="BC7" i="132"/>
  <c r="R6" i="132"/>
  <c r="S6" i="132" s="1"/>
  <c r="AE21" i="132"/>
  <c r="W11" i="132"/>
  <c r="BS11" i="132"/>
  <c r="AU17" i="132"/>
  <c r="AU24" i="132"/>
  <c r="W26" i="132"/>
  <c r="O27" i="132"/>
  <c r="BS27" i="132"/>
  <c r="AU29" i="132"/>
  <c r="AM36" i="132"/>
  <c r="BK38" i="132"/>
  <c r="W42" i="132"/>
  <c r="BK45" i="132"/>
  <c r="BS46" i="132"/>
  <c r="AM50" i="132"/>
  <c r="BK52" i="132"/>
  <c r="BS53" i="132"/>
  <c r="W56" i="132"/>
  <c r="AM57" i="132"/>
  <c r="BS60" i="132"/>
  <c r="W9" i="132"/>
  <c r="BS9" i="132"/>
  <c r="AU15" i="132"/>
  <c r="W27" i="132"/>
  <c r="AU30" i="132"/>
  <c r="AU35" i="132"/>
  <c r="BS52" i="132"/>
  <c r="BK58" i="132"/>
  <c r="BS59" i="132"/>
  <c r="W68" i="132"/>
  <c r="BK78" i="132"/>
  <c r="AU34" i="132"/>
  <c r="W40" i="132"/>
  <c r="AU42" i="132"/>
  <c r="BS44" i="132"/>
  <c r="W47" i="132"/>
  <c r="AM56" i="132"/>
  <c r="BS68" i="132"/>
  <c r="BS7" i="132"/>
  <c r="W19" i="132"/>
  <c r="BS36" i="132"/>
  <c r="BK50" i="132"/>
  <c r="W54" i="132"/>
  <c r="BS58" i="132"/>
  <c r="AU74" i="132"/>
  <c r="W7" i="132"/>
  <c r="AU13" i="132"/>
  <c r="O73" i="132"/>
  <c r="O61" i="132"/>
  <c r="O49" i="132"/>
  <c r="O37" i="132"/>
  <c r="O80" i="132"/>
  <c r="O68" i="132"/>
  <c r="O75" i="132"/>
  <c r="O63" i="132"/>
  <c r="O82" i="132"/>
  <c r="O70" i="132"/>
  <c r="O77" i="132"/>
  <c r="O65" i="132"/>
  <c r="O53" i="132"/>
  <c r="O41" i="132"/>
  <c r="O29" i="132"/>
  <c r="O72" i="132"/>
  <c r="O60" i="132"/>
  <c r="O48" i="132"/>
  <c r="O36" i="132"/>
  <c r="O79" i="132"/>
  <c r="O67" i="132"/>
  <c r="O55" i="132"/>
  <c r="O43" i="132"/>
  <c r="O74" i="132"/>
  <c r="O62" i="132"/>
  <c r="O81" i="132"/>
  <c r="O69" i="132"/>
  <c r="O76" i="132"/>
  <c r="O64" i="132"/>
  <c r="O71" i="132"/>
  <c r="O59" i="132"/>
  <c r="O47" i="132"/>
  <c r="O35" i="132"/>
  <c r="O23" i="132"/>
  <c r="AM79" i="132"/>
  <c r="AM67" i="132"/>
  <c r="AM55" i="132"/>
  <c r="AM43" i="132"/>
  <c r="AM74" i="132"/>
  <c r="AM62" i="132"/>
  <c r="AM81" i="132"/>
  <c r="AM69" i="132"/>
  <c r="AM76" i="132"/>
  <c r="AM64" i="132"/>
  <c r="AM71" i="132"/>
  <c r="AM59" i="132"/>
  <c r="AM47" i="132"/>
  <c r="AM35" i="132"/>
  <c r="AM23" i="132"/>
  <c r="AM78" i="132"/>
  <c r="AM66" i="132"/>
  <c r="AM54" i="132"/>
  <c r="AM42" i="132"/>
  <c r="AM73" i="132"/>
  <c r="AM61" i="132"/>
  <c r="AM49" i="132"/>
  <c r="AM37" i="132"/>
  <c r="AM80" i="132"/>
  <c r="AM68" i="132"/>
  <c r="AM75" i="132"/>
  <c r="AM63" i="132"/>
  <c r="AM82" i="132"/>
  <c r="AM70" i="132"/>
  <c r="AM77" i="132"/>
  <c r="AM65" i="132"/>
  <c r="AM53" i="132"/>
  <c r="AM41" i="132"/>
  <c r="AM29" i="132"/>
  <c r="BK73" i="132"/>
  <c r="BK61" i="132"/>
  <c r="BK49" i="132"/>
  <c r="BK37" i="132"/>
  <c r="BK80" i="132"/>
  <c r="BK68" i="132"/>
  <c r="BK75" i="132"/>
  <c r="BK63" i="132"/>
  <c r="BK82" i="132"/>
  <c r="BK70" i="132"/>
  <c r="BK77" i="132"/>
  <c r="BK65" i="132"/>
  <c r="BK53" i="132"/>
  <c r="BK41" i="132"/>
  <c r="BK29" i="132"/>
  <c r="BK72" i="132"/>
  <c r="BK60" i="132"/>
  <c r="BK48" i="132"/>
  <c r="BK36" i="132"/>
  <c r="BK79" i="132"/>
  <c r="BK67" i="132"/>
  <c r="BK55" i="132"/>
  <c r="BK43" i="132"/>
  <c r="BK74" i="132"/>
  <c r="BK62" i="132"/>
  <c r="BK81" i="132"/>
  <c r="BK69" i="132"/>
  <c r="BK76" i="132"/>
  <c r="BK64" i="132"/>
  <c r="BK71" i="132"/>
  <c r="BK59" i="132"/>
  <c r="BK47" i="132"/>
  <c r="BK35" i="132"/>
  <c r="BK23" i="132"/>
  <c r="T5" i="132"/>
  <c r="W5" i="132" s="1"/>
  <c r="AR5" i="132"/>
  <c r="AU5" i="132" s="1"/>
  <c r="BP5" i="132"/>
  <c r="BS5" i="132" s="1"/>
  <c r="T6" i="132"/>
  <c r="AR6" i="132"/>
  <c r="BP6" i="132"/>
  <c r="O10" i="132"/>
  <c r="BK10" i="132"/>
  <c r="W12" i="132"/>
  <c r="BS12" i="132"/>
  <c r="AM16" i="132"/>
  <c r="AU18" i="132"/>
  <c r="BK20" i="132"/>
  <c r="AU21" i="132"/>
  <c r="W23" i="132"/>
  <c r="BS24" i="132"/>
  <c r="AU26" i="132"/>
  <c r="AM27" i="132"/>
  <c r="W28" i="132"/>
  <c r="BS29" i="132"/>
  <c r="BK33" i="132"/>
  <c r="BK34" i="132"/>
  <c r="O38" i="132"/>
  <c r="AU41" i="132"/>
  <c r="O45" i="132"/>
  <c r="W46" i="132"/>
  <c r="AU48" i="132"/>
  <c r="O52" i="132"/>
  <c r="W53" i="132"/>
  <c r="AA54" i="132"/>
  <c r="W60" i="132"/>
  <c r="AY69" i="132"/>
  <c r="U6" i="132"/>
  <c r="AS6" i="132"/>
  <c r="BQ6" i="132"/>
  <c r="AU11" i="132"/>
  <c r="W17" i="132"/>
  <c r="BS17" i="132"/>
  <c r="O20" i="132"/>
  <c r="AM22" i="132"/>
  <c r="O24" i="132"/>
  <c r="BK25" i="132"/>
  <c r="BK30" i="132"/>
  <c r="BK32" i="132"/>
  <c r="BS35" i="132"/>
  <c r="AM39" i="132"/>
  <c r="AU40" i="132"/>
  <c r="BK42" i="132"/>
  <c r="AU47" i="132"/>
  <c r="AY48" i="132"/>
  <c r="O51" i="132"/>
  <c r="AA53" i="132"/>
  <c r="AY55" i="132"/>
  <c r="BK56" i="132"/>
  <c r="AA60" i="132"/>
  <c r="W80" i="132"/>
  <c r="V6" i="132"/>
  <c r="W6" i="132" s="1"/>
  <c r="AT6" i="132"/>
  <c r="AU6" i="132" s="1"/>
  <c r="BR6" i="132"/>
  <c r="BS6" i="132" s="1"/>
  <c r="W10" i="132"/>
  <c r="BS10" i="132"/>
  <c r="AM14" i="132"/>
  <c r="AU16" i="132"/>
  <c r="BS20" i="132"/>
  <c r="W24" i="132"/>
  <c r="AU27" i="132"/>
  <c r="W29" i="132"/>
  <c r="BS30" i="132"/>
  <c r="BK31" i="132"/>
  <c r="BS32" i="132"/>
  <c r="BS33" i="132"/>
  <c r="BS34" i="132"/>
  <c r="BS42" i="132"/>
  <c r="O44" i="132"/>
  <c r="AM46" i="132"/>
  <c r="BW49" i="132"/>
  <c r="W52" i="132"/>
  <c r="BS56" i="132"/>
  <c r="O58" i="132"/>
  <c r="W59" i="132"/>
  <c r="BS80" i="132"/>
  <c r="BS41" i="132"/>
  <c r="W44" i="132"/>
  <c r="BS48" i="132"/>
  <c r="AM60" i="132"/>
  <c r="AU81" i="132"/>
  <c r="AU69" i="132"/>
  <c r="AU57" i="132"/>
  <c r="AU45" i="132"/>
  <c r="AU33" i="132"/>
  <c r="AU76" i="132"/>
  <c r="AU64" i="132"/>
  <c r="AU71" i="132"/>
  <c r="AU78" i="132"/>
  <c r="AU66" i="132"/>
  <c r="AU73" i="132"/>
  <c r="AU61" i="132"/>
  <c r="AU49" i="132"/>
  <c r="AU37" i="132"/>
  <c r="AU25" i="132"/>
  <c r="AU80" i="132"/>
  <c r="AU68" i="132"/>
  <c r="AU56" i="132"/>
  <c r="AU44" i="132"/>
  <c r="AU32" i="132"/>
  <c r="AU75" i="132"/>
  <c r="AU63" i="132"/>
  <c r="AU51" i="132"/>
  <c r="AU39" i="132"/>
  <c r="AU82" i="132"/>
  <c r="AU70" i="132"/>
  <c r="AU77" i="132"/>
  <c r="AU65" i="132"/>
  <c r="AU72" i="132"/>
  <c r="AU79" i="132"/>
  <c r="AU67" i="132"/>
  <c r="AU55" i="132"/>
  <c r="AU43" i="132"/>
  <c r="AU31" i="132"/>
  <c r="AU19" i="132"/>
  <c r="AU14" i="132"/>
  <c r="W30" i="132"/>
  <c r="W36" i="132"/>
  <c r="AU38" i="132"/>
  <c r="AU46" i="132"/>
  <c r="O50" i="132"/>
  <c r="AU53" i="132"/>
  <c r="O57" i="132"/>
  <c r="W58" i="132"/>
  <c r="AU60" i="132"/>
  <c r="O66" i="132"/>
  <c r="T4" i="132"/>
  <c r="BP4" i="132"/>
  <c r="AU7" i="132"/>
  <c r="BS21" i="132"/>
  <c r="AU23" i="132"/>
  <c r="BS26" i="132"/>
  <c r="AU28" i="132"/>
  <c r="BS40" i="132"/>
  <c r="AM51" i="132"/>
  <c r="AU52" i="132"/>
  <c r="BK54" i="132"/>
  <c r="AU59" i="132"/>
  <c r="AU62" i="132"/>
  <c r="BK66" i="132"/>
  <c r="W75" i="132"/>
  <c r="W63" i="132"/>
  <c r="W51" i="132"/>
  <c r="W39" i="132"/>
  <c r="W82" i="132"/>
  <c r="W70" i="132"/>
  <c r="W77" i="132"/>
  <c r="W65" i="132"/>
  <c r="W72" i="132"/>
  <c r="W79" i="132"/>
  <c r="W67" i="132"/>
  <c r="W55" i="132"/>
  <c r="W43" i="132"/>
  <c r="W31" i="132"/>
  <c r="W74" i="132"/>
  <c r="W62" i="132"/>
  <c r="W50" i="132"/>
  <c r="W38" i="132"/>
  <c r="W81" i="132"/>
  <c r="W69" i="132"/>
  <c r="W57" i="132"/>
  <c r="W45" i="132"/>
  <c r="W76" i="132"/>
  <c r="W64" i="132"/>
  <c r="W71" i="132"/>
  <c r="W78" i="132"/>
  <c r="W66" i="132"/>
  <c r="W73" i="132"/>
  <c r="W61" i="132"/>
  <c r="W49" i="132"/>
  <c r="W37" i="132"/>
  <c r="W25" i="132"/>
  <c r="BS75" i="132"/>
  <c r="BS63" i="132"/>
  <c r="BS51" i="132"/>
  <c r="BS39" i="132"/>
  <c r="BS82" i="132"/>
  <c r="BS70" i="132"/>
  <c r="BS77" i="132"/>
  <c r="BS65" i="132"/>
  <c r="BS72" i="132"/>
  <c r="BS79" i="132"/>
  <c r="BS67" i="132"/>
  <c r="BS55" i="132"/>
  <c r="BS43" i="132"/>
  <c r="BS31" i="132"/>
  <c r="BS74" i="132"/>
  <c r="BS62" i="132"/>
  <c r="BS50" i="132"/>
  <c r="BS38" i="132"/>
  <c r="BS81" i="132"/>
  <c r="BS69" i="132"/>
  <c r="BS57" i="132"/>
  <c r="BS45" i="132"/>
  <c r="BS76" i="132"/>
  <c r="BS64" i="132"/>
  <c r="BS71" i="132"/>
  <c r="BS78" i="132"/>
  <c r="BS66" i="132"/>
  <c r="BS73" i="132"/>
  <c r="BS61" i="132"/>
  <c r="BS49" i="132"/>
  <c r="BS37" i="132"/>
  <c r="BS25" i="132"/>
  <c r="W8" i="132"/>
  <c r="BS8" i="132"/>
  <c r="AR4" i="132"/>
  <c r="W13" i="132"/>
  <c r="BS13" i="132"/>
  <c r="AA82" i="132"/>
  <c r="AA70" i="132"/>
  <c r="AA58" i="132"/>
  <c r="AA46" i="132"/>
  <c r="AA34" i="132"/>
  <c r="AA77" i="132"/>
  <c r="AA65" i="132"/>
  <c r="AA72" i="132"/>
  <c r="AA79" i="132"/>
  <c r="AA67" i="132"/>
  <c r="AA74" i="132"/>
  <c r="AA62" i="132"/>
  <c r="AA50" i="132"/>
  <c r="AA38" i="132"/>
  <c r="AA26" i="132"/>
  <c r="AA81" i="132"/>
  <c r="AA69" i="132"/>
  <c r="AA57" i="132"/>
  <c r="AA45" i="132"/>
  <c r="AA33" i="132"/>
  <c r="AA76" i="132"/>
  <c r="AA64" i="132"/>
  <c r="AA52" i="132"/>
  <c r="AA40" i="132"/>
  <c r="AA71" i="132"/>
  <c r="AA78" i="132"/>
  <c r="AA66" i="132"/>
  <c r="AA73" i="132"/>
  <c r="AA80" i="132"/>
  <c r="AA68" i="132"/>
  <c r="AA56" i="132"/>
  <c r="AA44" i="132"/>
  <c r="AA32" i="132"/>
  <c r="AA20" i="132"/>
  <c r="AY76" i="132"/>
  <c r="AY64" i="132"/>
  <c r="AY52" i="132"/>
  <c r="AY40" i="132"/>
  <c r="AY71" i="132"/>
  <c r="AY78" i="132"/>
  <c r="AY66" i="132"/>
  <c r="AY73" i="132"/>
  <c r="AY61" i="132"/>
  <c r="AY80" i="132"/>
  <c r="AY68" i="132"/>
  <c r="AY56" i="132"/>
  <c r="AY44" i="132"/>
  <c r="AY32" i="132"/>
  <c r="AY75" i="132"/>
  <c r="AY63" i="132"/>
  <c r="AY51" i="132"/>
  <c r="AY39" i="132"/>
  <c r="AY82" i="132"/>
  <c r="AY70" i="132"/>
  <c r="AY58" i="132"/>
  <c r="AY46" i="132"/>
  <c r="AY77" i="132"/>
  <c r="AY65" i="132"/>
  <c r="AY72" i="132"/>
  <c r="AY79" i="132"/>
  <c r="AY67" i="132"/>
  <c r="AY74" i="132"/>
  <c r="AY62" i="132"/>
  <c r="AY50" i="132"/>
  <c r="AY38" i="132"/>
  <c r="AY26" i="132"/>
  <c r="BW82" i="132"/>
  <c r="BW70" i="132"/>
  <c r="BW58" i="132"/>
  <c r="BW46" i="132"/>
  <c r="BW34" i="132"/>
  <c r="BW77" i="132"/>
  <c r="BW65" i="132"/>
  <c r="BW72" i="132"/>
  <c r="BW79" i="132"/>
  <c r="BW67" i="132"/>
  <c r="BW74" i="132"/>
  <c r="BW62" i="132"/>
  <c r="BW50" i="132"/>
  <c r="BW38" i="132"/>
  <c r="BW26" i="132"/>
  <c r="BW81" i="132"/>
  <c r="BW69" i="132"/>
  <c r="BW57" i="132"/>
  <c r="BW45" i="132"/>
  <c r="BW33" i="132"/>
  <c r="BW76" i="132"/>
  <c r="BW64" i="132"/>
  <c r="BW52" i="132"/>
  <c r="BW40" i="132"/>
  <c r="BW71" i="132"/>
  <c r="BW78" i="132"/>
  <c r="BW66" i="132"/>
  <c r="BW73" i="132"/>
  <c r="BW80" i="132"/>
  <c r="BW68" i="132"/>
  <c r="BW56" i="132"/>
  <c r="BW44" i="132"/>
  <c r="BW32" i="132"/>
  <c r="BW20" i="132"/>
  <c r="N6" i="132"/>
  <c r="O6" i="132" s="1"/>
  <c r="Z6" i="132"/>
  <c r="AA6" i="132" s="1"/>
  <c r="AL6" i="132"/>
  <c r="AM6" i="132" s="1"/>
  <c r="AX6" i="132"/>
  <c r="AY6" i="132" s="1"/>
  <c r="BJ6" i="132"/>
  <c r="BK6" i="132" s="1"/>
  <c r="BV6" i="132"/>
  <c r="BW6" i="132" s="1"/>
  <c r="AY7" i="132"/>
  <c r="AM10" i="132"/>
  <c r="AU12" i="132"/>
  <c r="AA13" i="132"/>
  <c r="BW13" i="132"/>
  <c r="O16" i="132"/>
  <c r="BK16" i="132"/>
  <c r="W18" i="132"/>
  <c r="BS18" i="132"/>
  <c r="AM20" i="132"/>
  <c r="W21" i="132"/>
  <c r="BW21" i="132"/>
  <c r="BK22" i="132"/>
  <c r="AY23" i="132"/>
  <c r="AM24" i="132"/>
  <c r="AY28" i="132"/>
  <c r="AA31" i="132"/>
  <c r="W32" i="132"/>
  <c r="W33" i="132"/>
  <c r="W34" i="132"/>
  <c r="AA35" i="132"/>
  <c r="AY37" i="132"/>
  <c r="BW39" i="132"/>
  <c r="O42" i="132"/>
  <c r="AM44" i="132"/>
  <c r="BW47" i="132"/>
  <c r="BS54" i="132"/>
  <c r="O56" i="132"/>
  <c r="AM58" i="132"/>
  <c r="AY59" i="132"/>
  <c r="AM72" i="132"/>
  <c r="AY19" i="131"/>
  <c r="X4" i="131"/>
  <c r="BW18" i="131"/>
  <c r="AE77" i="131"/>
  <c r="AE65" i="131"/>
  <c r="AE53" i="131"/>
  <c r="AE41" i="131"/>
  <c r="AE29" i="131"/>
  <c r="AE72" i="131"/>
  <c r="AE60" i="131"/>
  <c r="AE48" i="131"/>
  <c r="AE36" i="131"/>
  <c r="AE24" i="131"/>
  <c r="AE79" i="131"/>
  <c r="AE67" i="131"/>
  <c r="AE55" i="131"/>
  <c r="AE43" i="131"/>
  <c r="AE31" i="131"/>
  <c r="AE74" i="131"/>
  <c r="AE62" i="131"/>
  <c r="AE50" i="131"/>
  <c r="AE38" i="131"/>
  <c r="AE26" i="131"/>
  <c r="AE81" i="131"/>
  <c r="AE69" i="131"/>
  <c r="AE57" i="131"/>
  <c r="AE45" i="131"/>
  <c r="AE33" i="131"/>
  <c r="AE76" i="131"/>
  <c r="AE64" i="131"/>
  <c r="AE52" i="131"/>
  <c r="AE40" i="131"/>
  <c r="AE28" i="131"/>
  <c r="AE71" i="131"/>
  <c r="AE59" i="131"/>
  <c r="AE47" i="131"/>
  <c r="AE35" i="131"/>
  <c r="AE23" i="131"/>
  <c r="AE78" i="131"/>
  <c r="AE66" i="131"/>
  <c r="AE54" i="131"/>
  <c r="AE42" i="131"/>
  <c r="AE73" i="131"/>
  <c r="AE61" i="131"/>
  <c r="AE49" i="131"/>
  <c r="AE37" i="131"/>
  <c r="AE25" i="131"/>
  <c r="AE80" i="131"/>
  <c r="AE68" i="131"/>
  <c r="AE56" i="131"/>
  <c r="AE44" i="131"/>
  <c r="AE32" i="131"/>
  <c r="BC71" i="131"/>
  <c r="BC59" i="131"/>
  <c r="BC47" i="131"/>
  <c r="BC35" i="131"/>
  <c r="BC78" i="131"/>
  <c r="BC66" i="131"/>
  <c r="BC54" i="131"/>
  <c r="BC42" i="131"/>
  <c r="BC30" i="131"/>
  <c r="BC73" i="131"/>
  <c r="BC61" i="131"/>
  <c r="BC49" i="131"/>
  <c r="BC37" i="131"/>
  <c r="BC80" i="131"/>
  <c r="BC68" i="131"/>
  <c r="BC56" i="131"/>
  <c r="BC44" i="131"/>
  <c r="BC32" i="131"/>
  <c r="BC75" i="131"/>
  <c r="BC63" i="131"/>
  <c r="BC51" i="131"/>
  <c r="BC39" i="131"/>
  <c r="BC82" i="131"/>
  <c r="BC70" i="131"/>
  <c r="BC58" i="131"/>
  <c r="BC46" i="131"/>
  <c r="BC34" i="131"/>
  <c r="BC22" i="131"/>
  <c r="BC77" i="131"/>
  <c r="BC65" i="131"/>
  <c r="BC53" i="131"/>
  <c r="BC41" i="131"/>
  <c r="BC29" i="131"/>
  <c r="BC72" i="131"/>
  <c r="BC60" i="131"/>
  <c r="BC48" i="131"/>
  <c r="BC79" i="131"/>
  <c r="BC67" i="131"/>
  <c r="BC55" i="131"/>
  <c r="BC43" i="131"/>
  <c r="BC31" i="131"/>
  <c r="BC74" i="131"/>
  <c r="BC62" i="131"/>
  <c r="BC50" i="131"/>
  <c r="BC38" i="131"/>
  <c r="L5" i="131"/>
  <c r="O5" i="131" s="1"/>
  <c r="AJ5" i="131"/>
  <c r="AM5" i="131" s="1"/>
  <c r="BH5" i="131"/>
  <c r="BK5" i="131" s="1"/>
  <c r="P6" i="131"/>
  <c r="AB6" i="131"/>
  <c r="AN6" i="131"/>
  <c r="AZ6" i="131"/>
  <c r="BL6" i="131"/>
  <c r="BG7" i="131"/>
  <c r="AM8" i="131"/>
  <c r="S9" i="131"/>
  <c r="BO9" i="131"/>
  <c r="AU10" i="131"/>
  <c r="AA11" i="131"/>
  <c r="BW11" i="131"/>
  <c r="BC12" i="131"/>
  <c r="AI13" i="131"/>
  <c r="O14" i="131"/>
  <c r="BK14" i="131"/>
  <c r="AQ15" i="131"/>
  <c r="W16" i="131"/>
  <c r="BS16" i="131"/>
  <c r="AY17" i="131"/>
  <c r="AE18" i="131"/>
  <c r="BG19" i="131"/>
  <c r="AU20" i="131"/>
  <c r="AM21" i="131"/>
  <c r="AI22" i="131"/>
  <c r="AA23" i="131"/>
  <c r="W24" i="131"/>
  <c r="W25" i="131"/>
  <c r="AU26" i="131"/>
  <c r="BK27" i="131"/>
  <c r="O29" i="131"/>
  <c r="AQ30" i="131"/>
  <c r="BW32" i="131"/>
  <c r="BO37" i="131"/>
  <c r="W44" i="131"/>
  <c r="BG47" i="131"/>
  <c r="AY50" i="131"/>
  <c r="O54" i="131"/>
  <c r="AQ60" i="131"/>
  <c r="BW63" i="131"/>
  <c r="AE70" i="131"/>
  <c r="BO73" i="131"/>
  <c r="W80" i="131"/>
  <c r="AA82" i="131"/>
  <c r="AA70" i="131"/>
  <c r="AA58" i="131"/>
  <c r="AA46" i="131"/>
  <c r="AA34" i="131"/>
  <c r="AA77" i="131"/>
  <c r="AA65" i="131"/>
  <c r="AA53" i="131"/>
  <c r="AA41" i="131"/>
  <c r="AA29" i="131"/>
  <c r="AA72" i="131"/>
  <c r="AA60" i="131"/>
  <c r="AA48" i="131"/>
  <c r="AA36" i="131"/>
  <c r="AA79" i="131"/>
  <c r="AA67" i="131"/>
  <c r="AA55" i="131"/>
  <c r="AA43" i="131"/>
  <c r="AA31" i="131"/>
  <c r="AA74" i="131"/>
  <c r="AA62" i="131"/>
  <c r="AA50" i="131"/>
  <c r="AA38" i="131"/>
  <c r="AA81" i="131"/>
  <c r="AA69" i="131"/>
  <c r="AA57" i="131"/>
  <c r="AA45" i="131"/>
  <c r="AA33" i="131"/>
  <c r="AA21" i="131"/>
  <c r="AA76" i="131"/>
  <c r="AA64" i="131"/>
  <c r="AA52" i="131"/>
  <c r="AA40" i="131"/>
  <c r="AA28" i="131"/>
  <c r="AA71" i="131"/>
  <c r="AA59" i="131"/>
  <c r="AA47" i="131"/>
  <c r="AA78" i="131"/>
  <c r="AA66" i="131"/>
  <c r="AA54" i="131"/>
  <c r="AA42" i="131"/>
  <c r="AA30" i="131"/>
  <c r="AA73" i="131"/>
  <c r="AA61" i="131"/>
  <c r="AA49" i="131"/>
  <c r="AA37" i="131"/>
  <c r="Z6" i="131"/>
  <c r="AA6" i="131" s="1"/>
  <c r="AY10" i="131"/>
  <c r="AA16" i="131"/>
  <c r="BW16" i="131"/>
  <c r="AI18" i="131"/>
  <c r="O19" i="131"/>
  <c r="BK19" i="131"/>
  <c r="AY20" i="131"/>
  <c r="AM22" i="131"/>
  <c r="AM23" i="131"/>
  <c r="AA24" i="131"/>
  <c r="AA25" i="131"/>
  <c r="AY26" i="131"/>
  <c r="BW27" i="131"/>
  <c r="BK30" i="131"/>
  <c r="AI41" i="131"/>
  <c r="AA44" i="131"/>
  <c r="BK47" i="131"/>
  <c r="S54" i="131"/>
  <c r="AY57" i="131"/>
  <c r="AQ67" i="131"/>
  <c r="AI70" i="131"/>
  <c r="BS73" i="131"/>
  <c r="AA80" i="131"/>
  <c r="BV6" i="131"/>
  <c r="BW6" i="131" s="1"/>
  <c r="AY12" i="131"/>
  <c r="AI72" i="131"/>
  <c r="AI60" i="131"/>
  <c r="AI48" i="131"/>
  <c r="AI36" i="131"/>
  <c r="AI24" i="131"/>
  <c r="AI79" i="131"/>
  <c r="AI67" i="131"/>
  <c r="AI55" i="131"/>
  <c r="AI43" i="131"/>
  <c r="AI31" i="131"/>
  <c r="AI74" i="131"/>
  <c r="AI62" i="131"/>
  <c r="AI50" i="131"/>
  <c r="AI38" i="131"/>
  <c r="AI81" i="131"/>
  <c r="AI69" i="131"/>
  <c r="AI57" i="131"/>
  <c r="AI45" i="131"/>
  <c r="AI33" i="131"/>
  <c r="AI76" i="131"/>
  <c r="AI64" i="131"/>
  <c r="AI52" i="131"/>
  <c r="AI40" i="131"/>
  <c r="AI71" i="131"/>
  <c r="AI59" i="131"/>
  <c r="AI47" i="131"/>
  <c r="AI35" i="131"/>
  <c r="AI23" i="131"/>
  <c r="AI78" i="131"/>
  <c r="AI66" i="131"/>
  <c r="AI54" i="131"/>
  <c r="AI42" i="131"/>
  <c r="AI30" i="131"/>
  <c r="AI73" i="131"/>
  <c r="AI61" i="131"/>
  <c r="AI49" i="131"/>
  <c r="AI80" i="131"/>
  <c r="AI68" i="131"/>
  <c r="AI56" i="131"/>
  <c r="AI44" i="131"/>
  <c r="AI32" i="131"/>
  <c r="AI75" i="131"/>
  <c r="AI63" i="131"/>
  <c r="AI51" i="131"/>
  <c r="AI39" i="131"/>
  <c r="BG78" i="131"/>
  <c r="BG66" i="131"/>
  <c r="BG54" i="131"/>
  <c r="BG42" i="131"/>
  <c r="BG30" i="131"/>
  <c r="BG73" i="131"/>
  <c r="BG61" i="131"/>
  <c r="BG49" i="131"/>
  <c r="BG37" i="131"/>
  <c r="BG25" i="131"/>
  <c r="BG80" i="131"/>
  <c r="BG68" i="131"/>
  <c r="BG56" i="131"/>
  <c r="BG44" i="131"/>
  <c r="BG32" i="131"/>
  <c r="BG75" i="131"/>
  <c r="BG63" i="131"/>
  <c r="BG51" i="131"/>
  <c r="BG39" i="131"/>
  <c r="BG27" i="131"/>
  <c r="BG82" i="131"/>
  <c r="BG70" i="131"/>
  <c r="BG58" i="131"/>
  <c r="BG46" i="131"/>
  <c r="BG34" i="131"/>
  <c r="BG77" i="131"/>
  <c r="BG65" i="131"/>
  <c r="BG53" i="131"/>
  <c r="BG41" i="131"/>
  <c r="BG29" i="131"/>
  <c r="BG72" i="131"/>
  <c r="BG60" i="131"/>
  <c r="BG48" i="131"/>
  <c r="BG36" i="131"/>
  <c r="BG24" i="131"/>
  <c r="BG79" i="131"/>
  <c r="BG67" i="131"/>
  <c r="BG55" i="131"/>
  <c r="BG43" i="131"/>
  <c r="BG74" i="131"/>
  <c r="BG62" i="131"/>
  <c r="BG50" i="131"/>
  <c r="BG38" i="131"/>
  <c r="BG26" i="131"/>
  <c r="BG81" i="131"/>
  <c r="BG69" i="131"/>
  <c r="BG57" i="131"/>
  <c r="BG45" i="131"/>
  <c r="BG33" i="131"/>
  <c r="AA9" i="131"/>
  <c r="BW9" i="131"/>
  <c r="AI11" i="131"/>
  <c r="O12" i="131"/>
  <c r="BK12" i="131"/>
  <c r="AQ13" i="131"/>
  <c r="W14" i="131"/>
  <c r="BS14" i="131"/>
  <c r="AY15" i="131"/>
  <c r="AE16" i="131"/>
  <c r="BG17" i="131"/>
  <c r="AM18" i="131"/>
  <c r="S19" i="131"/>
  <c r="BO19" i="131"/>
  <c r="BC20" i="131"/>
  <c r="AY21" i="131"/>
  <c r="AQ22" i="131"/>
  <c r="AQ23" i="131"/>
  <c r="AM24" i="131"/>
  <c r="AI25" i="131"/>
  <c r="BC26" i="131"/>
  <c r="AI29" i="131"/>
  <c r="BO30" i="131"/>
  <c r="S33" i="131"/>
  <c r="BK35" i="131"/>
  <c r="AM41" i="131"/>
  <c r="BS44" i="131"/>
  <c r="AA51" i="131"/>
  <c r="BK54" i="131"/>
  <c r="BC57" i="131"/>
  <c r="S61" i="131"/>
  <c r="BC64" i="131"/>
  <c r="AU67" i="131"/>
  <c r="AM77" i="131"/>
  <c r="BS80" i="131"/>
  <c r="AF4" i="131"/>
  <c r="BD4" i="131"/>
  <c r="AY8" i="131"/>
  <c r="BG10" i="131"/>
  <c r="AM11" i="131"/>
  <c r="S12" i="131"/>
  <c r="BO12" i="131"/>
  <c r="AU13" i="131"/>
  <c r="AA14" i="131"/>
  <c r="BW14" i="131"/>
  <c r="BC15" i="131"/>
  <c r="AI16" i="131"/>
  <c r="O17" i="131"/>
  <c r="BK17" i="131"/>
  <c r="AQ18" i="131"/>
  <c r="W19" i="131"/>
  <c r="BS19" i="131"/>
  <c r="BG20" i="131"/>
  <c r="BC21" i="131"/>
  <c r="AU22" i="131"/>
  <c r="AU23" i="131"/>
  <c r="AQ24" i="131"/>
  <c r="AU25" i="131"/>
  <c r="O28" i="131"/>
  <c r="AM29" i="131"/>
  <c r="AY33" i="131"/>
  <c r="BW35" i="131"/>
  <c r="AU38" i="131"/>
  <c r="BW44" i="131"/>
  <c r="AE51" i="131"/>
  <c r="BO54" i="131"/>
  <c r="W61" i="131"/>
  <c r="BG64" i="131"/>
  <c r="AU74" i="131"/>
  <c r="BW80" i="131"/>
  <c r="AA13" i="131"/>
  <c r="BW56" i="131"/>
  <c r="O73" i="131"/>
  <c r="O61" i="131"/>
  <c r="O49" i="131"/>
  <c r="O37" i="131"/>
  <c r="O25" i="131"/>
  <c r="O80" i="131"/>
  <c r="O68" i="131"/>
  <c r="O56" i="131"/>
  <c r="O44" i="131"/>
  <c r="O32" i="131"/>
  <c r="O20" i="131"/>
  <c r="O75" i="131"/>
  <c r="O63" i="131"/>
  <c r="O51" i="131"/>
  <c r="O39" i="131"/>
  <c r="O82" i="131"/>
  <c r="O70" i="131"/>
  <c r="O58" i="131"/>
  <c r="O46" i="131"/>
  <c r="O34" i="131"/>
  <c r="O77" i="131"/>
  <c r="O65" i="131"/>
  <c r="O53" i="131"/>
  <c r="O41" i="131"/>
  <c r="O72" i="131"/>
  <c r="O60" i="131"/>
  <c r="O48" i="131"/>
  <c r="O36" i="131"/>
  <c r="O24" i="131"/>
  <c r="O79" i="131"/>
  <c r="O67" i="131"/>
  <c r="O55" i="131"/>
  <c r="O43" i="131"/>
  <c r="O31" i="131"/>
  <c r="O74" i="131"/>
  <c r="O62" i="131"/>
  <c r="O50" i="131"/>
  <c r="O38" i="131"/>
  <c r="O81" i="131"/>
  <c r="O69" i="131"/>
  <c r="O57" i="131"/>
  <c r="O45" i="131"/>
  <c r="O33" i="131"/>
  <c r="O76" i="131"/>
  <c r="O64" i="131"/>
  <c r="O52" i="131"/>
  <c r="O40" i="131"/>
  <c r="AM79" i="131"/>
  <c r="AM67" i="131"/>
  <c r="AM55" i="131"/>
  <c r="AM43" i="131"/>
  <c r="AM31" i="131"/>
  <c r="AM74" i="131"/>
  <c r="AM62" i="131"/>
  <c r="AM50" i="131"/>
  <c r="AM38" i="131"/>
  <c r="AM26" i="131"/>
  <c r="AM81" i="131"/>
  <c r="AM69" i="131"/>
  <c r="AM57" i="131"/>
  <c r="AM45" i="131"/>
  <c r="AM33" i="131"/>
  <c r="AM76" i="131"/>
  <c r="AM64" i="131"/>
  <c r="AM52" i="131"/>
  <c r="AM40" i="131"/>
  <c r="AM28" i="131"/>
  <c r="AM71" i="131"/>
  <c r="AM59" i="131"/>
  <c r="AM47" i="131"/>
  <c r="AM35" i="131"/>
  <c r="AM78" i="131"/>
  <c r="AM66" i="131"/>
  <c r="AM54" i="131"/>
  <c r="AM42" i="131"/>
  <c r="AM30" i="131"/>
  <c r="AM73" i="131"/>
  <c r="AM61" i="131"/>
  <c r="AM49" i="131"/>
  <c r="AM37" i="131"/>
  <c r="AM25" i="131"/>
  <c r="AM80" i="131"/>
  <c r="AM68" i="131"/>
  <c r="AM56" i="131"/>
  <c r="AM44" i="131"/>
  <c r="AM75" i="131"/>
  <c r="AM63" i="131"/>
  <c r="AM51" i="131"/>
  <c r="AM39" i="131"/>
  <c r="AM27" i="131"/>
  <c r="AM82" i="131"/>
  <c r="AM70" i="131"/>
  <c r="AM58" i="131"/>
  <c r="AM46" i="131"/>
  <c r="AM34" i="131"/>
  <c r="BK73" i="131"/>
  <c r="BK61" i="131"/>
  <c r="BK49" i="131"/>
  <c r="BK37" i="131"/>
  <c r="BK25" i="131"/>
  <c r="BK80" i="131"/>
  <c r="BK68" i="131"/>
  <c r="BK56" i="131"/>
  <c r="BK44" i="131"/>
  <c r="BK32" i="131"/>
  <c r="BK20" i="131"/>
  <c r="BK75" i="131"/>
  <c r="BK63" i="131"/>
  <c r="BK51" i="131"/>
  <c r="BK39" i="131"/>
  <c r="BK82" i="131"/>
  <c r="BK70" i="131"/>
  <c r="BK58" i="131"/>
  <c r="BK46" i="131"/>
  <c r="BK34" i="131"/>
  <c r="BK77" i="131"/>
  <c r="BK65" i="131"/>
  <c r="BK53" i="131"/>
  <c r="BK41" i="131"/>
  <c r="BK72" i="131"/>
  <c r="BK60" i="131"/>
  <c r="BK48" i="131"/>
  <c r="BK36" i="131"/>
  <c r="BK24" i="131"/>
  <c r="BK79" i="131"/>
  <c r="BK67" i="131"/>
  <c r="BK55" i="131"/>
  <c r="BK43" i="131"/>
  <c r="BK31" i="131"/>
  <c r="BK74" i="131"/>
  <c r="BK62" i="131"/>
  <c r="BK50" i="131"/>
  <c r="BK38" i="131"/>
  <c r="BK81" i="131"/>
  <c r="BK69" i="131"/>
  <c r="BK57" i="131"/>
  <c r="BK45" i="131"/>
  <c r="BK33" i="131"/>
  <c r="BK76" i="131"/>
  <c r="BK64" i="131"/>
  <c r="BK52" i="131"/>
  <c r="BK40" i="131"/>
  <c r="AF6" i="131"/>
  <c r="BD6" i="131"/>
  <c r="AA7" i="131"/>
  <c r="BW7" i="131"/>
  <c r="AI9" i="131"/>
  <c r="O10" i="131"/>
  <c r="BK10" i="131"/>
  <c r="AY13" i="131"/>
  <c r="AE14" i="131"/>
  <c r="BG15" i="131"/>
  <c r="AM16" i="131"/>
  <c r="S17" i="131"/>
  <c r="BO17" i="131"/>
  <c r="AU18" i="131"/>
  <c r="AA19" i="131"/>
  <c r="BW19" i="131"/>
  <c r="BO20" i="131"/>
  <c r="BG21" i="131"/>
  <c r="BG22" i="131"/>
  <c r="BC23" i="131"/>
  <c r="AU24" i="131"/>
  <c r="BC25" i="131"/>
  <c r="BW26" i="131"/>
  <c r="W28" i="131"/>
  <c r="AQ29" i="131"/>
  <c r="AQ31" i="131"/>
  <c r="BC33" i="131"/>
  <c r="AY38" i="131"/>
  <c r="O42" i="131"/>
  <c r="AQ48" i="131"/>
  <c r="BW51" i="131"/>
  <c r="AE58" i="131"/>
  <c r="BO61" i="131"/>
  <c r="W68" i="131"/>
  <c r="BG71" i="131"/>
  <c r="O78" i="131"/>
  <c r="AY76" i="131"/>
  <c r="AY64" i="131"/>
  <c r="AY52" i="131"/>
  <c r="AY40" i="131"/>
  <c r="AY28" i="131"/>
  <c r="AY71" i="131"/>
  <c r="AY59" i="131"/>
  <c r="AY47" i="131"/>
  <c r="AY35" i="131"/>
  <c r="AY23" i="131"/>
  <c r="AY78" i="131"/>
  <c r="AY66" i="131"/>
  <c r="AY54" i="131"/>
  <c r="AY42" i="131"/>
  <c r="AY30" i="131"/>
  <c r="AY73" i="131"/>
  <c r="AY61" i="131"/>
  <c r="AY49" i="131"/>
  <c r="AY37" i="131"/>
  <c r="AY25" i="131"/>
  <c r="AY80" i="131"/>
  <c r="AY68" i="131"/>
  <c r="AY56" i="131"/>
  <c r="AY44" i="131"/>
  <c r="AY32" i="131"/>
  <c r="AY75" i="131"/>
  <c r="AY63" i="131"/>
  <c r="AY51" i="131"/>
  <c r="AY39" i="131"/>
  <c r="AY27" i="131"/>
  <c r="AY82" i="131"/>
  <c r="AY70" i="131"/>
  <c r="AY58" i="131"/>
  <c r="AY46" i="131"/>
  <c r="AY34" i="131"/>
  <c r="AY22" i="131"/>
  <c r="AY77" i="131"/>
  <c r="AY65" i="131"/>
  <c r="AY53" i="131"/>
  <c r="AY41" i="131"/>
  <c r="AY72" i="131"/>
  <c r="AY60" i="131"/>
  <c r="AY48" i="131"/>
  <c r="AY36" i="131"/>
  <c r="AY79" i="131"/>
  <c r="AY67" i="131"/>
  <c r="AY55" i="131"/>
  <c r="AY43" i="131"/>
  <c r="AY31" i="131"/>
  <c r="AA18" i="131"/>
  <c r="L4" i="131"/>
  <c r="AJ4" i="131"/>
  <c r="BH4" i="131"/>
  <c r="AG6" i="131"/>
  <c r="BE6" i="131"/>
  <c r="BG8" i="131"/>
  <c r="AM9" i="131"/>
  <c r="AU11" i="131"/>
  <c r="AA12" i="131"/>
  <c r="BC13" i="131"/>
  <c r="AI14" i="131"/>
  <c r="O15" i="131"/>
  <c r="BK15" i="131"/>
  <c r="AQ16" i="131"/>
  <c r="W17" i="131"/>
  <c r="BS17" i="131"/>
  <c r="AY18" i="131"/>
  <c r="AE19" i="131"/>
  <c r="BS20" i="131"/>
  <c r="BK21" i="131"/>
  <c r="BK22" i="131"/>
  <c r="BG23" i="131"/>
  <c r="AY24" i="131"/>
  <c r="BO25" i="131"/>
  <c r="AI28" i="131"/>
  <c r="AY29" i="131"/>
  <c r="AU31" i="131"/>
  <c r="AM36" i="131"/>
  <c r="S42" i="131"/>
  <c r="AY45" i="131"/>
  <c r="AI58" i="131"/>
  <c r="BS61" i="131"/>
  <c r="AI65" i="131"/>
  <c r="AA68" i="131"/>
  <c r="BK71" i="131"/>
  <c r="AY81" i="131"/>
  <c r="BW82" i="131"/>
  <c r="BW70" i="131"/>
  <c r="BW58" i="131"/>
  <c r="BW46" i="131"/>
  <c r="BW34" i="131"/>
  <c r="BW77" i="131"/>
  <c r="BW65" i="131"/>
  <c r="BW53" i="131"/>
  <c r="BW41" i="131"/>
  <c r="BW29" i="131"/>
  <c r="BW72" i="131"/>
  <c r="BW60" i="131"/>
  <c r="BW48" i="131"/>
  <c r="BW36" i="131"/>
  <c r="BW79" i="131"/>
  <c r="BW67" i="131"/>
  <c r="BW55" i="131"/>
  <c r="BW43" i="131"/>
  <c r="BW31" i="131"/>
  <c r="BW74" i="131"/>
  <c r="BW62" i="131"/>
  <c r="BW50" i="131"/>
  <c r="BW38" i="131"/>
  <c r="BW81" i="131"/>
  <c r="BW69" i="131"/>
  <c r="BW57" i="131"/>
  <c r="BW45" i="131"/>
  <c r="BW33" i="131"/>
  <c r="BW21" i="131"/>
  <c r="BW76" i="131"/>
  <c r="BW64" i="131"/>
  <c r="BW52" i="131"/>
  <c r="BW40" i="131"/>
  <c r="BW28" i="131"/>
  <c r="BW71" i="131"/>
  <c r="BW59" i="131"/>
  <c r="BW47" i="131"/>
  <c r="BW78" i="131"/>
  <c r="BW66" i="131"/>
  <c r="BW54" i="131"/>
  <c r="BW42" i="131"/>
  <c r="BW30" i="131"/>
  <c r="BW73" i="131"/>
  <c r="BW61" i="131"/>
  <c r="BW49" i="131"/>
  <c r="BW37" i="131"/>
  <c r="AA22" i="131"/>
  <c r="AA63" i="131"/>
  <c r="BT4" i="131"/>
  <c r="S80" i="131"/>
  <c r="S68" i="131"/>
  <c r="S56" i="131"/>
  <c r="S44" i="131"/>
  <c r="S32" i="131"/>
  <c r="S75" i="131"/>
  <c r="S63" i="131"/>
  <c r="S51" i="131"/>
  <c r="S39" i="131"/>
  <c r="S27" i="131"/>
  <c r="S82" i="131"/>
  <c r="S70" i="131"/>
  <c r="S58" i="131"/>
  <c r="S46" i="131"/>
  <c r="S34" i="131"/>
  <c r="S77" i="131"/>
  <c r="S65" i="131"/>
  <c r="S53" i="131"/>
  <c r="S41" i="131"/>
  <c r="S29" i="131"/>
  <c r="S72" i="131"/>
  <c r="S60" i="131"/>
  <c r="S48" i="131"/>
  <c r="S36" i="131"/>
  <c r="S79" i="131"/>
  <c r="S67" i="131"/>
  <c r="S55" i="131"/>
  <c r="S43" i="131"/>
  <c r="S31" i="131"/>
  <c r="S74" i="131"/>
  <c r="S62" i="131"/>
  <c r="S50" i="131"/>
  <c r="S38" i="131"/>
  <c r="S26" i="131"/>
  <c r="S81" i="131"/>
  <c r="S69" i="131"/>
  <c r="S57" i="131"/>
  <c r="S45" i="131"/>
  <c r="S76" i="131"/>
  <c r="S64" i="131"/>
  <c r="S52" i="131"/>
  <c r="S40" i="131"/>
  <c r="S28" i="131"/>
  <c r="S71" i="131"/>
  <c r="S59" i="131"/>
  <c r="S47" i="131"/>
  <c r="S35" i="131"/>
  <c r="AQ74" i="131"/>
  <c r="AQ62" i="131"/>
  <c r="AQ50" i="131"/>
  <c r="AQ38" i="131"/>
  <c r="AQ26" i="131"/>
  <c r="AQ81" i="131"/>
  <c r="AQ69" i="131"/>
  <c r="AQ57" i="131"/>
  <c r="AQ45" i="131"/>
  <c r="AQ33" i="131"/>
  <c r="AQ21" i="131"/>
  <c r="AQ76" i="131"/>
  <c r="AQ64" i="131"/>
  <c r="AQ52" i="131"/>
  <c r="AQ40" i="131"/>
  <c r="AQ71" i="131"/>
  <c r="AQ59" i="131"/>
  <c r="AQ47" i="131"/>
  <c r="AQ35" i="131"/>
  <c r="AQ78" i="131"/>
  <c r="AQ66" i="131"/>
  <c r="AQ54" i="131"/>
  <c r="AQ42" i="131"/>
  <c r="AQ73" i="131"/>
  <c r="AQ61" i="131"/>
  <c r="AQ49" i="131"/>
  <c r="AQ37" i="131"/>
  <c r="AQ25" i="131"/>
  <c r="AQ80" i="131"/>
  <c r="AQ68" i="131"/>
  <c r="AQ56" i="131"/>
  <c r="AQ44" i="131"/>
  <c r="AQ32" i="131"/>
  <c r="AQ20" i="131"/>
  <c r="AQ75" i="131"/>
  <c r="AQ63" i="131"/>
  <c r="AQ51" i="131"/>
  <c r="AQ39" i="131"/>
  <c r="AQ82" i="131"/>
  <c r="AQ70" i="131"/>
  <c r="AQ58" i="131"/>
  <c r="AQ46" i="131"/>
  <c r="AQ34" i="131"/>
  <c r="AQ77" i="131"/>
  <c r="AQ65" i="131"/>
  <c r="AQ53" i="131"/>
  <c r="AQ41" i="131"/>
  <c r="BO80" i="131"/>
  <c r="BO68" i="131"/>
  <c r="BO56" i="131"/>
  <c r="BO44" i="131"/>
  <c r="BO32" i="131"/>
  <c r="BO75" i="131"/>
  <c r="BO63" i="131"/>
  <c r="BO51" i="131"/>
  <c r="BO39" i="131"/>
  <c r="BO27" i="131"/>
  <c r="BO82" i="131"/>
  <c r="BO70" i="131"/>
  <c r="BO58" i="131"/>
  <c r="BO46" i="131"/>
  <c r="BO34" i="131"/>
  <c r="BO77" i="131"/>
  <c r="BO65" i="131"/>
  <c r="BO53" i="131"/>
  <c r="BO41" i="131"/>
  <c r="BO29" i="131"/>
  <c r="BO72" i="131"/>
  <c r="BO60" i="131"/>
  <c r="BO48" i="131"/>
  <c r="BO36" i="131"/>
  <c r="BO79" i="131"/>
  <c r="BO67" i="131"/>
  <c r="BO55" i="131"/>
  <c r="BO43" i="131"/>
  <c r="BO31" i="131"/>
  <c r="BO74" i="131"/>
  <c r="BO62" i="131"/>
  <c r="BO50" i="131"/>
  <c r="BO38" i="131"/>
  <c r="BO26" i="131"/>
  <c r="BO81" i="131"/>
  <c r="BO69" i="131"/>
  <c r="BO57" i="131"/>
  <c r="BO45" i="131"/>
  <c r="BO76" i="131"/>
  <c r="BO64" i="131"/>
  <c r="BO52" i="131"/>
  <c r="BO40" i="131"/>
  <c r="BO28" i="131"/>
  <c r="BO71" i="131"/>
  <c r="BO59" i="131"/>
  <c r="BO47" i="131"/>
  <c r="BO35" i="131"/>
  <c r="X5" i="131"/>
  <c r="AA5" i="131" s="1"/>
  <c r="AV5" i="131"/>
  <c r="AY5" i="131" s="1"/>
  <c r="BT5" i="131"/>
  <c r="BW5" i="131" s="1"/>
  <c r="V6" i="131"/>
  <c r="W6" i="131" s="1"/>
  <c r="AH6" i="131"/>
  <c r="AI6" i="131" s="1"/>
  <c r="AT6" i="131"/>
  <c r="AU6" i="131" s="1"/>
  <c r="BF6" i="131"/>
  <c r="BG6" i="131" s="1"/>
  <c r="BR6" i="131"/>
  <c r="BS6" i="131" s="1"/>
  <c r="AI7" i="131"/>
  <c r="O8" i="131"/>
  <c r="BK8" i="131"/>
  <c r="AQ9" i="131"/>
  <c r="W10" i="131"/>
  <c r="BS10" i="131"/>
  <c r="AY11" i="131"/>
  <c r="AE12" i="131"/>
  <c r="BG13" i="131"/>
  <c r="AM14" i="131"/>
  <c r="S15" i="131"/>
  <c r="BO15" i="131"/>
  <c r="AU16" i="131"/>
  <c r="AA17" i="131"/>
  <c r="BW17" i="131"/>
  <c r="BC18" i="131"/>
  <c r="AI19" i="131"/>
  <c r="S20" i="131"/>
  <c r="BW20" i="131"/>
  <c r="BO21" i="131"/>
  <c r="BO22" i="131"/>
  <c r="BK23" i="131"/>
  <c r="BC24" i="131"/>
  <c r="BS25" i="131"/>
  <c r="O27" i="131"/>
  <c r="AQ28" i="131"/>
  <c r="BK29" i="131"/>
  <c r="BG31" i="131"/>
  <c r="AQ36" i="131"/>
  <c r="AA39" i="131"/>
  <c r="BK42" i="131"/>
  <c r="BC45" i="131"/>
  <c r="S49" i="131"/>
  <c r="BC52" i="131"/>
  <c r="AU55" i="131"/>
  <c r="AM65" i="131"/>
  <c r="BS68" i="131"/>
  <c r="AA75" i="131"/>
  <c r="BK78" i="131"/>
  <c r="BC81" i="131"/>
  <c r="AX6" i="131"/>
  <c r="AY6" i="131" s="1"/>
  <c r="AA26" i="131"/>
  <c r="P4" i="131"/>
  <c r="AN4" i="131"/>
  <c r="BL4" i="131"/>
  <c r="AM7" i="131"/>
  <c r="S8" i="131"/>
  <c r="BO8" i="131"/>
  <c r="AU9" i="131"/>
  <c r="AA10" i="131"/>
  <c r="BW10" i="131"/>
  <c r="BC11" i="131"/>
  <c r="AI12" i="131"/>
  <c r="O13" i="131"/>
  <c r="BK13" i="131"/>
  <c r="AQ14" i="131"/>
  <c r="W15" i="131"/>
  <c r="BS15" i="131"/>
  <c r="AY16" i="131"/>
  <c r="AE17" i="131"/>
  <c r="BG18" i="131"/>
  <c r="AM19" i="131"/>
  <c r="W20" i="131"/>
  <c r="BW22" i="131"/>
  <c r="BO23" i="131"/>
  <c r="BO24" i="131"/>
  <c r="BW25" i="131"/>
  <c r="AA27" i="131"/>
  <c r="BC28" i="131"/>
  <c r="AE34" i="131"/>
  <c r="BC36" i="131"/>
  <c r="AE39" i="131"/>
  <c r="BO42" i="131"/>
  <c r="BG52" i="131"/>
  <c r="O59" i="131"/>
  <c r="BW68" i="131"/>
  <c r="AM72" i="131"/>
  <c r="AE75" i="131"/>
  <c r="BO78" i="131"/>
  <c r="AY7" i="131"/>
  <c r="AV4" i="131"/>
  <c r="W75" i="131"/>
  <c r="W63" i="131"/>
  <c r="W51" i="131"/>
  <c r="W39" i="131"/>
  <c r="W27" i="131"/>
  <c r="W82" i="131"/>
  <c r="W70" i="131"/>
  <c r="W58" i="131"/>
  <c r="W46" i="131"/>
  <c r="W34" i="131"/>
  <c r="W22" i="131"/>
  <c r="W77" i="131"/>
  <c r="W65" i="131"/>
  <c r="W53" i="131"/>
  <c r="W41" i="131"/>
  <c r="W72" i="131"/>
  <c r="W60" i="131"/>
  <c r="W48" i="131"/>
  <c r="W36" i="131"/>
  <c r="W79" i="131"/>
  <c r="W67" i="131"/>
  <c r="W55" i="131"/>
  <c r="W43" i="131"/>
  <c r="W31" i="131"/>
  <c r="W74" i="131"/>
  <c r="W62" i="131"/>
  <c r="W50" i="131"/>
  <c r="W38" i="131"/>
  <c r="W26" i="131"/>
  <c r="W81" i="131"/>
  <c r="W69" i="131"/>
  <c r="W57" i="131"/>
  <c r="W45" i="131"/>
  <c r="W33" i="131"/>
  <c r="W21" i="131"/>
  <c r="W76" i="131"/>
  <c r="W64" i="131"/>
  <c r="W52" i="131"/>
  <c r="W40" i="131"/>
  <c r="W71" i="131"/>
  <c r="W59" i="131"/>
  <c r="W47" i="131"/>
  <c r="W35" i="131"/>
  <c r="W78" i="131"/>
  <c r="W66" i="131"/>
  <c r="W54" i="131"/>
  <c r="W42" i="131"/>
  <c r="W30" i="131"/>
  <c r="AU81" i="131"/>
  <c r="AU69" i="131"/>
  <c r="AU57" i="131"/>
  <c r="AU45" i="131"/>
  <c r="AU33" i="131"/>
  <c r="AU76" i="131"/>
  <c r="AU64" i="131"/>
  <c r="AU52" i="131"/>
  <c r="AU40" i="131"/>
  <c r="AU28" i="131"/>
  <c r="AU71" i="131"/>
  <c r="AU59" i="131"/>
  <c r="AU47" i="131"/>
  <c r="AU35" i="131"/>
  <c r="AU78" i="131"/>
  <c r="AU66" i="131"/>
  <c r="AU54" i="131"/>
  <c r="AU42" i="131"/>
  <c r="AU30" i="131"/>
  <c r="AU73" i="131"/>
  <c r="AU61" i="131"/>
  <c r="AU49" i="131"/>
  <c r="AU37" i="131"/>
  <c r="AU80" i="131"/>
  <c r="AU68" i="131"/>
  <c r="AU56" i="131"/>
  <c r="AU44" i="131"/>
  <c r="AU32" i="131"/>
  <c r="AU75" i="131"/>
  <c r="AU63" i="131"/>
  <c r="AU51" i="131"/>
  <c r="AU39" i="131"/>
  <c r="AU27" i="131"/>
  <c r="AU82" i="131"/>
  <c r="AU70" i="131"/>
  <c r="AU58" i="131"/>
  <c r="AU46" i="131"/>
  <c r="AU77" i="131"/>
  <c r="AU65" i="131"/>
  <c r="AU53" i="131"/>
  <c r="AU41" i="131"/>
  <c r="AU29" i="131"/>
  <c r="AU72" i="131"/>
  <c r="AU60" i="131"/>
  <c r="AU48" i="131"/>
  <c r="AU36" i="131"/>
  <c r="BS75" i="131"/>
  <c r="BS63" i="131"/>
  <c r="BS51" i="131"/>
  <c r="BS39" i="131"/>
  <c r="BS27" i="131"/>
  <c r="BS82" i="131"/>
  <c r="BS70" i="131"/>
  <c r="BS58" i="131"/>
  <c r="BS46" i="131"/>
  <c r="BS34" i="131"/>
  <c r="BS22" i="131"/>
  <c r="BS77" i="131"/>
  <c r="BS65" i="131"/>
  <c r="BS53" i="131"/>
  <c r="BS41" i="131"/>
  <c r="BS72" i="131"/>
  <c r="BS60" i="131"/>
  <c r="BS48" i="131"/>
  <c r="BS36" i="131"/>
  <c r="BS79" i="131"/>
  <c r="BS67" i="131"/>
  <c r="BS55" i="131"/>
  <c r="BS43" i="131"/>
  <c r="BS31" i="131"/>
  <c r="BS74" i="131"/>
  <c r="BS62" i="131"/>
  <c r="BS50" i="131"/>
  <c r="BS38" i="131"/>
  <c r="BS26" i="131"/>
  <c r="BS81" i="131"/>
  <c r="BS69" i="131"/>
  <c r="BS57" i="131"/>
  <c r="BS45" i="131"/>
  <c r="BS33" i="131"/>
  <c r="BS21" i="131"/>
  <c r="BS76" i="131"/>
  <c r="BS64" i="131"/>
  <c r="BS52" i="131"/>
  <c r="BS40" i="131"/>
  <c r="BS71" i="131"/>
  <c r="BS59" i="131"/>
  <c r="BS47" i="131"/>
  <c r="BS35" i="131"/>
  <c r="BS78" i="131"/>
  <c r="BS66" i="131"/>
  <c r="BS54" i="131"/>
  <c r="BS42" i="131"/>
  <c r="BS30" i="131"/>
  <c r="AB5" i="131"/>
  <c r="AE5" i="131" s="1"/>
  <c r="AZ5" i="131"/>
  <c r="BC5" i="131" s="1"/>
  <c r="L6" i="131"/>
  <c r="X6" i="131"/>
  <c r="AJ6" i="131"/>
  <c r="AV6" i="131"/>
  <c r="BH6" i="131"/>
  <c r="BT6" i="131"/>
  <c r="AQ7" i="131"/>
  <c r="W8" i="131"/>
  <c r="BS8" i="131"/>
  <c r="AY9" i="131"/>
  <c r="AE10" i="131"/>
  <c r="BG11" i="131"/>
  <c r="AM12" i="131"/>
  <c r="S13" i="131"/>
  <c r="BO13" i="131"/>
  <c r="AU14" i="131"/>
  <c r="AA15" i="131"/>
  <c r="BW15" i="131"/>
  <c r="BC16" i="131"/>
  <c r="AI17" i="131"/>
  <c r="O18" i="131"/>
  <c r="BK18" i="131"/>
  <c r="AQ19" i="131"/>
  <c r="AA20" i="131"/>
  <c r="O21" i="131"/>
  <c r="O22" i="131"/>
  <c r="BS23" i="131"/>
  <c r="BS24" i="131"/>
  <c r="AE27" i="131"/>
  <c r="BG28" i="131"/>
  <c r="W32" i="131"/>
  <c r="AI34" i="131"/>
  <c r="BW39" i="131"/>
  <c r="AE46" i="131"/>
  <c r="BO49" i="131"/>
  <c r="W56" i="131"/>
  <c r="BG59" i="131"/>
  <c r="AY62" i="131"/>
  <c r="O66" i="131"/>
  <c r="AQ72" i="131"/>
  <c r="BW75" i="131"/>
  <c r="AE82" i="131"/>
  <c r="BW13" i="131"/>
  <c r="T4" i="131"/>
  <c r="AR4" i="131"/>
  <c r="BP4" i="131"/>
  <c r="M6" i="131"/>
  <c r="Y6" i="131"/>
  <c r="AK6" i="131"/>
  <c r="AW6" i="131"/>
  <c r="BI6" i="131"/>
  <c r="BU6" i="131"/>
  <c r="AU7" i="131"/>
  <c r="AA8" i="131"/>
  <c r="BW8" i="131"/>
  <c r="BC9" i="131"/>
  <c r="AI10" i="131"/>
  <c r="O11" i="131"/>
  <c r="BK11" i="131"/>
  <c r="AQ12" i="131"/>
  <c r="W13" i="131"/>
  <c r="BS13" i="131"/>
  <c r="AY14" i="131"/>
  <c r="AE15" i="131"/>
  <c r="BG16" i="131"/>
  <c r="AM17" i="131"/>
  <c r="S18" i="131"/>
  <c r="BO18" i="131"/>
  <c r="AU19" i="131"/>
  <c r="AE20" i="131"/>
  <c r="S21" i="131"/>
  <c r="S22" i="131"/>
  <c r="O23" i="131"/>
  <c r="BW23" i="131"/>
  <c r="BW24" i="131"/>
  <c r="O26" i="131"/>
  <c r="AI27" i="131"/>
  <c r="BK28" i="131"/>
  <c r="O30" i="131"/>
  <c r="AA32" i="131"/>
  <c r="AU34" i="131"/>
  <c r="S37" i="131"/>
  <c r="AQ43" i="131"/>
  <c r="AI46" i="131"/>
  <c r="BS49" i="131"/>
  <c r="AI53" i="131"/>
  <c r="AA56" i="131"/>
  <c r="BK59" i="131"/>
  <c r="S66" i="131"/>
  <c r="AY69" i="131"/>
  <c r="AQ79" i="131"/>
  <c r="AI82" i="131"/>
  <c r="W75" i="130"/>
  <c r="W63" i="130"/>
  <c r="W51" i="130"/>
  <c r="W39" i="130"/>
  <c r="W82" i="130"/>
  <c r="W70" i="130"/>
  <c r="W77" i="130"/>
  <c r="W65" i="130"/>
  <c r="W72" i="130"/>
  <c r="W79" i="130"/>
  <c r="W67" i="130"/>
  <c r="W55" i="130"/>
  <c r="W43" i="130"/>
  <c r="W31" i="130"/>
  <c r="W74" i="130"/>
  <c r="W62" i="130"/>
  <c r="W50" i="130"/>
  <c r="W38" i="130"/>
  <c r="W81" i="130"/>
  <c r="W69" i="130"/>
  <c r="W57" i="130"/>
  <c r="W45" i="130"/>
  <c r="W76" i="130"/>
  <c r="W64" i="130"/>
  <c r="W71" i="130"/>
  <c r="W78" i="130"/>
  <c r="W66" i="130"/>
  <c r="W73" i="130"/>
  <c r="W61" i="130"/>
  <c r="W49" i="130"/>
  <c r="W37" i="130"/>
  <c r="W25" i="130"/>
  <c r="W48" i="130"/>
  <c r="W41" i="130"/>
  <c r="W10" i="130"/>
  <c r="V6" i="130"/>
  <c r="W6" i="130" s="1"/>
  <c r="W23" i="130"/>
  <c r="W17" i="130"/>
  <c r="W56" i="130"/>
  <c r="W42" i="130"/>
  <c r="W58" i="130"/>
  <c r="W30" i="130"/>
  <c r="W22" i="130"/>
  <c r="W14" i="130"/>
  <c r="W80" i="130"/>
  <c r="W44" i="130"/>
  <c r="W9" i="130"/>
  <c r="W59" i="130"/>
  <c r="W52" i="130"/>
  <c r="W29" i="130"/>
  <c r="W16" i="130"/>
  <c r="W36" i="130"/>
  <c r="W35" i="130"/>
  <c r="W60" i="130"/>
  <c r="W53" i="130"/>
  <c r="W46" i="130"/>
  <c r="W34" i="130"/>
  <c r="W28" i="130"/>
  <c r="W68" i="130"/>
  <c r="W54" i="130"/>
  <c r="W33" i="130"/>
  <c r="W32" i="130"/>
  <c r="W27" i="130"/>
  <c r="W20" i="130"/>
  <c r="W15" i="130"/>
  <c r="AU81" i="130"/>
  <c r="AU69" i="130"/>
  <c r="AU57" i="130"/>
  <c r="AU45" i="130"/>
  <c r="AU76" i="130"/>
  <c r="AU64" i="130"/>
  <c r="AU71" i="130"/>
  <c r="AU78" i="130"/>
  <c r="AU66" i="130"/>
  <c r="AU73" i="130"/>
  <c r="AU61" i="130"/>
  <c r="AU49" i="130"/>
  <c r="AU37" i="130"/>
  <c r="AU80" i="130"/>
  <c r="AU68" i="130"/>
  <c r="AU56" i="130"/>
  <c r="AU44" i="130"/>
  <c r="AU75" i="130"/>
  <c r="AU63" i="130"/>
  <c r="AU51" i="130"/>
  <c r="AU39" i="130"/>
  <c r="AU82" i="130"/>
  <c r="AU70" i="130"/>
  <c r="AU77" i="130"/>
  <c r="AU65" i="130"/>
  <c r="AU72" i="130"/>
  <c r="AU79" i="130"/>
  <c r="AU67" i="130"/>
  <c r="AU55" i="130"/>
  <c r="AU43" i="130"/>
  <c r="AU31" i="130"/>
  <c r="AU19" i="130"/>
  <c r="AU62" i="130"/>
  <c r="AU58" i="130"/>
  <c r="AU50" i="130"/>
  <c r="AU25" i="130"/>
  <c r="AU16" i="130"/>
  <c r="AT6" i="130"/>
  <c r="AU6" i="130" s="1"/>
  <c r="AU11" i="130"/>
  <c r="AU29" i="130"/>
  <c r="AU36" i="130"/>
  <c r="AU59" i="130"/>
  <c r="AU52" i="130"/>
  <c r="AU35" i="130"/>
  <c r="AU34" i="130"/>
  <c r="AU28" i="130"/>
  <c r="AU53" i="130"/>
  <c r="AU46" i="130"/>
  <c r="AU38" i="130"/>
  <c r="AU24" i="130"/>
  <c r="AU8" i="130"/>
  <c r="AU60" i="130"/>
  <c r="AU33" i="130"/>
  <c r="AU15" i="130"/>
  <c r="AU54" i="130"/>
  <c r="AU32" i="130"/>
  <c r="AU27" i="130"/>
  <c r="AU20" i="130"/>
  <c r="AU10" i="130"/>
  <c r="AU74" i="130"/>
  <c r="AU47" i="130"/>
  <c r="AU40" i="130"/>
  <c r="AU48" i="130"/>
  <c r="AU41" i="130"/>
  <c r="AU26" i="130"/>
  <c r="AU30" i="130"/>
  <c r="AU22" i="130"/>
  <c r="AU9" i="130"/>
  <c r="BS75" i="130"/>
  <c r="BS63" i="130"/>
  <c r="BS51" i="130"/>
  <c r="BS39" i="130"/>
  <c r="BS82" i="130"/>
  <c r="BS70" i="130"/>
  <c r="BS77" i="130"/>
  <c r="BS65" i="130"/>
  <c r="BS72" i="130"/>
  <c r="BS79" i="130"/>
  <c r="BS67" i="130"/>
  <c r="BS55" i="130"/>
  <c r="BS43" i="130"/>
  <c r="BS31" i="130"/>
  <c r="BS74" i="130"/>
  <c r="BS62" i="130"/>
  <c r="BS50" i="130"/>
  <c r="BS38" i="130"/>
  <c r="BS81" i="130"/>
  <c r="BS69" i="130"/>
  <c r="BS57" i="130"/>
  <c r="BS45" i="130"/>
  <c r="BS76" i="130"/>
  <c r="BS64" i="130"/>
  <c r="BS71" i="130"/>
  <c r="BS78" i="130"/>
  <c r="BS66" i="130"/>
  <c r="BS73" i="130"/>
  <c r="BS61" i="130"/>
  <c r="BS49" i="130"/>
  <c r="BS37" i="130"/>
  <c r="BS25" i="130"/>
  <c r="BS33" i="130"/>
  <c r="BS20" i="130"/>
  <c r="BS10" i="130"/>
  <c r="BR6" i="130"/>
  <c r="BS6" i="130" s="1"/>
  <c r="BS27" i="130"/>
  <c r="BS17" i="130"/>
  <c r="BQ6" i="130"/>
  <c r="BS53" i="130"/>
  <c r="BS46" i="130"/>
  <c r="BS32" i="130"/>
  <c r="BS60" i="130"/>
  <c r="BS54" i="130"/>
  <c r="BS47" i="130"/>
  <c r="BS40" i="130"/>
  <c r="BS26" i="130"/>
  <c r="BS80" i="130"/>
  <c r="BS19" i="130"/>
  <c r="BS14" i="130"/>
  <c r="BS48" i="130"/>
  <c r="BS41" i="130"/>
  <c r="BS22" i="130"/>
  <c r="BS9" i="130"/>
  <c r="BS56" i="130"/>
  <c r="BS42" i="130"/>
  <c r="BS30" i="130"/>
  <c r="BS16" i="130"/>
  <c r="BS68" i="130"/>
  <c r="BS29" i="130"/>
  <c r="BS58" i="130"/>
  <c r="BS59" i="130"/>
  <c r="BS52" i="130"/>
  <c r="BS36" i="130"/>
  <c r="BS34" i="130"/>
  <c r="BS15" i="130"/>
  <c r="L6" i="130"/>
  <c r="BH6" i="130"/>
  <c r="AY13" i="130"/>
  <c r="O17" i="130"/>
  <c r="BS35" i="130"/>
  <c r="T4" i="130"/>
  <c r="AR4" i="130"/>
  <c r="BP4" i="130"/>
  <c r="M6" i="130"/>
  <c r="AR6" i="130"/>
  <c r="BI6" i="130"/>
  <c r="AM11" i="130"/>
  <c r="AU12" i="130"/>
  <c r="O16" i="130"/>
  <c r="W18" i="130"/>
  <c r="BS21" i="130"/>
  <c r="AY24" i="130"/>
  <c r="W47" i="130"/>
  <c r="O63" i="130"/>
  <c r="AA82" i="130"/>
  <c r="AA70" i="130"/>
  <c r="AA58" i="130"/>
  <c r="AA46" i="130"/>
  <c r="AA77" i="130"/>
  <c r="AA65" i="130"/>
  <c r="AA72" i="130"/>
  <c r="AA79" i="130"/>
  <c r="AA67" i="130"/>
  <c r="AA74" i="130"/>
  <c r="AA62" i="130"/>
  <c r="AA50" i="130"/>
  <c r="AA38" i="130"/>
  <c r="AA81" i="130"/>
  <c r="AA69" i="130"/>
  <c r="AA57" i="130"/>
  <c r="AA45" i="130"/>
  <c r="AA33" i="130"/>
  <c r="AA76" i="130"/>
  <c r="AA64" i="130"/>
  <c r="AA52" i="130"/>
  <c r="AA40" i="130"/>
  <c r="AA71" i="130"/>
  <c r="AA78" i="130"/>
  <c r="AA66" i="130"/>
  <c r="AA73" i="130"/>
  <c r="AA80" i="130"/>
  <c r="AA68" i="130"/>
  <c r="AA56" i="130"/>
  <c r="AA44" i="130"/>
  <c r="AA32" i="130"/>
  <c r="AA20" i="130"/>
  <c r="AA42" i="130"/>
  <c r="AA23" i="130"/>
  <c r="AA17" i="130"/>
  <c r="X5" i="130"/>
  <c r="AA5" i="130" s="1"/>
  <c r="AA26" i="130"/>
  <c r="AA12" i="130"/>
  <c r="AA49" i="130"/>
  <c r="AA31" i="130"/>
  <c r="AA43" i="130"/>
  <c r="AA30" i="130"/>
  <c r="AA9" i="130"/>
  <c r="AA75" i="130"/>
  <c r="AA59" i="130"/>
  <c r="AA51" i="130"/>
  <c r="AA29" i="130"/>
  <c r="AA25" i="130"/>
  <c r="AA16" i="130"/>
  <c r="AA37" i="130"/>
  <c r="AA36" i="130"/>
  <c r="AA35" i="130"/>
  <c r="AA11" i="130"/>
  <c r="AA60" i="130"/>
  <c r="AA53" i="130"/>
  <c r="AA34" i="130"/>
  <c r="AA28" i="130"/>
  <c r="AA54" i="130"/>
  <c r="AA24" i="130"/>
  <c r="AA63" i="130"/>
  <c r="AA47" i="130"/>
  <c r="AA39" i="130"/>
  <c r="AA55" i="130"/>
  <c r="AA48" i="130"/>
  <c r="AA41" i="130"/>
  <c r="AA10" i="130"/>
  <c r="BW82" i="130"/>
  <c r="BW70" i="130"/>
  <c r="BW58" i="130"/>
  <c r="BW46" i="130"/>
  <c r="BW77" i="130"/>
  <c r="BW65" i="130"/>
  <c r="BW72" i="130"/>
  <c r="BW79" i="130"/>
  <c r="BW67" i="130"/>
  <c r="BW74" i="130"/>
  <c r="BW62" i="130"/>
  <c r="BW50" i="130"/>
  <c r="BW38" i="130"/>
  <c r="BW26" i="130"/>
  <c r="BW81" i="130"/>
  <c r="BW69" i="130"/>
  <c r="BW57" i="130"/>
  <c r="BW45" i="130"/>
  <c r="BW33" i="130"/>
  <c r="BW76" i="130"/>
  <c r="BW64" i="130"/>
  <c r="BW52" i="130"/>
  <c r="BW40" i="130"/>
  <c r="BW71" i="130"/>
  <c r="BW78" i="130"/>
  <c r="BW66" i="130"/>
  <c r="BW73" i="130"/>
  <c r="BW80" i="130"/>
  <c r="BW68" i="130"/>
  <c r="BW56" i="130"/>
  <c r="BW44" i="130"/>
  <c r="BW32" i="130"/>
  <c r="BW20" i="130"/>
  <c r="BW53" i="130"/>
  <c r="BW27" i="130"/>
  <c r="BW17" i="130"/>
  <c r="BT5" i="130"/>
  <c r="BW5" i="130" s="1"/>
  <c r="BW23" i="130"/>
  <c r="BW12" i="130"/>
  <c r="BW60" i="130"/>
  <c r="BW54" i="130"/>
  <c r="BW47" i="130"/>
  <c r="BW39" i="130"/>
  <c r="BW31" i="130"/>
  <c r="BW75" i="130"/>
  <c r="BW61" i="130"/>
  <c r="BW55" i="130"/>
  <c r="BW48" i="130"/>
  <c r="BW41" i="130"/>
  <c r="BW22" i="130"/>
  <c r="BW9" i="130"/>
  <c r="BW42" i="130"/>
  <c r="BW30" i="130"/>
  <c r="BW16" i="130"/>
  <c r="BW49" i="130"/>
  <c r="BW25" i="130"/>
  <c r="BW11" i="130"/>
  <c r="BW29" i="130"/>
  <c r="BW63" i="130"/>
  <c r="BW43" i="130"/>
  <c r="BW35" i="130"/>
  <c r="BW10" i="130"/>
  <c r="O9" i="130"/>
  <c r="AM10" i="130"/>
  <c r="AY12" i="130"/>
  <c r="AA18" i="130"/>
  <c r="BW21" i="130"/>
  <c r="BW36" i="130"/>
  <c r="W40" i="130"/>
  <c r="AA7" i="130"/>
  <c r="AA8" i="130"/>
  <c r="BW14" i="130"/>
  <c r="AY19" i="130"/>
  <c r="BK20" i="130"/>
  <c r="AM23" i="130"/>
  <c r="O28" i="130"/>
  <c r="AY30" i="130"/>
  <c r="BW51" i="130"/>
  <c r="BS12" i="130"/>
  <c r="BW13" i="130"/>
  <c r="AU18" i="130"/>
  <c r="BS44" i="130"/>
  <c r="AY9" i="130"/>
  <c r="BK11" i="130"/>
  <c r="AA15" i="130"/>
  <c r="AM16" i="130"/>
  <c r="BK18" i="130"/>
  <c r="AA22" i="130"/>
  <c r="AU23" i="130"/>
  <c r="BW24" i="130"/>
  <c r="AM26" i="130"/>
  <c r="AM56" i="130"/>
  <c r="BW59" i="130"/>
  <c r="AU17" i="130"/>
  <c r="BS28" i="130"/>
  <c r="O34" i="130"/>
  <c r="BW37" i="130"/>
  <c r="AY76" i="130"/>
  <c r="AY64" i="130"/>
  <c r="AY52" i="130"/>
  <c r="AY40" i="130"/>
  <c r="AY71" i="130"/>
  <c r="AY78" i="130"/>
  <c r="AY66" i="130"/>
  <c r="AY73" i="130"/>
  <c r="AY80" i="130"/>
  <c r="AY68" i="130"/>
  <c r="AY56" i="130"/>
  <c r="AY44" i="130"/>
  <c r="AY32" i="130"/>
  <c r="AY75" i="130"/>
  <c r="AY63" i="130"/>
  <c r="AY51" i="130"/>
  <c r="AY39" i="130"/>
  <c r="AY82" i="130"/>
  <c r="AY70" i="130"/>
  <c r="AY58" i="130"/>
  <c r="AY46" i="130"/>
  <c r="AY77" i="130"/>
  <c r="AY65" i="130"/>
  <c r="AY72" i="130"/>
  <c r="AY79" i="130"/>
  <c r="AY67" i="130"/>
  <c r="AY74" i="130"/>
  <c r="AY62" i="130"/>
  <c r="AY50" i="130"/>
  <c r="AY38" i="130"/>
  <c r="AY26" i="130"/>
  <c r="AY29" i="130"/>
  <c r="AY11" i="130"/>
  <c r="AV5" i="130"/>
  <c r="AY5" i="130" s="1"/>
  <c r="AY21" i="130"/>
  <c r="AY18" i="130"/>
  <c r="AY36" i="130"/>
  <c r="AY81" i="130"/>
  <c r="AY59" i="130"/>
  <c r="AY35" i="130"/>
  <c r="AY34" i="130"/>
  <c r="AY28" i="130"/>
  <c r="AY53" i="130"/>
  <c r="AY45" i="130"/>
  <c r="AY37" i="130"/>
  <c r="AY60" i="130"/>
  <c r="AY33" i="130"/>
  <c r="AY15" i="130"/>
  <c r="AY54" i="130"/>
  <c r="AY27" i="130"/>
  <c r="AY20" i="130"/>
  <c r="AY10" i="130"/>
  <c r="AY69" i="130"/>
  <c r="AY47" i="130"/>
  <c r="AY23" i="130"/>
  <c r="AY17" i="130"/>
  <c r="AY41" i="130"/>
  <c r="AY61" i="130"/>
  <c r="AY55" i="130"/>
  <c r="AY48" i="130"/>
  <c r="AY31" i="130"/>
  <c r="AY42" i="130"/>
  <c r="AY57" i="130"/>
  <c r="AY43" i="130"/>
  <c r="AY25" i="130"/>
  <c r="AY16" i="130"/>
  <c r="N6" i="130"/>
  <c r="O6" i="130" s="1"/>
  <c r="X4" i="130"/>
  <c r="AV4" i="130"/>
  <c r="BT4" i="130"/>
  <c r="AW6" i="130"/>
  <c r="AM17" i="130"/>
  <c r="W26" i="130"/>
  <c r="AX6" i="130"/>
  <c r="AY6" i="130" s="1"/>
  <c r="T5" i="130"/>
  <c r="W5" i="130" s="1"/>
  <c r="AJ6" i="130"/>
  <c r="AU7" i="130"/>
  <c r="O21" i="130"/>
  <c r="T6" i="130"/>
  <c r="AK6" i="130"/>
  <c r="BP6" i="130"/>
  <c r="AY7" i="130"/>
  <c r="AY8" i="130"/>
  <c r="BS11" i="130"/>
  <c r="W13" i="130"/>
  <c r="AA14" i="130"/>
  <c r="BS18" i="130"/>
  <c r="BW19" i="130"/>
  <c r="AY22" i="130"/>
  <c r="BW28" i="130"/>
  <c r="AY49" i="130"/>
  <c r="O73" i="130"/>
  <c r="O61" i="130"/>
  <c r="O49" i="130"/>
  <c r="O80" i="130"/>
  <c r="O68" i="130"/>
  <c r="O75" i="130"/>
  <c r="O82" i="130"/>
  <c r="O70" i="130"/>
  <c r="O77" i="130"/>
  <c r="O65" i="130"/>
  <c r="O53" i="130"/>
  <c r="O41" i="130"/>
  <c r="O29" i="130"/>
  <c r="O72" i="130"/>
  <c r="O60" i="130"/>
  <c r="O48" i="130"/>
  <c r="O36" i="130"/>
  <c r="O79" i="130"/>
  <c r="O67" i="130"/>
  <c r="O55" i="130"/>
  <c r="O43" i="130"/>
  <c r="O74" i="130"/>
  <c r="O62" i="130"/>
  <c r="O81" i="130"/>
  <c r="O69" i="130"/>
  <c r="O76" i="130"/>
  <c r="O64" i="130"/>
  <c r="O71" i="130"/>
  <c r="O59" i="130"/>
  <c r="O47" i="130"/>
  <c r="O35" i="130"/>
  <c r="O23" i="130"/>
  <c r="O40" i="130"/>
  <c r="O8" i="130"/>
  <c r="O32" i="130"/>
  <c r="O27" i="130"/>
  <c r="O15" i="130"/>
  <c r="O20" i="130"/>
  <c r="O66" i="130"/>
  <c r="O56" i="130"/>
  <c r="O42" i="130"/>
  <c r="O31" i="130"/>
  <c r="O57" i="130"/>
  <c r="O50" i="130"/>
  <c r="O26" i="130"/>
  <c r="O12" i="130"/>
  <c r="O30" i="130"/>
  <c r="O19" i="130"/>
  <c r="O7" i="130"/>
  <c r="O58" i="130"/>
  <c r="O44" i="130"/>
  <c r="O22" i="130"/>
  <c r="O14" i="130"/>
  <c r="L5" i="130"/>
  <c r="O5" i="130" s="1"/>
  <c r="O51" i="130"/>
  <c r="O25" i="130"/>
  <c r="O52" i="130"/>
  <c r="O45" i="130"/>
  <c r="O38" i="130"/>
  <c r="O37" i="130"/>
  <c r="O39" i="130"/>
  <c r="O33" i="130"/>
  <c r="O24" i="130"/>
  <c r="O13" i="130"/>
  <c r="AM79" i="130"/>
  <c r="AM67" i="130"/>
  <c r="AM55" i="130"/>
  <c r="AM43" i="130"/>
  <c r="AM74" i="130"/>
  <c r="AM62" i="130"/>
  <c r="AM81" i="130"/>
  <c r="AM69" i="130"/>
  <c r="AM76" i="130"/>
  <c r="AM64" i="130"/>
  <c r="AM71" i="130"/>
  <c r="AM59" i="130"/>
  <c r="AM47" i="130"/>
  <c r="AM35" i="130"/>
  <c r="AM78" i="130"/>
  <c r="AM66" i="130"/>
  <c r="AM54" i="130"/>
  <c r="AM42" i="130"/>
  <c r="AM73" i="130"/>
  <c r="AM61" i="130"/>
  <c r="AM49" i="130"/>
  <c r="AM37" i="130"/>
  <c r="AM80" i="130"/>
  <c r="AM68" i="130"/>
  <c r="AM75" i="130"/>
  <c r="AM63" i="130"/>
  <c r="AM82" i="130"/>
  <c r="AM70" i="130"/>
  <c r="AM77" i="130"/>
  <c r="AM65" i="130"/>
  <c r="AM53" i="130"/>
  <c r="AM41" i="130"/>
  <c r="AM29" i="130"/>
  <c r="AM72" i="130"/>
  <c r="AM30" i="130"/>
  <c r="AM14" i="130"/>
  <c r="AM22" i="130"/>
  <c r="AM9" i="130"/>
  <c r="AM57" i="130"/>
  <c r="AM50" i="130"/>
  <c r="AM58" i="130"/>
  <c r="AM44" i="130"/>
  <c r="AM51" i="130"/>
  <c r="AM36" i="130"/>
  <c r="AM21" i="130"/>
  <c r="AM18" i="130"/>
  <c r="AM52" i="130"/>
  <c r="AM45" i="130"/>
  <c r="AM38" i="130"/>
  <c r="AM34" i="130"/>
  <c r="AM28" i="130"/>
  <c r="AM24" i="130"/>
  <c r="AM13" i="130"/>
  <c r="AM60" i="130"/>
  <c r="AM46" i="130"/>
  <c r="AM8" i="130"/>
  <c r="AJ5" i="130"/>
  <c r="AM5" i="130" s="1"/>
  <c r="AM39" i="130"/>
  <c r="AM33" i="130"/>
  <c r="AM32" i="130"/>
  <c r="AM27" i="130"/>
  <c r="AM48" i="130"/>
  <c r="AM40" i="130"/>
  <c r="AM19" i="130"/>
  <c r="AM7" i="130"/>
  <c r="BK73" i="130"/>
  <c r="BK61" i="130"/>
  <c r="BK49" i="130"/>
  <c r="BK80" i="130"/>
  <c r="BK68" i="130"/>
  <c r="BK75" i="130"/>
  <c r="BK63" i="130"/>
  <c r="BK82" i="130"/>
  <c r="BK70" i="130"/>
  <c r="BK77" i="130"/>
  <c r="BK65" i="130"/>
  <c r="BK53" i="130"/>
  <c r="BK41" i="130"/>
  <c r="BK29" i="130"/>
  <c r="BK72" i="130"/>
  <c r="BK60" i="130"/>
  <c r="BK48" i="130"/>
  <c r="BK36" i="130"/>
  <c r="BK79" i="130"/>
  <c r="BK67" i="130"/>
  <c r="BK55" i="130"/>
  <c r="BK43" i="130"/>
  <c r="BK74" i="130"/>
  <c r="BK62" i="130"/>
  <c r="BK81" i="130"/>
  <c r="BK69" i="130"/>
  <c r="BK76" i="130"/>
  <c r="BK64" i="130"/>
  <c r="BK71" i="130"/>
  <c r="BK59" i="130"/>
  <c r="BK47" i="130"/>
  <c r="BK35" i="130"/>
  <c r="BK23" i="130"/>
  <c r="BK51" i="130"/>
  <c r="BK37" i="130"/>
  <c r="BK28" i="130"/>
  <c r="BK24" i="130"/>
  <c r="BK8" i="130"/>
  <c r="BK66" i="130"/>
  <c r="BK52" i="130"/>
  <c r="BK45" i="130"/>
  <c r="BK38" i="130"/>
  <c r="BK34" i="130"/>
  <c r="BK15" i="130"/>
  <c r="BK33" i="130"/>
  <c r="BK54" i="130"/>
  <c r="BK46" i="130"/>
  <c r="BK32" i="130"/>
  <c r="BK27" i="130"/>
  <c r="BK39" i="130"/>
  <c r="BK12" i="130"/>
  <c r="BK40" i="130"/>
  <c r="BK31" i="130"/>
  <c r="BK26" i="130"/>
  <c r="BK7" i="130"/>
  <c r="BK19" i="130"/>
  <c r="BK14" i="130"/>
  <c r="BH5" i="130"/>
  <c r="BK5" i="130" s="1"/>
  <c r="BK30" i="130"/>
  <c r="BK56" i="130"/>
  <c r="BK42" i="130"/>
  <c r="BK25" i="130"/>
  <c r="BK78" i="130"/>
  <c r="BK57" i="130"/>
  <c r="BK50" i="130"/>
  <c r="BK58" i="130"/>
  <c r="BK44" i="130"/>
  <c r="BK21" i="130"/>
  <c r="BK13" i="130"/>
  <c r="AL6" i="130"/>
  <c r="AM6" i="130" s="1"/>
  <c r="BT6" i="130"/>
  <c r="BK9" i="130"/>
  <c r="AA13" i="130"/>
  <c r="AM15" i="130"/>
  <c r="BK17" i="130"/>
  <c r="BW18" i="130"/>
  <c r="W21" i="130"/>
  <c r="BS23" i="130"/>
  <c r="BW34" i="130"/>
  <c r="O46" i="130"/>
  <c r="X6" i="130"/>
  <c r="BU6" i="130"/>
  <c r="O11" i="130"/>
  <c r="BK16" i="130"/>
  <c r="AA21" i="130"/>
  <c r="AM25" i="130"/>
  <c r="AU42" i="130"/>
  <c r="AA61" i="130"/>
  <c r="Y6" i="130"/>
  <c r="BV6" i="130"/>
  <c r="BW6" i="130" s="1"/>
  <c r="O10" i="130"/>
  <c r="BK22" i="130"/>
  <c r="AA27" i="130"/>
  <c r="Z6" i="130"/>
  <c r="AA6" i="130" s="1"/>
  <c r="BW7" i="130"/>
  <c r="BS8" i="130"/>
  <c r="W11" i="130"/>
  <c r="AM12" i="130"/>
  <c r="AU13" i="130"/>
  <c r="AY14" i="130"/>
  <c r="BW15" i="130"/>
  <c r="O18" i="130"/>
  <c r="W19" i="130"/>
  <c r="AM20" i="130"/>
  <c r="AU21" i="130"/>
  <c r="W24" i="130"/>
  <c r="O54" i="130"/>
  <c r="AI12" i="130"/>
  <c r="BG18" i="130"/>
  <c r="AI26" i="130"/>
  <c r="BO28" i="130"/>
  <c r="BC29" i="130"/>
  <c r="AI31" i="130"/>
  <c r="BO35" i="130"/>
  <c r="BO37" i="130"/>
  <c r="S40" i="130"/>
  <c r="S47" i="130"/>
  <c r="AI49" i="130"/>
  <c r="BO51" i="130"/>
  <c r="AI56" i="130"/>
  <c r="S61" i="130"/>
  <c r="AQ67" i="130"/>
  <c r="AI32" i="130"/>
  <c r="BG43" i="130"/>
  <c r="AI55" i="130"/>
  <c r="BG30" i="130"/>
  <c r="AI33" i="130"/>
  <c r="AI39" i="130"/>
  <c r="BG49" i="130"/>
  <c r="BG56" i="130"/>
  <c r="AI61" i="130"/>
  <c r="AQ79" i="130"/>
  <c r="AE77" i="130"/>
  <c r="AE65" i="130"/>
  <c r="AE53" i="130"/>
  <c r="AE41" i="130"/>
  <c r="AE72" i="130"/>
  <c r="AE60" i="130"/>
  <c r="AE79" i="130"/>
  <c r="AE67" i="130"/>
  <c r="AE74" i="130"/>
  <c r="AE81" i="130"/>
  <c r="AE69" i="130"/>
  <c r="AE57" i="130"/>
  <c r="AE45" i="130"/>
  <c r="AE33" i="130"/>
  <c r="AE76" i="130"/>
  <c r="AE64" i="130"/>
  <c r="AE52" i="130"/>
  <c r="AE40" i="130"/>
  <c r="AE71" i="130"/>
  <c r="AE59" i="130"/>
  <c r="AE47" i="130"/>
  <c r="AE78" i="130"/>
  <c r="AE66" i="130"/>
  <c r="AE73" i="130"/>
  <c r="AE80" i="130"/>
  <c r="AE68" i="130"/>
  <c r="AE75" i="130"/>
  <c r="AE63" i="130"/>
  <c r="AE51" i="130"/>
  <c r="AE39" i="130"/>
  <c r="AE27" i="130"/>
  <c r="BC71" i="130"/>
  <c r="BC59" i="130"/>
  <c r="BC47" i="130"/>
  <c r="BC78" i="130"/>
  <c r="BC66" i="130"/>
  <c r="BC73" i="130"/>
  <c r="BC80" i="130"/>
  <c r="BC68" i="130"/>
  <c r="BC75" i="130"/>
  <c r="BC63" i="130"/>
  <c r="BC51" i="130"/>
  <c r="BC39" i="130"/>
  <c r="BC27" i="130"/>
  <c r="BC82" i="130"/>
  <c r="BC70" i="130"/>
  <c r="BC58" i="130"/>
  <c r="BC46" i="130"/>
  <c r="BC34" i="130"/>
  <c r="BC77" i="130"/>
  <c r="BC65" i="130"/>
  <c r="BC53" i="130"/>
  <c r="BC41" i="130"/>
  <c r="BC72" i="130"/>
  <c r="BC79" i="130"/>
  <c r="BC67" i="130"/>
  <c r="BC74" i="130"/>
  <c r="BC62" i="130"/>
  <c r="BC81" i="130"/>
  <c r="BC69" i="130"/>
  <c r="BC57" i="130"/>
  <c r="BC45" i="130"/>
  <c r="BC33" i="130"/>
  <c r="BC21" i="130"/>
  <c r="P6" i="130"/>
  <c r="AB6" i="130"/>
  <c r="AN6" i="130"/>
  <c r="AZ6" i="130"/>
  <c r="BL6" i="130"/>
  <c r="BG7" i="130"/>
  <c r="S9" i="130"/>
  <c r="BO9" i="130"/>
  <c r="BC12" i="130"/>
  <c r="AI13" i="130"/>
  <c r="AQ15" i="130"/>
  <c r="AE18" i="130"/>
  <c r="AE21" i="130"/>
  <c r="BO22" i="130"/>
  <c r="AI24" i="130"/>
  <c r="S25" i="130"/>
  <c r="BG26" i="130"/>
  <c r="AE28" i="130"/>
  <c r="BG31" i="130"/>
  <c r="AQ33" i="130"/>
  <c r="AE34" i="130"/>
  <c r="AI38" i="130"/>
  <c r="AQ39" i="130"/>
  <c r="BC40" i="130"/>
  <c r="BO41" i="130"/>
  <c r="AI45" i="130"/>
  <c r="BC48" i="130"/>
  <c r="S51" i="130"/>
  <c r="AI53" i="130"/>
  <c r="BC55" i="130"/>
  <c r="BC61" i="130"/>
  <c r="BC64" i="130"/>
  <c r="BG12" i="130"/>
  <c r="AI18" i="130"/>
  <c r="BC32" i="130"/>
  <c r="AE35" i="130"/>
  <c r="AE36" i="130"/>
  <c r="AE37" i="130"/>
  <c r="BG39" i="130"/>
  <c r="AQ46" i="130"/>
  <c r="BG47" i="130"/>
  <c r="AQ53" i="130"/>
  <c r="BO61" i="130"/>
  <c r="AI72" i="130"/>
  <c r="AI60" i="130"/>
  <c r="AI48" i="130"/>
  <c r="AI79" i="130"/>
  <c r="AI67" i="130"/>
  <c r="AI74" i="130"/>
  <c r="AI81" i="130"/>
  <c r="AI69" i="130"/>
  <c r="AI76" i="130"/>
  <c r="AI64" i="130"/>
  <c r="AI52" i="130"/>
  <c r="AI40" i="130"/>
  <c r="AI28" i="130"/>
  <c r="AI71" i="130"/>
  <c r="AI59" i="130"/>
  <c r="AI47" i="130"/>
  <c r="AI35" i="130"/>
  <c r="AI78" i="130"/>
  <c r="AI66" i="130"/>
  <c r="AI54" i="130"/>
  <c r="AI42" i="130"/>
  <c r="AI73" i="130"/>
  <c r="AI80" i="130"/>
  <c r="AI68" i="130"/>
  <c r="AI75" i="130"/>
  <c r="AI63" i="130"/>
  <c r="AI82" i="130"/>
  <c r="AI70" i="130"/>
  <c r="AI58" i="130"/>
  <c r="AI46" i="130"/>
  <c r="AI34" i="130"/>
  <c r="AI22" i="130"/>
  <c r="BG78" i="130"/>
  <c r="BG66" i="130"/>
  <c r="BG54" i="130"/>
  <c r="BG42" i="130"/>
  <c r="BG73" i="130"/>
  <c r="BG61" i="130"/>
  <c r="BG80" i="130"/>
  <c r="BG68" i="130"/>
  <c r="BG75" i="130"/>
  <c r="BG63" i="130"/>
  <c r="BG82" i="130"/>
  <c r="BG70" i="130"/>
  <c r="BG58" i="130"/>
  <c r="BG46" i="130"/>
  <c r="BG34" i="130"/>
  <c r="BG77" i="130"/>
  <c r="BG65" i="130"/>
  <c r="BG53" i="130"/>
  <c r="BG41" i="130"/>
  <c r="BG72" i="130"/>
  <c r="BG60" i="130"/>
  <c r="BG48" i="130"/>
  <c r="BG36" i="130"/>
  <c r="BG79" i="130"/>
  <c r="BG67" i="130"/>
  <c r="BG74" i="130"/>
  <c r="BG62" i="130"/>
  <c r="BG81" i="130"/>
  <c r="BG69" i="130"/>
  <c r="BG76" i="130"/>
  <c r="BG64" i="130"/>
  <c r="BG52" i="130"/>
  <c r="BG40" i="130"/>
  <c r="BG28" i="130"/>
  <c r="AI11" i="130"/>
  <c r="BG17" i="130"/>
  <c r="BG23" i="130"/>
  <c r="BG27" i="130"/>
  <c r="AQ28" i="130"/>
  <c r="AE29" i="130"/>
  <c r="BO31" i="130"/>
  <c r="BG32" i="130"/>
  <c r="AQ34" i="130"/>
  <c r="AQ35" i="130"/>
  <c r="AI36" i="130"/>
  <c r="AI37" i="130"/>
  <c r="BO40" i="130"/>
  <c r="AE44" i="130"/>
  <c r="AQ45" i="130"/>
  <c r="AI51" i="130"/>
  <c r="AQ52" i="130"/>
  <c r="BC54" i="130"/>
  <c r="AI65" i="130"/>
  <c r="AE70" i="130"/>
  <c r="AI29" i="130"/>
  <c r="BG33" i="130"/>
  <c r="AI44" i="130"/>
  <c r="BG38" i="130"/>
  <c r="BG45" i="130"/>
  <c r="AI50" i="130"/>
  <c r="AI57" i="130"/>
  <c r="AE62" i="130"/>
  <c r="BG71" i="130"/>
  <c r="BC76" i="130"/>
  <c r="AI30" i="130"/>
  <c r="BG37" i="130"/>
  <c r="AI43" i="130"/>
  <c r="BG51" i="130"/>
  <c r="BG59" i="130"/>
  <c r="AI62" i="130"/>
  <c r="AI14" i="130"/>
  <c r="BG24" i="130"/>
  <c r="S80" i="130"/>
  <c r="S68" i="130"/>
  <c r="S56" i="130"/>
  <c r="S44" i="130"/>
  <c r="S75" i="130"/>
  <c r="S63" i="130"/>
  <c r="S82" i="130"/>
  <c r="S70" i="130"/>
  <c r="S77" i="130"/>
  <c r="S65" i="130"/>
  <c r="S72" i="130"/>
  <c r="S60" i="130"/>
  <c r="S48" i="130"/>
  <c r="S36" i="130"/>
  <c r="S79" i="130"/>
  <c r="S67" i="130"/>
  <c r="S55" i="130"/>
  <c r="S43" i="130"/>
  <c r="S74" i="130"/>
  <c r="S62" i="130"/>
  <c r="S50" i="130"/>
  <c r="S38" i="130"/>
  <c r="S81" i="130"/>
  <c r="S69" i="130"/>
  <c r="S76" i="130"/>
  <c r="S64" i="130"/>
  <c r="S71" i="130"/>
  <c r="S78" i="130"/>
  <c r="S66" i="130"/>
  <c r="S54" i="130"/>
  <c r="S42" i="130"/>
  <c r="S30" i="130"/>
  <c r="AQ74" i="130"/>
  <c r="AQ62" i="130"/>
  <c r="AQ50" i="130"/>
  <c r="AQ38" i="130"/>
  <c r="AQ81" i="130"/>
  <c r="AQ69" i="130"/>
  <c r="AQ76" i="130"/>
  <c r="AQ64" i="130"/>
  <c r="AQ71" i="130"/>
  <c r="AQ78" i="130"/>
  <c r="AQ66" i="130"/>
  <c r="AQ54" i="130"/>
  <c r="AQ42" i="130"/>
  <c r="AQ30" i="130"/>
  <c r="AQ73" i="130"/>
  <c r="AQ61" i="130"/>
  <c r="AQ49" i="130"/>
  <c r="AQ37" i="130"/>
  <c r="AQ80" i="130"/>
  <c r="AQ68" i="130"/>
  <c r="AQ56" i="130"/>
  <c r="AQ44" i="130"/>
  <c r="AQ75" i="130"/>
  <c r="AQ63" i="130"/>
  <c r="AQ82" i="130"/>
  <c r="AQ70" i="130"/>
  <c r="AQ77" i="130"/>
  <c r="AQ65" i="130"/>
  <c r="AQ72" i="130"/>
  <c r="AQ60" i="130"/>
  <c r="AQ48" i="130"/>
  <c r="AQ36" i="130"/>
  <c r="AQ24" i="130"/>
  <c r="BO80" i="130"/>
  <c r="BO68" i="130"/>
  <c r="BO56" i="130"/>
  <c r="BO44" i="130"/>
  <c r="BO75" i="130"/>
  <c r="BO63" i="130"/>
  <c r="BO82" i="130"/>
  <c r="BO70" i="130"/>
  <c r="BO77" i="130"/>
  <c r="BO65" i="130"/>
  <c r="BO72" i="130"/>
  <c r="BO60" i="130"/>
  <c r="BO48" i="130"/>
  <c r="BO36" i="130"/>
  <c r="BO79" i="130"/>
  <c r="BO67" i="130"/>
  <c r="BO55" i="130"/>
  <c r="BO43" i="130"/>
  <c r="BO74" i="130"/>
  <c r="BO62" i="130"/>
  <c r="BO50" i="130"/>
  <c r="BO38" i="130"/>
  <c r="BO81" i="130"/>
  <c r="BO69" i="130"/>
  <c r="BO76" i="130"/>
  <c r="BO64" i="130"/>
  <c r="BO71" i="130"/>
  <c r="BO78" i="130"/>
  <c r="BO66" i="130"/>
  <c r="BO54" i="130"/>
  <c r="BO42" i="130"/>
  <c r="BO30" i="130"/>
  <c r="AH6" i="130"/>
  <c r="AI6" i="130" s="1"/>
  <c r="BF6" i="130"/>
  <c r="BG6" i="130" s="1"/>
  <c r="AI7" i="130"/>
  <c r="AQ9" i="130"/>
  <c r="AE12" i="130"/>
  <c r="BG13" i="130"/>
  <c r="S15" i="130"/>
  <c r="BO15" i="130"/>
  <c r="BC18" i="130"/>
  <c r="AI19" i="130"/>
  <c r="S20" i="130"/>
  <c r="BG21" i="130"/>
  <c r="AQ22" i="130"/>
  <c r="AE26" i="130"/>
  <c r="S27" i="130"/>
  <c r="AE31" i="130"/>
  <c r="S32" i="130"/>
  <c r="BO34" i="130"/>
  <c r="BG35" i="130"/>
  <c r="BC36" i="130"/>
  <c r="AQ43" i="130"/>
  <c r="BG44" i="130"/>
  <c r="BO45" i="130"/>
  <c r="AE49" i="130"/>
  <c r="BO52" i="130"/>
  <c r="AE56" i="130"/>
  <c r="AQ57" i="130"/>
  <c r="BO59" i="130"/>
  <c r="AI77" i="130"/>
  <c r="AE82" i="130"/>
  <c r="AE79" i="129"/>
  <c r="AE67" i="129"/>
  <c r="AE55" i="129"/>
  <c r="AE43" i="129"/>
  <c r="AE31" i="129"/>
  <c r="AE19" i="129"/>
  <c r="AE76" i="129"/>
  <c r="AE64" i="129"/>
  <c r="AE52" i="129"/>
  <c r="AE40" i="129"/>
  <c r="AE80" i="129"/>
  <c r="AE68" i="129"/>
  <c r="AE56" i="129"/>
  <c r="AE44" i="129"/>
  <c r="AE32" i="129"/>
  <c r="AE78" i="129"/>
  <c r="AE77" i="129"/>
  <c r="AE65" i="129"/>
  <c r="AE30" i="129"/>
  <c r="AE10" i="129"/>
  <c r="AE75" i="129"/>
  <c r="AE74" i="129"/>
  <c r="AE62" i="129"/>
  <c r="AE73" i="129"/>
  <c r="AE61" i="129"/>
  <c r="AE72" i="129"/>
  <c r="AE71" i="129"/>
  <c r="AE82" i="129"/>
  <c r="AE81" i="129"/>
  <c r="AE69" i="129"/>
  <c r="AE57" i="129"/>
  <c r="AE45" i="129"/>
  <c r="AE27" i="129"/>
  <c r="AE16" i="129"/>
  <c r="AE41" i="129"/>
  <c r="AE28" i="129"/>
  <c r="AE25" i="129"/>
  <c r="AE15" i="129"/>
  <c r="AE59" i="129"/>
  <c r="AE53" i="129"/>
  <c r="AE42" i="129"/>
  <c r="AE20" i="129"/>
  <c r="AE11" i="129"/>
  <c r="AE8" i="129"/>
  <c r="AE54" i="129"/>
  <c r="AE14" i="129"/>
  <c r="AE46" i="129"/>
  <c r="AE18" i="129"/>
  <c r="AE7" i="129"/>
  <c r="AE47" i="129"/>
  <c r="AD6" i="129"/>
  <c r="AE6" i="129" s="1"/>
  <c r="AE60" i="129"/>
  <c r="AE17" i="129"/>
  <c r="AE13" i="129"/>
  <c r="AC6" i="129"/>
  <c r="AB4" i="129"/>
  <c r="AE66" i="129"/>
  <c r="AE63" i="129"/>
  <c r="AE48" i="129"/>
  <c r="AE50" i="129"/>
  <c r="AE49" i="129"/>
  <c r="AE58" i="129"/>
  <c r="AE51" i="129"/>
  <c r="AE12" i="129"/>
  <c r="AE9" i="129"/>
  <c r="AE70" i="129"/>
  <c r="AE38" i="129"/>
  <c r="AE37" i="129"/>
  <c r="AE35" i="129"/>
  <c r="AE29" i="129"/>
  <c r="AE24" i="129"/>
  <c r="AE23" i="129"/>
  <c r="AE22" i="129"/>
  <c r="AE39" i="129"/>
  <c r="AE34" i="129"/>
  <c r="AE33" i="129"/>
  <c r="AE21" i="129"/>
  <c r="AE36" i="129"/>
  <c r="AE26" i="129"/>
  <c r="BS7" i="129"/>
  <c r="AM9" i="129"/>
  <c r="BK75" i="129"/>
  <c r="BK63" i="129"/>
  <c r="BK51" i="129"/>
  <c r="BK39" i="129"/>
  <c r="BK27" i="129"/>
  <c r="BK72" i="129"/>
  <c r="BK60" i="129"/>
  <c r="BK48" i="129"/>
  <c r="BK76" i="129"/>
  <c r="BK64" i="129"/>
  <c r="BK52" i="129"/>
  <c r="BK40" i="129"/>
  <c r="BK28" i="129"/>
  <c r="BK71" i="129"/>
  <c r="BK82" i="129"/>
  <c r="BK70" i="129"/>
  <c r="BK58" i="129"/>
  <c r="BK81" i="129"/>
  <c r="BK69" i="129"/>
  <c r="BK57" i="129"/>
  <c r="BK45" i="129"/>
  <c r="BK37" i="129"/>
  <c r="BK32" i="129"/>
  <c r="BK18" i="129"/>
  <c r="BH6" i="129"/>
  <c r="BK80" i="129"/>
  <c r="BK68" i="129"/>
  <c r="BK56" i="129"/>
  <c r="BK79" i="129"/>
  <c r="BK67" i="129"/>
  <c r="BK78" i="129"/>
  <c r="BK77" i="129"/>
  <c r="BK34" i="129"/>
  <c r="BK24" i="129"/>
  <c r="BK47" i="129"/>
  <c r="BK17" i="129"/>
  <c r="BK74" i="129"/>
  <c r="BK66" i="129"/>
  <c r="BK12" i="129"/>
  <c r="BK9" i="129"/>
  <c r="BK50" i="129"/>
  <c r="BK49" i="129"/>
  <c r="BK16" i="129"/>
  <c r="BK36" i="129"/>
  <c r="BK35" i="129"/>
  <c r="BK33" i="129"/>
  <c r="BK29" i="129"/>
  <c r="BK23" i="129"/>
  <c r="BK22" i="129"/>
  <c r="BK21" i="129"/>
  <c r="BK15" i="129"/>
  <c r="BK8" i="129"/>
  <c r="BK38" i="129"/>
  <c r="BK31" i="129"/>
  <c r="BK30" i="129"/>
  <c r="BK26" i="129"/>
  <c r="BK25" i="129"/>
  <c r="BK11" i="129"/>
  <c r="BK73" i="129"/>
  <c r="BK41" i="129"/>
  <c r="BK20" i="129"/>
  <c r="BK14" i="129"/>
  <c r="BK61" i="129"/>
  <c r="BK53" i="129"/>
  <c r="BK42" i="129"/>
  <c r="BK19" i="129"/>
  <c r="BK54" i="129"/>
  <c r="BK44" i="129"/>
  <c r="BK43" i="129"/>
  <c r="BK7" i="129"/>
  <c r="BK65" i="129"/>
  <c r="BK62" i="129"/>
  <c r="BK55" i="129"/>
  <c r="BK13" i="129"/>
  <c r="BK10" i="129"/>
  <c r="BJ6" i="129"/>
  <c r="BK6" i="129" s="1"/>
  <c r="BK59" i="129"/>
  <c r="BK46" i="129"/>
  <c r="AB5" i="129"/>
  <c r="AE5" i="129" s="1"/>
  <c r="AJ6" i="129"/>
  <c r="W16" i="129"/>
  <c r="AM81" i="129"/>
  <c r="AM69" i="129"/>
  <c r="AM57" i="129"/>
  <c r="AM45" i="129"/>
  <c r="AM33" i="129"/>
  <c r="AM21" i="129"/>
  <c r="AM78" i="129"/>
  <c r="AM66" i="129"/>
  <c r="AM54" i="129"/>
  <c r="AM42" i="129"/>
  <c r="AM82" i="129"/>
  <c r="AM70" i="129"/>
  <c r="AM58" i="129"/>
  <c r="AM46" i="129"/>
  <c r="AM34" i="129"/>
  <c r="AM22" i="129"/>
  <c r="AM77" i="129"/>
  <c r="AM76" i="129"/>
  <c r="AM64" i="129"/>
  <c r="AM75" i="129"/>
  <c r="AM63" i="129"/>
  <c r="AM51" i="129"/>
  <c r="AM29" i="129"/>
  <c r="AM12" i="129"/>
  <c r="AM74" i="129"/>
  <c r="AM73" i="129"/>
  <c r="AM72" i="129"/>
  <c r="AM60" i="129"/>
  <c r="AM71" i="129"/>
  <c r="AM59" i="129"/>
  <c r="AM80" i="129"/>
  <c r="AM68" i="129"/>
  <c r="AM56" i="129"/>
  <c r="AM44" i="129"/>
  <c r="AM18" i="129"/>
  <c r="AM14" i="129"/>
  <c r="AM43" i="129"/>
  <c r="AM19" i="129"/>
  <c r="AM65" i="129"/>
  <c r="AM62" i="129"/>
  <c r="AM7" i="129"/>
  <c r="AM55" i="129"/>
  <c r="AM47" i="129"/>
  <c r="AM13" i="129"/>
  <c r="AM10" i="129"/>
  <c r="AM48" i="129"/>
  <c r="AM17" i="129"/>
  <c r="AM49" i="129"/>
  <c r="AM50" i="129"/>
  <c r="AM16" i="129"/>
  <c r="AM39" i="129"/>
  <c r="AM36" i="129"/>
  <c r="AM35" i="129"/>
  <c r="AM23" i="129"/>
  <c r="AL6" i="129"/>
  <c r="AM6" i="129" s="1"/>
  <c r="AM79" i="129"/>
  <c r="AM67" i="129"/>
  <c r="AM61" i="129"/>
  <c r="AM52" i="129"/>
  <c r="AM41" i="129"/>
  <c r="AM40" i="129"/>
  <c r="AM38" i="129"/>
  <c r="AM37" i="129"/>
  <c r="AM32" i="129"/>
  <c r="AM31" i="129"/>
  <c r="AM30" i="129"/>
  <c r="AM28" i="129"/>
  <c r="AM26" i="129"/>
  <c r="AM25" i="129"/>
  <c r="AM24" i="129"/>
  <c r="AM15" i="129"/>
  <c r="AK6" i="129"/>
  <c r="AM53" i="129"/>
  <c r="AM27" i="129"/>
  <c r="AJ5" i="129"/>
  <c r="AM5" i="129" s="1"/>
  <c r="AR5" i="129"/>
  <c r="AU5" i="129" s="1"/>
  <c r="O75" i="129"/>
  <c r="O63" i="129"/>
  <c r="O51" i="129"/>
  <c r="O39" i="129"/>
  <c r="O27" i="129"/>
  <c r="O72" i="129"/>
  <c r="O60" i="129"/>
  <c r="O48" i="129"/>
  <c r="O76" i="129"/>
  <c r="O64" i="129"/>
  <c r="O52" i="129"/>
  <c r="O40" i="129"/>
  <c r="O28" i="129"/>
  <c r="O81" i="129"/>
  <c r="O80" i="129"/>
  <c r="O68" i="129"/>
  <c r="O79" i="129"/>
  <c r="O67" i="129"/>
  <c r="O55" i="129"/>
  <c r="O43" i="129"/>
  <c r="O36" i="129"/>
  <c r="O26" i="129"/>
  <c r="O18" i="129"/>
  <c r="O78" i="129"/>
  <c r="O77" i="129"/>
  <c r="O65" i="129"/>
  <c r="O53" i="129"/>
  <c r="O74" i="129"/>
  <c r="O73" i="129"/>
  <c r="O61" i="129"/>
  <c r="O49" i="129"/>
  <c r="O23" i="129"/>
  <c r="O82" i="129"/>
  <c r="O70" i="129"/>
  <c r="O35" i="129"/>
  <c r="O34" i="129"/>
  <c r="O33" i="129"/>
  <c r="O22" i="129"/>
  <c r="O16" i="129"/>
  <c r="O12" i="129"/>
  <c r="O9" i="129"/>
  <c r="O41" i="129"/>
  <c r="O38" i="129"/>
  <c r="O37" i="129"/>
  <c r="O32" i="129"/>
  <c r="O31" i="129"/>
  <c r="O30" i="129"/>
  <c r="O29" i="129"/>
  <c r="O25" i="129"/>
  <c r="O24" i="129"/>
  <c r="O21" i="129"/>
  <c r="O59" i="129"/>
  <c r="O42" i="129"/>
  <c r="O15" i="129"/>
  <c r="O62" i="129"/>
  <c r="O54" i="129"/>
  <c r="O20" i="129"/>
  <c r="O8" i="129"/>
  <c r="O45" i="129"/>
  <c r="O44" i="129"/>
  <c r="O19" i="129"/>
  <c r="O11" i="129"/>
  <c r="O71" i="129"/>
  <c r="O46" i="129"/>
  <c r="O14" i="129"/>
  <c r="O47" i="129"/>
  <c r="O69" i="129"/>
  <c r="O66" i="129"/>
  <c r="O56" i="129"/>
  <c r="O57" i="129"/>
  <c r="O13" i="129"/>
  <c r="O10" i="129"/>
  <c r="N6" i="129"/>
  <c r="O6" i="129" s="1"/>
  <c r="O58" i="129"/>
  <c r="O17" i="129"/>
  <c r="M6" i="129"/>
  <c r="O50" i="129"/>
  <c r="BS77" i="129"/>
  <c r="BS65" i="129"/>
  <c r="BS53" i="129"/>
  <c r="BS41" i="129"/>
  <c r="BS29" i="129"/>
  <c r="BS74" i="129"/>
  <c r="BS62" i="129"/>
  <c r="BS50" i="129"/>
  <c r="BS78" i="129"/>
  <c r="BS66" i="129"/>
  <c r="BS54" i="129"/>
  <c r="BS42" i="129"/>
  <c r="BS30" i="129"/>
  <c r="BS82" i="129"/>
  <c r="BS81" i="129"/>
  <c r="BS70" i="129"/>
  <c r="BS69" i="129"/>
  <c r="BS80" i="129"/>
  <c r="BS68" i="129"/>
  <c r="BS56" i="129"/>
  <c r="BS44" i="129"/>
  <c r="BS36" i="129"/>
  <c r="BS26" i="129"/>
  <c r="BS8" i="129"/>
  <c r="BS79" i="129"/>
  <c r="BS67" i="129"/>
  <c r="BS55" i="129"/>
  <c r="BS76" i="129"/>
  <c r="BS75" i="129"/>
  <c r="BS63" i="129"/>
  <c r="BS51" i="129"/>
  <c r="BS39" i="129"/>
  <c r="BS19" i="129"/>
  <c r="BS14" i="129"/>
  <c r="BS48" i="129"/>
  <c r="BS12" i="129"/>
  <c r="BS9" i="129"/>
  <c r="BS57" i="129"/>
  <c r="BS49" i="129"/>
  <c r="BS16" i="129"/>
  <c r="BS60" i="129"/>
  <c r="BR6" i="129"/>
  <c r="BS6" i="129" s="1"/>
  <c r="BS71" i="129"/>
  <c r="BS33" i="129"/>
  <c r="BS15" i="129"/>
  <c r="BS38" i="129"/>
  <c r="BS37" i="129"/>
  <c r="BS35" i="129"/>
  <c r="BS34" i="129"/>
  <c r="BS32" i="129"/>
  <c r="BS31" i="129"/>
  <c r="BS25" i="129"/>
  <c r="BS24" i="129"/>
  <c r="BS23" i="129"/>
  <c r="BS22" i="129"/>
  <c r="BS21" i="129"/>
  <c r="BS11" i="129"/>
  <c r="BP6" i="129"/>
  <c r="BS73" i="129"/>
  <c r="BS52" i="129"/>
  <c r="BS40" i="129"/>
  <c r="BS28" i="129"/>
  <c r="BS27" i="129"/>
  <c r="BS20" i="129"/>
  <c r="BS61" i="129"/>
  <c r="BS58" i="129"/>
  <c r="BS64" i="129"/>
  <c r="BS45" i="129"/>
  <c r="BS43" i="129"/>
  <c r="BS18" i="129"/>
  <c r="BS13" i="129"/>
  <c r="BS72" i="129"/>
  <c r="BS59" i="129"/>
  <c r="BS46" i="129"/>
  <c r="BS17" i="129"/>
  <c r="BP4" i="129"/>
  <c r="BS47" i="129"/>
  <c r="O7" i="129"/>
  <c r="AM8" i="129"/>
  <c r="W10" i="129"/>
  <c r="L4" i="129"/>
  <c r="T6" i="129"/>
  <c r="AM20" i="129"/>
  <c r="AU71" i="129"/>
  <c r="AU59" i="129"/>
  <c r="AU47" i="129"/>
  <c r="AU35" i="129"/>
  <c r="AU23" i="129"/>
  <c r="AU80" i="129"/>
  <c r="AU68" i="129"/>
  <c r="AU56" i="129"/>
  <c r="AU44" i="129"/>
  <c r="AU72" i="129"/>
  <c r="AU60" i="129"/>
  <c r="AU48" i="129"/>
  <c r="AU36" i="129"/>
  <c r="AU24" i="129"/>
  <c r="AU76" i="129"/>
  <c r="AU75" i="129"/>
  <c r="AU74" i="129"/>
  <c r="AU62" i="129"/>
  <c r="AU73" i="129"/>
  <c r="AU61" i="129"/>
  <c r="AU49" i="129"/>
  <c r="AU33" i="129"/>
  <c r="AU19" i="129"/>
  <c r="AU14" i="129"/>
  <c r="AU82" i="129"/>
  <c r="AU70" i="129"/>
  <c r="AU58" i="129"/>
  <c r="AU81" i="129"/>
  <c r="AU69" i="129"/>
  <c r="AU79" i="129"/>
  <c r="AU67" i="129"/>
  <c r="AU55" i="129"/>
  <c r="AU43" i="129"/>
  <c r="AU31" i="129"/>
  <c r="AU78" i="129"/>
  <c r="AU45" i="129"/>
  <c r="AU65" i="129"/>
  <c r="AU46" i="129"/>
  <c r="AU18" i="129"/>
  <c r="AU7" i="129"/>
  <c r="AT6" i="129"/>
  <c r="AU6" i="129" s="1"/>
  <c r="AU13" i="129"/>
  <c r="AU10" i="129"/>
  <c r="AS6" i="129"/>
  <c r="AU17" i="129"/>
  <c r="AU77" i="129"/>
  <c r="AU66" i="129"/>
  <c r="AU57" i="129"/>
  <c r="AU9" i="129"/>
  <c r="AU63" i="129"/>
  <c r="AU50" i="129"/>
  <c r="AU16" i="129"/>
  <c r="AU12" i="129"/>
  <c r="AU51" i="129"/>
  <c r="AU39" i="129"/>
  <c r="AU38" i="129"/>
  <c r="AU37" i="129"/>
  <c r="AU34" i="129"/>
  <c r="AU32" i="129"/>
  <c r="AU30" i="129"/>
  <c r="AU25" i="129"/>
  <c r="AU22" i="129"/>
  <c r="AU21" i="129"/>
  <c r="AU15" i="129"/>
  <c r="AU52" i="129"/>
  <c r="AU41" i="129"/>
  <c r="AU40" i="129"/>
  <c r="AU29" i="129"/>
  <c r="AU28" i="129"/>
  <c r="AU27" i="129"/>
  <c r="AU26" i="129"/>
  <c r="AU20" i="129"/>
  <c r="AU11" i="129"/>
  <c r="AU8" i="129"/>
  <c r="AU64" i="129"/>
  <c r="AU54" i="129"/>
  <c r="AU53" i="129"/>
  <c r="AU42" i="129"/>
  <c r="AR4" i="129"/>
  <c r="W77" i="129"/>
  <c r="W65" i="129"/>
  <c r="W53" i="129"/>
  <c r="W41" i="129"/>
  <c r="W29" i="129"/>
  <c r="W74" i="129"/>
  <c r="W62" i="129"/>
  <c r="W50" i="129"/>
  <c r="W78" i="129"/>
  <c r="W66" i="129"/>
  <c r="W54" i="129"/>
  <c r="W42" i="129"/>
  <c r="W30" i="129"/>
  <c r="W80" i="129"/>
  <c r="W79" i="129"/>
  <c r="W67" i="129"/>
  <c r="W25" i="129"/>
  <c r="W8" i="129"/>
  <c r="W76" i="129"/>
  <c r="W64" i="129"/>
  <c r="W75" i="129"/>
  <c r="W63" i="129"/>
  <c r="W73" i="129"/>
  <c r="W71" i="129"/>
  <c r="W59" i="129"/>
  <c r="W47" i="129"/>
  <c r="W38" i="129"/>
  <c r="W28" i="129"/>
  <c r="W82" i="129"/>
  <c r="W72" i="129"/>
  <c r="W70" i="129"/>
  <c r="W52" i="129"/>
  <c r="W40" i="129"/>
  <c r="W39" i="129"/>
  <c r="W37" i="129"/>
  <c r="W36" i="129"/>
  <c r="W35" i="129"/>
  <c r="W34" i="129"/>
  <c r="W33" i="129"/>
  <c r="W32" i="129"/>
  <c r="W24" i="129"/>
  <c r="W22" i="129"/>
  <c r="W21" i="129"/>
  <c r="W31" i="129"/>
  <c r="W27" i="129"/>
  <c r="W26" i="129"/>
  <c r="W23" i="129"/>
  <c r="W15" i="129"/>
  <c r="V6" i="129"/>
  <c r="W6" i="129" s="1"/>
  <c r="W20" i="129"/>
  <c r="W81" i="129"/>
  <c r="W68" i="129"/>
  <c r="W45" i="129"/>
  <c r="W44" i="129"/>
  <c r="W11" i="129"/>
  <c r="W43" i="129"/>
  <c r="W19" i="129"/>
  <c r="W14" i="129"/>
  <c r="W46" i="129"/>
  <c r="W69" i="129"/>
  <c r="W56" i="129"/>
  <c r="W55" i="129"/>
  <c r="W18" i="129"/>
  <c r="W7" i="129"/>
  <c r="W60" i="129"/>
  <c r="W57" i="129"/>
  <c r="W48" i="129"/>
  <c r="W17" i="129"/>
  <c r="W13" i="129"/>
  <c r="W49" i="129"/>
  <c r="W61" i="129"/>
  <c r="W58" i="129"/>
  <c r="T4" i="129"/>
  <c r="W51" i="129"/>
  <c r="T5" i="129"/>
  <c r="W5" i="129" s="1"/>
  <c r="BC73" i="129"/>
  <c r="BC61" i="129"/>
  <c r="BC49" i="129"/>
  <c r="BC37" i="129"/>
  <c r="BC25" i="129"/>
  <c r="BC82" i="129"/>
  <c r="BC70" i="129"/>
  <c r="BC58" i="129"/>
  <c r="BC46" i="129"/>
  <c r="BC74" i="129"/>
  <c r="BC62" i="129"/>
  <c r="BC50" i="129"/>
  <c r="BC38" i="129"/>
  <c r="BC26" i="129"/>
  <c r="BC72" i="129"/>
  <c r="BC60" i="129"/>
  <c r="BC71" i="129"/>
  <c r="BC59" i="129"/>
  <c r="BC47" i="129"/>
  <c r="BC22" i="129"/>
  <c r="BC16" i="129"/>
  <c r="BC81" i="129"/>
  <c r="BC80" i="129"/>
  <c r="BC68" i="129"/>
  <c r="BC79" i="129"/>
  <c r="BC78" i="129"/>
  <c r="BC77" i="129"/>
  <c r="BC66" i="129"/>
  <c r="BC65" i="129"/>
  <c r="BC54" i="129"/>
  <c r="BC53" i="129"/>
  <c r="BC42" i="129"/>
  <c r="BC41" i="129"/>
  <c r="BC35" i="129"/>
  <c r="BC13" i="129"/>
  <c r="BC10" i="129"/>
  <c r="BC56" i="129"/>
  <c r="BC55" i="129"/>
  <c r="BC17" i="129"/>
  <c r="BC69" i="129"/>
  <c r="BC57" i="129"/>
  <c r="BC48" i="129"/>
  <c r="BC12" i="129"/>
  <c r="BC9" i="129"/>
  <c r="BC63" i="129"/>
  <c r="BB6" i="129"/>
  <c r="BC6" i="129" s="1"/>
  <c r="BC51" i="129"/>
  <c r="BC39" i="129"/>
  <c r="BC34" i="129"/>
  <c r="BC33" i="129"/>
  <c r="BC32" i="129"/>
  <c r="BC21" i="129"/>
  <c r="BA6" i="129"/>
  <c r="AZ4" i="129"/>
  <c r="BC76" i="129"/>
  <c r="BC52" i="129"/>
  <c r="BC40" i="129"/>
  <c r="BC36" i="129"/>
  <c r="BC30" i="129"/>
  <c r="BC29" i="129"/>
  <c r="BC27" i="129"/>
  <c r="BC24" i="129"/>
  <c r="BC23" i="129"/>
  <c r="BC15" i="129"/>
  <c r="BC11" i="129"/>
  <c r="BC67" i="129"/>
  <c r="BC31" i="129"/>
  <c r="BC28" i="129"/>
  <c r="BC20" i="129"/>
  <c r="BC64" i="129"/>
  <c r="BC14" i="129"/>
  <c r="BC75" i="129"/>
  <c r="BC43" i="129"/>
  <c r="BC45" i="129"/>
  <c r="BC44" i="129"/>
  <c r="BC19" i="129"/>
  <c r="BH5" i="129"/>
  <c r="BK5" i="129" s="1"/>
  <c r="AB6" i="129"/>
  <c r="BI6" i="129"/>
  <c r="BC7" i="129"/>
  <c r="W9" i="129"/>
  <c r="BS10" i="129"/>
  <c r="BO72" i="129"/>
  <c r="Y6" i="129"/>
  <c r="AW6" i="129"/>
  <c r="BG7" i="129"/>
  <c r="AQ8" i="129"/>
  <c r="AA9" i="129"/>
  <c r="AQ11" i="129"/>
  <c r="AA12" i="129"/>
  <c r="AY14" i="129"/>
  <c r="AA16" i="129"/>
  <c r="BG18" i="129"/>
  <c r="AQ20" i="129"/>
  <c r="AI22" i="129"/>
  <c r="AI23" i="129"/>
  <c r="AQ27" i="129"/>
  <c r="AI29" i="129"/>
  <c r="AI35" i="129"/>
  <c r="AI36" i="129"/>
  <c r="BG43" i="129"/>
  <c r="BW47" i="129"/>
  <c r="S49" i="129"/>
  <c r="S50" i="129"/>
  <c r="BG54" i="129"/>
  <c r="BO62" i="129"/>
  <c r="BO65" i="129"/>
  <c r="BO68" i="129"/>
  <c r="AI70" i="129"/>
  <c r="BG75" i="129"/>
  <c r="AQ42" i="129"/>
  <c r="AI67" i="129"/>
  <c r="AA72" i="129"/>
  <c r="AA60" i="129"/>
  <c r="AA48" i="129"/>
  <c r="AA36" i="129"/>
  <c r="AA24" i="129"/>
  <c r="AA81" i="129"/>
  <c r="AA69" i="129"/>
  <c r="AA57" i="129"/>
  <c r="AA45" i="129"/>
  <c r="AA73" i="129"/>
  <c r="AA61" i="129"/>
  <c r="AA49" i="129"/>
  <c r="AA37" i="129"/>
  <c r="AA25" i="129"/>
  <c r="AA79" i="129"/>
  <c r="AA78" i="129"/>
  <c r="AA66" i="129"/>
  <c r="AA77" i="129"/>
  <c r="AA65" i="129"/>
  <c r="AA53" i="129"/>
  <c r="AA41" i="129"/>
  <c r="AA35" i="129"/>
  <c r="AA20" i="129"/>
  <c r="AA15" i="129"/>
  <c r="AA76" i="129"/>
  <c r="AA75" i="129"/>
  <c r="AA63" i="129"/>
  <c r="AA74" i="129"/>
  <c r="AA62" i="129"/>
  <c r="AA82" i="129"/>
  <c r="AA70" i="129"/>
  <c r="AA58" i="129"/>
  <c r="AA46" i="129"/>
  <c r="AA22" i="129"/>
  <c r="AY78" i="129"/>
  <c r="AY66" i="129"/>
  <c r="AY54" i="129"/>
  <c r="AY42" i="129"/>
  <c r="AY30" i="129"/>
  <c r="AY75" i="129"/>
  <c r="AY63" i="129"/>
  <c r="AY51" i="129"/>
  <c r="AY79" i="129"/>
  <c r="AY67" i="129"/>
  <c r="AY55" i="129"/>
  <c r="AY43" i="129"/>
  <c r="AY31" i="129"/>
  <c r="AY76" i="129"/>
  <c r="AY74" i="129"/>
  <c r="AY73" i="129"/>
  <c r="AY61" i="129"/>
  <c r="AY72" i="129"/>
  <c r="AY60" i="129"/>
  <c r="AY48" i="129"/>
  <c r="AY38" i="129"/>
  <c r="AY28" i="129"/>
  <c r="AY9" i="129"/>
  <c r="AY82" i="129"/>
  <c r="AY81" i="129"/>
  <c r="AY69" i="129"/>
  <c r="AY57" i="129"/>
  <c r="AY80" i="129"/>
  <c r="AY25" i="129"/>
  <c r="AY20" i="129"/>
  <c r="AY15" i="129"/>
  <c r="BW72" i="129"/>
  <c r="BW60" i="129"/>
  <c r="BW48" i="129"/>
  <c r="BW36" i="129"/>
  <c r="BW24" i="129"/>
  <c r="BW81" i="129"/>
  <c r="BW69" i="129"/>
  <c r="BW57" i="129"/>
  <c r="BW45" i="129"/>
  <c r="BW73" i="129"/>
  <c r="BW61" i="129"/>
  <c r="BW49" i="129"/>
  <c r="BW37" i="129"/>
  <c r="BW25" i="129"/>
  <c r="BW82" i="129"/>
  <c r="BW80" i="129"/>
  <c r="BW68" i="129"/>
  <c r="BW31" i="129"/>
  <c r="BW15" i="129"/>
  <c r="BT6" i="129"/>
  <c r="BW79" i="129"/>
  <c r="BW78" i="129"/>
  <c r="BW66" i="129"/>
  <c r="BW54" i="129"/>
  <c r="BW77" i="129"/>
  <c r="BW65" i="129"/>
  <c r="BW76" i="129"/>
  <c r="BW75" i="129"/>
  <c r="BW74" i="129"/>
  <c r="BW62" i="129"/>
  <c r="BW50" i="129"/>
  <c r="BW33" i="129"/>
  <c r="BW23" i="129"/>
  <c r="AF5" i="129"/>
  <c r="AI5" i="129" s="1"/>
  <c r="BD5" i="129"/>
  <c r="BG5" i="129" s="1"/>
  <c r="Z6" i="129"/>
  <c r="AA6" i="129" s="1"/>
  <c r="AX6" i="129"/>
  <c r="AY6" i="129" s="1"/>
  <c r="BO10" i="129"/>
  <c r="AQ15" i="129"/>
  <c r="AI16" i="129"/>
  <c r="S17" i="129"/>
  <c r="BW17" i="129"/>
  <c r="BO18" i="129"/>
  <c r="BG19" i="129"/>
  <c r="AQ21" i="129"/>
  <c r="AQ22" i="129"/>
  <c r="AQ24" i="129"/>
  <c r="AQ25" i="129"/>
  <c r="AQ30" i="129"/>
  <c r="AQ31" i="129"/>
  <c r="AQ32" i="129"/>
  <c r="AI33" i="129"/>
  <c r="AQ34" i="129"/>
  <c r="AQ37" i="129"/>
  <c r="AQ38" i="129"/>
  <c r="BG42" i="129"/>
  <c r="BO45" i="129"/>
  <c r="BW46" i="129"/>
  <c r="AA50" i="129"/>
  <c r="AY53" i="129"/>
  <c r="BW59" i="129"/>
  <c r="BG61" i="129"/>
  <c r="AQ67" i="129"/>
  <c r="AY70" i="129"/>
  <c r="BO75" i="129"/>
  <c r="AQ79" i="129"/>
  <c r="AQ33" i="129"/>
  <c r="AQ35" i="129"/>
  <c r="BO44" i="129"/>
  <c r="AQ51" i="129"/>
  <c r="AY52" i="129"/>
  <c r="BO54" i="129"/>
  <c r="S57" i="129"/>
  <c r="AI58" i="129"/>
  <c r="S63" i="129"/>
  <c r="BG64" i="129"/>
  <c r="BW70" i="129"/>
  <c r="S73" i="129"/>
  <c r="AQ16" i="129"/>
  <c r="S18" i="129"/>
  <c r="BO19" i="129"/>
  <c r="BG25" i="129"/>
  <c r="BG26" i="129"/>
  <c r="BG28" i="129"/>
  <c r="BG31" i="129"/>
  <c r="BG38" i="129"/>
  <c r="BO42" i="129"/>
  <c r="AI49" i="129"/>
  <c r="BO53" i="129"/>
  <c r="S56" i="129"/>
  <c r="AY58" i="129"/>
  <c r="BO61" i="129"/>
  <c r="BG67" i="129"/>
  <c r="S69" i="129"/>
  <c r="AA80" i="129"/>
  <c r="Q6" i="129"/>
  <c r="AO6" i="129"/>
  <c r="BN6" i="129"/>
  <c r="BO6" i="129" s="1"/>
  <c r="BG8" i="129"/>
  <c r="AQ9" i="129"/>
  <c r="BO14" i="129"/>
  <c r="BG15" i="129"/>
  <c r="BO20" i="129"/>
  <c r="BG22" i="129"/>
  <c r="BG23" i="129"/>
  <c r="BG24" i="129"/>
  <c r="BO27" i="129"/>
  <c r="BO28" i="129"/>
  <c r="BG29" i="129"/>
  <c r="BG35" i="129"/>
  <c r="BG36" i="129"/>
  <c r="BG37" i="129"/>
  <c r="BG40" i="129"/>
  <c r="BO41" i="129"/>
  <c r="BW42" i="129"/>
  <c r="AA47" i="129"/>
  <c r="AI48" i="129"/>
  <c r="BG52" i="129"/>
  <c r="BW53" i="129"/>
  <c r="AI57" i="129"/>
  <c r="BW64" i="129"/>
  <c r="AI66" i="129"/>
  <c r="BW67" i="129"/>
  <c r="BO73" i="129"/>
  <c r="AI74" i="129"/>
  <c r="AI62" i="129"/>
  <c r="AI50" i="129"/>
  <c r="AI38" i="129"/>
  <c r="AI26" i="129"/>
  <c r="AI71" i="129"/>
  <c r="AI59" i="129"/>
  <c r="AI47" i="129"/>
  <c r="AI75" i="129"/>
  <c r="AI63" i="129"/>
  <c r="AI51" i="129"/>
  <c r="AI39" i="129"/>
  <c r="AI27" i="129"/>
  <c r="AI79" i="129"/>
  <c r="AI78" i="129"/>
  <c r="AI77" i="129"/>
  <c r="AI76" i="129"/>
  <c r="AI64" i="129"/>
  <c r="AI52" i="129"/>
  <c r="AI40" i="129"/>
  <c r="AI34" i="129"/>
  <c r="AI24" i="129"/>
  <c r="AI17" i="129"/>
  <c r="AI73" i="129"/>
  <c r="AI61" i="129"/>
  <c r="AI72" i="129"/>
  <c r="AI60" i="129"/>
  <c r="AI82" i="129"/>
  <c r="AI81" i="129"/>
  <c r="AI37" i="129"/>
  <c r="AI32" i="129"/>
  <c r="AI21" i="129"/>
  <c r="BG80" i="129"/>
  <c r="BG68" i="129"/>
  <c r="BG56" i="129"/>
  <c r="BG44" i="129"/>
  <c r="BG32" i="129"/>
  <c r="BG20" i="129"/>
  <c r="BG77" i="129"/>
  <c r="BG65" i="129"/>
  <c r="BG53" i="129"/>
  <c r="BG41" i="129"/>
  <c r="BG81" i="129"/>
  <c r="BG69" i="129"/>
  <c r="BG57" i="129"/>
  <c r="BG45" i="129"/>
  <c r="BG33" i="129"/>
  <c r="BG21" i="129"/>
  <c r="BG73" i="129"/>
  <c r="BG72" i="129"/>
  <c r="BG71" i="129"/>
  <c r="BG59" i="129"/>
  <c r="BG82" i="129"/>
  <c r="BG70" i="129"/>
  <c r="BG58" i="129"/>
  <c r="BG46" i="129"/>
  <c r="BG27" i="129"/>
  <c r="BG11" i="129"/>
  <c r="BG79" i="129"/>
  <c r="BG78" i="129"/>
  <c r="BG30" i="129"/>
  <c r="BG17" i="129"/>
  <c r="P5" i="129"/>
  <c r="S5" i="129" s="1"/>
  <c r="AN5" i="129"/>
  <c r="AQ5" i="129" s="1"/>
  <c r="BL5" i="129"/>
  <c r="BO5" i="129" s="1"/>
  <c r="R6" i="129"/>
  <c r="S6" i="129" s="1"/>
  <c r="AP6" i="129"/>
  <c r="AQ6" i="129" s="1"/>
  <c r="AI10" i="129"/>
  <c r="BO11" i="129"/>
  <c r="AI13" i="129"/>
  <c r="S14" i="129"/>
  <c r="BO24" i="129"/>
  <c r="BO25" i="129"/>
  <c r="BO26" i="129"/>
  <c r="BO30" i="129"/>
  <c r="BO31" i="129"/>
  <c r="BO32" i="129"/>
  <c r="BG34" i="129"/>
  <c r="BO37" i="129"/>
  <c r="BO38" i="129"/>
  <c r="BG39" i="129"/>
  <c r="BW41" i="129"/>
  <c r="AY49" i="129"/>
  <c r="AY50" i="129"/>
  <c r="BG51" i="129"/>
  <c r="AA55" i="129"/>
  <c r="AA56" i="129"/>
  <c r="AQ57" i="129"/>
  <c r="BW58" i="129"/>
  <c r="AQ60" i="129"/>
  <c r="AQ66" i="129"/>
  <c r="AI69" i="129"/>
  <c r="AA71" i="129"/>
  <c r="BO8" i="129"/>
  <c r="S11" i="129"/>
  <c r="BO15" i="129"/>
  <c r="BG16" i="129"/>
  <c r="AQ17" i="129"/>
  <c r="BO33" i="129"/>
  <c r="BO36" i="129"/>
  <c r="BO39" i="129"/>
  <c r="S44" i="129"/>
  <c r="S45" i="129"/>
  <c r="AQ48" i="129"/>
  <c r="BG49" i="129"/>
  <c r="BG50" i="129"/>
  <c r="BO51" i="129"/>
  <c r="BW52" i="129"/>
  <c r="AI55" i="129"/>
  <c r="AI56" i="129"/>
  <c r="BG60" i="129"/>
  <c r="BG63" i="129"/>
  <c r="S65" i="129"/>
  <c r="S68" i="129"/>
  <c r="AQ69" i="129"/>
  <c r="AY71" i="129"/>
  <c r="S81" i="129"/>
  <c r="AQ13" i="129"/>
  <c r="AI18" i="129"/>
  <c r="S20" i="129"/>
  <c r="BW38" i="129"/>
  <c r="BW39" i="129"/>
  <c r="AA43" i="129"/>
  <c r="AI46" i="129"/>
  <c r="AQ47" i="129"/>
  <c r="BW51" i="129"/>
  <c r="AA54" i="129"/>
  <c r="AQ56" i="129"/>
  <c r="BO60" i="129"/>
  <c r="S62" i="129"/>
  <c r="BO63" i="129"/>
  <c r="AI65" i="129"/>
  <c r="BG66" i="129"/>
  <c r="BG74" i="129"/>
  <c r="AY77" i="129"/>
  <c r="S15" i="129"/>
  <c r="BO16" i="129"/>
  <c r="AQ18" i="129"/>
  <c r="AI19" i="129"/>
  <c r="S26" i="129"/>
  <c r="S27" i="129"/>
  <c r="S28" i="129"/>
  <c r="AA42" i="129"/>
  <c r="AI43" i="129"/>
  <c r="AA44" i="129"/>
  <c r="AI45" i="129"/>
  <c r="AQ46" i="129"/>
  <c r="AY47" i="129"/>
  <c r="BG48" i="129"/>
  <c r="BO49" i="129"/>
  <c r="BO50" i="129"/>
  <c r="AY56" i="129"/>
  <c r="AA59" i="129"/>
  <c r="BW63" i="129"/>
  <c r="AA68" i="129"/>
  <c r="BW71" i="129"/>
  <c r="S82" i="129"/>
  <c r="S70" i="129"/>
  <c r="S58" i="129"/>
  <c r="S46" i="129"/>
  <c r="S34" i="129"/>
  <c r="S22" i="129"/>
  <c r="S79" i="129"/>
  <c r="S67" i="129"/>
  <c r="S55" i="129"/>
  <c r="S43" i="129"/>
  <c r="S71" i="129"/>
  <c r="S59" i="129"/>
  <c r="S47" i="129"/>
  <c r="S35" i="129"/>
  <c r="S23" i="129"/>
  <c r="S80" i="129"/>
  <c r="S78" i="129"/>
  <c r="S66" i="129"/>
  <c r="S54" i="129"/>
  <c r="S42" i="129"/>
  <c r="S31" i="129"/>
  <c r="S13" i="129"/>
  <c r="S77" i="129"/>
  <c r="S76" i="129"/>
  <c r="S64" i="129"/>
  <c r="S75" i="129"/>
  <c r="S74" i="129"/>
  <c r="S72" i="129"/>
  <c r="S60" i="129"/>
  <c r="S48" i="129"/>
  <c r="S33" i="129"/>
  <c r="S19" i="129"/>
  <c r="AQ76" i="129"/>
  <c r="AQ64" i="129"/>
  <c r="AQ52" i="129"/>
  <c r="AQ40" i="129"/>
  <c r="AQ28" i="129"/>
  <c r="AQ73" i="129"/>
  <c r="AQ61" i="129"/>
  <c r="AQ49" i="129"/>
  <c r="AQ77" i="129"/>
  <c r="AQ65" i="129"/>
  <c r="AQ53" i="129"/>
  <c r="AQ41" i="129"/>
  <c r="AQ29" i="129"/>
  <c r="AQ75" i="129"/>
  <c r="AQ63" i="129"/>
  <c r="AQ74" i="129"/>
  <c r="AQ62" i="129"/>
  <c r="AQ50" i="129"/>
  <c r="AQ39" i="129"/>
  <c r="AQ23" i="129"/>
  <c r="AQ7" i="129"/>
  <c r="AQ72" i="129"/>
  <c r="AQ71" i="129"/>
  <c r="AQ59" i="129"/>
  <c r="AQ82" i="129"/>
  <c r="AQ70" i="129"/>
  <c r="AQ58" i="129"/>
  <c r="AQ81" i="129"/>
  <c r="AQ80" i="129"/>
  <c r="AQ36" i="129"/>
  <c r="AQ26" i="129"/>
  <c r="BO82" i="129"/>
  <c r="BO70" i="129"/>
  <c r="BO58" i="129"/>
  <c r="BO46" i="129"/>
  <c r="BO34" i="129"/>
  <c r="BO22" i="129"/>
  <c r="BO79" i="129"/>
  <c r="BO67" i="129"/>
  <c r="BO55" i="129"/>
  <c r="BO43" i="129"/>
  <c r="BO71" i="129"/>
  <c r="BO59" i="129"/>
  <c r="BO47" i="129"/>
  <c r="BO35" i="129"/>
  <c r="BO23" i="129"/>
  <c r="BO81" i="129"/>
  <c r="BO69" i="129"/>
  <c r="BO21" i="129"/>
  <c r="BO13" i="129"/>
  <c r="BO80" i="129"/>
  <c r="BO78" i="129"/>
  <c r="BO66" i="129"/>
  <c r="BO77" i="129"/>
  <c r="BO76" i="129"/>
  <c r="BO64" i="129"/>
  <c r="BO52" i="129"/>
  <c r="BO40" i="129"/>
  <c r="BO29" i="129"/>
  <c r="AH6" i="129"/>
  <c r="AI6" i="129" s="1"/>
  <c r="BF6" i="129"/>
  <c r="BG6" i="129" s="1"/>
  <c r="BO9" i="129"/>
  <c r="BO12" i="129"/>
  <c r="AI14" i="129"/>
  <c r="S21" i="129"/>
  <c r="S24" i="129"/>
  <c r="S25" i="129"/>
  <c r="S29" i="129"/>
  <c r="S30" i="129"/>
  <c r="S32" i="129"/>
  <c r="S36" i="129"/>
  <c r="S37" i="129"/>
  <c r="S38" i="129"/>
  <c r="S39" i="129"/>
  <c r="S40" i="129"/>
  <c r="S41" i="129"/>
  <c r="AI44" i="129"/>
  <c r="AQ45" i="129"/>
  <c r="BG47" i="129"/>
  <c r="BO48" i="129"/>
  <c r="S52" i="129"/>
  <c r="AI54" i="129"/>
  <c r="AY62" i="129"/>
  <c r="AI68" i="129"/>
  <c r="BO74" i="129"/>
  <c r="AQ78" i="129"/>
  <c r="AI8" i="129"/>
  <c r="S9" i="129"/>
  <c r="AI11" i="129"/>
  <c r="S12" i="129"/>
  <c r="S16" i="129"/>
  <c r="AQ19" i="129"/>
  <c r="AI20" i="129"/>
  <c r="AA29" i="129"/>
  <c r="AA30" i="129"/>
  <c r="AA31" i="129"/>
  <c r="AA38" i="129"/>
  <c r="AI42" i="129"/>
  <c r="AQ43" i="129"/>
  <c r="AQ44" i="129"/>
  <c r="AY46" i="129"/>
  <c r="S51" i="129"/>
  <c r="AI53" i="129"/>
  <c r="AQ54" i="129"/>
  <c r="BG55" i="129"/>
  <c r="BO56" i="129"/>
  <c r="AY59" i="129"/>
  <c r="S61" i="129"/>
  <c r="BG62" i="129"/>
  <c r="AA64" i="129"/>
  <c r="AY65" i="129"/>
  <c r="AA67" i="129"/>
  <c r="AQ68" i="129"/>
  <c r="AA77" i="128"/>
  <c r="AA65" i="128"/>
  <c r="AA53" i="128"/>
  <c r="AA41" i="128"/>
  <c r="AA72" i="128"/>
  <c r="AA60" i="128"/>
  <c r="AA48" i="128"/>
  <c r="AA36" i="128"/>
  <c r="AA24" i="128"/>
  <c r="AA74" i="128"/>
  <c r="AA62" i="128"/>
  <c r="AA50" i="128"/>
  <c r="AA81" i="128"/>
  <c r="AA69" i="128"/>
  <c r="AA57" i="128"/>
  <c r="AA45" i="128"/>
  <c r="AA76" i="128"/>
  <c r="AA64" i="128"/>
  <c r="AA52" i="128"/>
  <c r="AA40" i="128"/>
  <c r="AA71" i="128"/>
  <c r="AA59" i="128"/>
  <c r="AA47" i="128"/>
  <c r="AA35" i="128"/>
  <c r="AA23" i="128"/>
  <c r="AA78" i="128"/>
  <c r="AA66" i="128"/>
  <c r="AA54" i="128"/>
  <c r="AA42" i="128"/>
  <c r="AA73" i="128"/>
  <c r="AA61" i="128"/>
  <c r="AA49" i="128"/>
  <c r="AA37" i="128"/>
  <c r="AA80" i="128"/>
  <c r="AA68" i="128"/>
  <c r="AA56" i="128"/>
  <c r="AA44" i="128"/>
  <c r="AA75" i="128"/>
  <c r="AA63" i="128"/>
  <c r="AA51" i="128"/>
  <c r="AA39" i="128"/>
  <c r="AA27" i="128"/>
  <c r="AY71" i="128"/>
  <c r="AY59" i="128"/>
  <c r="AY47" i="128"/>
  <c r="AY35" i="128"/>
  <c r="AY78" i="128"/>
  <c r="AY66" i="128"/>
  <c r="AY54" i="128"/>
  <c r="AY42" i="128"/>
  <c r="AY30" i="128"/>
  <c r="AY80" i="128"/>
  <c r="AY68" i="128"/>
  <c r="AY56" i="128"/>
  <c r="AY44" i="128"/>
  <c r="AY75" i="128"/>
  <c r="AY63" i="128"/>
  <c r="AY51" i="128"/>
  <c r="AY82" i="128"/>
  <c r="AY70" i="128"/>
  <c r="AY58" i="128"/>
  <c r="AY46" i="128"/>
  <c r="AY77" i="128"/>
  <c r="AY65" i="128"/>
  <c r="AY53" i="128"/>
  <c r="AY41" i="128"/>
  <c r="AY29" i="128"/>
  <c r="AY72" i="128"/>
  <c r="AY60" i="128"/>
  <c r="AY48" i="128"/>
  <c r="AY36" i="128"/>
  <c r="AY79" i="128"/>
  <c r="AY67" i="128"/>
  <c r="AY55" i="128"/>
  <c r="AY43" i="128"/>
  <c r="AY74" i="128"/>
  <c r="AY62" i="128"/>
  <c r="AY50" i="128"/>
  <c r="AY38" i="128"/>
  <c r="AY81" i="128"/>
  <c r="AY69" i="128"/>
  <c r="AY57" i="128"/>
  <c r="AY45" i="128"/>
  <c r="AY33" i="128"/>
  <c r="AY21" i="128"/>
  <c r="BW82" i="128"/>
  <c r="BW77" i="128"/>
  <c r="BW65" i="128"/>
  <c r="BW53" i="128"/>
  <c r="BW41" i="128"/>
  <c r="BW72" i="128"/>
  <c r="BW60" i="128"/>
  <c r="BW48" i="128"/>
  <c r="BW36" i="128"/>
  <c r="BW24" i="128"/>
  <c r="BW74" i="128"/>
  <c r="BW62" i="128"/>
  <c r="BW50" i="128"/>
  <c r="BW81" i="128"/>
  <c r="BW69" i="128"/>
  <c r="BW57" i="128"/>
  <c r="BW45" i="128"/>
  <c r="BW76" i="128"/>
  <c r="BW64" i="128"/>
  <c r="BW52" i="128"/>
  <c r="BW40" i="128"/>
  <c r="BW71" i="128"/>
  <c r="BW59" i="128"/>
  <c r="BW47" i="128"/>
  <c r="BW35" i="128"/>
  <c r="BW23" i="128"/>
  <c r="BW78" i="128"/>
  <c r="BW66" i="128"/>
  <c r="BW54" i="128"/>
  <c r="BW42" i="128"/>
  <c r="BW73" i="128"/>
  <c r="BW61" i="128"/>
  <c r="BW49" i="128"/>
  <c r="BW37" i="128"/>
  <c r="BW80" i="128"/>
  <c r="BW68" i="128"/>
  <c r="BW56" i="128"/>
  <c r="BW44" i="128"/>
  <c r="BW75" i="128"/>
  <c r="BW63" i="128"/>
  <c r="BW51" i="128"/>
  <c r="BW39" i="128"/>
  <c r="BW27" i="128"/>
  <c r="Z6" i="128"/>
  <c r="AA6" i="128" s="1"/>
  <c r="AX6" i="128"/>
  <c r="AY6" i="128" s="1"/>
  <c r="BV6" i="128"/>
  <c r="BW6" i="128" s="1"/>
  <c r="AY7" i="128"/>
  <c r="AE8" i="128"/>
  <c r="AU12" i="128"/>
  <c r="AA13" i="128"/>
  <c r="BW13" i="128"/>
  <c r="BC14" i="128"/>
  <c r="AI15" i="128"/>
  <c r="O16" i="128"/>
  <c r="BK16" i="128"/>
  <c r="W18" i="128"/>
  <c r="BS18" i="128"/>
  <c r="BC19" i="128"/>
  <c r="AU20" i="128"/>
  <c r="AI21" i="128"/>
  <c r="AA22" i="128"/>
  <c r="O24" i="128"/>
  <c r="BW25" i="128"/>
  <c r="BS26" i="128"/>
  <c r="BK28" i="128"/>
  <c r="BG29" i="128"/>
  <c r="BC30" i="128"/>
  <c r="AU31" i="128"/>
  <c r="AI32" i="128"/>
  <c r="AE33" i="128"/>
  <c r="AM34" i="128"/>
  <c r="AI35" i="128"/>
  <c r="AU36" i="128"/>
  <c r="AA38" i="128"/>
  <c r="AE40" i="128"/>
  <c r="AM43" i="128"/>
  <c r="BK46" i="128"/>
  <c r="BK49" i="128"/>
  <c r="S53" i="128"/>
  <c r="BC56" i="128"/>
  <c r="BC59" i="128"/>
  <c r="AU66" i="128"/>
  <c r="AU69" i="128"/>
  <c r="BS72" i="128"/>
  <c r="AM79" i="128"/>
  <c r="AY17" i="128"/>
  <c r="BC20" i="128"/>
  <c r="AY34" i="128"/>
  <c r="AY40" i="128"/>
  <c r="AB4" i="128"/>
  <c r="AC6" i="128"/>
  <c r="BA6" i="128"/>
  <c r="O7" i="128"/>
  <c r="BK7" i="128"/>
  <c r="W9" i="128"/>
  <c r="BS9" i="128"/>
  <c r="AY10" i="128"/>
  <c r="AE11" i="128"/>
  <c r="BG12" i="128"/>
  <c r="AM13" i="128"/>
  <c r="AU15" i="128"/>
  <c r="AA16" i="128"/>
  <c r="BW16" i="128"/>
  <c r="BC17" i="128"/>
  <c r="AI18" i="128"/>
  <c r="O19" i="128"/>
  <c r="BS19" i="128"/>
  <c r="BG20" i="128"/>
  <c r="AU21" i="128"/>
  <c r="AQ22" i="128"/>
  <c r="AI23" i="128"/>
  <c r="AA25" i="128"/>
  <c r="W26" i="128"/>
  <c r="S27" i="128"/>
  <c r="O28" i="128"/>
  <c r="BW29" i="128"/>
  <c r="BS30" i="128"/>
  <c r="BK31" i="128"/>
  <c r="AY32" i="128"/>
  <c r="BC33" i="128"/>
  <c r="BC34" i="128"/>
  <c r="BC35" i="128"/>
  <c r="BS36" i="128"/>
  <c r="BS38" i="128"/>
  <c r="S44" i="128"/>
  <c r="AQ47" i="128"/>
  <c r="AQ50" i="128"/>
  <c r="AI57" i="128"/>
  <c r="AI60" i="128"/>
  <c r="BS63" i="128"/>
  <c r="AA67" i="128"/>
  <c r="AA70" i="128"/>
  <c r="AY73" i="128"/>
  <c r="S80" i="128"/>
  <c r="AE72" i="128"/>
  <c r="AE60" i="128"/>
  <c r="AE48" i="128"/>
  <c r="AE36" i="128"/>
  <c r="AE79" i="128"/>
  <c r="AE67" i="128"/>
  <c r="AE55" i="128"/>
  <c r="AE43" i="128"/>
  <c r="AE31" i="128"/>
  <c r="AE81" i="128"/>
  <c r="AE69" i="128"/>
  <c r="AE57" i="128"/>
  <c r="AE45" i="128"/>
  <c r="AE76" i="128"/>
  <c r="AE64" i="128"/>
  <c r="AE52" i="128"/>
  <c r="AE71" i="128"/>
  <c r="AE59" i="128"/>
  <c r="AE47" i="128"/>
  <c r="AE78" i="128"/>
  <c r="AE66" i="128"/>
  <c r="AE54" i="128"/>
  <c r="AE42" i="128"/>
  <c r="AE30" i="128"/>
  <c r="AE73" i="128"/>
  <c r="AE61" i="128"/>
  <c r="AE49" i="128"/>
  <c r="AE37" i="128"/>
  <c r="AE80" i="128"/>
  <c r="AE68" i="128"/>
  <c r="AE56" i="128"/>
  <c r="AE44" i="128"/>
  <c r="AE75" i="128"/>
  <c r="AE63" i="128"/>
  <c r="AE51" i="128"/>
  <c r="AE39" i="128"/>
  <c r="AE82" i="128"/>
  <c r="AE70" i="128"/>
  <c r="AE58" i="128"/>
  <c r="AE46" i="128"/>
  <c r="AE34" i="128"/>
  <c r="AE22" i="128"/>
  <c r="AE18" i="128"/>
  <c r="AE23" i="128"/>
  <c r="BB6" i="128"/>
  <c r="BC6" i="128" s="1"/>
  <c r="AU8" i="128"/>
  <c r="AA9" i="128"/>
  <c r="BW9" i="128"/>
  <c r="BC10" i="128"/>
  <c r="AI11" i="128"/>
  <c r="O12" i="128"/>
  <c r="BK12" i="128"/>
  <c r="W14" i="128"/>
  <c r="BS14" i="128"/>
  <c r="AY15" i="128"/>
  <c r="AE16" i="128"/>
  <c r="BG17" i="128"/>
  <c r="AM18" i="128"/>
  <c r="S19" i="128"/>
  <c r="BW19" i="128"/>
  <c r="BK20" i="128"/>
  <c r="BC21" i="128"/>
  <c r="AY22" i="128"/>
  <c r="AM23" i="128"/>
  <c r="AI24" i="128"/>
  <c r="AE25" i="128"/>
  <c r="AA26" i="128"/>
  <c r="W27" i="128"/>
  <c r="S28" i="128"/>
  <c r="O29" i="128"/>
  <c r="BW30" i="128"/>
  <c r="BO31" i="128"/>
  <c r="BC32" i="128"/>
  <c r="BG33" i="128"/>
  <c r="BG34" i="128"/>
  <c r="BK35" i="128"/>
  <c r="BW38" i="128"/>
  <c r="S41" i="128"/>
  <c r="BC44" i="128"/>
  <c r="BC47" i="128"/>
  <c r="AU54" i="128"/>
  <c r="AU57" i="128"/>
  <c r="BS60" i="128"/>
  <c r="AM67" i="128"/>
  <c r="BK70" i="128"/>
  <c r="BK73" i="128"/>
  <c r="S77" i="128"/>
  <c r="BC80" i="128"/>
  <c r="AD6" i="128"/>
  <c r="AE6" i="128" s="1"/>
  <c r="AF4" i="128"/>
  <c r="BD4" i="128"/>
  <c r="W7" i="128"/>
  <c r="BS7" i="128"/>
  <c r="AY8" i="128"/>
  <c r="AE9" i="128"/>
  <c r="BG10" i="128"/>
  <c r="AM11" i="128"/>
  <c r="S12" i="128"/>
  <c r="BO12" i="128"/>
  <c r="AU13" i="128"/>
  <c r="AA14" i="128"/>
  <c r="BW14" i="128"/>
  <c r="BC15" i="128"/>
  <c r="AI16" i="128"/>
  <c r="O17" i="128"/>
  <c r="BK17" i="128"/>
  <c r="AQ18" i="128"/>
  <c r="W19" i="128"/>
  <c r="BO20" i="128"/>
  <c r="BG21" i="128"/>
  <c r="BC22" i="128"/>
  <c r="AQ23" i="128"/>
  <c r="AQ24" i="128"/>
  <c r="AM25" i="128"/>
  <c r="AE26" i="128"/>
  <c r="AE27" i="128"/>
  <c r="AA28" i="128"/>
  <c r="S29" i="128"/>
  <c r="S30" i="128"/>
  <c r="BS31" i="128"/>
  <c r="BK32" i="128"/>
  <c r="BK33" i="128"/>
  <c r="BO35" i="128"/>
  <c r="O37" i="128"/>
  <c r="AE41" i="128"/>
  <c r="BO44" i="128"/>
  <c r="W51" i="128"/>
  <c r="BG54" i="128"/>
  <c r="AM64" i="128"/>
  <c r="BW67" i="128"/>
  <c r="BW70" i="128"/>
  <c r="AE77" i="128"/>
  <c r="BO80" i="128"/>
  <c r="BW28" i="128"/>
  <c r="BK80" i="128"/>
  <c r="BK68" i="128"/>
  <c r="BK56" i="128"/>
  <c r="BK44" i="128"/>
  <c r="BK75" i="128"/>
  <c r="BK63" i="128"/>
  <c r="BK51" i="128"/>
  <c r="BK39" i="128"/>
  <c r="BK27" i="128"/>
  <c r="BK82" i="128"/>
  <c r="BK77" i="128"/>
  <c r="BK65" i="128"/>
  <c r="BK53" i="128"/>
  <c r="BK41" i="128"/>
  <c r="BK72" i="128"/>
  <c r="BK60" i="128"/>
  <c r="BK48" i="128"/>
  <c r="BK79" i="128"/>
  <c r="BK67" i="128"/>
  <c r="BK55" i="128"/>
  <c r="BK43" i="128"/>
  <c r="BK74" i="128"/>
  <c r="BK62" i="128"/>
  <c r="BK50" i="128"/>
  <c r="BK38" i="128"/>
  <c r="BK26" i="128"/>
  <c r="BK81" i="128"/>
  <c r="BK69" i="128"/>
  <c r="BK57" i="128"/>
  <c r="BK45" i="128"/>
  <c r="BK76" i="128"/>
  <c r="BK64" i="128"/>
  <c r="BK52" i="128"/>
  <c r="BK40" i="128"/>
  <c r="BK71" i="128"/>
  <c r="BK59" i="128"/>
  <c r="BK47" i="128"/>
  <c r="BK78" i="128"/>
  <c r="BK66" i="128"/>
  <c r="BK54" i="128"/>
  <c r="BK42" i="128"/>
  <c r="BK30" i="128"/>
  <c r="T5" i="128"/>
  <c r="W5" i="128" s="1"/>
  <c r="T6" i="128"/>
  <c r="AF6" i="128"/>
  <c r="AR6" i="128"/>
  <c r="BD6" i="128"/>
  <c r="BW7" i="128"/>
  <c r="BC8" i="128"/>
  <c r="AI9" i="128"/>
  <c r="O10" i="128"/>
  <c r="BK10" i="128"/>
  <c r="W12" i="128"/>
  <c r="BS12" i="128"/>
  <c r="AY13" i="128"/>
  <c r="AE14" i="128"/>
  <c r="BG15" i="128"/>
  <c r="AM16" i="128"/>
  <c r="AU18" i="128"/>
  <c r="AA19" i="128"/>
  <c r="O20" i="128"/>
  <c r="BW20" i="128"/>
  <c r="BK21" i="128"/>
  <c r="BG22" i="128"/>
  <c r="AY23" i="128"/>
  <c r="AU24" i="128"/>
  <c r="AQ25" i="128"/>
  <c r="AM26" i="128"/>
  <c r="AI27" i="128"/>
  <c r="AE28" i="128"/>
  <c r="AA29" i="128"/>
  <c r="W30" i="128"/>
  <c r="O31" i="128"/>
  <c r="BW31" i="128"/>
  <c r="BO32" i="128"/>
  <c r="BS33" i="128"/>
  <c r="BW34" i="128"/>
  <c r="BS35" i="128"/>
  <c r="AQ37" i="128"/>
  <c r="W39" i="128"/>
  <c r="BO41" i="128"/>
  <c r="W48" i="128"/>
  <c r="BG51" i="128"/>
  <c r="O58" i="128"/>
  <c r="AY64" i="128"/>
  <c r="AE74" i="128"/>
  <c r="BO77" i="128"/>
  <c r="BC12" i="128"/>
  <c r="BC31" i="128"/>
  <c r="AE50" i="128"/>
  <c r="O80" i="128"/>
  <c r="O68" i="128"/>
  <c r="O56" i="128"/>
  <c r="O44" i="128"/>
  <c r="O75" i="128"/>
  <c r="O63" i="128"/>
  <c r="O51" i="128"/>
  <c r="O39" i="128"/>
  <c r="O27" i="128"/>
  <c r="O77" i="128"/>
  <c r="O65" i="128"/>
  <c r="O53" i="128"/>
  <c r="O41" i="128"/>
  <c r="O72" i="128"/>
  <c r="O60" i="128"/>
  <c r="O48" i="128"/>
  <c r="O79" i="128"/>
  <c r="O67" i="128"/>
  <c r="O55" i="128"/>
  <c r="O43" i="128"/>
  <c r="O74" i="128"/>
  <c r="O62" i="128"/>
  <c r="O50" i="128"/>
  <c r="O38" i="128"/>
  <c r="O26" i="128"/>
  <c r="O81" i="128"/>
  <c r="O69" i="128"/>
  <c r="O57" i="128"/>
  <c r="O45" i="128"/>
  <c r="O76" i="128"/>
  <c r="O64" i="128"/>
  <c r="O52" i="128"/>
  <c r="O40" i="128"/>
  <c r="O71" i="128"/>
  <c r="O59" i="128"/>
  <c r="O47" i="128"/>
  <c r="O78" i="128"/>
  <c r="O66" i="128"/>
  <c r="O54" i="128"/>
  <c r="O42" i="128"/>
  <c r="O30" i="128"/>
  <c r="AR5" i="128"/>
  <c r="AU5" i="128" s="1"/>
  <c r="AA7" i="128"/>
  <c r="L4" i="128"/>
  <c r="AJ4" i="128"/>
  <c r="BH4" i="128"/>
  <c r="U6" i="128"/>
  <c r="AG6" i="128"/>
  <c r="AS6" i="128"/>
  <c r="BE6" i="128"/>
  <c r="BQ6" i="128"/>
  <c r="AE7" i="128"/>
  <c r="AM9" i="128"/>
  <c r="S10" i="128"/>
  <c r="AU11" i="128"/>
  <c r="AA12" i="128"/>
  <c r="BW12" i="128"/>
  <c r="BC13" i="128"/>
  <c r="AI14" i="128"/>
  <c r="O15" i="128"/>
  <c r="BK15" i="128"/>
  <c r="AQ16" i="128"/>
  <c r="W17" i="128"/>
  <c r="BS17" i="128"/>
  <c r="AY18" i="128"/>
  <c r="AE19" i="128"/>
  <c r="S20" i="128"/>
  <c r="BS21" i="128"/>
  <c r="BK22" i="128"/>
  <c r="BC23" i="128"/>
  <c r="AY24" i="128"/>
  <c r="AU25" i="128"/>
  <c r="AQ26" i="128"/>
  <c r="AI28" i="128"/>
  <c r="AE29" i="128"/>
  <c r="AA30" i="128"/>
  <c r="S31" i="128"/>
  <c r="BW32" i="128"/>
  <c r="BW33" i="128"/>
  <c r="AU37" i="128"/>
  <c r="AY39" i="128"/>
  <c r="AI45" i="128"/>
  <c r="AI48" i="128"/>
  <c r="BS51" i="128"/>
  <c r="AA55" i="128"/>
  <c r="AA58" i="128"/>
  <c r="AY61" i="128"/>
  <c r="AQ71" i="128"/>
  <c r="AB6" i="128"/>
  <c r="AZ4" i="128"/>
  <c r="AI79" i="128"/>
  <c r="AI67" i="128"/>
  <c r="AI55" i="128"/>
  <c r="AI43" i="128"/>
  <c r="AI74" i="128"/>
  <c r="AI62" i="128"/>
  <c r="AI50" i="128"/>
  <c r="AI38" i="128"/>
  <c r="AI26" i="128"/>
  <c r="AI76" i="128"/>
  <c r="AI64" i="128"/>
  <c r="AI52" i="128"/>
  <c r="AI40" i="128"/>
  <c r="AI71" i="128"/>
  <c r="AI59" i="128"/>
  <c r="AI47" i="128"/>
  <c r="AI78" i="128"/>
  <c r="AI66" i="128"/>
  <c r="AI54" i="128"/>
  <c r="AI42" i="128"/>
  <c r="AI73" i="128"/>
  <c r="AI61" i="128"/>
  <c r="AI49" i="128"/>
  <c r="AI37" i="128"/>
  <c r="AI25" i="128"/>
  <c r="AI80" i="128"/>
  <c r="AI68" i="128"/>
  <c r="AI56" i="128"/>
  <c r="AI44" i="128"/>
  <c r="AI75" i="128"/>
  <c r="AI63" i="128"/>
  <c r="AI51" i="128"/>
  <c r="AI39" i="128"/>
  <c r="AI82" i="128"/>
  <c r="AI70" i="128"/>
  <c r="AI58" i="128"/>
  <c r="AI46" i="128"/>
  <c r="AI77" i="128"/>
  <c r="AI65" i="128"/>
  <c r="AI53" i="128"/>
  <c r="AI41" i="128"/>
  <c r="AI29" i="128"/>
  <c r="BG73" i="128"/>
  <c r="BG61" i="128"/>
  <c r="BG49" i="128"/>
  <c r="BG37" i="128"/>
  <c r="BG80" i="128"/>
  <c r="BG68" i="128"/>
  <c r="BG56" i="128"/>
  <c r="BG44" i="128"/>
  <c r="BG32" i="128"/>
  <c r="BG82" i="128"/>
  <c r="BG70" i="128"/>
  <c r="BG58" i="128"/>
  <c r="BG46" i="128"/>
  <c r="BG77" i="128"/>
  <c r="BG65" i="128"/>
  <c r="BG53" i="128"/>
  <c r="BG41" i="128"/>
  <c r="BG72" i="128"/>
  <c r="BG60" i="128"/>
  <c r="BG48" i="128"/>
  <c r="BG36" i="128"/>
  <c r="BG79" i="128"/>
  <c r="BG67" i="128"/>
  <c r="BG55" i="128"/>
  <c r="BG43" i="128"/>
  <c r="BG31" i="128"/>
  <c r="BG19" i="128"/>
  <c r="BG74" i="128"/>
  <c r="BG62" i="128"/>
  <c r="BG50" i="128"/>
  <c r="BG38" i="128"/>
  <c r="BG81" i="128"/>
  <c r="BG69" i="128"/>
  <c r="BG57" i="128"/>
  <c r="BG45" i="128"/>
  <c r="BG76" i="128"/>
  <c r="BG64" i="128"/>
  <c r="BG52" i="128"/>
  <c r="BG40" i="128"/>
  <c r="BG71" i="128"/>
  <c r="BG59" i="128"/>
  <c r="BG47" i="128"/>
  <c r="BG35" i="128"/>
  <c r="BG23" i="128"/>
  <c r="AM74" i="128"/>
  <c r="AM62" i="128"/>
  <c r="AM50" i="128"/>
  <c r="AM38" i="128"/>
  <c r="AM81" i="128"/>
  <c r="AM69" i="128"/>
  <c r="AM57" i="128"/>
  <c r="AM45" i="128"/>
  <c r="AM33" i="128"/>
  <c r="AM71" i="128"/>
  <c r="AM59" i="128"/>
  <c r="AM47" i="128"/>
  <c r="AM78" i="128"/>
  <c r="AM66" i="128"/>
  <c r="AM54" i="128"/>
  <c r="AM42" i="128"/>
  <c r="AM73" i="128"/>
  <c r="AM61" i="128"/>
  <c r="AM49" i="128"/>
  <c r="AM37" i="128"/>
  <c r="AM80" i="128"/>
  <c r="AM68" i="128"/>
  <c r="AM56" i="128"/>
  <c r="AM44" i="128"/>
  <c r="AM32" i="128"/>
  <c r="AM20" i="128"/>
  <c r="AM75" i="128"/>
  <c r="AM63" i="128"/>
  <c r="AM51" i="128"/>
  <c r="AM39" i="128"/>
  <c r="AM82" i="128"/>
  <c r="AM70" i="128"/>
  <c r="AM58" i="128"/>
  <c r="AM46" i="128"/>
  <c r="AM77" i="128"/>
  <c r="AM65" i="128"/>
  <c r="AM53" i="128"/>
  <c r="AM41" i="128"/>
  <c r="AM72" i="128"/>
  <c r="AM60" i="128"/>
  <c r="AM48" i="128"/>
  <c r="AM36" i="128"/>
  <c r="AM24" i="128"/>
  <c r="BP5" i="128"/>
  <c r="BS5" i="128" s="1"/>
  <c r="BP6" i="128"/>
  <c r="S75" i="128"/>
  <c r="S63" i="128"/>
  <c r="S51" i="128"/>
  <c r="S39" i="128"/>
  <c r="S82" i="128"/>
  <c r="S70" i="128"/>
  <c r="S58" i="128"/>
  <c r="S46" i="128"/>
  <c r="S34" i="128"/>
  <c r="S22" i="128"/>
  <c r="S72" i="128"/>
  <c r="S60" i="128"/>
  <c r="S48" i="128"/>
  <c r="S79" i="128"/>
  <c r="S67" i="128"/>
  <c r="S55" i="128"/>
  <c r="S43" i="128"/>
  <c r="S74" i="128"/>
  <c r="S62" i="128"/>
  <c r="S50" i="128"/>
  <c r="S38" i="128"/>
  <c r="S81" i="128"/>
  <c r="S69" i="128"/>
  <c r="S57" i="128"/>
  <c r="S45" i="128"/>
  <c r="S33" i="128"/>
  <c r="S21" i="128"/>
  <c r="S76" i="128"/>
  <c r="S64" i="128"/>
  <c r="S52" i="128"/>
  <c r="S40" i="128"/>
  <c r="S71" i="128"/>
  <c r="S59" i="128"/>
  <c r="S47" i="128"/>
  <c r="S78" i="128"/>
  <c r="S66" i="128"/>
  <c r="S54" i="128"/>
  <c r="S42" i="128"/>
  <c r="S73" i="128"/>
  <c r="S61" i="128"/>
  <c r="S49" i="128"/>
  <c r="S37" i="128"/>
  <c r="S25" i="128"/>
  <c r="AQ81" i="128"/>
  <c r="AQ69" i="128"/>
  <c r="AQ57" i="128"/>
  <c r="AQ45" i="128"/>
  <c r="AQ33" i="128"/>
  <c r="AQ76" i="128"/>
  <c r="AQ64" i="128"/>
  <c r="AQ52" i="128"/>
  <c r="AQ40" i="128"/>
  <c r="AQ28" i="128"/>
  <c r="AQ78" i="128"/>
  <c r="AQ66" i="128"/>
  <c r="AQ54" i="128"/>
  <c r="AQ42" i="128"/>
  <c r="AQ73" i="128"/>
  <c r="AQ61" i="128"/>
  <c r="AQ49" i="128"/>
  <c r="AQ80" i="128"/>
  <c r="AQ68" i="128"/>
  <c r="AQ56" i="128"/>
  <c r="AQ44" i="128"/>
  <c r="AQ75" i="128"/>
  <c r="AQ63" i="128"/>
  <c r="AQ51" i="128"/>
  <c r="AQ39" i="128"/>
  <c r="AQ27" i="128"/>
  <c r="AQ82" i="128"/>
  <c r="AQ70" i="128"/>
  <c r="AQ58" i="128"/>
  <c r="AQ46" i="128"/>
  <c r="AQ77" i="128"/>
  <c r="AQ65" i="128"/>
  <c r="AQ53" i="128"/>
  <c r="AQ41" i="128"/>
  <c r="AQ72" i="128"/>
  <c r="AQ60" i="128"/>
  <c r="AQ48" i="128"/>
  <c r="AQ36" i="128"/>
  <c r="AQ79" i="128"/>
  <c r="AQ67" i="128"/>
  <c r="AQ55" i="128"/>
  <c r="AQ43" i="128"/>
  <c r="AQ31" i="128"/>
  <c r="AQ19" i="128"/>
  <c r="BO75" i="128"/>
  <c r="BO63" i="128"/>
  <c r="BO51" i="128"/>
  <c r="BO39" i="128"/>
  <c r="BO82" i="128"/>
  <c r="BO70" i="128"/>
  <c r="BO58" i="128"/>
  <c r="BO46" i="128"/>
  <c r="BO34" i="128"/>
  <c r="BO22" i="128"/>
  <c r="BO72" i="128"/>
  <c r="BO60" i="128"/>
  <c r="BO48" i="128"/>
  <c r="BO79" i="128"/>
  <c r="BO67" i="128"/>
  <c r="BO55" i="128"/>
  <c r="BO43" i="128"/>
  <c r="BO74" i="128"/>
  <c r="BO62" i="128"/>
  <c r="BO50" i="128"/>
  <c r="BO38" i="128"/>
  <c r="BO81" i="128"/>
  <c r="BO69" i="128"/>
  <c r="BO57" i="128"/>
  <c r="BO45" i="128"/>
  <c r="BO33" i="128"/>
  <c r="BO21" i="128"/>
  <c r="BO76" i="128"/>
  <c r="BO64" i="128"/>
  <c r="BO52" i="128"/>
  <c r="BO40" i="128"/>
  <c r="BO71" i="128"/>
  <c r="BO59" i="128"/>
  <c r="BO47" i="128"/>
  <c r="BO78" i="128"/>
  <c r="BO66" i="128"/>
  <c r="BO54" i="128"/>
  <c r="BO42" i="128"/>
  <c r="BO73" i="128"/>
  <c r="BO61" i="128"/>
  <c r="BO49" i="128"/>
  <c r="BO37" i="128"/>
  <c r="BO25" i="128"/>
  <c r="X5" i="128"/>
  <c r="AA5" i="128" s="1"/>
  <c r="AV5" i="128"/>
  <c r="AY5" i="128" s="1"/>
  <c r="BT5" i="128"/>
  <c r="BW5" i="128" s="1"/>
  <c r="V6" i="128"/>
  <c r="W6" i="128" s="1"/>
  <c r="AH6" i="128"/>
  <c r="AI6" i="128" s="1"/>
  <c r="AT6" i="128"/>
  <c r="AU6" i="128" s="1"/>
  <c r="BF6" i="128"/>
  <c r="BG6" i="128" s="1"/>
  <c r="BR6" i="128"/>
  <c r="BS6" i="128" s="1"/>
  <c r="AI7" i="128"/>
  <c r="O8" i="128"/>
  <c r="BK8" i="128"/>
  <c r="AQ9" i="128"/>
  <c r="W10" i="128"/>
  <c r="BS10" i="128"/>
  <c r="AY11" i="128"/>
  <c r="AE12" i="128"/>
  <c r="BG13" i="128"/>
  <c r="AM14" i="128"/>
  <c r="S15" i="128"/>
  <c r="BO15" i="128"/>
  <c r="AU16" i="128"/>
  <c r="AA17" i="128"/>
  <c r="BW17" i="128"/>
  <c r="BC18" i="128"/>
  <c r="AI19" i="128"/>
  <c r="AA20" i="128"/>
  <c r="O21" i="128"/>
  <c r="BW21" i="128"/>
  <c r="BS22" i="128"/>
  <c r="BK23" i="128"/>
  <c r="BG24" i="128"/>
  <c r="AY25" i="128"/>
  <c r="AY26" i="128"/>
  <c r="AU27" i="128"/>
  <c r="AM28" i="128"/>
  <c r="AM29" i="128"/>
  <c r="AI30" i="128"/>
  <c r="W31" i="128"/>
  <c r="O32" i="128"/>
  <c r="O35" i="128"/>
  <c r="O36" i="128"/>
  <c r="AY37" i="128"/>
  <c r="BC39" i="128"/>
  <c r="AU42" i="128"/>
  <c r="AU45" i="128"/>
  <c r="BS48" i="128"/>
  <c r="AM55" i="128"/>
  <c r="BK58" i="128"/>
  <c r="BK61" i="128"/>
  <c r="S65" i="128"/>
  <c r="BC68" i="128"/>
  <c r="BC71" i="128"/>
  <c r="AU78" i="128"/>
  <c r="AU81" i="128"/>
  <c r="AM7" i="128"/>
  <c r="AU9" i="128"/>
  <c r="AA10" i="128"/>
  <c r="BW10" i="128"/>
  <c r="BC11" i="128"/>
  <c r="AI12" i="128"/>
  <c r="O13" i="128"/>
  <c r="BK13" i="128"/>
  <c r="W15" i="128"/>
  <c r="AY16" i="128"/>
  <c r="AE17" i="128"/>
  <c r="BG18" i="128"/>
  <c r="AM19" i="128"/>
  <c r="AE20" i="128"/>
  <c r="W21" i="128"/>
  <c r="BW22" i="128"/>
  <c r="BO23" i="128"/>
  <c r="BK24" i="128"/>
  <c r="BG25" i="128"/>
  <c r="AY27" i="128"/>
  <c r="AU28" i="128"/>
  <c r="AQ29" i="128"/>
  <c r="AM30" i="128"/>
  <c r="AA31" i="128"/>
  <c r="S32" i="128"/>
  <c r="O33" i="128"/>
  <c r="O34" i="128"/>
  <c r="S35" i="128"/>
  <c r="S36" i="128"/>
  <c r="BK37" i="128"/>
  <c r="BG39" i="128"/>
  <c r="BG42" i="128"/>
  <c r="AM52" i="128"/>
  <c r="BW55" i="128"/>
  <c r="BW58" i="128"/>
  <c r="AE65" i="128"/>
  <c r="BO68" i="128"/>
  <c r="BG78" i="128"/>
  <c r="BC78" i="128"/>
  <c r="BC66" i="128"/>
  <c r="BC54" i="128"/>
  <c r="BC42" i="128"/>
  <c r="BC73" i="128"/>
  <c r="BC61" i="128"/>
  <c r="BC49" i="128"/>
  <c r="BC37" i="128"/>
  <c r="BC25" i="128"/>
  <c r="BC75" i="128"/>
  <c r="BC63" i="128"/>
  <c r="BC51" i="128"/>
  <c r="BC82" i="128"/>
  <c r="BC70" i="128"/>
  <c r="BC58" i="128"/>
  <c r="BC46" i="128"/>
  <c r="BC77" i="128"/>
  <c r="BC65" i="128"/>
  <c r="BC53" i="128"/>
  <c r="BC41" i="128"/>
  <c r="BC72" i="128"/>
  <c r="BC60" i="128"/>
  <c r="BC48" i="128"/>
  <c r="BC36" i="128"/>
  <c r="BC24" i="128"/>
  <c r="BC79" i="128"/>
  <c r="BC67" i="128"/>
  <c r="BC55" i="128"/>
  <c r="BC43" i="128"/>
  <c r="BC74" i="128"/>
  <c r="BC62" i="128"/>
  <c r="BC50" i="128"/>
  <c r="BC38" i="128"/>
  <c r="BC81" i="128"/>
  <c r="BC69" i="128"/>
  <c r="BC57" i="128"/>
  <c r="BC45" i="128"/>
  <c r="BC76" i="128"/>
  <c r="BC64" i="128"/>
  <c r="BC52" i="128"/>
  <c r="BC40" i="128"/>
  <c r="BC28" i="128"/>
  <c r="AA11" i="128"/>
  <c r="AY76" i="128"/>
  <c r="W82" i="128"/>
  <c r="W70" i="128"/>
  <c r="W58" i="128"/>
  <c r="W46" i="128"/>
  <c r="W34" i="128"/>
  <c r="W77" i="128"/>
  <c r="W65" i="128"/>
  <c r="W53" i="128"/>
  <c r="W41" i="128"/>
  <c r="W29" i="128"/>
  <c r="W79" i="128"/>
  <c r="W67" i="128"/>
  <c r="W55" i="128"/>
  <c r="W43" i="128"/>
  <c r="W74" i="128"/>
  <c r="W62" i="128"/>
  <c r="W50" i="128"/>
  <c r="W81" i="128"/>
  <c r="W69" i="128"/>
  <c r="W57" i="128"/>
  <c r="W45" i="128"/>
  <c r="W76" i="128"/>
  <c r="W64" i="128"/>
  <c r="W52" i="128"/>
  <c r="W40" i="128"/>
  <c r="W28" i="128"/>
  <c r="W71" i="128"/>
  <c r="W59" i="128"/>
  <c r="W47" i="128"/>
  <c r="W78" i="128"/>
  <c r="W66" i="128"/>
  <c r="W54" i="128"/>
  <c r="W42" i="128"/>
  <c r="W73" i="128"/>
  <c r="W61" i="128"/>
  <c r="W49" i="128"/>
  <c r="W37" i="128"/>
  <c r="W80" i="128"/>
  <c r="W68" i="128"/>
  <c r="W56" i="128"/>
  <c r="W44" i="128"/>
  <c r="W32" i="128"/>
  <c r="W20" i="128"/>
  <c r="BS82" i="128"/>
  <c r="BS70" i="128"/>
  <c r="BS58" i="128"/>
  <c r="BS46" i="128"/>
  <c r="BS34" i="128"/>
  <c r="BS77" i="128"/>
  <c r="BS65" i="128"/>
  <c r="BS53" i="128"/>
  <c r="BS41" i="128"/>
  <c r="BS29" i="128"/>
  <c r="BS79" i="128"/>
  <c r="BS67" i="128"/>
  <c r="BS55" i="128"/>
  <c r="BS43" i="128"/>
  <c r="BS74" i="128"/>
  <c r="BS62" i="128"/>
  <c r="BS50" i="128"/>
  <c r="BS81" i="128"/>
  <c r="BS69" i="128"/>
  <c r="BS57" i="128"/>
  <c r="BS45" i="128"/>
  <c r="BS76" i="128"/>
  <c r="BS64" i="128"/>
  <c r="BS52" i="128"/>
  <c r="BS40" i="128"/>
  <c r="BS28" i="128"/>
  <c r="BS71" i="128"/>
  <c r="BS59" i="128"/>
  <c r="BS47" i="128"/>
  <c r="BS78" i="128"/>
  <c r="BS66" i="128"/>
  <c r="BS54" i="128"/>
  <c r="BS42" i="128"/>
  <c r="BS73" i="128"/>
  <c r="BS61" i="128"/>
  <c r="BS49" i="128"/>
  <c r="BS37" i="128"/>
  <c r="BS80" i="128"/>
  <c r="BS68" i="128"/>
  <c r="BS56" i="128"/>
  <c r="BS44" i="128"/>
  <c r="BS32" i="128"/>
  <c r="BS20" i="128"/>
  <c r="AB5" i="128"/>
  <c r="AE5" i="128" s="1"/>
  <c r="L6" i="128"/>
  <c r="X6" i="128"/>
  <c r="AV6" i="128"/>
  <c r="BH6" i="128"/>
  <c r="W8" i="128"/>
  <c r="BS8" i="128"/>
  <c r="AY9" i="128"/>
  <c r="AE10" i="128"/>
  <c r="BG11" i="128"/>
  <c r="AM12" i="128"/>
  <c r="AU14" i="128"/>
  <c r="AA15" i="128"/>
  <c r="BW15" i="128"/>
  <c r="BC16" i="128"/>
  <c r="AI17" i="128"/>
  <c r="O18" i="128"/>
  <c r="BK18" i="128"/>
  <c r="AU19" i="128"/>
  <c r="AI20" i="128"/>
  <c r="AA21" i="128"/>
  <c r="O22" i="128"/>
  <c r="BS23" i="128"/>
  <c r="BO24" i="128"/>
  <c r="BK25" i="128"/>
  <c r="BG26" i="128"/>
  <c r="BC27" i="128"/>
  <c r="AY28" i="128"/>
  <c r="AQ30" i="128"/>
  <c r="AI31" i="128"/>
  <c r="AA32" i="128"/>
  <c r="W33" i="128"/>
  <c r="AA34" i="128"/>
  <c r="W35" i="128"/>
  <c r="W36" i="128"/>
  <c r="BS39" i="128"/>
  <c r="O46" i="128"/>
  <c r="O49" i="128"/>
  <c r="AY52" i="128"/>
  <c r="AE62" i="128"/>
  <c r="BO65" i="128"/>
  <c r="W72" i="128"/>
  <c r="BG75" i="128"/>
  <c r="O82" i="128"/>
  <c r="AZ6" i="128"/>
  <c r="AU76" i="128"/>
  <c r="AU64" i="128"/>
  <c r="AU52" i="128"/>
  <c r="AU40" i="128"/>
  <c r="AU71" i="128"/>
  <c r="AU59" i="128"/>
  <c r="AU47" i="128"/>
  <c r="AU35" i="128"/>
  <c r="AU23" i="128"/>
  <c r="AU73" i="128"/>
  <c r="AU61" i="128"/>
  <c r="AU49" i="128"/>
  <c r="AU80" i="128"/>
  <c r="AU68" i="128"/>
  <c r="AU56" i="128"/>
  <c r="AU44" i="128"/>
  <c r="AU75" i="128"/>
  <c r="AU63" i="128"/>
  <c r="AU51" i="128"/>
  <c r="AU39" i="128"/>
  <c r="AU82" i="128"/>
  <c r="AU70" i="128"/>
  <c r="AU58" i="128"/>
  <c r="AU46" i="128"/>
  <c r="AU34" i="128"/>
  <c r="AU22" i="128"/>
  <c r="AU77" i="128"/>
  <c r="AU65" i="128"/>
  <c r="AU53" i="128"/>
  <c r="AU41" i="128"/>
  <c r="AU72" i="128"/>
  <c r="AU60" i="128"/>
  <c r="AU48" i="128"/>
  <c r="AU79" i="128"/>
  <c r="AU67" i="128"/>
  <c r="AU55" i="128"/>
  <c r="AU43" i="128"/>
  <c r="AU74" i="128"/>
  <c r="AU62" i="128"/>
  <c r="AU50" i="128"/>
  <c r="AU38" i="128"/>
  <c r="AU26" i="128"/>
  <c r="AZ5" i="128"/>
  <c r="BC5" i="128" s="1"/>
  <c r="AJ6" i="128"/>
  <c r="BT6" i="128"/>
  <c r="T4" i="128"/>
  <c r="AR4" i="128"/>
  <c r="BP4" i="128"/>
  <c r="M6" i="128"/>
  <c r="Y6" i="128"/>
  <c r="AK6" i="128"/>
  <c r="AW6" i="128"/>
  <c r="BI6" i="128"/>
  <c r="BU6" i="128"/>
  <c r="AU7" i="128"/>
  <c r="AA8" i="128"/>
  <c r="BW8" i="128"/>
  <c r="BC9" i="128"/>
  <c r="AI10" i="128"/>
  <c r="O11" i="128"/>
  <c r="BK11" i="128"/>
  <c r="AQ12" i="128"/>
  <c r="W13" i="128"/>
  <c r="BS13" i="128"/>
  <c r="AY14" i="128"/>
  <c r="AE15" i="128"/>
  <c r="BG16" i="128"/>
  <c r="AM17" i="128"/>
  <c r="S18" i="128"/>
  <c r="BO18" i="128"/>
  <c r="AY19" i="128"/>
  <c r="AQ20" i="128"/>
  <c r="AE21" i="128"/>
  <c r="W22" i="128"/>
  <c r="O23" i="128"/>
  <c r="BS24" i="128"/>
  <c r="BS25" i="128"/>
  <c r="BO26" i="128"/>
  <c r="BG27" i="128"/>
  <c r="BG28" i="128"/>
  <c r="BC29" i="128"/>
  <c r="AU30" i="128"/>
  <c r="AM31" i="128"/>
  <c r="AE32" i="128"/>
  <c r="AA33" i="128"/>
  <c r="AI34" i="128"/>
  <c r="AE35" i="128"/>
  <c r="AI36" i="128"/>
  <c r="W38" i="128"/>
  <c r="AA43" i="128"/>
  <c r="AA46" i="128"/>
  <c r="AY49" i="128"/>
  <c r="S56" i="128"/>
  <c r="AQ59" i="128"/>
  <c r="AQ62" i="128"/>
  <c r="AI69" i="128"/>
  <c r="AI72" i="128"/>
  <c r="BS75" i="128"/>
  <c r="AA79" i="128"/>
  <c r="AA82" i="128"/>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F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<sst xmlns="http://schemas.openxmlformats.org/spreadsheetml/2006/main" count="1508" uniqueCount="795">
  <si>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</si>
  <si>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</si>
  <si>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</si>
  <si>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</si>
  <si>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</si>
  <si>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</si>
  <si>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</si>
  <si>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</si>
  <si>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</si>
  <si>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</si>
  <si>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</si>
  <si>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</si>
  <si>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</si>
  <si>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</si>
  <si>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</si>
  <si>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</si>
  <si>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</si>
  <si>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</si>
  <si>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</si>
  <si>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</si>
  <si>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</si>
  <si>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</si>
  <si>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</si>
  <si>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</si>
  <si>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</si>
  <si>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</si>
  <si>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</si>
  <si>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</si>
  <si>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</si>
  <si>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</si>
  <si>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</si>
  <si>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</si>
  <si>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</si>
  <si>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</si>
  <si>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</si>
  <si>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</si>
  <si>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</si>
  <si>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</si>
  <si>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</si>
  <si>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</si>
  <si>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</si>
  <si>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</si>
  <si>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</si>
  <si>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</si>
  <si>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</si>
  <si>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</si>
  <si>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</si>
  <si>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</si>
  <si>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</si>
  <si>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</si>
  <si>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</si>
  <si>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</si>
  <si>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</si>
  <si>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</si>
  <si>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</si>
  <si>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</si>
  <si>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</si>
  <si>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</si>
  <si>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</si>
  <si>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</si>
  <si>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</si>
  <si>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</si>
  <si>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</si>
  <si>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</si>
  <si>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</si>
  <si>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</si>
  <si>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</si>
  <si>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</si>
  <si>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</si>
  <si>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</si>
  <si>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</si>
  <si>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</si>
  <si>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</si>
  <si>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</si>
  <si>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</si>
  <si>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</si>
  <si>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</si>
  <si>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</si>
  <si>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</si>
  <si>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</si>
  <si>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</si>
  <si>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</si>
  <si>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</si>
  <si>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</si>
  <si>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</si>
  <si>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</si>
  <si>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</si>
  <si>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</si>
  <si>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</si>
  <si>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</si>
  <si>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</si>
  <si>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</si>
  <si>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</si>
  <si>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</si>
  <si>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</si>
  <si>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</si>
  <si>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</si>
  <si>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</si>
  <si>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</si>
  <si>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</si>
  <si>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</si>
  <si>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</si>
  <si>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</si>
  <si>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</si>
  <si>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</si>
  <si>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</si>
  <si>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</si>
  <si>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</si>
  <si>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</si>
  <si>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</si>
  <si>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</si>
  <si>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</si>
  <si>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</si>
  <si>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</si>
  <si>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</si>
  <si>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</si>
  <si>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</si>
  <si>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</si>
  <si>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</si>
  <si>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</si>
  <si>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</si>
  <si>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</si>
  <si>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</si>
  <si>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</si>
  <si>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</si>
  <si>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</si>
  <si>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</si>
  <si>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</si>
  <si>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</si>
  <si>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</si>
  <si>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</si>
  <si>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</si>
  <si>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</si>
  <si>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</si>
  <si>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</si>
  <si>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</si>
  <si>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</si>
  <si>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</si>
  <si>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</si>
  <si>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</si>
  <si>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</si>
  <si>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</si>
  <si>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</si>
  <si>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</si>
  <si>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</si>
  <si>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</si>
  <si>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</si>
  <si>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</si>
  <si>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</si>
  <si>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</si>
  <si>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</si>
  <si>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</si>
  <si>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</si>
  <si>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</si>
  <si>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</si>
  <si>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</si>
  <si>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</si>
  <si>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</si>
  <si>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</si>
  <si>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</si>
  <si>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</si>
  <si>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</si>
  <si>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</si>
  <si>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</si>
  <si>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</si>
  <si>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</si>
  <si>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</si>
  <si>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</si>
  <si>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</si>
  <si>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</si>
  <si>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</si>
  <si>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</si>
  <si>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</si>
  <si>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</si>
  <si>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</si>
  <si>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</si>
  <si>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</si>
  <si>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</si>
  <si>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</si>
  <si>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</si>
  <si>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</si>
  <si>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</si>
  <si>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</si>
  <si>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</si>
  <si>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</si>
  <si>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</si>
  <si>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</si>
  <si>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</si>
  <si>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</si>
  <si>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</si>
  <si>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</si>
  <si>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</si>
  <si>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</si>
  <si>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</si>
  <si>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</si>
  <si>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</si>
  <si>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</si>
  <si>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</si>
  <si>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</si>
  <si>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</si>
  <si>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</si>
  <si>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</si>
  <si>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</si>
  <si>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</si>
  <si>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</si>
  <si>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</si>
  <si>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</si>
  <si>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</si>
  <si>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</si>
  <si>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</si>
  <si>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</si>
  <si>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</si>
  <si>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</si>
  <si>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</si>
  <si>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</si>
  <si>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</si>
  <si>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</si>
  <si>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</si>
  <si>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</si>
  <si>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</si>
  <si>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</si>
  <si>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</si>
  <si>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</si>
  <si>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</si>
  <si>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</si>
  <si>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</si>
  <si>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</si>
  <si>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</si>
  <si>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</si>
  <si>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</si>
  <si>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</si>
  <si>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</si>
  <si>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</si>
  <si>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</si>
  <si>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</si>
  <si>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</si>
  <si>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</si>
  <si>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</si>
  <si>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</si>
  <si>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</si>
  <si>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</si>
  <si>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</si>
  <si>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</si>
  <si>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</si>
  <si>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</si>
  <si>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</si>
  <si>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</si>
  <si>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</si>
  <si>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</si>
  <si>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</si>
  <si>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</si>
  <si>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</si>
  <si>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</si>
  <si>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</si>
  <si>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</si>
  <si>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</si>
  <si>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</si>
  <si>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</si>
  <si>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</si>
  <si>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</si>
  <si>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</si>
  <si>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</si>
  <si>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</si>
  <si>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</si>
  <si>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</si>
  <si>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</si>
  <si>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</si>
  <si>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</si>
  <si>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</si>
  <si>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</si>
  <si>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</si>
  <si>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</si>
  <si>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</si>
  <si>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</si>
  <si>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</si>
  <si>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</si>
  <si>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</si>
  <si>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</si>
  <si>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</si>
  <si>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</si>
  <si>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</si>
  <si>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</si>
  <si>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</si>
  <si>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</si>
  <si>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</si>
  <si>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</si>
  <si>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</si>
  <si>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</si>
  <si>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</si>
  <si>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</si>
  <si>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</si>
  <si>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</si>
  <si>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</si>
  <si>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</si>
  <si>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</si>
  <si>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</si>
  <si>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</si>
  <si>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</si>
  <si>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</si>
  <si>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</si>
  <si>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</si>
  <si>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</si>
  <si>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</si>
  <si>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</si>
  <si>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</si>
  <si>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</si>
  <si>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</si>
  <si>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</si>
  <si>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</si>
  <si>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</si>
  <si>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</si>
  <si>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</si>
  <si>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</si>
  <si>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</si>
  <si>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</si>
  <si>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</si>
  <si>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</si>
  <si>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</si>
  <si>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</si>
  <si>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</si>
  <si>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</si>
  <si>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</si>
  <si>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</si>
  <si>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</si>
  <si>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</si>
  <si>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</si>
  <si>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</si>
  <si>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</si>
  <si>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</si>
  <si>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</si>
  <si>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</si>
  <si>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</si>
  <si>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</si>
  <si>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</si>
  <si>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</si>
  <si>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</si>
  <si>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</si>
  <si>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</si>
  <si>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</si>
  <si>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</si>
  <si>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</si>
  <si>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</si>
  <si>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</si>
  <si>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</si>
  <si>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</si>
  <si>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</si>
  <si>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</si>
  <si>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</si>
  <si>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</si>
  <si>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</si>
  <si>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</si>
  <si>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</si>
  <si>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</si>
  <si>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</si>
  <si>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</si>
  <si>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</si>
  <si>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</si>
  <si>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</si>
  <si>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</si>
  <si>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</si>
  <si>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</si>
  <si>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</si>
  <si>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</si>
  <si>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</si>
  <si>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</si>
  <si>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</si>
  <si>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</si>
  <si>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</si>
  <si>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</si>
  <si>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</si>
  <si>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</si>
  <si>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</si>
  <si>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</si>
  <si>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</si>
  <si>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</si>
  <si>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</si>
  <si>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</si>
  <si>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</si>
  <si>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</si>
  <si>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</si>
  <si>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</si>
  <si>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</si>
  <si>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</si>
  <si>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</si>
  <si>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</si>
  <si>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</si>
  <si>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</si>
  <si>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</si>
  <si>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</si>
  <si>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</si>
  <si>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</si>
  <si>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</si>
  <si>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</si>
  <si>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</si>
  <si>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</si>
  <si>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</si>
  <si>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</si>
  <si>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</si>
  <si>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</si>
  <si>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</si>
  <si>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</si>
  <si>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</si>
  <si>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</si>
  <si>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</si>
  <si>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</si>
  <si>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</si>
  <si>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</si>
  <si>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</si>
  <si>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</si>
  <si>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</si>
  <si>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</si>
  <si>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</si>
  <si>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</si>
  <si>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</si>
  <si>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</si>
  <si>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</si>
  <si>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</si>
  <si>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</si>
  <si>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</si>
  <si>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</si>
  <si>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</si>
  <si>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</si>
  <si>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</si>
  <si>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</si>
  <si>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</si>
  <si>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</si>
  <si>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</si>
  <si>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</si>
  <si>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</si>
  <si>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</si>
  <si>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</si>
  <si>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</si>
  <si>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</si>
  <si>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</si>
  <si>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</si>
  <si>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</si>
  <si>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</si>
  <si>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</si>
  <si>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</si>
  <si>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</si>
  <si>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</si>
  <si>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</si>
  <si>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</si>
  <si>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</si>
  <si>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</si>
  <si>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</si>
  <si>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</si>
  <si>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</si>
  <si>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</si>
  <si>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</si>
  <si>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</si>
  <si>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</si>
  <si>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</si>
  <si>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</si>
  <si>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</si>
  <si>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</si>
  <si>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</si>
  <si>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</si>
  <si>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</si>
  <si>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</si>
  <si>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</si>
  <si>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</si>
  <si>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</si>
  <si>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</si>
  <si>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</si>
  <si>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</si>
  <si>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</si>
  <si>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</si>
  <si>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</si>
  <si>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</si>
  <si>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</si>
  <si>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</si>
  <si>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</si>
  <si>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</si>
  <si>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</si>
  <si>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</si>
  <si>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</si>
  <si>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</si>
  <si>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</si>
  <si>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</si>
  <si>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</si>
  <si>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</si>
  <si>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</si>
  <si>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</si>
  <si>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</si>
  <si>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</si>
  <si>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</si>
  <si>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</si>
  <si>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</si>
  <si>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</si>
  <si>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</si>
  <si>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</si>
  <si>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</si>
  <si>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</si>
  <si>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</si>
  <si>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</si>
  <si>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</si>
  <si>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</si>
  <si>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</si>
  <si>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</si>
  <si>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</si>
  <si>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</si>
  <si>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</si>
  <si>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</si>
  <si>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</si>
  <si>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</si>
  <si>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</si>
  <si>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</si>
  <si>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</si>
  <si>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</si>
  <si>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</si>
  <si>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</si>
  <si>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</si>
  <si>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</si>
  <si>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</si>
  <si>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</si>
  <si>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</si>
  <si>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</si>
  <si>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</si>
  <si>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</si>
  <si>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</si>
  <si>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</si>
  <si>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</si>
  <si>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</si>
  <si>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</si>
  <si>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</si>
  <si>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</si>
  <si>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</si>
  <si>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</si>
  <si>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</si>
  <si>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</si>
  <si>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</si>
  <si>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</si>
  <si>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</si>
  <si>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</si>
  <si>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</si>
  <si>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</si>
  <si>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</si>
  <si>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</si>
  <si>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</si>
  <si>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</si>
  <si>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</si>
  <si>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</si>
  <si>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</si>
  <si>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</si>
  <si>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</si>
  <si>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</si>
  <si>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</si>
  <si>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</si>
  <si>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</si>
  <si>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</si>
  <si>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</si>
  <si>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</si>
  <si>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</si>
  <si>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</si>
  <si>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</si>
  <si>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</si>
  <si>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</si>
  <si>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</si>
  <si>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</si>
  <si>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</si>
  <si>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</si>
  <si>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</si>
  <si>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</si>
  <si>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</si>
  <si>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</si>
  <si>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</si>
  <si>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</si>
  <si>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</si>
  <si>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</si>
  <si>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</si>
  <si>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</si>
  <si>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</si>
  <si>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</si>
  <si>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</si>
  <si>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</si>
  <si>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</si>
  <si>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</si>
  <si>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</si>
  <si>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</si>
  <si>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</si>
  <si>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</si>
  <si>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</si>
  <si>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</si>
  <si>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</si>
  <si>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</si>
  <si>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</si>
  <si>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</si>
  <si>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</si>
  <si>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</si>
  <si>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</si>
  <si>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</si>
  <si>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</si>
  <si>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</si>
  <si>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</si>
  <si>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</si>
  <si>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</si>
  <si>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</si>
  <si>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</si>
  <si>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</si>
  <si>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</si>
  <si>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</si>
  <si>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</si>
  <si>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</si>
  <si>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</si>
  <si>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</si>
  <si>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</si>
  <si>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</si>
  <si>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</si>
  <si>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</si>
  <si>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</si>
  <si>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</si>
  <si>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</si>
  <si>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</si>
  <si>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</si>
  <si>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</si>
  <si>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</si>
  <si>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</si>
  <si>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</si>
  <si>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</si>
  <si>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</si>
  <si>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</si>
  <si>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</si>
  <si>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</si>
  <si>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</si>
  <si>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</si>
  <si>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</si>
  <si>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</si>
  <si>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</si>
  <si>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</si>
  <si>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</si>
  <si>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</si>
  <si>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</si>
  <si>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</si>
  <si>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</si>
  <si>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</si>
  <si>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</si>
  <si>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</si>
  <si>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</si>
  <si>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</si>
  <si>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</si>
  <si>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</si>
  <si>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</si>
  <si>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</si>
  <si>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</si>
  <si>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</si>
  <si>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</si>
  <si>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</si>
  <si>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</si>
  <si>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</si>
  <si>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</si>
  <si>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</si>
  <si>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</si>
  <si>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</si>
  <si>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</si>
  <si>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</si>
  <si>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</si>
  <si>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</si>
  <si>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</si>
  <si>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</si>
  <si>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</si>
  <si>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</si>
  <si>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</si>
  <si>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</si>
  <si>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</si>
  <si>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</si>
  <si>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</si>
  <si>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</si>
  <si>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</si>
  <si>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</si>
  <si>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</si>
  <si>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</si>
  <si>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</si>
  <si>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</si>
  <si>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</si>
  <si>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</si>
  <si>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</si>
  <si>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</si>
  <si>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</si>
  <si>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</si>
  <si>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</si>
  <si>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</si>
  <si>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</si>
  <si>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</si>
  <si>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</si>
  <si>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</si>
  <si>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</si>
  <si>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</si>
  <si>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</si>
  <si>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</si>
  <si>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</si>
  <si>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</si>
  <si>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</si>
  <si>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</si>
  <si>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</si>
  <si>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</si>
  <si>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</si>
  <si>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여수</t>
    <phoneticPr fontId="1" type="noConversion"/>
  </si>
  <si>
    <t>CHEVRON</t>
  </si>
  <si>
    <t>23C766088-01</t>
  </si>
  <si>
    <t>ARDMORE ENCOUNTER</t>
  </si>
  <si>
    <t>Unleaded Gasoline 98 Ron</t>
  </si>
  <si>
    <t>Anchor Down</t>
  </si>
  <si>
    <t>Anchor Up</t>
  </si>
  <si>
    <t>Berthed, Allfast</t>
  </si>
  <si>
    <t>Commence Preliminary Inspection</t>
  </si>
  <si>
    <t>Commence Loading</t>
  </si>
  <si>
    <t>Commence Ballasting</t>
  </si>
  <si>
    <t>Commence Final Inspection</t>
  </si>
  <si>
    <t>Load Unleaded Gasoline 92 - 230000 Barrels</t>
  </si>
  <si>
    <t>Load Unleaded Gasoline 98 Ron - 70000 Barrels</t>
  </si>
  <si>
    <t>*</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</si>
  <si>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</si>
  <si>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</si>
  <si>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</si>
  <si>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</si>
  <si>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</si>
  <si>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</si>
  <si>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</si>
  <si>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</si>
  <si>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</si>
  <si>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</si>
  <si>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</si>
  <si>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</si>
  <si>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</si>
  <si>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</si>
  <si>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</si>
  <si>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</si>
  <si>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</si>
  <si>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</si>
  <si>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</si>
  <si>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</si>
  <si>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</si>
  <si>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</si>
  <si>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</si>
  <si>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</si>
  <si>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</si>
  <si>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</si>
  <si>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</si>
  <si>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Sulfur Content</t>
  </si>
  <si>
    <t>Particulate Contamination - Lab Procedure (Filtration and Gravimetric Determination)</t>
  </si>
  <si>
    <t>Phosphorus in Gasoline</t>
  </si>
  <si>
    <t>Silver Strip Corrosion 3Hr@ 50C</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</si>
  <si>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</si>
  <si>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</si>
  <si>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</si>
  <si>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</si>
  <si>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</si>
  <si>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</si>
  <si>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</si>
  <si>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</si>
  <si>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</si>
  <si>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</si>
  <si>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</si>
  <si>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</si>
  <si>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</si>
  <si>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70 (buy)</t>
  </si>
  <si>
    <t>min = 77 / max = 121 (buy)</t>
  </si>
  <si>
    <t>max = 190 (buy)</t>
  </si>
  <si>
    <t>max = 210 (buy)</t>
  </si>
  <si>
    <t>max = 2.0 (buy)</t>
  </si>
  <si>
    <t>max = 0 (buy)</t>
  </si>
  <si>
    <t>max = 98 (buy)</t>
  </si>
  <si>
    <t>max = 30 (buy)</t>
  </si>
  <si>
    <t>max = 5.0 (buy)</t>
  </si>
  <si>
    <t>min = 360 (buy)</t>
  </si>
  <si>
    <t>min = 85.0 (buy)</t>
  </si>
  <si>
    <t>min = 98.0 (buy)</t>
  </si>
  <si>
    <t>max = 18.0 (buy)</t>
  </si>
  <si>
    <t>max = 2.7 (buy)</t>
  </si>
  <si>
    <t>max = 0.5 (buy)</t>
  </si>
  <si>
    <t>max = 50 (buy)</t>
  </si>
  <si>
    <t>max = 1.3 (buy)</t>
  </si>
  <si>
    <t>max = 15 (buy)</t>
  </si>
  <si>
    <t>max = 62 (buy)</t>
  </si>
  <si>
    <t>max = 3.0 (buy)</t>
  </si>
  <si>
    <t>max = 24.0 (buy)</t>
  </si>
  <si>
    <t>max = 6 (buy)</t>
  </si>
  <si>
    <t>min = 17 / max = 42 (buy)</t>
  </si>
  <si>
    <t/>
  </si>
  <si>
    <t>pass/fail</t>
  </si>
  <si>
    <t>visual</t>
  </si>
  <si>
    <t>%vol</t>
  </si>
  <si>
    <t>rating</t>
  </si>
  <si>
    <t>kg/l</t>
  </si>
  <si>
    <t>°C</t>
  </si>
  <si>
    <t>calc</t>
  </si>
  <si>
    <t>mg/100ml</t>
  </si>
  <si>
    <t>mins</t>
  </si>
  <si>
    <t>mg/l</t>
  </si>
  <si>
    <t>%m</t>
  </si>
  <si>
    <t>mg/kg</t>
  </si>
  <si>
    <t>mg P/l</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</si>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</sst>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49" fontId="15" fillId="10" borderId="1" xfId="0" applyNumberFormat="1"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H28" sqref="H28"/>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697</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700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45238</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45054</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45330</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t="s">
        <v>458</v>
      </c>
      <c r="D5" s="57"/>
      <c r="E5" s="94"/>
      <c r="F5" s="59"/>
      <c r="G5" s="60"/>
      <c r="H5" s="203" t="str">
        <f t="shared" ref="H5:H36" si="0">IF(OR(B5="*",C5=""),"",IF(OR(E5="",F5=""),"-",""))</f>
        <v>-</v>
      </c>
      <c r="I5" s="4"/>
      <c r="J5" s="82">
        <v>1</v>
      </c>
      <c r="K5" s="73"/>
      <c r="L5" s="94"/>
      <c r="M5" s="59"/>
      <c r="N5" s="94"/>
      <c r="O5" s="59"/>
      <c r="P5" s="4"/>
      <c r="AA5" s="101">
        <f t="shared" ref="AA5:AA36" si="1">IF(B5="",0,1)</f>
        <v>0</v>
      </c>
    </row>
    <row r="6" spans="1:36" ht="13.9" customHeight="1">
      <c r="A6" s="80">
        <v>2</v>
      </c>
      <c r="B6" s="122" t="s">
        <v>711</v>
      </c>
      <c r="C6" s="123" t="s">
        <v>526</v>
      </c>
      <c r="D6" s="57"/>
      <c r="E6" s="94"/>
      <c r="F6" s="59"/>
      <c r="G6" s="60"/>
      <c r="H6" s="203" t="str">
        <f t="shared" si="0"/>
        <v/>
      </c>
      <c r="I6" s="4"/>
      <c r="J6" s="82">
        <v>2</v>
      </c>
      <c r="K6" s="73"/>
      <c r="L6" s="94"/>
      <c r="M6" s="59"/>
      <c r="N6" s="94"/>
      <c r="O6" s="59"/>
      <c r="P6" s="4"/>
      <c r="AA6" s="101">
        <f t="shared" si="1"/>
        <v>1</v>
      </c>
    </row>
    <row r="7" spans="1:36" ht="13.9"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 customHeight="1">
      <c r="A11" s="80">
        <v>7</v>
      </c>
      <c r="B11" s="122" t="s">
        <v>711</v>
      </c>
      <c r="C11" s="123" t="s">
        <v>704</v>
      </c>
      <c r="D11" s="57"/>
      <c r="E11" s="94"/>
      <c r="F11" s="59"/>
      <c r="G11" s="60"/>
      <c r="H11" s="203" t="str">
        <f t="shared" si="0"/>
        <v/>
      </c>
      <c r="I11" s="4"/>
      <c r="J11" s="82">
        <v>7</v>
      </c>
      <c r="K11" s="73"/>
      <c r="L11" s="94"/>
      <c r="M11" s="59"/>
      <c r="N11" s="94"/>
      <c r="O11" s="59"/>
      <c r="P11" s="4"/>
      <c r="AA11" s="101">
        <f t="shared" si="1"/>
        <v>1</v>
      </c>
    </row>
    <row r="12" spans="1:36" ht="13.9"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 customHeight="1">
      <c r="A16" s="80">
        <v>12</v>
      </c>
      <c r="B16" s="122" t="s">
        <v>711</v>
      </c>
      <c r="C16" s="123" t="s">
        <v>503</v>
      </c>
      <c r="D16" s="57"/>
      <c r="E16" s="94"/>
      <c r="F16" s="59"/>
      <c r="G16" s="60"/>
      <c r="H16" s="203" t="str">
        <f t="shared" si="0"/>
        <v/>
      </c>
      <c r="I16" s="4"/>
      <c r="J16" s="82">
        <v>12</v>
      </c>
      <c r="K16" s="73"/>
      <c r="L16" s="94"/>
      <c r="M16" s="59"/>
      <c r="N16" s="94"/>
      <c r="O16" s="59"/>
      <c r="P16" s="4"/>
      <c r="AA16" s="101">
        <f t="shared" si="1"/>
        <v>1</v>
      </c>
    </row>
    <row r="17" spans="1:27" ht="13.9" customHeight="1">
      <c r="A17" s="80">
        <v>13</v>
      </c>
      <c r="B17" s="122" t="s">
        <v>711</v>
      </c>
      <c r="C17" s="123" t="s">
        <v>706</v>
      </c>
      <c r="D17" s="57" t="s">
        <v>709</v>
      </c>
      <c r="E17" s="94"/>
      <c r="F17" s="59"/>
      <c r="G17" s="60"/>
      <c r="H17" s="203" t="str">
        <f t="shared" si="0"/>
        <v/>
      </c>
      <c r="I17" s="4"/>
      <c r="J17" s="82">
        <v>13</v>
      </c>
      <c r="K17" s="73"/>
      <c r="L17" s="94"/>
      <c r="M17" s="59"/>
      <c r="N17" s="94"/>
      <c r="O17" s="59"/>
      <c r="P17" s="4"/>
      <c r="AA17" s="101">
        <f t="shared" si="1"/>
        <v>1</v>
      </c>
    </row>
    <row r="18" spans="1:27" ht="13.9" customHeight="1">
      <c r="A18" s="80">
        <v>14</v>
      </c>
      <c r="B18" s="122" t="s">
        <v>711</v>
      </c>
      <c r="C18" s="123" t="s">
        <v>706</v>
      </c>
      <c r="D18" s="57" t="s">
        <v>710</v>
      </c>
      <c r="E18" s="94"/>
      <c r="F18" s="59"/>
      <c r="G18" s="60"/>
      <c r="H18" s="203" t="str">
        <f t="shared" si="0"/>
        <v/>
      </c>
      <c r="I18" s="4"/>
      <c r="J18" s="82">
        <v>14</v>
      </c>
      <c r="K18" s="73"/>
      <c r="L18" s="94"/>
      <c r="M18" s="59"/>
      <c r="N18" s="94"/>
      <c r="O18" s="59"/>
      <c r="P18" s="4"/>
      <c r="AA18" s="101">
        <f t="shared" si="1"/>
        <v>1</v>
      </c>
    </row>
    <row r="19" spans="1:27" ht="13.9" customHeight="1">
      <c r="A19" s="80">
        <v>15</v>
      </c>
      <c r="B19" s="122"/>
      <c r="C19" s="123" t="s">
        <v>707</v>
      </c>
      <c r="D19" s="57"/>
      <c r="E19" s="94"/>
      <c r="F19" s="59"/>
      <c r="G19" s="60"/>
      <c r="H19" s="203" t="str">
        <f t="shared" si="0"/>
        <v>-</v>
      </c>
      <c r="I19" s="4"/>
      <c r="J19" s="82">
        <v>15</v>
      </c>
      <c r="K19" s="73"/>
      <c r="L19" s="94"/>
      <c r="M19" s="59"/>
      <c r="N19" s="94"/>
      <c r="O19" s="59"/>
      <c r="P19" s="4"/>
      <c r="AA19" s="101">
        <f t="shared" si="1"/>
        <v>0</v>
      </c>
    </row>
    <row r="20" spans="1:27" ht="13.9" customHeight="1">
      <c r="A20" s="80">
        <v>16</v>
      </c>
      <c r="B20" s="122"/>
      <c r="C20" s="123" t="s">
        <v>468</v>
      </c>
      <c r="D20" s="57"/>
      <c r="E20" s="94"/>
      <c r="F20" s="59"/>
      <c r="G20" s="60"/>
      <c r="H20" s="203" t="str">
        <f t="shared" si="0"/>
        <v>-</v>
      </c>
      <c r="I20" s="4"/>
      <c r="J20" s="82">
        <v>16</v>
      </c>
      <c r="K20" s="73"/>
      <c r="L20" s="94"/>
      <c r="M20" s="59"/>
      <c r="N20" s="94"/>
      <c r="O20" s="59"/>
      <c r="P20" s="4"/>
      <c r="AA20" s="101">
        <f t="shared" si="1"/>
        <v>0</v>
      </c>
    </row>
    <row r="21" spans="1:27" ht="13.9" customHeight="1">
      <c r="A21" s="80">
        <v>17</v>
      </c>
      <c r="B21" s="122" t="s">
        <v>711</v>
      </c>
      <c r="C21" s="123" t="s">
        <v>480</v>
      </c>
      <c r="D21" s="57" t="s">
        <v>710</v>
      </c>
      <c r="E21" s="94"/>
      <c r="F21" s="59"/>
      <c r="G21" s="60"/>
      <c r="H21" s="203" t="str">
        <f t="shared" si="0"/>
        <v/>
      </c>
      <c r="I21" s="4"/>
      <c r="J21" s="82">
        <v>17</v>
      </c>
      <c r="K21" s="73"/>
      <c r="L21" s="94"/>
      <c r="M21" s="59"/>
      <c r="N21" s="94"/>
      <c r="O21" s="59"/>
      <c r="P21" s="4"/>
      <c r="AA21" s="101">
        <f t="shared" si="1"/>
        <v>1</v>
      </c>
    </row>
    <row r="22" spans="1:27" ht="13.9" customHeight="1">
      <c r="A22" s="80">
        <v>18</v>
      </c>
      <c r="B22" s="122" t="s">
        <v>711</v>
      </c>
      <c r="C22" s="123" t="s">
        <v>480</v>
      </c>
      <c r="D22" s="58" t="s">
        <v>709</v>
      </c>
      <c r="E22" s="94"/>
      <c r="F22" s="59"/>
      <c r="G22" s="60"/>
      <c r="H22" s="203" t="str">
        <f t="shared" si="0"/>
        <v/>
      </c>
      <c r="I22" s="4"/>
      <c r="J22" s="82">
        <v>18</v>
      </c>
      <c r="K22" s="73"/>
      <c r="L22" s="94"/>
      <c r="M22" s="59"/>
      <c r="N22" s="94"/>
      <c r="O22" s="59"/>
      <c r="P22" s="4"/>
      <c r="AA22" s="101">
        <f t="shared" si="1"/>
        <v>1</v>
      </c>
    </row>
    <row r="23" spans="1:27" ht="13.9" customHeight="1">
      <c r="A23" s="80">
        <v>19</v>
      </c>
      <c r="B23" s="122"/>
      <c r="C23" s="123" t="s">
        <v>708</v>
      </c>
      <c r="D23" s="57"/>
      <c r="E23" s="94"/>
      <c r="F23" s="59"/>
      <c r="G23" s="60"/>
      <c r="H23" s="203" t="str">
        <f t="shared" si="0"/>
        <v>-</v>
      </c>
      <c r="I23" s="4"/>
      <c r="J23" s="82">
        <v>19</v>
      </c>
      <c r="K23" s="73"/>
      <c r="L23" s="94"/>
      <c r="M23" s="59"/>
      <c r="N23" s="94"/>
      <c r="O23" s="59"/>
      <c r="P23" s="4"/>
      <c r="AA23" s="101">
        <f t="shared" si="1"/>
        <v>0</v>
      </c>
    </row>
    <row r="24" spans="1:27" ht="13.9" customHeight="1">
      <c r="A24" s="80">
        <v>20</v>
      </c>
      <c r="B24" s="122" t="s">
        <v>711</v>
      </c>
      <c r="C24" s="123" t="s">
        <v>504</v>
      </c>
      <c r="D24" s="57"/>
      <c r="E24" s="94"/>
      <c r="F24" s="59"/>
      <c r="G24" s="60"/>
      <c r="H24" s="203" t="str">
        <f t="shared" si="0"/>
        <v/>
      </c>
      <c r="I24" s="4"/>
      <c r="J24" s="82">
        <v>20</v>
      </c>
      <c r="K24" s="73"/>
      <c r="L24" s="94"/>
      <c r="M24" s="59"/>
      <c r="N24" s="94"/>
      <c r="O24" s="59"/>
      <c r="P24" s="4"/>
      <c r="AA24" s="101">
        <f t="shared" si="1"/>
        <v>1</v>
      </c>
    </row>
    <row r="25" spans="1:27" ht="13.9" customHeight="1">
      <c r="A25" s="80">
        <v>21</v>
      </c>
      <c r="B25" s="122"/>
      <c r="C25" s="123" t="s">
        <v>476</v>
      </c>
      <c r="D25" s="57"/>
      <c r="E25" s="94"/>
      <c r="F25" s="59"/>
      <c r="G25" s="60"/>
      <c r="H25" s="203" t="str">
        <f t="shared" si="0"/>
        <v>-</v>
      </c>
      <c r="I25" s="4"/>
      <c r="J25" s="275" t="s">
        <v>369</v>
      </c>
      <c r="K25" s="275"/>
      <c r="L25" s="4"/>
      <c r="M25" s="4"/>
      <c r="N25" s="4"/>
      <c r="O25" s="4"/>
      <c r="P25" s="4"/>
      <c r="AA25" s="101">
        <f t="shared" si="1"/>
        <v>0</v>
      </c>
    </row>
    <row r="26" spans="1:27" ht="13.9" customHeight="1">
      <c r="A26" s="80">
        <v>22</v>
      </c>
      <c r="B26" s="122"/>
      <c r="C26" s="123" t="s">
        <v>467</v>
      </c>
      <c r="D26" s="57"/>
      <c r="E26" s="94"/>
      <c r="F26" s="59"/>
      <c r="G26" s="60"/>
      <c r="H26" s="203" t="str">
        <f t="shared" si="0"/>
        <v>-</v>
      </c>
      <c r="I26" s="4"/>
      <c r="J26" s="276"/>
      <c r="K26" s="276"/>
      <c r="L26" s="4"/>
      <c r="M26" s="4"/>
      <c r="N26" s="4"/>
      <c r="O26" s="4"/>
      <c r="P26" s="4"/>
      <c r="AA26" s="101">
        <f t="shared" si="1"/>
        <v>0</v>
      </c>
    </row>
    <row r="27" spans="1:27" ht="13.9" customHeight="1">
      <c r="A27" s="80">
        <v>23</v>
      </c>
      <c r="B27" s="122"/>
      <c r="C27" s="123" t="s">
        <v>528</v>
      </c>
      <c r="D27" s="57"/>
      <c r="E27" s="94"/>
      <c r="F27" s="59"/>
      <c r="G27" s="60"/>
      <c r="H27" s="203" t="str">
        <f t="shared" si="0"/>
        <v>-</v>
      </c>
      <c r="I27" s="4"/>
      <c r="J27" s="266"/>
      <c r="K27" s="267"/>
      <c r="L27" s="267"/>
      <c r="M27" s="267"/>
      <c r="N27" s="267"/>
      <c r="O27" s="268"/>
      <c r="P27" s="4"/>
      <c r="AA27" s="101">
        <f t="shared" si="1"/>
        <v>0</v>
      </c>
    </row>
    <row r="28" spans="1:27" ht="13.9" customHeight="1">
      <c r="A28" s="80">
        <v>24</v>
      </c>
      <c r="B28" s="122" t="s">
        <v>711</v>
      </c>
      <c r="C28" s="123" t="s">
        <v>563</v>
      </c>
      <c r="D28" s="57"/>
      <c r="E28" s="94"/>
      <c r="F28" s="59"/>
      <c r="G28" s="60"/>
      <c r="H28" s="203" t="str">
        <f t="shared" si="0"/>
        <v/>
      </c>
      <c r="I28" s="4"/>
      <c r="J28" s="269"/>
      <c r="K28" s="270"/>
      <c r="L28" s="270"/>
      <c r="M28" s="270"/>
      <c r="N28" s="270"/>
      <c r="O28" s="271"/>
      <c r="P28" s="4"/>
      <c r="AA28" s="101">
        <f t="shared" si="1"/>
        <v>1</v>
      </c>
    </row>
    <row r="29" spans="1:27" ht="13.9" customHeight="1">
      <c r="A29" s="80">
        <v>25</v>
      </c>
      <c r="B29" s="122"/>
      <c r="C29" s="123" t="s">
        <v>498</v>
      </c>
      <c r="D29" s="57"/>
      <c r="E29" s="94"/>
      <c r="F29" s="59"/>
      <c r="G29" s="60"/>
      <c r="H29" s="203" t="str">
        <f t="shared" si="0"/>
        <v>-</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3"/>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4"/>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Unleaded Gasoline 98 Ron</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0</v>
      </c>
      <c r="F35" s="133" t="s">
        <v>1</v>
      </c>
      <c r="G35" s="133" t="s">
        <v>2</v>
      </c>
      <c r="H35" s="137"/>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IF(OR(F12="",F25=""),"",F25-F12)</f>
        <v/>
      </c>
      <c r="F36" s="133" t="str">
        <f>IF(OR(G12="",G25=""),"",G25-G12)</f>
        <v/>
      </c>
      <c r="G36" s="133" t="str">
        <f>IF(OR(E12="",E25=""),"",E25-E12)</f>
        <v/>
      </c>
      <c r="H36" s="137"/>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IF(OR(F12="",F25=""),"",E36/F12*100)</f>
        <v/>
      </c>
      <c r="F37" s="134" t="str">
        <f>IF(OR(G12="",G25=""),"",F36/G12*100)</f>
        <v/>
      </c>
      <c r="G37" s="134" t="str">
        <f>IF(OR(E12="",E25=""),"",G36/E12*100)</f>
        <v/>
      </c>
      <c r="H37" s="137"/>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266</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712</v>
      </c>
      <c r="D7" s="260"/>
      <c r="E7" s="126" t="s">
        <v>750</v>
      </c>
      <c r="F7" s="263"/>
      <c r="G7" s="20"/>
      <c r="H7" s="262" t="s">
        <v>780</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3"/>
      <c r="Z7" s="23"/>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712</v>
      </c>
      <c r="D8" s="260"/>
      <c r="E8" s="126" t="s">
        <v>750</v>
      </c>
      <c r="F8" s="263"/>
      <c r="G8" s="20"/>
      <c r="H8" s="262" t="s">
        <v>781</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3"/>
      <c r="Z8" s="23"/>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713</v>
      </c>
      <c r="D9" s="260"/>
      <c r="E9" s="126" t="s">
        <v>751</v>
      </c>
      <c r="F9" s="261"/>
      <c r="G9" s="20"/>
      <c r="H9" s="262" t="s">
        <v>782</v>
      </c>
      <c r="I9" s="19"/>
      <c r="J9" s="246" t="str">
        <f t="shared" si="16"/>
        <v>*</v>
      </c>
      <c r="K9" s="7"/>
      <c r="L9" s="97"/>
      <c r="M9" s="259"/>
      <c r="N9" s="255"/>
      <c r="O9" s="246" t="str">
        <f t="shared" si="0"/>
        <v/>
      </c>
      <c r="P9" s="97"/>
      <c r="Q9" s="255"/>
      <c r="R9" s="255"/>
      <c r="S9" s="246" t="str">
        <f t="shared" si="1"/>
        <v/>
      </c>
      <c r="T9" s="97"/>
      <c r="U9" s="255"/>
      <c r="V9" s="255"/>
      <c r="W9" s="246" t="str">
        <f t="shared" si="2"/>
        <v/>
      </c>
      <c r="X9" s="97"/>
      <c r="Y9" s="23"/>
      <c r="Z9" s="23"/>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713</v>
      </c>
      <c r="D10" s="260"/>
      <c r="E10" s="126" t="s">
        <v>752</v>
      </c>
      <c r="F10" s="261"/>
      <c r="G10" s="20"/>
      <c r="H10" s="262" t="s">
        <v>782</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3"/>
      <c r="Z10" s="23"/>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714</v>
      </c>
      <c r="D11" s="260"/>
      <c r="E11" s="126" t="s">
        <v>753</v>
      </c>
      <c r="F11" s="261"/>
      <c r="G11" s="20"/>
      <c r="H11" s="262" t="s">
        <v>782</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3"/>
      <c r="Z11" s="23"/>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715</v>
      </c>
      <c r="D12" s="260"/>
      <c r="E12" s="126" t="s">
        <v>750</v>
      </c>
      <c r="F12" s="263"/>
      <c r="G12" s="20"/>
      <c r="H12" s="262" t="s">
        <v>781</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3"/>
      <c r="Z12" s="23"/>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t="s">
        <v>716</v>
      </c>
      <c r="D13" s="260"/>
      <c r="E13" s="126" t="s">
        <v>754</v>
      </c>
      <c r="F13" s="261"/>
      <c r="G13" s="20"/>
      <c r="H13" s="20" t="s">
        <v>783</v>
      </c>
      <c r="I13" s="19"/>
      <c r="J13" s="246" t="str">
        <f t="shared" si="16"/>
        <v>*</v>
      </c>
      <c r="K13" s="7"/>
      <c r="L13" s="97"/>
      <c r="M13" s="259"/>
      <c r="N13" s="255"/>
      <c r="O13" s="246" t="str">
        <f t="shared" si="0"/>
        <v/>
      </c>
      <c r="P13" s="97"/>
      <c r="Q13" s="255"/>
      <c r="R13" s="255"/>
      <c r="S13" s="246" t="str">
        <f t="shared" si="1"/>
        <v/>
      </c>
      <c r="T13" s="97"/>
      <c r="U13" s="255"/>
      <c r="V13" s="255"/>
      <c r="W13" s="246" t="str">
        <f t="shared" si="2"/>
        <v/>
      </c>
      <c r="X13" s="97"/>
      <c r="Y13" s="23"/>
      <c r="Z13" s="23"/>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t="s">
        <v>717</v>
      </c>
      <c r="D14" s="260"/>
      <c r="E14" s="126" t="s">
        <v>755</v>
      </c>
      <c r="F14" s="261"/>
      <c r="G14" s="20"/>
      <c r="H14" s="262" t="s">
        <v>784</v>
      </c>
      <c r="I14" s="19"/>
      <c r="J14" s="246" t="str">
        <f t="shared" si="16"/>
        <v>*</v>
      </c>
      <c r="K14" s="7"/>
      <c r="L14" s="97"/>
      <c r="M14" s="259"/>
      <c r="N14" s="255"/>
      <c r="O14" s="246" t="str">
        <f t="shared" si="0"/>
        <v/>
      </c>
      <c r="P14" s="97"/>
      <c r="Q14" s="255"/>
      <c r="R14" s="255"/>
      <c r="S14" s="246" t="str">
        <f t="shared" si="1"/>
        <v/>
      </c>
      <c r="T14" s="97"/>
      <c r="U14" s="255"/>
      <c r="V14" s="255"/>
      <c r="W14" s="246" t="str">
        <f t="shared" si="2"/>
        <v/>
      </c>
      <c r="X14" s="97"/>
      <c r="Y14" s="23"/>
      <c r="Z14" s="23"/>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t="s">
        <v>718</v>
      </c>
      <c r="D15" s="260"/>
      <c r="E15" s="126" t="s">
        <v>755</v>
      </c>
      <c r="F15" s="261"/>
      <c r="G15" s="20"/>
      <c r="H15" s="262" t="s">
        <v>782</v>
      </c>
      <c r="I15" s="19"/>
      <c r="J15" s="246" t="str">
        <f t="shared" si="16"/>
        <v>*</v>
      </c>
      <c r="K15" s="7"/>
      <c r="L15" s="97"/>
      <c r="M15" s="259"/>
      <c r="N15" s="255"/>
      <c r="O15" s="246" t="str">
        <f t="shared" si="0"/>
        <v/>
      </c>
      <c r="P15" s="97"/>
      <c r="Q15" s="255"/>
      <c r="R15" s="255"/>
      <c r="S15" s="246" t="str">
        <f t="shared" si="1"/>
        <v/>
      </c>
      <c r="T15" s="97"/>
      <c r="U15" s="255"/>
      <c r="V15" s="255"/>
      <c r="W15" s="246" t="str">
        <f t="shared" si="2"/>
        <v/>
      </c>
      <c r="X15" s="97"/>
      <c r="Y15" s="23"/>
      <c r="Z15" s="23"/>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t="s">
        <v>719</v>
      </c>
      <c r="D16" s="260"/>
      <c r="E16" s="126" t="s">
        <v>756</v>
      </c>
      <c r="F16" s="261"/>
      <c r="G16" s="20"/>
      <c r="H16" s="262" t="s">
        <v>785</v>
      </c>
      <c r="I16" s="19"/>
      <c r="J16" s="246" t="str">
        <f t="shared" si="16"/>
        <v>*</v>
      </c>
      <c r="K16" s="7"/>
      <c r="L16" s="97"/>
      <c r="M16" s="259"/>
      <c r="N16" s="255"/>
      <c r="O16" s="246" t="str">
        <f t="shared" si="0"/>
        <v/>
      </c>
      <c r="P16" s="97"/>
      <c r="Q16" s="255"/>
      <c r="R16" s="255"/>
      <c r="S16" s="246" t="str">
        <f t="shared" si="1"/>
        <v/>
      </c>
      <c r="T16" s="97"/>
      <c r="U16" s="255"/>
      <c r="V16" s="255"/>
      <c r="W16" s="246" t="str">
        <f t="shared" si="2"/>
        <v/>
      </c>
      <c r="X16" s="97"/>
      <c r="Y16" s="23"/>
      <c r="Z16" s="23"/>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t="s">
        <v>720</v>
      </c>
      <c r="D17" s="260"/>
      <c r="E17" s="126" t="s">
        <v>757</v>
      </c>
      <c r="F17" s="261"/>
      <c r="G17" s="20"/>
      <c r="H17" s="262" t="s">
        <v>785</v>
      </c>
      <c r="I17" s="19"/>
      <c r="J17" s="246" t="str">
        <f t="shared" si="16"/>
        <v>*</v>
      </c>
      <c r="K17" s="7"/>
      <c r="L17" s="97"/>
      <c r="M17" s="259"/>
      <c r="N17" s="255"/>
      <c r="O17" s="246" t="str">
        <f t="shared" si="0"/>
        <v/>
      </c>
      <c r="P17" s="97"/>
      <c r="Q17" s="255"/>
      <c r="R17" s="255"/>
      <c r="S17" s="246" t="str">
        <f t="shared" si="1"/>
        <v/>
      </c>
      <c r="T17" s="97"/>
      <c r="U17" s="255"/>
      <c r="V17" s="255"/>
      <c r="W17" s="246" t="str">
        <f t="shared" si="2"/>
        <v/>
      </c>
      <c r="X17" s="97"/>
      <c r="Y17" s="23"/>
      <c r="Z17" s="23"/>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t="s">
        <v>721</v>
      </c>
      <c r="D18" s="260"/>
      <c r="E18" s="126" t="s">
        <v>758</v>
      </c>
      <c r="F18" s="261"/>
      <c r="G18" s="20"/>
      <c r="H18" s="262" t="s">
        <v>785</v>
      </c>
      <c r="I18" s="19"/>
      <c r="J18" s="246" t="str">
        <f t="shared" si="16"/>
        <v>*</v>
      </c>
      <c r="K18" s="7"/>
      <c r="L18" s="97"/>
      <c r="M18" s="259"/>
      <c r="N18" s="255"/>
      <c r="O18" s="246" t="str">
        <f t="shared" si="0"/>
        <v/>
      </c>
      <c r="P18" s="97"/>
      <c r="Q18" s="255"/>
      <c r="R18" s="255"/>
      <c r="S18" s="246" t="str">
        <f t="shared" si="1"/>
        <v/>
      </c>
      <c r="T18" s="97"/>
      <c r="U18" s="255"/>
      <c r="V18" s="255"/>
      <c r="W18" s="246" t="str">
        <f t="shared" si="2"/>
        <v/>
      </c>
      <c r="X18" s="97"/>
      <c r="Y18" s="23"/>
      <c r="Z18" s="23"/>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t="s">
        <v>722</v>
      </c>
      <c r="D19" s="260"/>
      <c r="E19" s="126" t="s">
        <v>759</v>
      </c>
      <c r="F19" s="261"/>
      <c r="G19" s="20"/>
      <c r="H19" s="262" t="s">
        <v>785</v>
      </c>
      <c r="I19" s="19"/>
      <c r="J19" s="246" t="str">
        <f t="shared" si="16"/>
        <v>*</v>
      </c>
      <c r="K19" s="7"/>
      <c r="L19" s="97"/>
      <c r="M19" s="259"/>
      <c r="N19" s="255"/>
      <c r="O19" s="246" t="str">
        <f t="shared" si="0"/>
        <v/>
      </c>
      <c r="P19" s="97"/>
      <c r="Q19" s="255"/>
      <c r="R19" s="255"/>
      <c r="S19" s="246" t="str">
        <f t="shared" si="1"/>
        <v/>
      </c>
      <c r="T19" s="97"/>
      <c r="U19" s="255"/>
      <c r="V19" s="255"/>
      <c r="W19" s="246" t="str">
        <f t="shared" si="2"/>
        <v/>
      </c>
      <c r="X19" s="97"/>
      <c r="Y19" s="23"/>
      <c r="Z19" s="23"/>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t="s">
        <v>723</v>
      </c>
      <c r="D20" s="260"/>
      <c r="E20" s="126" t="s">
        <v>755</v>
      </c>
      <c r="F20" s="261"/>
      <c r="G20" s="20"/>
      <c r="H20" s="262" t="s">
        <v>782</v>
      </c>
      <c r="I20" s="19"/>
      <c r="J20" s="246" t="str">
        <f t="shared" si="16"/>
        <v>*</v>
      </c>
      <c r="K20" s="7"/>
      <c r="L20" s="97"/>
      <c r="M20" s="259"/>
      <c r="N20" s="255"/>
      <c r="O20" s="246" t="str">
        <f t="shared" si="0"/>
        <v/>
      </c>
      <c r="P20" s="97"/>
      <c r="Q20" s="255"/>
      <c r="R20" s="255"/>
      <c r="S20" s="246" t="str">
        <f t="shared" si="1"/>
        <v/>
      </c>
      <c r="T20" s="97"/>
      <c r="U20" s="255"/>
      <c r="V20" s="255"/>
      <c r="W20" s="246" t="str">
        <f t="shared" si="2"/>
        <v/>
      </c>
      <c r="X20" s="97"/>
      <c r="Y20" s="23"/>
      <c r="Z20" s="23"/>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t="s">
        <v>724</v>
      </c>
      <c r="D21" s="260"/>
      <c r="E21" s="126" t="s">
        <v>760</v>
      </c>
      <c r="F21" s="261"/>
      <c r="G21" s="20"/>
      <c r="H21" s="262" t="s">
        <v>782</v>
      </c>
      <c r="I21" s="19"/>
      <c r="J21" s="246" t="str">
        <f t="shared" si="16"/>
        <v>*</v>
      </c>
      <c r="K21" s="7"/>
      <c r="L21" s="97"/>
      <c r="M21" s="259"/>
      <c r="N21" s="255"/>
      <c r="O21" s="246" t="str">
        <f t="shared" si="0"/>
        <v/>
      </c>
      <c r="P21" s="97"/>
      <c r="Q21" s="255"/>
      <c r="R21" s="255"/>
      <c r="S21" s="246" t="str">
        <f t="shared" si="1"/>
        <v/>
      </c>
      <c r="T21" s="97"/>
      <c r="U21" s="255"/>
      <c r="V21" s="255"/>
      <c r="W21" s="246" t="str">
        <f t="shared" si="2"/>
        <v/>
      </c>
      <c r="X21" s="97"/>
      <c r="Y21" s="23"/>
      <c r="Z21" s="23"/>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t="s">
        <v>725</v>
      </c>
      <c r="D22" s="260"/>
      <c r="E22" s="126" t="s">
        <v>755</v>
      </c>
      <c r="F22" s="261"/>
      <c r="G22" s="20"/>
      <c r="H22" s="20" t="s">
        <v>786</v>
      </c>
      <c r="I22" s="19"/>
      <c r="J22" s="246" t="str">
        <f t="shared" si="16"/>
        <v>*</v>
      </c>
      <c r="K22" s="7"/>
      <c r="L22" s="97"/>
      <c r="M22" s="259"/>
      <c r="N22" s="255"/>
      <c r="O22" s="246" t="str">
        <f t="shared" si="0"/>
        <v/>
      </c>
      <c r="P22" s="97"/>
      <c r="Q22" s="255"/>
      <c r="R22" s="255"/>
      <c r="S22" s="246" t="str">
        <f t="shared" si="1"/>
        <v/>
      </c>
      <c r="T22" s="97"/>
      <c r="U22" s="255"/>
      <c r="V22" s="255"/>
      <c r="W22" s="246" t="str">
        <f t="shared" si="2"/>
        <v/>
      </c>
      <c r="X22" s="97"/>
      <c r="Y22" s="23"/>
      <c r="Z22" s="23"/>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t="s">
        <v>726</v>
      </c>
      <c r="D23" s="260"/>
      <c r="E23" s="126" t="s">
        <v>761</v>
      </c>
      <c r="F23" s="261"/>
      <c r="G23" s="20"/>
      <c r="H23" s="262" t="s">
        <v>782</v>
      </c>
      <c r="I23" s="19"/>
      <c r="J23" s="246" t="str">
        <f t="shared" si="16"/>
        <v>*</v>
      </c>
      <c r="K23" s="7"/>
      <c r="L23" s="97"/>
      <c r="M23" s="259"/>
      <c r="N23" s="255"/>
      <c r="O23" s="246" t="str">
        <f t="shared" si="0"/>
        <v/>
      </c>
      <c r="P23" s="97"/>
      <c r="Q23" s="255"/>
      <c r="R23" s="255"/>
      <c r="S23" s="246" t="str">
        <f t="shared" si="1"/>
        <v/>
      </c>
      <c r="T23" s="97"/>
      <c r="U23" s="255"/>
      <c r="V23" s="255"/>
      <c r="W23" s="246" t="str">
        <f t="shared" si="2"/>
        <v/>
      </c>
      <c r="X23" s="97"/>
      <c r="Y23" s="23"/>
      <c r="Z23" s="23"/>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t="s">
        <v>727</v>
      </c>
      <c r="D24" s="260"/>
      <c r="E24" s="126" t="s">
        <v>762</v>
      </c>
      <c r="F24" s="261"/>
      <c r="G24" s="20"/>
      <c r="H24" s="262" t="s">
        <v>786</v>
      </c>
      <c r="I24" s="19"/>
      <c r="J24" s="246" t="str">
        <f t="shared" si="16"/>
        <v>*</v>
      </c>
      <c r="K24" s="7"/>
      <c r="L24" s="97"/>
      <c r="M24" s="259"/>
      <c r="N24" s="255"/>
      <c r="O24" s="246" t="str">
        <f t="shared" si="0"/>
        <v/>
      </c>
      <c r="P24" s="97"/>
      <c r="Q24" s="255"/>
      <c r="R24" s="255"/>
      <c r="S24" s="246" t="str">
        <f t="shared" si="1"/>
        <v/>
      </c>
      <c r="T24" s="97"/>
      <c r="U24" s="255"/>
      <c r="V24" s="255"/>
      <c r="W24" s="246" t="str">
        <f t="shared" si="2"/>
        <v/>
      </c>
      <c r="X24" s="97"/>
      <c r="Y24" s="23"/>
      <c r="Z24" s="23"/>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t="s">
        <v>728</v>
      </c>
      <c r="D25" s="260"/>
      <c r="E25" s="126" t="s">
        <v>763</v>
      </c>
      <c r="F25" s="261"/>
      <c r="G25" s="20"/>
      <c r="H25" s="262" t="s">
        <v>787</v>
      </c>
      <c r="I25" s="19"/>
      <c r="J25" s="246" t="str">
        <f t="shared" si="16"/>
        <v>*</v>
      </c>
      <c r="K25" s="7"/>
      <c r="L25" s="97"/>
      <c r="M25" s="259"/>
      <c r="N25" s="255"/>
      <c r="O25" s="246" t="str">
        <f t="shared" si="0"/>
        <v/>
      </c>
      <c r="P25" s="97"/>
      <c r="Q25" s="255"/>
      <c r="R25" s="255"/>
      <c r="S25" s="246" t="str">
        <f t="shared" si="1"/>
        <v/>
      </c>
      <c r="T25" s="97"/>
      <c r="U25" s="255"/>
      <c r="V25" s="255"/>
      <c r="W25" s="246" t="str">
        <f t="shared" si="2"/>
        <v/>
      </c>
      <c r="X25" s="97"/>
      <c r="Y25" s="23"/>
      <c r="Z25" s="23"/>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t="s">
        <v>729</v>
      </c>
      <c r="D26" s="260"/>
      <c r="E26" s="126" t="s">
        <v>764</v>
      </c>
      <c r="F26" s="261"/>
      <c r="G26" s="20"/>
      <c r="H26" s="262" t="s">
        <v>787</v>
      </c>
      <c r="I26" s="19"/>
      <c r="J26" s="246" t="str">
        <f t="shared" si="16"/>
        <v>*</v>
      </c>
      <c r="K26" s="7"/>
      <c r="L26" s="97"/>
      <c r="M26" s="259"/>
      <c r="N26" s="255"/>
      <c r="O26" s="246" t="str">
        <f t="shared" si="0"/>
        <v/>
      </c>
      <c r="P26" s="97"/>
      <c r="Q26" s="255"/>
      <c r="R26" s="255"/>
      <c r="S26" s="246" t="str">
        <f t="shared" si="1"/>
        <v/>
      </c>
      <c r="T26" s="97"/>
      <c r="U26" s="255"/>
      <c r="V26" s="255"/>
      <c r="W26" s="246" t="str">
        <f t="shared" si="2"/>
        <v/>
      </c>
      <c r="X26" s="97"/>
      <c r="Y26" s="23"/>
      <c r="Z26" s="23"/>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t="s">
        <v>730</v>
      </c>
      <c r="D27" s="260"/>
      <c r="E27" s="126" t="s">
        <v>765</v>
      </c>
      <c r="F27" s="261"/>
      <c r="G27" s="20"/>
      <c r="H27" s="262" t="s">
        <v>788</v>
      </c>
      <c r="I27" s="19"/>
      <c r="J27" s="246" t="str">
        <f t="shared" si="16"/>
        <v>*</v>
      </c>
      <c r="K27" s="7"/>
      <c r="L27" s="97"/>
      <c r="M27" s="259"/>
      <c r="N27" s="255"/>
      <c r="O27" s="246" t="str">
        <f t="shared" si="0"/>
        <v/>
      </c>
      <c r="P27" s="97"/>
      <c r="Q27" s="255"/>
      <c r="R27" s="255"/>
      <c r="S27" s="246" t="str">
        <f t="shared" si="1"/>
        <v/>
      </c>
      <c r="T27" s="97"/>
      <c r="U27" s="255"/>
      <c r="V27" s="255"/>
      <c r="W27" s="246" t="str">
        <f t="shared" si="2"/>
        <v/>
      </c>
      <c r="X27" s="97"/>
      <c r="Y27" s="23"/>
      <c r="Z27" s="23"/>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t="s">
        <v>731</v>
      </c>
      <c r="D28" s="260"/>
      <c r="E28" s="126" t="s">
        <v>764</v>
      </c>
      <c r="F28" s="261"/>
      <c r="G28" s="20"/>
      <c r="H28" s="262" t="s">
        <v>789</v>
      </c>
      <c r="I28" s="19"/>
      <c r="J28" s="246" t="str">
        <f t="shared" si="16"/>
        <v>*</v>
      </c>
      <c r="K28" s="7"/>
      <c r="L28" s="97"/>
      <c r="M28" s="259"/>
      <c r="N28" s="255"/>
      <c r="O28" s="246" t="str">
        <f t="shared" si="0"/>
        <v/>
      </c>
      <c r="P28" s="97"/>
      <c r="Q28" s="255"/>
      <c r="R28" s="255"/>
      <c r="S28" s="246" t="str">
        <f t="shared" si="1"/>
        <v/>
      </c>
      <c r="T28" s="97"/>
      <c r="U28" s="255"/>
      <c r="V28" s="255"/>
      <c r="W28" s="246" t="str">
        <f t="shared" si="2"/>
        <v/>
      </c>
      <c r="X28" s="97"/>
      <c r="Y28" s="23"/>
      <c r="Z28" s="23"/>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t="s">
        <v>732</v>
      </c>
      <c r="D29" s="260"/>
      <c r="E29" s="126" t="s">
        <v>766</v>
      </c>
      <c r="F29" s="261"/>
      <c r="G29" s="20"/>
      <c r="H29" s="262" t="s">
        <v>783</v>
      </c>
      <c r="I29" s="19"/>
      <c r="J29" s="246" t="str">
        <f t="shared" si="16"/>
        <v>*</v>
      </c>
      <c r="K29" s="7"/>
      <c r="L29" s="97"/>
      <c r="M29" s="259"/>
      <c r="N29" s="255"/>
      <c r="O29" s="246" t="str">
        <f t="shared" si="0"/>
        <v/>
      </c>
      <c r="P29" s="97"/>
      <c r="Q29" s="255"/>
      <c r="R29" s="255"/>
      <c r="S29" s="246" t="str">
        <f t="shared" si="1"/>
        <v/>
      </c>
      <c r="T29" s="97"/>
      <c r="U29" s="255"/>
      <c r="V29" s="255"/>
      <c r="W29" s="246" t="str">
        <f t="shared" si="2"/>
        <v/>
      </c>
      <c r="X29" s="97"/>
      <c r="Y29" s="23"/>
      <c r="Z29" s="23"/>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t="s">
        <v>733</v>
      </c>
      <c r="D30" s="260"/>
      <c r="E30" s="126" t="s">
        <v>767</v>
      </c>
      <c r="F30" s="261"/>
      <c r="G30" s="20"/>
      <c r="H30" s="262" t="s">
        <v>783</v>
      </c>
      <c r="I30" s="19"/>
      <c r="J30" s="246" t="str">
        <f t="shared" si="16"/>
        <v>*</v>
      </c>
      <c r="K30" s="7"/>
      <c r="L30" s="97"/>
      <c r="M30" s="259"/>
      <c r="N30" s="255"/>
      <c r="O30" s="246" t="str">
        <f t="shared" si="0"/>
        <v/>
      </c>
      <c r="P30" s="97"/>
      <c r="Q30" s="255"/>
      <c r="R30" s="255"/>
      <c r="S30" s="246" t="str">
        <f t="shared" si="1"/>
        <v/>
      </c>
      <c r="T30" s="97"/>
      <c r="U30" s="255"/>
      <c r="V30" s="255"/>
      <c r="W30" s="246" t="str">
        <f t="shared" si="2"/>
        <v/>
      </c>
      <c r="X30" s="97"/>
      <c r="Y30" s="23"/>
      <c r="Z30" s="23"/>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t="s">
        <v>734</v>
      </c>
      <c r="D31" s="260"/>
      <c r="E31" s="126" t="s">
        <v>750</v>
      </c>
      <c r="F31" s="263"/>
      <c r="G31" s="20"/>
      <c r="H31" s="20" t="s">
        <v>780</v>
      </c>
      <c r="I31" s="19"/>
      <c r="J31" s="246" t="str">
        <f t="shared" si="16"/>
        <v>*</v>
      </c>
      <c r="K31" s="7"/>
      <c r="L31" s="97"/>
      <c r="M31" s="259"/>
      <c r="N31" s="255"/>
      <c r="O31" s="246" t="str">
        <f t="shared" si="0"/>
        <v/>
      </c>
      <c r="P31" s="97"/>
      <c r="Q31" s="255"/>
      <c r="R31" s="255"/>
      <c r="S31" s="246" t="str">
        <f t="shared" si="1"/>
        <v/>
      </c>
      <c r="T31" s="97"/>
      <c r="U31" s="255"/>
      <c r="V31" s="255"/>
      <c r="W31" s="246" t="str">
        <f t="shared" si="2"/>
        <v/>
      </c>
      <c r="X31" s="97"/>
      <c r="Y31" s="23"/>
      <c r="Z31" s="23"/>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t="s">
        <v>735</v>
      </c>
      <c r="D32" s="260"/>
      <c r="E32" s="126" t="s">
        <v>768</v>
      </c>
      <c r="F32" s="261"/>
      <c r="G32" s="20"/>
      <c r="H32" s="262" t="s">
        <v>782</v>
      </c>
      <c r="I32" s="19"/>
      <c r="J32" s="246" t="str">
        <f t="shared" si="16"/>
        <v>*</v>
      </c>
      <c r="K32" s="7"/>
      <c r="L32" s="97"/>
      <c r="M32" s="259"/>
      <c r="N32" s="255"/>
      <c r="O32" s="246" t="str">
        <f t="shared" si="0"/>
        <v/>
      </c>
      <c r="P32" s="97"/>
      <c r="Q32" s="255"/>
      <c r="R32" s="255"/>
      <c r="S32" s="246" t="str">
        <f t="shared" si="1"/>
        <v/>
      </c>
      <c r="T32" s="97"/>
      <c r="U32" s="255"/>
      <c r="V32" s="255"/>
      <c r="W32" s="246" t="str">
        <f t="shared" si="2"/>
        <v/>
      </c>
      <c r="X32" s="97"/>
      <c r="Y32" s="23"/>
      <c r="Z32" s="23"/>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t="s">
        <v>736</v>
      </c>
      <c r="D33" s="260"/>
      <c r="E33" s="126" t="s">
        <v>769</v>
      </c>
      <c r="F33" s="261"/>
      <c r="G33" s="20"/>
      <c r="H33" s="262" t="s">
        <v>790</v>
      </c>
      <c r="I33" s="19"/>
      <c r="J33" s="246" t="str">
        <f t="shared" si="16"/>
        <v>*</v>
      </c>
      <c r="K33" s="7"/>
      <c r="L33" s="97"/>
      <c r="M33" s="259"/>
      <c r="N33" s="255"/>
      <c r="O33" s="246" t="str">
        <f t="shared" si="0"/>
        <v/>
      </c>
      <c r="P33" s="97"/>
      <c r="Q33" s="255"/>
      <c r="R33" s="255"/>
      <c r="S33" s="246" t="str">
        <f t="shared" si="1"/>
        <v/>
      </c>
      <c r="T33" s="97"/>
      <c r="U33" s="255"/>
      <c r="V33" s="255"/>
      <c r="W33" s="246" t="str">
        <f t="shared" si="2"/>
        <v/>
      </c>
      <c r="X33" s="97"/>
      <c r="Y33" s="23"/>
      <c r="Z33" s="23"/>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t="s">
        <v>737</v>
      </c>
      <c r="D34" s="260"/>
      <c r="E34" s="126" t="s">
        <v>753</v>
      </c>
      <c r="F34" s="261"/>
      <c r="G34" s="20"/>
      <c r="H34" s="262" t="s">
        <v>782</v>
      </c>
      <c r="I34" s="19"/>
      <c r="J34" s="246" t="str">
        <f t="shared" si="16"/>
        <v>*</v>
      </c>
      <c r="K34" s="7"/>
      <c r="L34" s="97"/>
      <c r="M34" s="259"/>
      <c r="N34" s="255"/>
      <c r="O34" s="246" t="str">
        <f t="shared" si="0"/>
        <v/>
      </c>
      <c r="P34" s="97"/>
      <c r="Q34" s="255"/>
      <c r="R34" s="255"/>
      <c r="S34" s="246" t="str">
        <f t="shared" si="1"/>
        <v/>
      </c>
      <c r="T34" s="97"/>
      <c r="U34" s="255"/>
      <c r="V34" s="255"/>
      <c r="W34" s="246" t="str">
        <f t="shared" si="2"/>
        <v/>
      </c>
      <c r="X34" s="97"/>
      <c r="Y34" s="23"/>
      <c r="Z34" s="23"/>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t="s">
        <v>737</v>
      </c>
      <c r="D35" s="260"/>
      <c r="E35" s="126" t="s">
        <v>753</v>
      </c>
      <c r="F35" s="261"/>
      <c r="G35" s="20"/>
      <c r="H35" s="262" t="s">
        <v>782</v>
      </c>
      <c r="I35" s="19"/>
      <c r="J35" s="246" t="str">
        <f t="shared" si="16"/>
        <v>*</v>
      </c>
      <c r="K35" s="7"/>
      <c r="L35" s="97"/>
      <c r="M35" s="259"/>
      <c r="N35" s="255"/>
      <c r="O35" s="246" t="str">
        <f t="shared" si="0"/>
        <v/>
      </c>
      <c r="P35" s="97"/>
      <c r="Q35" s="255"/>
      <c r="R35" s="255"/>
      <c r="S35" s="246" t="str">
        <f t="shared" si="1"/>
        <v/>
      </c>
      <c r="T35" s="97"/>
      <c r="U35" s="255"/>
      <c r="V35" s="255"/>
      <c r="W35" s="246" t="str">
        <f t="shared" si="2"/>
        <v/>
      </c>
      <c r="X35" s="97"/>
      <c r="Y35" s="23"/>
      <c r="Z35" s="23"/>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t="s">
        <v>738</v>
      </c>
      <c r="D36" s="260"/>
      <c r="E36" s="126" t="s">
        <v>750</v>
      </c>
      <c r="F36" s="261"/>
      <c r="G36" s="20"/>
      <c r="H36" s="262" t="s">
        <v>782</v>
      </c>
      <c r="I36" s="19"/>
      <c r="J36" s="246" t="str">
        <f t="shared" si="16"/>
        <v>*</v>
      </c>
      <c r="K36" s="7"/>
      <c r="L36" s="97"/>
      <c r="M36" s="259"/>
      <c r="N36" s="255"/>
      <c r="O36" s="246" t="str">
        <f t="shared" si="0"/>
        <v/>
      </c>
      <c r="P36" s="97"/>
      <c r="Q36" s="255"/>
      <c r="R36" s="255"/>
      <c r="S36" s="246" t="str">
        <f t="shared" si="1"/>
        <v/>
      </c>
      <c r="T36" s="97"/>
      <c r="U36" s="255"/>
      <c r="V36" s="255"/>
      <c r="W36" s="246" t="str">
        <f t="shared" si="2"/>
        <v/>
      </c>
      <c r="X36" s="97"/>
      <c r="Y36" s="23"/>
      <c r="Z36" s="23"/>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t="s">
        <v>737</v>
      </c>
      <c r="D37" s="260"/>
      <c r="E37" s="126" t="s">
        <v>753</v>
      </c>
      <c r="F37" s="261"/>
      <c r="G37" s="20"/>
      <c r="H37" s="262" t="s">
        <v>782</v>
      </c>
      <c r="I37" s="19"/>
      <c r="J37" s="246" t="str">
        <f t="shared" si="16"/>
        <v>*</v>
      </c>
      <c r="K37" s="7"/>
      <c r="L37" s="97"/>
      <c r="M37" s="259"/>
      <c r="N37" s="255"/>
      <c r="O37" s="246" t="str">
        <f t="shared" si="0"/>
        <v/>
      </c>
      <c r="P37" s="97"/>
      <c r="Q37" s="255"/>
      <c r="R37" s="255"/>
      <c r="S37" s="246" t="str">
        <f t="shared" si="1"/>
        <v/>
      </c>
      <c r="T37" s="97"/>
      <c r="U37" s="255"/>
      <c r="V37" s="255"/>
      <c r="W37" s="246" t="str">
        <f t="shared" si="2"/>
        <v/>
      </c>
      <c r="X37" s="97"/>
      <c r="Y37" s="23"/>
      <c r="Z37" s="23"/>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t="s">
        <v>737</v>
      </c>
      <c r="D38" s="260"/>
      <c r="E38" s="126" t="s">
        <v>770</v>
      </c>
      <c r="F38" s="261"/>
      <c r="G38" s="20"/>
      <c r="H38" s="262" t="s">
        <v>782</v>
      </c>
      <c r="I38" s="19"/>
      <c r="J38" s="246" t="str">
        <f t="shared" si="16"/>
        <v>*</v>
      </c>
      <c r="K38" s="7"/>
      <c r="L38" s="97"/>
      <c r="M38" s="259"/>
      <c r="N38" s="255"/>
      <c r="O38" s="246" t="str">
        <f t="shared" si="0"/>
        <v/>
      </c>
      <c r="P38" s="97"/>
      <c r="Q38" s="255"/>
      <c r="R38" s="255"/>
      <c r="S38" s="246" t="str">
        <f t="shared" si="1"/>
        <v/>
      </c>
      <c r="T38" s="97"/>
      <c r="U38" s="255"/>
      <c r="V38" s="255"/>
      <c r="W38" s="246" t="str">
        <f t="shared" si="2"/>
        <v/>
      </c>
      <c r="X38" s="97"/>
      <c r="Y38" s="23"/>
      <c r="Z38" s="23"/>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t="s">
        <v>737</v>
      </c>
      <c r="D39" s="260"/>
      <c r="E39" s="126" t="s">
        <v>753</v>
      </c>
      <c r="F39" s="261"/>
      <c r="G39" s="20"/>
      <c r="H39" s="262" t="s">
        <v>782</v>
      </c>
      <c r="I39" s="19"/>
      <c r="J39" s="246" t="str">
        <f t="shared" si="16"/>
        <v>*</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3"/>
      <c r="Z39" s="23"/>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t="s">
        <v>739</v>
      </c>
      <c r="D40" s="260"/>
      <c r="E40" s="126" t="s">
        <v>771</v>
      </c>
      <c r="F40" s="261"/>
      <c r="G40" s="20"/>
      <c r="H40" s="262" t="s">
        <v>791</v>
      </c>
      <c r="I40" s="19"/>
      <c r="J40" s="246" t="str">
        <f t="shared" si="16"/>
        <v>*</v>
      </c>
      <c r="K40" s="7"/>
      <c r="L40" s="97"/>
      <c r="M40" s="259"/>
      <c r="N40" s="255"/>
      <c r="O40" s="246" t="str">
        <f t="shared" si="17"/>
        <v/>
      </c>
      <c r="P40" s="97"/>
      <c r="Q40" s="255"/>
      <c r="R40" s="255"/>
      <c r="S40" s="246" t="str">
        <f t="shared" si="18"/>
        <v/>
      </c>
      <c r="T40" s="97"/>
      <c r="U40" s="255"/>
      <c r="V40" s="255"/>
      <c r="W40" s="246" t="str">
        <f t="shared" si="19"/>
        <v/>
      </c>
      <c r="X40" s="97"/>
      <c r="Y40" s="23"/>
      <c r="Z40" s="23"/>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t="s">
        <v>740</v>
      </c>
      <c r="D41" s="260"/>
      <c r="E41" s="126" t="s">
        <v>755</v>
      </c>
      <c r="F41" s="261"/>
      <c r="G41" s="20"/>
      <c r="H41" s="262" t="s">
        <v>789</v>
      </c>
      <c r="I41" s="19"/>
      <c r="J41" s="246" t="str">
        <f t="shared" si="16"/>
        <v>*</v>
      </c>
      <c r="K41" s="7"/>
      <c r="L41" s="97"/>
      <c r="M41" s="259"/>
      <c r="N41" s="255"/>
      <c r="O41" s="246" t="str">
        <f t="shared" si="17"/>
        <v/>
      </c>
      <c r="P41" s="97"/>
      <c r="Q41" s="255"/>
      <c r="R41" s="255"/>
      <c r="S41" s="246" t="str">
        <f t="shared" si="18"/>
        <v/>
      </c>
      <c r="T41" s="97"/>
      <c r="U41" s="255"/>
      <c r="V41" s="255"/>
      <c r="W41" s="246" t="str">
        <f t="shared" si="19"/>
        <v/>
      </c>
      <c r="X41" s="97"/>
      <c r="Y41" s="23"/>
      <c r="Z41" s="23"/>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t="s">
        <v>741</v>
      </c>
      <c r="D42" s="260"/>
      <c r="E42" s="126" t="s">
        <v>772</v>
      </c>
      <c r="F42" s="261"/>
      <c r="G42" s="20"/>
      <c r="H42" s="262" t="s">
        <v>792</v>
      </c>
      <c r="I42" s="19"/>
      <c r="J42" s="246" t="str">
        <f t="shared" si="16"/>
        <v>*</v>
      </c>
      <c r="K42" s="7"/>
      <c r="L42" s="97"/>
      <c r="M42" s="259"/>
      <c r="N42" s="255"/>
      <c r="O42" s="246" t="str">
        <f t="shared" si="17"/>
        <v/>
      </c>
      <c r="P42" s="97"/>
      <c r="Q42" s="255"/>
      <c r="R42" s="255"/>
      <c r="S42" s="246" t="str">
        <f t="shared" si="18"/>
        <v/>
      </c>
      <c r="T42" s="97"/>
      <c r="U42" s="255"/>
      <c r="V42" s="255"/>
      <c r="W42" s="246" t="str">
        <f t="shared" si="19"/>
        <v/>
      </c>
      <c r="X42" s="97"/>
      <c r="Y42" s="23"/>
      <c r="Z42" s="23"/>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t="s">
        <v>742</v>
      </c>
      <c r="D43" s="260"/>
      <c r="E43" s="126" t="s">
        <v>754</v>
      </c>
      <c r="F43" s="261"/>
      <c r="G43" s="20"/>
      <c r="H43" s="20" t="s">
        <v>783</v>
      </c>
      <c r="I43" s="19"/>
      <c r="J43" s="246" t="str">
        <f t="shared" si="16"/>
        <v>*</v>
      </c>
      <c r="K43" s="7"/>
      <c r="L43" s="97"/>
      <c r="M43" s="259"/>
      <c r="N43" s="255"/>
      <c r="O43" s="246" t="str">
        <f t="shared" si="17"/>
        <v/>
      </c>
      <c r="P43" s="97"/>
      <c r="Q43" s="255"/>
      <c r="R43" s="255"/>
      <c r="S43" s="246" t="str">
        <f t="shared" si="18"/>
        <v/>
      </c>
      <c r="T43" s="97"/>
      <c r="U43" s="255"/>
      <c r="V43" s="255"/>
      <c r="W43" s="246" t="str">
        <f t="shared" si="19"/>
        <v/>
      </c>
      <c r="X43" s="97"/>
      <c r="Y43" s="23"/>
      <c r="Z43" s="23"/>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t="s">
        <v>743</v>
      </c>
      <c r="D44" s="260"/>
      <c r="E44" s="126" t="s">
        <v>773</v>
      </c>
      <c r="F44" s="261"/>
      <c r="G44" s="20"/>
      <c r="H44" s="262" t="s">
        <v>791</v>
      </c>
      <c r="I44" s="19"/>
      <c r="J44" s="246" t="str">
        <f t="shared" si="16"/>
        <v>*</v>
      </c>
      <c r="K44" s="7"/>
      <c r="L44" s="97"/>
      <c r="M44" s="259"/>
      <c r="N44" s="255"/>
      <c r="O44" s="246" t="str">
        <f t="shared" si="17"/>
        <v/>
      </c>
      <c r="P44" s="97"/>
      <c r="Q44" s="255"/>
      <c r="R44" s="255"/>
      <c r="S44" s="246" t="str">
        <f t="shared" si="18"/>
        <v/>
      </c>
      <c r="T44" s="97"/>
      <c r="U44" s="255"/>
      <c r="V44" s="255"/>
      <c r="W44" s="246" t="str">
        <f t="shared" si="19"/>
        <v/>
      </c>
      <c r="X44" s="97"/>
      <c r="Y44" s="23"/>
      <c r="Z44" s="23"/>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t="s">
        <v>744</v>
      </c>
      <c r="D45" s="260"/>
      <c r="E45" s="126" t="s">
        <v>750</v>
      </c>
      <c r="F45" s="263"/>
      <c r="G45" s="20"/>
      <c r="H45" s="262" t="s">
        <v>793</v>
      </c>
      <c r="I45" s="19"/>
      <c r="J45" s="246" t="str">
        <f t="shared" si="16"/>
        <v>*</v>
      </c>
      <c r="K45" s="7"/>
      <c r="L45" s="97"/>
      <c r="M45" s="259"/>
      <c r="N45" s="255"/>
      <c r="O45" s="246" t="str">
        <f t="shared" si="17"/>
        <v/>
      </c>
      <c r="P45" s="97"/>
      <c r="Q45" s="255"/>
      <c r="R45" s="255"/>
      <c r="S45" s="246" t="str">
        <f t="shared" si="18"/>
        <v/>
      </c>
      <c r="T45" s="97"/>
      <c r="U45" s="255"/>
      <c r="V45" s="255"/>
      <c r="W45" s="246" t="str">
        <f t="shared" si="19"/>
        <v/>
      </c>
      <c r="X45" s="97"/>
      <c r="Y45" s="23"/>
      <c r="Z45" s="23"/>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t="s">
        <v>745</v>
      </c>
      <c r="D46" s="260"/>
      <c r="E46" s="126" t="s">
        <v>774</v>
      </c>
      <c r="F46" s="261"/>
      <c r="G46" s="20"/>
      <c r="H46" s="262" t="s">
        <v>794</v>
      </c>
      <c r="I46" s="19"/>
      <c r="J46" s="246" t="str">
        <f t="shared" si="16"/>
        <v>*</v>
      </c>
      <c r="K46" s="7"/>
      <c r="L46" s="97"/>
      <c r="M46" s="259"/>
      <c r="N46" s="255"/>
      <c r="O46" s="246" t="str">
        <f t="shared" si="17"/>
        <v/>
      </c>
      <c r="P46" s="97"/>
      <c r="Q46" s="255"/>
      <c r="R46" s="255"/>
      <c r="S46" s="246" t="str">
        <f t="shared" si="18"/>
        <v/>
      </c>
      <c r="T46" s="97"/>
      <c r="U46" s="255"/>
      <c r="V46" s="255"/>
      <c r="W46" s="246" t="str">
        <f t="shared" si="19"/>
        <v/>
      </c>
      <c r="X46" s="97"/>
      <c r="Y46" s="23"/>
      <c r="Z46" s="23"/>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t="s">
        <v>746</v>
      </c>
      <c r="D47" s="260"/>
      <c r="E47" s="126" t="s">
        <v>750</v>
      </c>
      <c r="F47" s="261"/>
      <c r="G47" s="20"/>
      <c r="H47" s="20" t="s">
        <v>782</v>
      </c>
      <c r="I47" s="19"/>
      <c r="J47" s="246" t="str">
        <f t="shared" si="16"/>
        <v>*</v>
      </c>
      <c r="K47" s="7"/>
      <c r="L47" s="97"/>
      <c r="M47" s="259"/>
      <c r="N47" s="255"/>
      <c r="O47" s="246" t="str">
        <f t="shared" si="17"/>
        <v/>
      </c>
      <c r="P47" s="97"/>
      <c r="Q47" s="255"/>
      <c r="R47" s="255"/>
      <c r="S47" s="246" t="str">
        <f t="shared" si="18"/>
        <v/>
      </c>
      <c r="T47" s="97"/>
      <c r="U47" s="255"/>
      <c r="V47" s="255"/>
      <c r="W47" s="246" t="str">
        <f t="shared" si="19"/>
        <v/>
      </c>
      <c r="X47" s="97"/>
      <c r="Y47" s="23"/>
      <c r="Z47" s="23"/>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t="s">
        <v>746</v>
      </c>
      <c r="D48" s="260"/>
      <c r="E48" s="126" t="s">
        <v>770</v>
      </c>
      <c r="F48" s="261"/>
      <c r="G48" s="20"/>
      <c r="H48" s="20" t="s">
        <v>782</v>
      </c>
      <c r="I48" s="19"/>
      <c r="J48" s="246" t="str">
        <f t="shared" si="16"/>
        <v>*</v>
      </c>
      <c r="K48" s="7"/>
      <c r="L48" s="97"/>
      <c r="M48" s="259"/>
      <c r="N48" s="255"/>
      <c r="O48" s="246" t="str">
        <f t="shared" si="17"/>
        <v/>
      </c>
      <c r="P48" s="97"/>
      <c r="Q48" s="255"/>
      <c r="R48" s="255"/>
      <c r="S48" s="246" t="str">
        <f t="shared" si="18"/>
        <v/>
      </c>
      <c r="T48" s="97"/>
      <c r="U48" s="255"/>
      <c r="V48" s="255"/>
      <c r="W48" s="246" t="str">
        <f t="shared" si="19"/>
        <v/>
      </c>
      <c r="X48" s="97"/>
      <c r="Y48" s="23"/>
      <c r="Z48" s="23"/>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t="s">
        <v>747</v>
      </c>
      <c r="D49" s="260"/>
      <c r="E49" s="126" t="s">
        <v>775</v>
      </c>
      <c r="F49" s="261"/>
      <c r="G49" s="20"/>
      <c r="H49" s="262" t="s">
        <v>789</v>
      </c>
      <c r="I49" s="19"/>
      <c r="J49" s="246" t="str">
        <f t="shared" si="16"/>
        <v>*</v>
      </c>
      <c r="K49" s="7"/>
      <c r="L49" s="97"/>
      <c r="M49" s="259"/>
      <c r="N49" s="255"/>
      <c r="O49" s="246" t="str">
        <f t="shared" si="17"/>
        <v/>
      </c>
      <c r="P49" s="97"/>
      <c r="Q49" s="255"/>
      <c r="R49" s="255"/>
      <c r="S49" s="246" t="str">
        <f t="shared" si="18"/>
        <v/>
      </c>
      <c r="T49" s="97"/>
      <c r="U49" s="255"/>
      <c r="V49" s="255"/>
      <c r="W49" s="246" t="str">
        <f t="shared" si="19"/>
        <v/>
      </c>
      <c r="X49" s="97"/>
      <c r="Y49" s="23"/>
      <c r="Z49" s="23"/>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t="s">
        <v>748</v>
      </c>
      <c r="D50" s="260"/>
      <c r="E50" s="126" t="s">
        <v>754</v>
      </c>
      <c r="F50" s="261"/>
      <c r="G50" s="20"/>
      <c r="H50" s="262" t="s">
        <v>789</v>
      </c>
      <c r="I50" s="19"/>
      <c r="J50" s="246" t="str">
        <f t="shared" si="16"/>
        <v>*</v>
      </c>
      <c r="K50" s="7"/>
      <c r="L50" s="97"/>
      <c r="M50" s="259"/>
      <c r="N50" s="255"/>
      <c r="O50" s="246" t="str">
        <f t="shared" si="17"/>
        <v/>
      </c>
      <c r="P50" s="97"/>
      <c r="Q50" s="255"/>
      <c r="R50" s="255"/>
      <c r="S50" s="246" t="str">
        <f t="shared" si="18"/>
        <v/>
      </c>
      <c r="T50" s="97"/>
      <c r="U50" s="255"/>
      <c r="V50" s="255"/>
      <c r="W50" s="246" t="str">
        <f t="shared" si="19"/>
        <v/>
      </c>
      <c r="X50" s="97"/>
      <c r="Y50" s="23"/>
      <c r="Z50" s="23"/>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t="s">
        <v>749</v>
      </c>
      <c r="D51" s="260"/>
      <c r="E51" s="126" t="s">
        <v>776</v>
      </c>
      <c r="F51" s="261"/>
      <c r="G51" s="20"/>
      <c r="H51" s="20" t="s">
        <v>789</v>
      </c>
      <c r="I51" s="19"/>
      <c r="J51" s="246" t="str">
        <f t="shared" si="16"/>
        <v>*</v>
      </c>
      <c r="K51" s="7"/>
      <c r="L51" s="97"/>
      <c r="M51" s="259"/>
      <c r="N51" s="255"/>
      <c r="O51" s="246" t="str">
        <f t="shared" si="17"/>
        <v/>
      </c>
      <c r="P51" s="97"/>
      <c r="Q51" s="255"/>
      <c r="R51" s="255"/>
      <c r="S51" s="246" t="str">
        <f t="shared" si="18"/>
        <v/>
      </c>
      <c r="T51" s="97"/>
      <c r="U51" s="255"/>
      <c r="V51" s="255"/>
      <c r="W51" s="246" t="str">
        <f t="shared" si="19"/>
        <v/>
      </c>
      <c r="X51" s="97"/>
      <c r="Y51" s="23"/>
      <c r="Z51" s="23"/>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t="s">
        <v>748</v>
      </c>
      <c r="D52" s="260"/>
      <c r="E52" s="126" t="s">
        <v>777</v>
      </c>
      <c r="F52" s="261"/>
      <c r="G52" s="20"/>
      <c r="H52" s="262" t="s">
        <v>789</v>
      </c>
      <c r="I52" s="19"/>
      <c r="J52" s="246" t="str">
        <f t="shared" si="16"/>
        <v>*</v>
      </c>
      <c r="K52" s="7"/>
      <c r="L52" s="97"/>
      <c r="M52" s="259"/>
      <c r="N52" s="255"/>
      <c r="O52" s="246" t="str">
        <f t="shared" si="17"/>
        <v/>
      </c>
      <c r="P52" s="97"/>
      <c r="Q52" s="255"/>
      <c r="R52" s="255"/>
      <c r="S52" s="246" t="str">
        <f t="shared" si="18"/>
        <v/>
      </c>
      <c r="T52" s="97"/>
      <c r="U52" s="255"/>
      <c r="V52" s="255"/>
      <c r="W52" s="246" t="str">
        <f t="shared" si="19"/>
        <v/>
      </c>
      <c r="X52" s="97"/>
      <c r="Y52" s="23"/>
      <c r="Z52" s="23"/>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t="s">
        <v>748</v>
      </c>
      <c r="D53" s="260"/>
      <c r="E53" s="126" t="s">
        <v>761</v>
      </c>
      <c r="F53" s="261"/>
      <c r="G53" s="20"/>
      <c r="H53" s="262" t="s">
        <v>789</v>
      </c>
      <c r="I53" s="19"/>
      <c r="J53" s="246" t="str">
        <f t="shared" si="16"/>
        <v>*</v>
      </c>
      <c r="K53" s="7"/>
      <c r="L53" s="97"/>
      <c r="M53" s="259"/>
      <c r="N53" s="255"/>
      <c r="O53" s="246" t="str">
        <f t="shared" si="17"/>
        <v/>
      </c>
      <c r="P53" s="97"/>
      <c r="Q53" s="255"/>
      <c r="R53" s="255"/>
      <c r="S53" s="246" t="str">
        <f t="shared" si="18"/>
        <v/>
      </c>
      <c r="T53" s="97"/>
      <c r="U53" s="255"/>
      <c r="V53" s="255"/>
      <c r="W53" s="246" t="str">
        <f t="shared" si="19"/>
        <v/>
      </c>
      <c r="X53" s="97"/>
      <c r="Y53" s="23"/>
      <c r="Z53" s="23"/>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t="s">
        <v>748</v>
      </c>
      <c r="D54" s="260"/>
      <c r="E54" s="126" t="s">
        <v>761</v>
      </c>
      <c r="F54" s="261"/>
      <c r="G54" s="20"/>
      <c r="H54" s="262" t="s">
        <v>789</v>
      </c>
      <c r="I54" s="19"/>
      <c r="J54" s="246" t="str">
        <f t="shared" si="16"/>
        <v>*</v>
      </c>
      <c r="K54" s="7"/>
      <c r="L54" s="97"/>
      <c r="M54" s="259"/>
      <c r="N54" s="255"/>
      <c r="O54" s="246" t="str">
        <f t="shared" si="17"/>
        <v/>
      </c>
      <c r="P54" s="97"/>
      <c r="Q54" s="255"/>
      <c r="R54" s="255"/>
      <c r="S54" s="246" t="str">
        <f t="shared" si="18"/>
        <v/>
      </c>
      <c r="T54" s="97"/>
      <c r="U54" s="255"/>
      <c r="V54" s="255"/>
      <c r="W54" s="246" t="str">
        <f t="shared" si="19"/>
        <v/>
      </c>
      <c r="X54" s="97"/>
      <c r="Y54" s="23"/>
      <c r="Z54" s="23"/>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t="s">
        <v>748</v>
      </c>
      <c r="D55" s="260"/>
      <c r="E55" s="126" t="s">
        <v>761</v>
      </c>
      <c r="F55" s="261"/>
      <c r="G55" s="20"/>
      <c r="H55" s="262" t="s">
        <v>789</v>
      </c>
      <c r="I55" s="19"/>
      <c r="J55" s="246" t="str">
        <f t="shared" si="16"/>
        <v>*</v>
      </c>
      <c r="K55" s="7"/>
      <c r="L55" s="97"/>
      <c r="M55" s="259"/>
      <c r="N55" s="255"/>
      <c r="O55" s="246" t="str">
        <f t="shared" si="17"/>
        <v/>
      </c>
      <c r="P55" s="97"/>
      <c r="Q55" s="255"/>
      <c r="R55" s="255"/>
      <c r="S55" s="246" t="str">
        <f t="shared" si="18"/>
        <v/>
      </c>
      <c r="T55" s="97"/>
      <c r="U55" s="255"/>
      <c r="V55" s="255"/>
      <c r="W55" s="246" t="str">
        <f t="shared" si="19"/>
        <v/>
      </c>
      <c r="X55" s="97"/>
      <c r="Y55" s="23"/>
      <c r="Z55" s="23"/>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t="s">
        <v>748</v>
      </c>
      <c r="D56" s="260"/>
      <c r="E56" s="126" t="s">
        <v>755</v>
      </c>
      <c r="F56" s="261"/>
      <c r="G56" s="20"/>
      <c r="H56" s="262" t="s">
        <v>789</v>
      </c>
      <c r="I56" s="19"/>
      <c r="J56" s="246" t="str">
        <f t="shared" si="16"/>
        <v>*</v>
      </c>
      <c r="K56" s="7"/>
      <c r="L56" s="97"/>
      <c r="M56" s="259"/>
      <c r="N56" s="255"/>
      <c r="O56" s="246" t="str">
        <f t="shared" si="17"/>
        <v/>
      </c>
      <c r="P56" s="97"/>
      <c r="Q56" s="255"/>
      <c r="R56" s="255"/>
      <c r="S56" s="246" t="str">
        <f t="shared" si="18"/>
        <v/>
      </c>
      <c r="T56" s="97"/>
      <c r="U56" s="255"/>
      <c r="V56" s="255"/>
      <c r="W56" s="246" t="str">
        <f t="shared" si="19"/>
        <v/>
      </c>
      <c r="X56" s="97"/>
      <c r="Y56" s="23"/>
      <c r="Z56" s="23"/>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779</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3"/>
      <c r="Z57" s="23"/>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779</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3"/>
      <c r="Z58" s="23"/>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779</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3"/>
      <c r="Z59" s="23"/>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779</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3"/>
      <c r="Z60" s="23"/>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779</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3"/>
      <c r="Z61" s="23"/>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779</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3"/>
      <c r="Z62" s="23"/>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779</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3"/>
      <c r="Z63" s="23"/>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779</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3"/>
      <c r="Z64" s="23"/>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779</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3"/>
      <c r="Z65" s="23"/>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779</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3"/>
      <c r="Z66" s="23"/>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779</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3"/>
      <c r="Z67" s="23"/>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779</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3"/>
      <c r="Z68" s="23"/>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779</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3"/>
      <c r="Z69" s="23"/>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779</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3"/>
      <c r="Z70" s="23"/>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779</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3"/>
      <c r="Z71" s="23"/>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779</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3"/>
      <c r="Z72" s="23"/>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779</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3"/>
      <c r="Z73" s="23"/>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779</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3"/>
      <c r="Z74" s="23"/>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779</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3"/>
      <c r="Z75" s="23"/>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779</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3"/>
      <c r="Z76" s="23"/>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779</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3"/>
      <c r="Z77" s="23"/>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779</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3"/>
      <c r="Z78" s="23"/>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779</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3"/>
      <c r="Z79" s="23"/>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779</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3"/>
      <c r="Z80" s="23"/>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779</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3"/>
      <c r="Z81" s="23"/>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779</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3"/>
      <c r="Z82" s="23"/>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185">
      <formula>$B7="v"</formula>
    </cfRule>
  </conditionalFormatting>
  <conditionalFormatting sqref="P7:Q82">
    <cfRule type="expression" dxfId="2262" priority="184">
      <formula>$B7="v"</formula>
    </cfRule>
  </conditionalFormatting>
  <conditionalFormatting sqref="R7:R82">
    <cfRule type="expression" dxfId="2261" priority="183">
      <formula>$B7="v"</formula>
    </cfRule>
  </conditionalFormatting>
  <conditionalFormatting sqref="Z7:Z82 V7:V82 AL7:AL82 AH7:AH82 AD7:AD82 AX7:AX82 AT7:AT82 AP7:AP82 BJ7:BJ82 BF7:BF82 BB7:BB82 BV7:BV82 BR7:BR82 BN7:BN82">
    <cfRule type="expression" dxfId="2260" priority="182">
      <formula>$B7="v"</formula>
    </cfRule>
  </conditionalFormatting>
  <conditionalFormatting sqref="X7:Y82 T7:U82 AJ7:AK82 AF7:AG82 AB7:AC82 AR7:AS82 AN7:AO82 BH7:BI82 BD7:BE82 AZ7:BA82 BT7:BU82 BP7:BQ82 BL7:BM82">
    <cfRule type="expression" dxfId="2259" priority="181">
      <formula>$B7="v"</formula>
    </cfRule>
  </conditionalFormatting>
  <conditionalFormatting sqref="AV7:AW82">
    <cfRule type="expression" dxfId="2258" priority="180">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3">
      <formula>$K$4=1</formula>
    </cfRule>
  </conditionalFormatting>
  <conditionalFormatting sqref="M4:N4">
    <cfRule type="expression" dxfId="2103" priority="324">
      <formula>$K$4=1</formula>
    </cfRule>
  </conditionalFormatting>
  <conditionalFormatting sqref="L7:N82">
    <cfRule type="expression" dxfId="2102" priority="325">
      <formula>$K$4=""</formula>
    </cfRule>
  </conditionalFormatting>
  <conditionalFormatting sqref="P5:R6">
    <cfRule type="expression" dxfId="2101" priority="326">
      <formula>$O$4=1</formula>
    </cfRule>
  </conditionalFormatting>
  <conditionalFormatting sqref="P7:R82">
    <cfRule type="expression" dxfId="2100" priority="327">
      <formula>$O$4=1</formula>
    </cfRule>
  </conditionalFormatting>
  <conditionalFormatting sqref="Q4:R4">
    <cfRule type="expression" dxfId="2099" priority="328">
      <formula>$O$4=1</formula>
    </cfRule>
  </conditionalFormatting>
  <conditionalFormatting sqref="P7:R82">
    <cfRule type="expression" dxfId="2098" priority="329">
      <formula>$O$4=""</formula>
    </cfRule>
  </conditionalFormatting>
  <conditionalFormatting sqref="T5:V6">
    <cfRule type="expression" dxfId="2097" priority="330">
      <formula>$S$4=1</formula>
    </cfRule>
  </conditionalFormatting>
  <conditionalFormatting sqref="T7:V82">
    <cfRule type="expression" dxfId="2096" priority="331">
      <formula>$S$4=1</formula>
    </cfRule>
  </conditionalFormatting>
  <conditionalFormatting sqref="U4:V4">
    <cfRule type="expression" dxfId="2095" priority="332">
      <formula>$S$4=1</formula>
    </cfRule>
  </conditionalFormatting>
  <conditionalFormatting sqref="T7:V82">
    <cfRule type="expression" dxfId="2094" priority="333">
      <formula>$S$4=""</formula>
    </cfRule>
  </conditionalFormatting>
  <conditionalFormatting sqref="X5:Z6">
    <cfRule type="expression" dxfId="2093" priority="334">
      <formula>$W$4=1</formula>
    </cfRule>
  </conditionalFormatting>
  <conditionalFormatting sqref="X7:Z82">
    <cfRule type="expression" dxfId="2092" priority="335">
      <formula>$W$4=1</formula>
    </cfRule>
  </conditionalFormatting>
  <conditionalFormatting sqref="Y4:Z4">
    <cfRule type="expression" dxfId="2091" priority="336">
      <formula>$W$4=1</formula>
    </cfRule>
  </conditionalFormatting>
  <conditionalFormatting sqref="X7:Z82">
    <cfRule type="expression" dxfId="2090" priority="337">
      <formula>$W$4=""</formula>
    </cfRule>
  </conditionalFormatting>
  <conditionalFormatting sqref="AB5:AD6">
    <cfRule type="expression" dxfId="2089" priority="338">
      <formula>$AA$4=1</formula>
    </cfRule>
  </conditionalFormatting>
  <conditionalFormatting sqref="AB7:AD82">
    <cfRule type="expression" dxfId="2088" priority="339">
      <formula>$AA$4=1</formula>
    </cfRule>
  </conditionalFormatting>
  <conditionalFormatting sqref="AC4:AD4">
    <cfRule type="expression" dxfId="2087" priority="340">
      <formula>$AA$4=1</formula>
    </cfRule>
  </conditionalFormatting>
  <conditionalFormatting sqref="AB7:AD82">
    <cfRule type="expression" dxfId="2086" priority="341">
      <formula>$AA$4=""</formula>
    </cfRule>
  </conditionalFormatting>
  <conditionalFormatting sqref="AF5:AH6">
    <cfRule type="expression" dxfId="2085" priority="342">
      <formula>$AE$4=1</formula>
    </cfRule>
  </conditionalFormatting>
  <conditionalFormatting sqref="AF7:AH82">
    <cfRule type="expression" dxfId="2084" priority="343">
      <formula>$AE$4=1</formula>
    </cfRule>
  </conditionalFormatting>
  <conditionalFormatting sqref="AG4:AH4">
    <cfRule type="expression" dxfId="2083" priority="344">
      <formula>$AE$4=1</formula>
    </cfRule>
  </conditionalFormatting>
  <conditionalFormatting sqref="AF7:AH82">
    <cfRule type="expression" dxfId="2082" priority="345">
      <formula>$AE$4=""</formula>
    </cfRule>
  </conditionalFormatting>
  <conditionalFormatting sqref="AJ7:AL82">
    <cfRule type="expression" dxfId="2081" priority="346">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49">
      <formula>$AI$4=""</formula>
    </cfRule>
  </conditionalFormatting>
  <conditionalFormatting sqref="AN7:AP82">
    <cfRule type="expression" dxfId="2077" priority="350">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53">
      <formula>$AM$4=""</formula>
    </cfRule>
  </conditionalFormatting>
  <conditionalFormatting sqref="AR7:AT82">
    <cfRule type="expression" dxfId="2073" priority="354">
      <formula>$AQ$4=1</formula>
    </cfRule>
  </conditionalFormatting>
  <conditionalFormatting sqref="AR5:AT6">
    <cfRule type="expression" dxfId="2072" priority="356">
      <formula>$AQ$4=1</formula>
    </cfRule>
  </conditionalFormatting>
  <conditionalFormatting sqref="AR7:AT82">
    <cfRule type="expression" dxfId="2071" priority="357">
      <formula>$AQ$4=""</formula>
    </cfRule>
  </conditionalFormatting>
  <conditionalFormatting sqref="AV7:AX82">
    <cfRule type="expression" dxfId="2070" priority="358">
      <formula>$AU$4=1</formula>
    </cfRule>
  </conditionalFormatting>
  <conditionalFormatting sqref="AV5:AX6">
    <cfRule type="expression" dxfId="2069" priority="360">
      <formula>$AU$4=1</formula>
    </cfRule>
  </conditionalFormatting>
  <conditionalFormatting sqref="AV7:AX82">
    <cfRule type="expression" dxfId="2068" priority="361">
      <formula>$AU$4=""</formula>
    </cfRule>
  </conditionalFormatting>
  <conditionalFormatting sqref="AZ7:BB82">
    <cfRule type="expression" dxfId="2067" priority="362">
      <formula>$AY$4=1</formula>
    </cfRule>
  </conditionalFormatting>
  <conditionalFormatting sqref="AZ5:BB6">
    <cfRule type="expression" dxfId="2066" priority="364">
      <formula>$AY$4=1</formula>
    </cfRule>
  </conditionalFormatting>
  <conditionalFormatting sqref="AZ7:BB82">
    <cfRule type="expression" dxfId="2065" priority="365">
      <formula>$AY$4=""</formula>
    </cfRule>
  </conditionalFormatting>
  <conditionalFormatting sqref="BD7:BF82">
    <cfRule type="expression" dxfId="2064" priority="366">
      <formula>$BC$4=1</formula>
    </cfRule>
  </conditionalFormatting>
  <conditionalFormatting sqref="BD5:BF6">
    <cfRule type="expression" dxfId="2063" priority="368">
      <formula>$BC$4=1</formula>
    </cfRule>
  </conditionalFormatting>
  <conditionalFormatting sqref="BD7:BF82">
    <cfRule type="expression" dxfId="2062" priority="369">
      <formula>$BC$4=""</formula>
    </cfRule>
  </conditionalFormatting>
  <conditionalFormatting sqref="BH7:BJ82">
    <cfRule type="expression" dxfId="2061" priority="370">
      <formula>$BG$4=1</formula>
    </cfRule>
  </conditionalFormatting>
  <conditionalFormatting sqref="BH5:BJ6">
    <cfRule type="expression" dxfId="2060" priority="372">
      <formula>$BG$4=1</formula>
    </cfRule>
  </conditionalFormatting>
  <conditionalFormatting sqref="BH7:BJ82">
    <cfRule type="expression" dxfId="2059" priority="373">
      <formula>$BG$4=""</formula>
    </cfRule>
  </conditionalFormatting>
  <conditionalFormatting sqref="BL7:BN82">
    <cfRule type="expression" dxfId="2058" priority="374">
      <formula>$BK$4=1</formula>
    </cfRule>
  </conditionalFormatting>
  <conditionalFormatting sqref="BL5:BN6">
    <cfRule type="expression" dxfId="2057" priority="376">
      <formula>$BK$4=1</formula>
    </cfRule>
  </conditionalFormatting>
  <conditionalFormatting sqref="BL7:BN82">
    <cfRule type="expression" dxfId="2056" priority="377">
      <formula>$BK$4=""</formula>
    </cfRule>
  </conditionalFormatting>
  <conditionalFormatting sqref="BP7:BR82">
    <cfRule type="expression" dxfId="2055" priority="378">
      <formula>$BO$4=1</formula>
    </cfRule>
  </conditionalFormatting>
  <conditionalFormatting sqref="BP5:BR6">
    <cfRule type="expression" dxfId="2054" priority="380">
      <formula>$BO$4=1</formula>
    </cfRule>
  </conditionalFormatting>
  <conditionalFormatting sqref="BP7:BR82">
    <cfRule type="expression" dxfId="2053" priority="381">
      <formula>$BO$4=""</formula>
    </cfRule>
  </conditionalFormatting>
  <conditionalFormatting sqref="BT7:BV82">
    <cfRule type="expression" dxfId="2052" priority="382">
      <formula>$BS$4=1</formula>
    </cfRule>
  </conditionalFormatting>
  <conditionalFormatting sqref="BT5:BV6">
    <cfRule type="expression" dxfId="2051" priority="384">
      <formula>$BS$4=1</formula>
    </cfRule>
  </conditionalFormatting>
  <conditionalFormatting sqref="BT7:BV82">
    <cfRule type="expression" dxfId="2050" priority="385">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9E0B491F-637C-4D47-BAD5-B5F14FA8C3B7}">
      <formula1>"* ,[ASTM] D4176 Procedure 1"</formula1>
    </dataValidation>
    <dataValidation type="list" allowBlank="1" showInputMessage="1" showErrorMessage="1" sqref="D8 D12" xr:uid="{95B66EE3-A1DE-4A03-BB22-74E71934A331}">
      <formula1>"* ,[OTHER] Visual"</formula1>
    </dataValidation>
    <dataValidation type="list" allowBlank="1" showInputMessage="1" showErrorMessage="1" sqref="D9" xr:uid="{99C31329-E182-4848-8037-07D527A6C562}">
      <formula1>"* ,[ASTM] D1319,[ASTM] D6839,[ASTM] D5443,[ASTM] D5580,[ASTM] D5134"</formula1>
    </dataValidation>
    <dataValidation type="list" allowBlank="1" showInputMessage="1" showErrorMessage="1" sqref="D10" xr:uid="{D675FB79-D805-4F57-A8A9-6AD9341F539A}">
      <formula1>"* ,[ASTM] D5580,[ASTM] D5443"</formula1>
    </dataValidation>
    <dataValidation type="list" allowBlank="1" showInputMessage="1" showErrorMessage="1" sqref="D11" xr:uid="{8085D266-56A6-4E41-B493-9DCF014F729E}">
      <formula1>"* ,[ASTM] D6839,[ASTM] D3606,[ASTM] D4053,[ASTM] D5580"</formula1>
    </dataValidation>
    <dataValidation type="list" allowBlank="1" showInputMessage="1" showErrorMessage="1" sqref="D13" xr:uid="{5F65897E-588D-42C7-8F69-29B20A2B3C48}">
      <formula1>"* ,[ASTM] D130"</formula1>
    </dataValidation>
    <dataValidation type="list" allowBlank="1" showInputMessage="1" showErrorMessage="1" sqref="D14" xr:uid="{15E4F671-6728-4D9F-A181-A40A7034DED1}">
      <formula1>"* ,[ASTM] D1298,[ASTM] D4052"</formula1>
    </dataValidation>
    <dataValidation type="list" allowBlank="1" showInputMessage="1" showErrorMessage="1" sqref="D15 D16 D17 D18 D19 D20 D21" xr:uid="{43AFEF70-A2CC-42BC-9318-A7B599C3E87B}">
      <formula1>"* ,[ASTM] D86"</formula1>
    </dataValidation>
    <dataValidation type="list" allowBlank="1" showInputMessage="1" showErrorMessage="1" sqref="D22" xr:uid="{ED6DC68C-4399-4B01-89AD-75BB2FFD3D32}">
      <formula1>"* ,[OTHER] CGSB 3.5"</formula1>
    </dataValidation>
    <dataValidation type="list" allowBlank="1" showInputMessage="1" showErrorMessage="1" sqref="D23 D33 D36" xr:uid="{C5A57100-2BA6-4B25-BE90-58287B9C5E45}">
      <formula1>"* ,[ASTM] D4815-04"</formula1>
    </dataValidation>
    <dataValidation type="list" allowBlank="1" showInputMessage="1" showErrorMessage="1" sqref="D24" xr:uid="{6E3FF6CB-7C5D-4CC9-96CB-2D13C444E073}">
      <formula1>"* ,[OTHER] Calculation"</formula1>
    </dataValidation>
    <dataValidation type="list" allowBlank="1" showInputMessage="1" showErrorMessage="1" sqref="D25 D26" xr:uid="{B5F5B08B-81E6-4944-A7C6-5A556B2F4B05}">
      <formula1>"* ,[ASTM] D381"</formula1>
    </dataValidation>
    <dataValidation type="list" allowBlank="1" showInputMessage="1" showErrorMessage="1" sqref="D27" xr:uid="{06F4AA3B-0BAD-4510-A023-FFB097759C40}">
      <formula1>"* ,[ASTM] D525"</formula1>
    </dataValidation>
    <dataValidation type="list" allowBlank="1" showInputMessage="1" showErrorMessage="1" sqref="D28" xr:uid="{C6E5E4A7-904A-4F2E-B144-5004ADCC6726}">
      <formula1>"* ,[IP] IP 352,[ASTM] D5059,[ASTM] D3237"</formula1>
    </dataValidation>
    <dataValidation type="list" allowBlank="1" showInputMessage="1" showErrorMessage="1" sqref="D29" xr:uid="{F775C768-A88A-447F-BEF1-69057CCA129F}">
      <formula1>"* ,[ASTM] D2700"</formula1>
    </dataValidation>
    <dataValidation type="list" allowBlank="1" showInputMessage="1" showErrorMessage="1" sqref="D30" xr:uid="{50130647-9DAF-4B47-93EB-6E50D53E5B8F}">
      <formula1>"* ,[ASTM] D2699"</formula1>
    </dataValidation>
    <dataValidation type="list" allowBlank="1" showInputMessage="1" showErrorMessage="1" sqref="D31" xr:uid="{91783F31-824E-4D5B-8DC2-C95B9298C301}">
      <formula1>"* ,[OTHER] Odor"</formula1>
    </dataValidation>
    <dataValidation type="list" allowBlank="1" showInputMessage="1" showErrorMessage="1" sqref="D32" xr:uid="{21F3BEB5-2AED-47D6-8251-19943A10DBA4}">
      <formula1>"* ,[ASTM] D1319"</formula1>
    </dataValidation>
    <dataValidation type="list" allowBlank="1" showInputMessage="1" showErrorMessage="1" sqref="D34 D35 D37 D38 D39" xr:uid="{671AB5FD-B0E9-436F-8A2D-FA04484974FB}">
      <formula1>"* ,[ASTM] D4815"</formula1>
    </dataValidation>
    <dataValidation type="list" allowBlank="1" showInputMessage="1" showErrorMessage="1" sqref="D40" xr:uid="{AF314BCA-998B-451B-B5AF-C8C5DEF12AEE}">
      <formula1>"[ASTM] D2622,[ASTM] D5453,[IP] IP 336"</formula1>
    </dataValidation>
    <dataValidation type="list" allowBlank="1" showInputMessage="1" showErrorMessage="1" sqref="D41" xr:uid="{E75B2117-E569-4BBB-AC53-D356116D44C0}">
      <formula1>"* ,[ASTM] D5452"</formula1>
    </dataValidation>
    <dataValidation type="list" allowBlank="1" showInputMessage="1" showErrorMessage="1" sqref="D42" xr:uid="{9EA16AF4-B225-4D11-BBC1-2B64DCFE41B9}">
      <formula1>"* ,[ASTM] D3231"</formula1>
    </dataValidation>
    <dataValidation type="list" allowBlank="1" showInputMessage="1" showErrorMessage="1" sqref="D43" xr:uid="{E8EC55D6-3615-4C64-8807-6D8F44D6E4C7}">
      <formula1>"* ,[ASTM] D7671"</formula1>
    </dataValidation>
    <dataValidation type="list" allowBlank="1" showInputMessage="1" showErrorMessage="1" sqref="D44" xr:uid="{5D0337F1-1841-4AA2-A02A-E34C6A995095}">
      <formula1>"* ,[IP] IP 342,[ASTM] D3227"</formula1>
    </dataValidation>
    <dataValidation type="list" allowBlank="1" showInputMessage="1" showErrorMessage="1" sqref="D45" xr:uid="{3AFFF8D4-9671-4D87-BFD3-0219EA0A9A6F}">
      <formula1>"* ,[IP] IP 30,[ASTM] D4952"</formula1>
    </dataValidation>
    <dataValidation type="list" allowBlank="1" showInputMessage="1" showErrorMessage="1" sqref="D46" xr:uid="{6BF18A3C-7123-4170-9221-177E72BE9045}">
      <formula1>"* ,[ASTM] D323,[ASTM] D5191 (ASTM)"</formula1>
    </dataValidation>
    <dataValidation type="list" allowBlank="1" showInputMessage="1" showErrorMessage="1" sqref="D47 D48" xr:uid="{3F4E578D-3F6D-4372-B088-9D7B197AA6D9}">
      <formula1>"* ,[OTHER] Declaration"</formula1>
    </dataValidation>
    <dataValidation type="list" allowBlank="1" showInputMessage="1" showErrorMessage="1" sqref="D49" xr:uid="{D9843058-8518-4DE5-93AE-666E66734F16}">
      <formula1>"* ,[OTHER] Not Listed"</formula1>
    </dataValidation>
    <dataValidation type="list" allowBlank="1" showInputMessage="1" showErrorMessage="1" sqref="D50 D52 D53 D54 D55 D56" xr:uid="{16F9B100-CC01-46A2-BCD8-B2F118612889}">
      <formula1>"* ,[OTHER] Additives (declaration)"</formula1>
    </dataValidation>
    <dataValidation type="list" allowBlank="1" showInputMessage="1" showErrorMessage="1" sqref="D51" xr:uid="{C4FE48DE-15B3-4D14-82EC-C8A57257EBF0}">
      <formula1>"* ,[OTHER] Additive - Antioxidant (declaration)"</formula1>
    </dataValidation>
    <dataValidation type="list" allowBlank="1" showInputMessage="1" showErrorMessage="1" sqref="H7 H8" xr:uid="{48E52061-464F-4919-8659-AE5E5417CB58}">
      <formula1>"pass/fail,visual"</formula1>
    </dataValidation>
    <dataValidation type="list" allowBlank="1" showInputMessage="1" showErrorMessage="1" sqref="H9 H10" xr:uid="{47E2D7BD-3674-459A-A84D-E87FF64BCE8E}">
      <formula1>"ppm,%liq vol,%m/m,%mole,%vol"</formula1>
    </dataValidation>
    <dataValidation type="list" allowBlank="1" showInputMessage="1" showErrorMessage="1" sqref="H11" xr:uid="{A15E4D95-E4A3-4EFF-939F-39A72FA858E7}">
      <formula1>"mg/kg,ppm v/v,ppm w/w,%wt,%vol"</formula1>
    </dataValidation>
    <dataValidation type="list" allowBlank="1" showInputMessage="1" showErrorMessage="1" sqref="H12" xr:uid="{52033426-F0CB-4482-ABA0-C382A7B9DAF2}">
      <formula1>"haze no,Pt/Co scale,pass/fail,rating,visual"</formula1>
    </dataValidation>
    <dataValidation type="list" allowBlank="1" showInputMessage="1" showErrorMessage="1" sqref="H13 H43" xr:uid="{96EBD186-5147-4C93-B1DD-FDEE20C84BB7}">
      <formula1>"rating"</formula1>
    </dataValidation>
    <dataValidation type="list" allowBlank="1" showInputMessage="1" showErrorMessage="1" sqref="H14" xr:uid="{47BECFA3-7ACE-426C-B213-114825DAD8A7}">
      <formula1>"g/ cc,g/l,g/cm³,g/ml,kg/m³,kg/l,n/a,tonne/m³"</formula1>
    </dataValidation>
    <dataValidation type="list" allowBlank="1" showInputMessage="1" showErrorMessage="1" sqref="H15 H16 H17 H18 H19 H20 H21" xr:uid="{A6CE1D85-7F85-48D0-AB73-FDD60C911B3A}">
      <formula1>"°C,°F,%,%vol"</formula1>
    </dataValidation>
    <dataValidation type="list" allowBlank="1" showInputMessage="1" showErrorMessage="1" sqref="H22" xr:uid="{F4A7ED8E-031E-48A0-8BD7-457F6A2942B6}">
      <formula1>"calc"</formula1>
    </dataValidation>
    <dataValidation type="list" allowBlank="1" showInputMessage="1" showErrorMessage="1" sqref="H23" xr:uid="{F8F933FB-3697-4857-B1AE-80302B5F51EA}">
      <formula1>"ppm,%vol"</formula1>
    </dataValidation>
    <dataValidation type="list" allowBlank="1" showInputMessage="1" showErrorMessage="1" sqref="H24" xr:uid="{224D76C7-1908-4903-87A4-BDF01EBD8059}">
      <formula1>"calc,Min,Max,min/max"</formula1>
    </dataValidation>
    <dataValidation type="list" allowBlank="1" showInputMessage="1" showErrorMessage="1" sqref="H25 H26" xr:uid="{FB266C68-7D76-448B-8DE5-3602B662866F}">
      <formula1>"g/m³,mg/100ml,mg/l"</formula1>
    </dataValidation>
    <dataValidation type="list" allowBlank="1" showInputMessage="1" showErrorMessage="1" sqref="H27" xr:uid="{DAEEF95F-C4C0-4C64-8F77-3C52B7221065}">
      <formula1>"g/cm³,hrs,kg/m³,mg/100ml,mg/l,mins,rating"</formula1>
    </dataValidation>
    <dataValidation type="list" allowBlank="1" showInputMessage="1" showErrorMessage="1" sqref="H28" xr:uid="{62C1C1E6-56AE-4D48-AA9D-E9E2819F7F51}">
      <formula1>"g Pb/l,g Pb/US gal,g/US gal,mg/kg,mg/l,ppb,ppm,ppm w/w,%vol"</formula1>
    </dataValidation>
    <dataValidation type="list" allowBlank="1" showInputMessage="1" showErrorMessage="1" sqref="H29 H30" xr:uid="{1D39E258-3AB3-4578-B2FA-56D49D462513}">
      <formula1>"mg/kg,mg/l,ppm,ppm w/w,%wt,rating"</formula1>
    </dataValidation>
    <dataValidation type="list" allowBlank="1" showInputMessage="1" showErrorMessage="1" sqref="H31" xr:uid="{7FCEB1E2-A159-4623-BE4A-8F8BB2BAACA2}">
      <formula1>"pass/fail"</formula1>
    </dataValidation>
    <dataValidation type="list" allowBlank="1" showInputMessage="1" showErrorMessage="1" sqref="H32" xr:uid="{602CA119-E73A-4B36-A9F1-E2D405276157}">
      <formula1>"ppm,%liq vol,%m/m,%mole,%wt,%vol"</formula1>
    </dataValidation>
    <dataValidation type="list" allowBlank="1" showInputMessage="1" showErrorMessage="1" sqref="H33" xr:uid="{A43D5E43-2537-45F3-937C-948A72E03E1E}">
      <formula1>"%m,%mole,%vol,ppm-mol"</formula1>
    </dataValidation>
    <dataValidation type="list" allowBlank="1" showInputMessage="1" showErrorMessage="1" sqref="H34 H35 H37 H38 H39" xr:uid="{E3FFDF06-75AA-4B90-9740-310AB4993BB5}">
      <formula1>"mg/100ml,mg/kg,ppm,ppm v/v,%m/m,%mole,%wt,%vol"</formula1>
    </dataValidation>
    <dataValidation type="list" allowBlank="1" showInputMessage="1" showErrorMessage="1" sqref="H36" xr:uid="{0DA3BE12-4605-4755-8C9E-EC6360A08499}">
      <formula1>"ppm w/w,%vol"</formula1>
    </dataValidation>
    <dataValidation type="list" allowBlank="1" showInputMessage="1" showErrorMessage="1" sqref="H40" xr:uid="{886C0864-D79B-4E4A-8181-DE48B9851001}">
      <formula1>"μg/g,mg/kg,mg/l,ppm,%m,%m/m,%wt"</formula1>
    </dataValidation>
    <dataValidation type="list" allowBlank="1" showInputMessage="1" showErrorMessage="1" sqref="H41" xr:uid="{24E25004-5CCE-41E8-9CF0-B2C9F0472D74}">
      <formula1>"g/cm³,μm,mg/100ml,mg/kg,mg/l,mins,ppm,%liq vol"</formula1>
    </dataValidation>
    <dataValidation type="list" allowBlank="1" showInputMessage="1" showErrorMessage="1" sqref="H42" xr:uid="{6AA69AF5-50EE-4AF3-91D1-568296882A7B}">
      <formula1>"g P/US gal,mg P/l"</formula1>
    </dataValidation>
    <dataValidation type="list" allowBlank="1" showInputMessage="1" showErrorMessage="1" sqref="H44" xr:uid="{E2BA78ED-3D31-423D-88D4-333B02D94459}">
      <formula1>"mg/kg,mg/m³,ppm,%m,%m/m,%mole,%wt,%vol"</formula1>
    </dataValidation>
    <dataValidation type="list" allowBlank="1" showInputMessage="1" showErrorMessage="1" sqref="H45" xr:uid="{EE212390-71B4-4747-B872-204DE532698C}">
      <formula1>"pos/neg,pass/fail"</formula1>
    </dataValidation>
    <dataValidation type="list" allowBlank="1" showInputMessage="1" showErrorMessage="1" sqref="H46" xr:uid="{9178992D-E526-426D-9EFE-D8DD8C36FF03}">
      <formula1>"kg/cm²,kPa,mm Hg,psi"</formula1>
    </dataValidation>
    <dataValidation type="list" allowBlank="1" showInputMessage="1" showErrorMessage="1" sqref="H47 H48" xr:uid="{581B3CEA-5765-4F24-8BC3-D25C9C64AEA9}">
      <formula1>"%vol"</formula1>
    </dataValidation>
    <dataValidation type="list" allowBlank="1" showInputMessage="1" showErrorMessage="1" sqref="H49" xr:uid="{E7CE5897-D7D0-4C17-A807-660B03379FD8}">
      <formula1>"mg/l,lb/1000 bbl"</formula1>
    </dataValidation>
    <dataValidation type="list" allowBlank="1" showInputMessage="1" showErrorMessage="1" sqref="H50 H52 H53 H54 H55 H56" xr:uid="{459CD7F6-186D-4E6B-B09F-177A2926DF2C}">
      <formula1>"mg/kg,mg/l,ppm"</formula1>
    </dataValidation>
    <dataValidation type="list" allowBlank="1" showInputMessage="1" showErrorMessage="1" sqref="H51" xr:uid="{D51BFC54-7E87-474D-A68B-8B11A9E29D34}">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CAED86C0-36EA-4B0D-BB5C-D7D1B4C8740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AT7:AT82 N7:N82 R7:R82 V7:V82 Z7:Z82 AD7:AD82 AH7:AH82 AL7:AL82 AP7:AP82 H57:H82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2F6C-582B-474E-B697-908716E9A1AA}">
  <sheetPr codeName="Sheet5">
    <tabColor rgb="FFFFCCFF"/>
  </sheetPr>
  <dimension ref="A1:BW167"/>
  <sheetViews>
    <sheetView tabSelected="1" workbookViewId="0">
      <pane xSplit="3" ySplit="6" topLeftCell="D35" activePane="bottomRight" state="frozen"/>
      <selection activeCell="BJ14" sqref="BJ14"/>
      <selection pane="topRight" activeCell="BJ14" sqref="BJ14"/>
      <selection pane="bottomLeft" activeCell="BJ14" sqref="BJ14"/>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230</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712</v>
      </c>
      <c r="D7" s="260"/>
      <c r="E7" s="126" t="s">
        <v>750</v>
      </c>
      <c r="F7" s="263"/>
      <c r="G7" s="20"/>
      <c r="H7" s="262" t="s">
        <v>780</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712</v>
      </c>
      <c r="D8" s="260"/>
      <c r="E8" s="126" t="s">
        <v>750</v>
      </c>
      <c r="F8" s="263"/>
      <c r="G8" s="20"/>
      <c r="H8" s="262" t="s">
        <v>781</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713</v>
      </c>
      <c r="D9" s="260"/>
      <c r="E9" s="126" t="s">
        <v>778</v>
      </c>
      <c r="F9" s="261"/>
      <c r="G9" s="20"/>
      <c r="H9" s="262" t="s">
        <v>782</v>
      </c>
      <c r="I9" s="19"/>
      <c r="J9" s="246" t="str">
        <f t="shared" si="16"/>
        <v>*</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713</v>
      </c>
      <c r="D10" s="260"/>
      <c r="E10" s="126" t="s">
        <v>752</v>
      </c>
      <c r="F10" s="261"/>
      <c r="G10" s="20"/>
      <c r="H10" s="262" t="s">
        <v>782</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714</v>
      </c>
      <c r="D11" s="260"/>
      <c r="E11" s="126" t="s">
        <v>753</v>
      </c>
      <c r="F11" s="261"/>
      <c r="G11" s="20"/>
      <c r="H11" s="262" t="s">
        <v>782</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715</v>
      </c>
      <c r="D12" s="260"/>
      <c r="E12" s="126" t="s">
        <v>750</v>
      </c>
      <c r="F12" s="263"/>
      <c r="G12" s="20"/>
      <c r="H12" s="262" t="s">
        <v>781</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t="s">
        <v>716</v>
      </c>
      <c r="D13" s="260"/>
      <c r="E13" s="126" t="s">
        <v>754</v>
      </c>
      <c r="F13" s="261"/>
      <c r="G13" s="20"/>
      <c r="H13" s="20" t="s">
        <v>783</v>
      </c>
      <c r="I13" s="19"/>
      <c r="J13" s="246" t="str">
        <f t="shared" si="16"/>
        <v>*</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t="s">
        <v>717</v>
      </c>
      <c r="D14" s="260"/>
      <c r="E14" s="126" t="s">
        <v>755</v>
      </c>
      <c r="F14" s="261"/>
      <c r="G14" s="20"/>
      <c r="H14" s="262" t="s">
        <v>784</v>
      </c>
      <c r="I14" s="19"/>
      <c r="J14" s="246" t="str">
        <f t="shared" si="16"/>
        <v>*</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t="s">
        <v>718</v>
      </c>
      <c r="D15" s="260"/>
      <c r="E15" s="126" t="s">
        <v>755</v>
      </c>
      <c r="F15" s="261"/>
      <c r="G15" s="20"/>
      <c r="H15" s="262" t="s">
        <v>782</v>
      </c>
      <c r="I15" s="19"/>
      <c r="J15" s="246" t="str">
        <f t="shared" si="16"/>
        <v>*</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t="s">
        <v>719</v>
      </c>
      <c r="D16" s="260"/>
      <c r="E16" s="126" t="s">
        <v>756</v>
      </c>
      <c r="F16" s="261"/>
      <c r="G16" s="20"/>
      <c r="H16" s="262" t="s">
        <v>785</v>
      </c>
      <c r="I16" s="19"/>
      <c r="J16" s="246" t="str">
        <f t="shared" si="16"/>
        <v>*</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t="s">
        <v>720</v>
      </c>
      <c r="D17" s="260"/>
      <c r="E17" s="126" t="s">
        <v>757</v>
      </c>
      <c r="F17" s="261"/>
      <c r="G17" s="20"/>
      <c r="H17" s="262" t="s">
        <v>785</v>
      </c>
      <c r="I17" s="19"/>
      <c r="J17" s="246" t="str">
        <f t="shared" si="16"/>
        <v>*</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t="s">
        <v>721</v>
      </c>
      <c r="D18" s="260"/>
      <c r="E18" s="126" t="s">
        <v>758</v>
      </c>
      <c r="F18" s="261"/>
      <c r="G18" s="20"/>
      <c r="H18" s="262" t="s">
        <v>785</v>
      </c>
      <c r="I18" s="19"/>
      <c r="J18" s="246" t="str">
        <f t="shared" si="16"/>
        <v>*</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t="s">
        <v>722</v>
      </c>
      <c r="D19" s="260"/>
      <c r="E19" s="126" t="s">
        <v>759</v>
      </c>
      <c r="F19" s="261"/>
      <c r="G19" s="20"/>
      <c r="H19" s="262" t="s">
        <v>785</v>
      </c>
      <c r="I19" s="19"/>
      <c r="J19" s="246" t="str">
        <f t="shared" si="16"/>
        <v>*</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t="s">
        <v>723</v>
      </c>
      <c r="D20" s="260"/>
      <c r="E20" s="126" t="s">
        <v>755</v>
      </c>
      <c r="F20" s="261"/>
      <c r="G20" s="20"/>
      <c r="H20" s="262" t="s">
        <v>782</v>
      </c>
      <c r="I20" s="19"/>
      <c r="J20" s="246" t="str">
        <f t="shared" si="16"/>
        <v>*</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t="s">
        <v>724</v>
      </c>
      <c r="D21" s="260"/>
      <c r="E21" s="126" t="s">
        <v>760</v>
      </c>
      <c r="F21" s="261"/>
      <c r="G21" s="20"/>
      <c r="H21" s="262" t="s">
        <v>782</v>
      </c>
      <c r="I21" s="19"/>
      <c r="J21" s="246" t="str">
        <f t="shared" si="16"/>
        <v>*</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t="s">
        <v>725</v>
      </c>
      <c r="D22" s="260"/>
      <c r="E22" s="126" t="s">
        <v>755</v>
      </c>
      <c r="F22" s="261"/>
      <c r="G22" s="20"/>
      <c r="H22" s="20" t="s">
        <v>786</v>
      </c>
      <c r="I22" s="19"/>
      <c r="J22" s="246" t="str">
        <f t="shared" si="16"/>
        <v>*</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t="s">
        <v>726</v>
      </c>
      <c r="D23" s="260"/>
      <c r="E23" s="126" t="s">
        <v>761</v>
      </c>
      <c r="F23" s="261"/>
      <c r="G23" s="20"/>
      <c r="H23" s="262" t="s">
        <v>782</v>
      </c>
      <c r="I23" s="19"/>
      <c r="J23" s="246" t="str">
        <f t="shared" si="16"/>
        <v>*</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t="s">
        <v>727</v>
      </c>
      <c r="D24" s="260"/>
      <c r="E24" s="126" t="s">
        <v>762</v>
      </c>
      <c r="F24" s="261"/>
      <c r="G24" s="20"/>
      <c r="H24" s="262" t="s">
        <v>786</v>
      </c>
      <c r="I24" s="19"/>
      <c r="J24" s="246" t="str">
        <f t="shared" si="16"/>
        <v>*</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t="s">
        <v>728</v>
      </c>
      <c r="D25" s="260"/>
      <c r="E25" s="126" t="s">
        <v>763</v>
      </c>
      <c r="F25" s="261"/>
      <c r="G25" s="20"/>
      <c r="H25" s="262" t="s">
        <v>787</v>
      </c>
      <c r="I25" s="19"/>
      <c r="J25" s="246" t="str">
        <f t="shared" si="16"/>
        <v>*</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t="s">
        <v>729</v>
      </c>
      <c r="D26" s="260"/>
      <c r="E26" s="126" t="s">
        <v>764</v>
      </c>
      <c r="F26" s="261"/>
      <c r="G26" s="20"/>
      <c r="H26" s="262" t="s">
        <v>787</v>
      </c>
      <c r="I26" s="19"/>
      <c r="J26" s="246" t="str">
        <f t="shared" si="16"/>
        <v>*</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t="s">
        <v>730</v>
      </c>
      <c r="D27" s="260"/>
      <c r="E27" s="126" t="s">
        <v>765</v>
      </c>
      <c r="F27" s="261"/>
      <c r="G27" s="20"/>
      <c r="H27" s="262" t="s">
        <v>788</v>
      </c>
      <c r="I27" s="19"/>
      <c r="J27" s="246" t="str">
        <f t="shared" si="16"/>
        <v>*</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t="s">
        <v>731</v>
      </c>
      <c r="D28" s="260"/>
      <c r="E28" s="126" t="s">
        <v>764</v>
      </c>
      <c r="F28" s="261"/>
      <c r="G28" s="20"/>
      <c r="H28" s="262" t="s">
        <v>789</v>
      </c>
      <c r="I28" s="19"/>
      <c r="J28" s="246" t="str">
        <f t="shared" si="16"/>
        <v>*</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t="s">
        <v>732</v>
      </c>
      <c r="D29" s="260"/>
      <c r="E29" s="126" t="s">
        <v>766</v>
      </c>
      <c r="F29" s="261"/>
      <c r="G29" s="20"/>
      <c r="H29" s="262" t="s">
        <v>783</v>
      </c>
      <c r="I29" s="19"/>
      <c r="J29" s="246" t="str">
        <f t="shared" si="16"/>
        <v>*</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t="s">
        <v>733</v>
      </c>
      <c r="D30" s="260"/>
      <c r="E30" s="126" t="s">
        <v>767</v>
      </c>
      <c r="F30" s="261"/>
      <c r="G30" s="20"/>
      <c r="H30" s="262" t="s">
        <v>783</v>
      </c>
      <c r="I30" s="19"/>
      <c r="J30" s="246" t="str">
        <f t="shared" si="16"/>
        <v>*</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t="s">
        <v>734</v>
      </c>
      <c r="D31" s="260"/>
      <c r="E31" s="126" t="s">
        <v>750</v>
      </c>
      <c r="F31" s="263"/>
      <c r="G31" s="20"/>
      <c r="H31" s="20" t="s">
        <v>780</v>
      </c>
      <c r="I31" s="19"/>
      <c r="J31" s="246" t="str">
        <f t="shared" si="16"/>
        <v>*</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t="s">
        <v>735</v>
      </c>
      <c r="D32" s="260"/>
      <c r="E32" s="126" t="s">
        <v>768</v>
      </c>
      <c r="F32" s="261"/>
      <c r="G32" s="20"/>
      <c r="H32" s="262" t="s">
        <v>782</v>
      </c>
      <c r="I32" s="19"/>
      <c r="J32" s="246" t="str">
        <f t="shared" si="16"/>
        <v>*</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t="s">
        <v>736</v>
      </c>
      <c r="D33" s="260"/>
      <c r="E33" s="126" t="s">
        <v>769</v>
      </c>
      <c r="F33" s="261"/>
      <c r="G33" s="20"/>
      <c r="H33" s="262" t="s">
        <v>790</v>
      </c>
      <c r="I33" s="19"/>
      <c r="J33" s="246" t="str">
        <f t="shared" si="16"/>
        <v>*</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t="s">
        <v>737</v>
      </c>
      <c r="D34" s="260"/>
      <c r="E34" s="126" t="s">
        <v>753</v>
      </c>
      <c r="F34" s="261"/>
      <c r="G34" s="20"/>
      <c r="H34" s="262" t="s">
        <v>782</v>
      </c>
      <c r="I34" s="19"/>
      <c r="J34" s="246" t="str">
        <f t="shared" si="16"/>
        <v>*</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t="s">
        <v>737</v>
      </c>
      <c r="D35" s="260"/>
      <c r="E35" s="126" t="s">
        <v>753</v>
      </c>
      <c r="F35" s="261"/>
      <c r="G35" s="20"/>
      <c r="H35" s="262" t="s">
        <v>782</v>
      </c>
      <c r="I35" s="19"/>
      <c r="J35" s="246" t="str">
        <f t="shared" si="16"/>
        <v>*</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t="s">
        <v>738</v>
      </c>
      <c r="D36" s="260"/>
      <c r="E36" s="126" t="s">
        <v>750</v>
      </c>
      <c r="F36" s="261"/>
      <c r="G36" s="20"/>
      <c r="H36" s="262" t="s">
        <v>782</v>
      </c>
      <c r="I36" s="19"/>
      <c r="J36" s="246" t="str">
        <f t="shared" si="16"/>
        <v>*</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t="s">
        <v>737</v>
      </c>
      <c r="D37" s="260"/>
      <c r="E37" s="126" t="s">
        <v>753</v>
      </c>
      <c r="F37" s="261"/>
      <c r="G37" s="20"/>
      <c r="H37" s="262" t="s">
        <v>782</v>
      </c>
      <c r="I37" s="19"/>
      <c r="J37" s="246" t="str">
        <f t="shared" si="16"/>
        <v>*</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t="s">
        <v>737</v>
      </c>
      <c r="D38" s="260"/>
      <c r="E38" s="126" t="s">
        <v>770</v>
      </c>
      <c r="F38" s="261"/>
      <c r="G38" s="20"/>
      <c r="H38" s="262" t="s">
        <v>782</v>
      </c>
      <c r="I38" s="19"/>
      <c r="J38" s="246" t="str">
        <f t="shared" si="16"/>
        <v>*</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t="s">
        <v>737</v>
      </c>
      <c r="D39" s="260"/>
      <c r="E39" s="126" t="s">
        <v>753</v>
      </c>
      <c r="F39" s="261"/>
      <c r="G39" s="20"/>
      <c r="H39" s="262" t="s">
        <v>782</v>
      </c>
      <c r="I39" s="19"/>
      <c r="J39" s="246" t="str">
        <f t="shared" si="16"/>
        <v>*</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t="s">
        <v>739</v>
      </c>
      <c r="D40" s="260"/>
      <c r="E40" s="126" t="s">
        <v>771</v>
      </c>
      <c r="F40" s="261"/>
      <c r="G40" s="20"/>
      <c r="H40" s="262" t="s">
        <v>791</v>
      </c>
      <c r="I40" s="19"/>
      <c r="J40" s="246" t="str">
        <f t="shared" si="16"/>
        <v>*</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t="s">
        <v>740</v>
      </c>
      <c r="D41" s="260"/>
      <c r="E41" s="126" t="s">
        <v>755</v>
      </c>
      <c r="F41" s="261"/>
      <c r="G41" s="20"/>
      <c r="H41" s="262" t="s">
        <v>789</v>
      </c>
      <c r="I41" s="19"/>
      <c r="J41" s="246" t="str">
        <f t="shared" si="16"/>
        <v>*</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t="s">
        <v>741</v>
      </c>
      <c r="D42" s="260"/>
      <c r="E42" s="126" t="s">
        <v>772</v>
      </c>
      <c r="F42" s="261"/>
      <c r="G42" s="20"/>
      <c r="H42" s="262" t="s">
        <v>792</v>
      </c>
      <c r="I42" s="19"/>
      <c r="J42" s="246" t="str">
        <f t="shared" si="16"/>
        <v>*</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t="s">
        <v>742</v>
      </c>
      <c r="D43" s="260"/>
      <c r="E43" s="126" t="s">
        <v>754</v>
      </c>
      <c r="F43" s="261"/>
      <c r="G43" s="20"/>
      <c r="H43" s="20" t="s">
        <v>783</v>
      </c>
      <c r="I43" s="19"/>
      <c r="J43" s="246" t="str">
        <f t="shared" si="16"/>
        <v>*</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t="s">
        <v>743</v>
      </c>
      <c r="D44" s="260"/>
      <c r="E44" s="126" t="s">
        <v>773</v>
      </c>
      <c r="F44" s="261"/>
      <c r="G44" s="20"/>
      <c r="H44" s="262" t="s">
        <v>791</v>
      </c>
      <c r="I44" s="19"/>
      <c r="J44" s="246" t="str">
        <f t="shared" si="16"/>
        <v>*</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t="s">
        <v>744</v>
      </c>
      <c r="D45" s="260"/>
      <c r="E45" s="126" t="s">
        <v>750</v>
      </c>
      <c r="F45" s="263"/>
      <c r="G45" s="20"/>
      <c r="H45" s="262" t="s">
        <v>793</v>
      </c>
      <c r="I45" s="19"/>
      <c r="J45" s="246" t="str">
        <f t="shared" si="16"/>
        <v>*</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t="s">
        <v>745</v>
      </c>
      <c r="D46" s="260"/>
      <c r="E46" s="126" t="s">
        <v>774</v>
      </c>
      <c r="F46" s="261"/>
      <c r="G46" s="20"/>
      <c r="H46" s="262" t="s">
        <v>794</v>
      </c>
      <c r="I46" s="19"/>
      <c r="J46" s="246" t="str">
        <f t="shared" si="16"/>
        <v>*</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t="s">
        <v>746</v>
      </c>
      <c r="D47" s="260"/>
      <c r="E47" s="126" t="s">
        <v>750</v>
      </c>
      <c r="F47" s="261"/>
      <c r="G47" s="20"/>
      <c r="H47" s="20" t="s">
        <v>782</v>
      </c>
      <c r="I47" s="19"/>
      <c r="J47" s="246" t="str">
        <f t="shared" si="16"/>
        <v>*</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t="s">
        <v>746</v>
      </c>
      <c r="D48" s="260"/>
      <c r="E48" s="126" t="s">
        <v>770</v>
      </c>
      <c r="F48" s="261"/>
      <c r="G48" s="20"/>
      <c r="H48" s="20" t="s">
        <v>782</v>
      </c>
      <c r="I48" s="19"/>
      <c r="J48" s="246" t="str">
        <f t="shared" si="16"/>
        <v>*</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t="s">
        <v>747</v>
      </c>
      <c r="D49" s="260"/>
      <c r="E49" s="126" t="s">
        <v>775</v>
      </c>
      <c r="F49" s="261"/>
      <c r="G49" s="20"/>
      <c r="H49" s="262" t="s">
        <v>789</v>
      </c>
      <c r="I49" s="19"/>
      <c r="J49" s="246" t="str">
        <f t="shared" si="16"/>
        <v>*</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t="s">
        <v>748</v>
      </c>
      <c r="D50" s="260"/>
      <c r="E50" s="126" t="s">
        <v>754</v>
      </c>
      <c r="F50" s="261"/>
      <c r="G50" s="20"/>
      <c r="H50" s="262" t="s">
        <v>789</v>
      </c>
      <c r="I50" s="19"/>
      <c r="J50" s="246" t="str">
        <f t="shared" si="16"/>
        <v>*</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t="s">
        <v>749</v>
      </c>
      <c r="D51" s="260"/>
      <c r="E51" s="126" t="s">
        <v>776</v>
      </c>
      <c r="F51" s="261"/>
      <c r="G51" s="20"/>
      <c r="H51" s="20" t="s">
        <v>789</v>
      </c>
      <c r="I51" s="19"/>
      <c r="J51" s="246" t="str">
        <f t="shared" si="16"/>
        <v>*</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t="s">
        <v>748</v>
      </c>
      <c r="D52" s="260"/>
      <c r="E52" s="126" t="s">
        <v>777</v>
      </c>
      <c r="F52" s="261"/>
      <c r="G52" s="20"/>
      <c r="H52" s="262" t="s">
        <v>789</v>
      </c>
      <c r="I52" s="19"/>
      <c r="J52" s="246" t="str">
        <f t="shared" si="16"/>
        <v>*</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t="s">
        <v>748</v>
      </c>
      <c r="D53" s="260"/>
      <c r="E53" s="126" t="s">
        <v>761</v>
      </c>
      <c r="F53" s="261"/>
      <c r="G53" s="20"/>
      <c r="H53" s="262" t="s">
        <v>789</v>
      </c>
      <c r="I53" s="19"/>
      <c r="J53" s="246" t="str">
        <f t="shared" si="16"/>
        <v>*</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t="s">
        <v>748</v>
      </c>
      <c r="D54" s="260"/>
      <c r="E54" s="126" t="s">
        <v>761</v>
      </c>
      <c r="F54" s="261"/>
      <c r="G54" s="20"/>
      <c r="H54" s="262" t="s">
        <v>789</v>
      </c>
      <c r="I54" s="19"/>
      <c r="J54" s="246" t="str">
        <f t="shared" si="16"/>
        <v>*</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t="s">
        <v>748</v>
      </c>
      <c r="D55" s="260"/>
      <c r="E55" s="126" t="s">
        <v>761</v>
      </c>
      <c r="F55" s="261"/>
      <c r="G55" s="20"/>
      <c r="H55" s="262" t="s">
        <v>789</v>
      </c>
      <c r="I55" s="19"/>
      <c r="J55" s="246" t="str">
        <f t="shared" si="16"/>
        <v>*</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t="s">
        <v>748</v>
      </c>
      <c r="D56" s="260"/>
      <c r="E56" s="126" t="s">
        <v>755</v>
      </c>
      <c r="F56" s="261"/>
      <c r="G56" s="20"/>
      <c r="H56" s="262" t="s">
        <v>789</v>
      </c>
      <c r="I56" s="19"/>
      <c r="J56" s="246" t="str">
        <f t="shared" si="16"/>
        <v>*</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779</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779</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779</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779</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779</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779</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779</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779</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779</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779</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779</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779</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779</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779</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779</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779</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779</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779</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779</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779</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779</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779</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779</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779</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779</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779</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65">
      <formula>$B7="v"</formula>
    </cfRule>
  </conditionalFormatting>
  <conditionalFormatting sqref="P7:Q82">
    <cfRule type="expression" dxfId="2035" priority="164">
      <formula>$B7="v"</formula>
    </cfRule>
  </conditionalFormatting>
  <conditionalFormatting sqref="R7:R82">
    <cfRule type="expression" dxfId="2034" priority="163">
      <formula>$B7="v"</formula>
    </cfRule>
  </conditionalFormatting>
  <conditionalFormatting sqref="Z7:Z82 V7:V82 AL7:AL82 AH7:AH82 AD7:AD82 AX7:AX82 AT7:AT82 AP7:AP82 BJ7:BJ82 BF7:BF82 BB7:BB82 BV7:BV82 BR7:BR82 BN7:BN82">
    <cfRule type="expression" dxfId="2033" priority="162">
      <formula>$B7="v"</formula>
    </cfRule>
  </conditionalFormatting>
  <conditionalFormatting sqref="X7:Y82 T7:U82 AJ7:AK82 AF7:AG82 AB7:AC82 AR7:AS82 AN7:AO82 BH7:BI82 BD7:BE82 AZ7:BA82 BT7:BU82 BP7:BQ82 BL7:BM82">
    <cfRule type="expression" dxfId="2032" priority="161">
      <formula>$B7="v"</formula>
    </cfRule>
  </conditionalFormatting>
  <conditionalFormatting sqref="AV7:AW82">
    <cfRule type="expression" dxfId="2031" priority="160">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4">
      <formula>$K$4=1</formula>
    </cfRule>
  </conditionalFormatting>
  <conditionalFormatting sqref="M4:N4">
    <cfRule type="expression" dxfId="1876" priority="175">
      <formula>$K$4=1</formula>
    </cfRule>
  </conditionalFormatting>
  <conditionalFormatting sqref="L7:N82">
    <cfRule type="expression" dxfId="1875" priority="176">
      <formula>$K$4=""</formula>
    </cfRule>
  </conditionalFormatting>
  <conditionalFormatting sqref="P5:R6">
    <cfRule type="expression" dxfId="1874" priority="177">
      <formula>$O$4=1</formula>
    </cfRule>
  </conditionalFormatting>
  <conditionalFormatting sqref="P7:R82">
    <cfRule type="expression" dxfId="1873" priority="178">
      <formula>$O$4=1</formula>
    </cfRule>
  </conditionalFormatting>
  <conditionalFormatting sqref="Q4:R4">
    <cfRule type="expression" dxfId="1872" priority="179">
      <formula>$O$4=1</formula>
    </cfRule>
  </conditionalFormatting>
  <conditionalFormatting sqref="P7:R82">
    <cfRule type="expression" dxfId="1871" priority="180">
      <formula>$O$4=""</formula>
    </cfRule>
  </conditionalFormatting>
  <conditionalFormatting sqref="T5:V6">
    <cfRule type="expression" dxfId="1870" priority="181">
      <formula>$S$4=1</formula>
    </cfRule>
  </conditionalFormatting>
  <conditionalFormatting sqref="T7:V82">
    <cfRule type="expression" dxfId="1869" priority="182">
      <formula>$S$4=1</formula>
    </cfRule>
  </conditionalFormatting>
  <conditionalFormatting sqref="U4:V4">
    <cfRule type="expression" dxfId="1868" priority="183">
      <formula>$S$4=1</formula>
    </cfRule>
  </conditionalFormatting>
  <conditionalFormatting sqref="T7:V82">
    <cfRule type="expression" dxfId="1867" priority="184">
      <formula>$S$4=""</formula>
    </cfRule>
  </conditionalFormatting>
  <conditionalFormatting sqref="X5:Z6">
    <cfRule type="expression" dxfId="1866" priority="185">
      <formula>$W$4=1</formula>
    </cfRule>
  </conditionalFormatting>
  <conditionalFormatting sqref="X7:Z82">
    <cfRule type="expression" dxfId="1865" priority="186">
      <formula>$W$4=1</formula>
    </cfRule>
  </conditionalFormatting>
  <conditionalFormatting sqref="Y4:Z4">
    <cfRule type="expression" dxfId="1864" priority="187">
      <formula>$W$4=1</formula>
    </cfRule>
  </conditionalFormatting>
  <conditionalFormatting sqref="X7:Z82">
    <cfRule type="expression" dxfId="1863" priority="188">
      <formula>$W$4=""</formula>
    </cfRule>
  </conditionalFormatting>
  <conditionalFormatting sqref="AB5:AD6">
    <cfRule type="expression" dxfId="1862" priority="189">
      <formula>$AA$4=1</formula>
    </cfRule>
  </conditionalFormatting>
  <conditionalFormatting sqref="AB7:AD82">
    <cfRule type="expression" dxfId="1861" priority="190">
      <formula>$AA$4=1</formula>
    </cfRule>
  </conditionalFormatting>
  <conditionalFormatting sqref="AC4:AD4">
    <cfRule type="expression" dxfId="1860" priority="191">
      <formula>$AA$4=1</formula>
    </cfRule>
  </conditionalFormatting>
  <conditionalFormatting sqref="AB7:AD82">
    <cfRule type="expression" dxfId="1859" priority="192">
      <formula>$AA$4=""</formula>
    </cfRule>
  </conditionalFormatting>
  <conditionalFormatting sqref="AF5:AH6">
    <cfRule type="expression" dxfId="1858" priority="193">
      <formula>$AE$4=1</formula>
    </cfRule>
  </conditionalFormatting>
  <conditionalFormatting sqref="AF7:AH82">
    <cfRule type="expression" dxfId="1857" priority="194">
      <formula>$AE$4=1</formula>
    </cfRule>
  </conditionalFormatting>
  <conditionalFormatting sqref="AG4:AH4">
    <cfRule type="expression" dxfId="1856" priority="195">
      <formula>$AE$4=1</formula>
    </cfRule>
  </conditionalFormatting>
  <conditionalFormatting sqref="AF7:AH82">
    <cfRule type="expression" dxfId="1855" priority="196">
      <formula>$AE$4=""</formula>
    </cfRule>
  </conditionalFormatting>
  <conditionalFormatting sqref="AJ7:AL82">
    <cfRule type="expression" dxfId="1854" priority="197">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200">
      <formula>$AI$4=""</formula>
    </cfRule>
  </conditionalFormatting>
  <conditionalFormatting sqref="AN7:AP82">
    <cfRule type="expression" dxfId="1850" priority="201">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204">
      <formula>$AM$4=""</formula>
    </cfRule>
  </conditionalFormatting>
  <conditionalFormatting sqref="AR7:AT82">
    <cfRule type="expression" dxfId="1846" priority="205">
      <formula>$AQ$4=1</formula>
    </cfRule>
  </conditionalFormatting>
  <conditionalFormatting sqref="AR5:AT6">
    <cfRule type="expression" dxfId="1845" priority="206">
      <formula>$AQ$4=1</formula>
    </cfRule>
  </conditionalFormatting>
  <conditionalFormatting sqref="AR7:AT82">
    <cfRule type="expression" dxfId="1844" priority="207">
      <formula>$AQ$4=""</formula>
    </cfRule>
  </conditionalFormatting>
  <conditionalFormatting sqref="AV7:AX82">
    <cfRule type="expression" dxfId="1843" priority="208">
      <formula>$AU$4=1</formula>
    </cfRule>
  </conditionalFormatting>
  <conditionalFormatting sqref="AV5:AX6">
    <cfRule type="expression" dxfId="1842" priority="209">
      <formula>$AU$4=1</formula>
    </cfRule>
  </conditionalFormatting>
  <conditionalFormatting sqref="AV7:AX82">
    <cfRule type="expression" dxfId="1841" priority="210">
      <formula>$AU$4=""</formula>
    </cfRule>
  </conditionalFormatting>
  <conditionalFormatting sqref="AZ7:BB82">
    <cfRule type="expression" dxfId="1840" priority="211">
      <formula>$AY$4=1</formula>
    </cfRule>
  </conditionalFormatting>
  <conditionalFormatting sqref="AZ5:BB6">
    <cfRule type="expression" dxfId="1839" priority="212">
      <formula>$AY$4=1</formula>
    </cfRule>
  </conditionalFormatting>
  <conditionalFormatting sqref="AZ7:BB82">
    <cfRule type="expression" dxfId="1838" priority="213">
      <formula>$AY$4=""</formula>
    </cfRule>
  </conditionalFormatting>
  <conditionalFormatting sqref="BD7:BF82">
    <cfRule type="expression" dxfId="1837" priority="214">
      <formula>$BC$4=1</formula>
    </cfRule>
  </conditionalFormatting>
  <conditionalFormatting sqref="BD5:BF6">
    <cfRule type="expression" dxfId="1836" priority="215">
      <formula>$BC$4=1</formula>
    </cfRule>
  </conditionalFormatting>
  <conditionalFormatting sqref="BD7:BF82">
    <cfRule type="expression" dxfId="1835" priority="216">
      <formula>$BC$4=""</formula>
    </cfRule>
  </conditionalFormatting>
  <conditionalFormatting sqref="BH7:BJ82">
    <cfRule type="expression" dxfId="1834" priority="217">
      <formula>$BG$4=1</formula>
    </cfRule>
  </conditionalFormatting>
  <conditionalFormatting sqref="BH5:BJ6">
    <cfRule type="expression" dxfId="1833" priority="218">
      <formula>$BG$4=1</formula>
    </cfRule>
  </conditionalFormatting>
  <conditionalFormatting sqref="BH7:BJ82">
    <cfRule type="expression" dxfId="1832" priority="219">
      <formula>$BG$4=""</formula>
    </cfRule>
  </conditionalFormatting>
  <conditionalFormatting sqref="BL7:BN82">
    <cfRule type="expression" dxfId="1831" priority="220">
      <formula>$BK$4=1</formula>
    </cfRule>
  </conditionalFormatting>
  <conditionalFormatting sqref="BL5:BN6">
    <cfRule type="expression" dxfId="1830" priority="221">
      <formula>$BK$4=1</formula>
    </cfRule>
  </conditionalFormatting>
  <conditionalFormatting sqref="BL7:BN82">
    <cfRule type="expression" dxfId="1829" priority="222">
      <formula>$BK$4=""</formula>
    </cfRule>
  </conditionalFormatting>
  <conditionalFormatting sqref="BP7:BR82">
    <cfRule type="expression" dxfId="1828" priority="223">
      <formula>$BO$4=1</formula>
    </cfRule>
  </conditionalFormatting>
  <conditionalFormatting sqref="BP5:BR6">
    <cfRule type="expression" dxfId="1827" priority="224">
      <formula>$BO$4=1</formula>
    </cfRule>
  </conditionalFormatting>
  <conditionalFormatting sqref="BP7:BR82">
    <cfRule type="expression" dxfId="1826" priority="225">
      <formula>$BO$4=""</formula>
    </cfRule>
  </conditionalFormatting>
  <conditionalFormatting sqref="BT7:BV82">
    <cfRule type="expression" dxfId="1825" priority="226">
      <formula>$BS$4=1</formula>
    </cfRule>
  </conditionalFormatting>
  <conditionalFormatting sqref="BT5:BV6">
    <cfRule type="expression" dxfId="1824" priority="227">
      <formula>$BS$4=1</formula>
    </cfRule>
  </conditionalFormatting>
  <conditionalFormatting sqref="BT7:BV82">
    <cfRule type="expression" dxfId="1823" priority="228">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63">
    <dataValidation type="list" allowBlank="1" showInputMessage="1" showErrorMessage="1" sqref="F2" xr:uid="{CA71D105-1509-4439-A178-0B40F98615FB}">
      <formula1>"1, 2, 3, 4, 5, 6, 7, 8, 9, 10, 11, 12, 13, 14, 15, 16, 17"</formula1>
    </dataValidation>
    <dataValidation type="list" allowBlank="1" showInputMessage="1" showErrorMessage="1" sqref="B7:B82" xr:uid="{18657968-5301-4409-AD81-C64E5AA42521}">
      <formula1>"v"</formula1>
    </dataValidation>
    <dataValidation type="list" allowBlank="1" showInputMessage="1" showErrorMessage="1" sqref="BP7:BP82 AV7:AV82 BL7:BL82 BT7:BT82 BH7:BH82 BD7:BD82 AZ7:AZ82" xr:uid="{6E99656B-5D8E-4AF5-8D78-01FA848DECD4}">
      <formula1>"&lt;, &lt;=, &gt;, &gt;=, ="</formula1>
    </dataValidation>
    <dataValidation type="list" allowBlank="1" showInputMessage="1" showErrorMessage="1" sqref="D7" xr:uid="{ADCCCC5F-CC7B-4F92-BC2F-942F44C53563}">
      <formula1>"* ,[ASTM] D4176 Procedure 1"</formula1>
    </dataValidation>
    <dataValidation type="list" allowBlank="1" showInputMessage="1" showErrorMessage="1" sqref="D8 D12" xr:uid="{A1C687E3-B4F6-4DE6-934F-33C0AEAB197A}">
      <formula1>"* ,[OTHER] Visual"</formula1>
    </dataValidation>
    <dataValidation type="list" allowBlank="1" showInputMessage="1" showErrorMessage="1" sqref="D9" xr:uid="{C7579B3D-009B-45C3-8E84-EA4383BB55B8}">
      <formula1>"* ,[ASTM] D5580,[ASTM] D1319,[ASTM] D6839,[ASTM] D5134,[ASTM] D5443"</formula1>
    </dataValidation>
    <dataValidation type="list" allowBlank="1" showInputMessage="1" showErrorMessage="1" sqref="D10" xr:uid="{8073E3ED-EE6B-46E5-9300-12CA7E98988D}">
      <formula1>"* ,[ASTM] D5580,[ASTM] D5443"</formula1>
    </dataValidation>
    <dataValidation type="list" allowBlank="1" showInputMessage="1" showErrorMessage="1" sqref="D11" xr:uid="{FBB62A1F-89BE-4167-ADF7-BC0A4AEB1E97}">
      <formula1>"* ,[ASTM] D6839,[ASTM] D5580,[ASTM] D3606,[ASTM] D4053"</formula1>
    </dataValidation>
    <dataValidation type="list" allowBlank="1" showInputMessage="1" showErrorMessage="1" sqref="D13" xr:uid="{C50B03A4-4CC0-4958-8F4B-31F00947FAFE}">
      <formula1>"* ,[ASTM] D130"</formula1>
    </dataValidation>
    <dataValidation type="list" allowBlank="1" showInputMessage="1" showErrorMessage="1" sqref="D14" xr:uid="{27FB952F-70EA-46FE-AE66-2C92D9EBA6D6}">
      <formula1>"* ,[ASTM] D4052,[ASTM] D1298"</formula1>
    </dataValidation>
    <dataValidation type="list" allowBlank="1" showInputMessage="1" showErrorMessage="1" sqref="D15 D16 D17 D18 D19 D20 D21" xr:uid="{A4FE0985-17FD-4D2F-A29A-45397CE00778}">
      <formula1>"* ,[ASTM] D86"</formula1>
    </dataValidation>
    <dataValidation type="list" allowBlank="1" showInputMessage="1" showErrorMessage="1" sqref="D22" xr:uid="{DB89A903-722B-455E-82A3-2670776E6D1B}">
      <formula1>"* ,[OTHER] CGSB 3.5"</formula1>
    </dataValidation>
    <dataValidation type="list" allowBlank="1" showInputMessage="1" showErrorMessage="1" sqref="D23 D33 D36" xr:uid="{26313413-A9C8-4A3C-9F25-DB3A14949273}">
      <formula1>"* ,[ASTM] D4815-04"</formula1>
    </dataValidation>
    <dataValidation type="list" allowBlank="1" showInputMessage="1" showErrorMessage="1" sqref="D24" xr:uid="{964A4D15-EAB5-4C34-9617-3DDD6EC525F8}">
      <formula1>"* ,[OTHER] Calculation"</formula1>
    </dataValidation>
    <dataValidation type="list" allowBlank="1" showInputMessage="1" showErrorMessage="1" sqref="D25 D26" xr:uid="{8A571239-02BC-4468-9906-E28A5E9396CD}">
      <formula1>"* ,[ASTM] D381"</formula1>
    </dataValidation>
    <dataValidation type="list" allowBlank="1" showInputMessage="1" showErrorMessage="1" sqref="D27" xr:uid="{85390CB4-E308-400E-95EC-12E4FFBEBAEA}">
      <formula1>"* ,[ASTM] D525"</formula1>
    </dataValidation>
    <dataValidation type="list" allowBlank="1" showInputMessage="1" showErrorMessage="1" sqref="D28" xr:uid="{C84E0CDC-B9E4-4B8B-A4A9-3B0209013F21}">
      <formula1>"* ,[IP] IP 352,[ASTM] D3237,[ASTM] D5059"</formula1>
    </dataValidation>
    <dataValidation type="list" allowBlank="1" showInputMessage="1" showErrorMessage="1" sqref="D29" xr:uid="{3DC9DA15-D01A-41B9-93BD-E0488482FC42}">
      <formula1>"* ,[ASTM] D2700"</formula1>
    </dataValidation>
    <dataValidation type="list" allowBlank="1" showInputMessage="1" showErrorMessage="1" sqref="D30" xr:uid="{29840B8E-5BE0-4F7A-8017-B8231014E532}">
      <formula1>"* ,[ASTM] D2699"</formula1>
    </dataValidation>
    <dataValidation type="list" allowBlank="1" showInputMessage="1" showErrorMessage="1" sqref="D31" xr:uid="{2050CA93-7057-4BB4-855B-CE2E32F51EB6}">
      <formula1>"* ,[OTHER] Odor"</formula1>
    </dataValidation>
    <dataValidation type="list" allowBlank="1" showInputMessage="1" showErrorMessage="1" sqref="D32" xr:uid="{3C22D1C4-A051-4C5A-88BA-FBDCCD705E8B}">
      <formula1>"* ,[ASTM] D1319"</formula1>
    </dataValidation>
    <dataValidation type="list" allowBlank="1" showInputMessage="1" showErrorMessage="1" sqref="D34 D35 D37 D38 D39" xr:uid="{9C1FD02D-5C4B-4809-9555-327491CE36CF}">
      <formula1>"* ,[ASTM] D4815"</formula1>
    </dataValidation>
    <dataValidation type="list" allowBlank="1" showInputMessage="1" showErrorMessage="1" sqref="D40" xr:uid="{0824E17C-1B7D-439E-933C-7B369D226E3A}">
      <formula1>"[IP] IP 336,[ASTM] D5453,[ASTM] D2622"</formula1>
    </dataValidation>
    <dataValidation type="list" allowBlank="1" showInputMessage="1" showErrorMessage="1" sqref="D41" xr:uid="{15F20864-C7C6-40C8-AC60-7EAEA42E67B7}">
      <formula1>"* ,[ASTM] D5452"</formula1>
    </dataValidation>
    <dataValidation type="list" allowBlank="1" showInputMessage="1" showErrorMessage="1" sqref="D42" xr:uid="{1E4EF993-312D-4D20-AC72-77C365567FFB}">
      <formula1>"* ,[ASTM] D3231"</formula1>
    </dataValidation>
    <dataValidation type="list" allowBlank="1" showInputMessage="1" showErrorMessage="1" sqref="D43" xr:uid="{1FFC9653-2004-4E1C-A5A2-926AFB37800F}">
      <formula1>"* ,[ASTM] D7671"</formula1>
    </dataValidation>
    <dataValidation type="list" allowBlank="1" showInputMessage="1" showErrorMessage="1" sqref="D44" xr:uid="{4E914BB4-7C55-44E4-BAF3-3D2EEDDFB909}">
      <formula1>"* ,[IP] IP 342,[ASTM] D3227"</formula1>
    </dataValidation>
    <dataValidation type="list" allowBlank="1" showInputMessage="1" showErrorMessage="1" sqref="D45" xr:uid="{4C2FDA89-4DCA-49B9-8132-415DA1A0F4AA}">
      <formula1>"* ,[ASTM] D4952,[IP] IP 30"</formula1>
    </dataValidation>
    <dataValidation type="list" allowBlank="1" showInputMessage="1" showErrorMessage="1" sqref="D46" xr:uid="{1368ABF1-CFC4-4853-A663-376948651263}">
      <formula1>"* ,[ASTM] D5191 (ASTM),[ASTM] D323"</formula1>
    </dataValidation>
    <dataValidation type="list" allowBlank="1" showInputMessage="1" showErrorMessage="1" sqref="D47 D48" xr:uid="{B857AA9C-0CEF-459E-89B0-BAA066D5E257}">
      <formula1>"* ,[OTHER] Declaration"</formula1>
    </dataValidation>
    <dataValidation type="list" allowBlank="1" showInputMessage="1" showErrorMessage="1" sqref="D49" xr:uid="{8E495806-2A25-499A-AEC1-A6C79E4987BB}">
      <formula1>"* ,[OTHER] Not Listed"</formula1>
    </dataValidation>
    <dataValidation type="list" allowBlank="1" showInputMessage="1" showErrorMessage="1" sqref="D50 D52 D53 D54 D55 D56" xr:uid="{96AAAD52-12D4-436A-BAB9-1511AE6E41CF}">
      <formula1>"* ,[OTHER] Additives (declaration)"</formula1>
    </dataValidation>
    <dataValidation type="list" allowBlank="1" showInputMessage="1" showErrorMessage="1" sqref="D51" xr:uid="{501CA410-58F2-44A3-83CD-0A3463F5F840}">
      <formula1>"* ,[OTHER] Additive - Antioxidant (declaration)"</formula1>
    </dataValidation>
    <dataValidation type="list" allowBlank="1" showInputMessage="1" showErrorMessage="1" sqref="H7 H8" xr:uid="{772D5CCB-D172-4546-A138-B45687610AE8}">
      <formula1>"pass/fail,visual"</formula1>
    </dataValidation>
    <dataValidation type="list" allowBlank="1" showInputMessage="1" showErrorMessage="1" sqref="H9 H10" xr:uid="{6F574C24-7000-4F35-AD53-54404B1E097E}">
      <formula1>"ppm,%liq vol,%m/m,%mole,%vol"</formula1>
    </dataValidation>
    <dataValidation type="list" allowBlank="1" showInputMessage="1" showErrorMessage="1" sqref="H11" xr:uid="{6C6361F1-D4E4-4B68-A0D9-9E4F1FFBC609}">
      <formula1>"mg/kg,ppm v/v,ppm w/w,%wt,%vol"</formula1>
    </dataValidation>
    <dataValidation type="list" allowBlank="1" showInputMessage="1" showErrorMessage="1" sqref="H12" xr:uid="{5E0CD19F-1B96-41C6-9FE1-2DA805FAACBF}">
      <formula1>"haze no,Pt/Co scale,pass/fail,rating,visual"</formula1>
    </dataValidation>
    <dataValidation type="list" allowBlank="1" showInputMessage="1" showErrorMessage="1" sqref="H13 H43" xr:uid="{31CD39C8-5148-475A-A66A-738CE2B3C358}">
      <formula1>"rating"</formula1>
    </dataValidation>
    <dataValidation type="list" allowBlank="1" showInputMessage="1" showErrorMessage="1" sqref="H14" xr:uid="{8962EE83-5630-4BB5-9E58-CAC180A1CE51}">
      <formula1>"g/ cc,g/l,g/cm³,g/ml,kg/m³,kg/l,n/a,tonne/m³"</formula1>
    </dataValidation>
    <dataValidation type="list" allowBlank="1" showInputMessage="1" showErrorMessage="1" sqref="H15 H16 H17 H18 H19 H20 H21" xr:uid="{83699A88-FC0F-4A5E-8835-6EC5A3625DFC}">
      <formula1>"°C,°F,%,%vol"</formula1>
    </dataValidation>
    <dataValidation type="list" allowBlank="1" showInputMessage="1" showErrorMessage="1" sqref="H22" xr:uid="{B337452D-12A7-4AE2-AAF9-82F6B6EDFACC}">
      <formula1>"calc"</formula1>
    </dataValidation>
    <dataValidation type="list" allowBlank="1" showInputMessage="1" showErrorMessage="1" sqref="H23" xr:uid="{16F0B94A-DADE-4A9B-97C1-815833E3DE88}">
      <formula1>"ppm,%vol"</formula1>
    </dataValidation>
    <dataValidation type="list" allowBlank="1" showInputMessage="1" showErrorMessage="1" sqref="H24" xr:uid="{ABBAF41B-D27B-4086-B1D2-4ADC9B91F51B}">
      <formula1>"calc,Min,Max,min/max"</formula1>
    </dataValidation>
    <dataValidation type="list" allowBlank="1" showInputMessage="1" showErrorMessage="1" sqref="H25 H26" xr:uid="{04F5E5DD-D8ED-40FE-8E8A-B4A723D6B044}">
      <formula1>"g/m³,mg/100ml,mg/l"</formula1>
    </dataValidation>
    <dataValidation type="list" allowBlank="1" showInputMessage="1" showErrorMessage="1" sqref="H27" xr:uid="{28E4E576-159A-40D8-B5FD-6EC6CD28FD76}">
      <formula1>"g/cm³,hrs,kg/m³,mg/100ml,mg/l,mins,rating"</formula1>
    </dataValidation>
    <dataValidation type="list" allowBlank="1" showInputMessage="1" showErrorMessage="1" sqref="H28" xr:uid="{FFD819CC-CAF5-4058-8CAC-FED2CB3ABD9D}">
      <formula1>"g Pb/l,g Pb/US gal,g/US gal,mg/kg,mg/l,ppb,ppm,ppm w/w,%vol"</formula1>
    </dataValidation>
    <dataValidation type="list" allowBlank="1" showInputMessage="1" showErrorMessage="1" sqref="H29 H30" xr:uid="{DEF9661B-DA2D-4280-B017-B8400AB9F985}">
      <formula1>"mg/kg,mg/l,ppm,ppm w/w,%wt,rating"</formula1>
    </dataValidation>
    <dataValidation type="list" allowBlank="1" showInputMessage="1" showErrorMessage="1" sqref="H31" xr:uid="{6D7411D0-7E74-433C-A5EE-051DC779982A}">
      <formula1>"pass/fail"</formula1>
    </dataValidation>
    <dataValidation type="list" allowBlank="1" showInputMessage="1" showErrorMessage="1" sqref="H32" xr:uid="{C0FAE624-9DA0-4AF6-AB43-C08505576736}">
      <formula1>"ppm,%liq vol,%m/m,%mole,%wt,%vol"</formula1>
    </dataValidation>
    <dataValidation type="list" allowBlank="1" showInputMessage="1" showErrorMessage="1" sqref="H33" xr:uid="{443E7509-947F-4890-9EF5-C930A86D5046}">
      <formula1>"%m,%mole,%vol,ppm-mol"</formula1>
    </dataValidation>
    <dataValidation type="list" allowBlank="1" showInputMessage="1" showErrorMessage="1" sqref="H34 H35 H37 H38 H39" xr:uid="{55A8FB67-C889-415F-B221-2E04E3E0FF7E}">
      <formula1>"mg/100ml,mg/kg,ppm,ppm v/v,%m/m,%mole,%wt,%vol"</formula1>
    </dataValidation>
    <dataValidation type="list" allowBlank="1" showInputMessage="1" showErrorMessage="1" sqref="H36" xr:uid="{15F0CCEA-A10C-4E43-A233-0082AD1D868F}">
      <formula1>"ppm w/w,%vol"</formula1>
    </dataValidation>
    <dataValidation type="list" allowBlank="1" showInputMessage="1" showErrorMessage="1" sqref="H40" xr:uid="{AD28D2D9-8782-4814-9BCB-86AE4C151B80}">
      <formula1>"μg/g,mg/kg,mg/l,ppm,%m,%m/m,%wt"</formula1>
    </dataValidation>
    <dataValidation type="list" allowBlank="1" showInputMessage="1" showErrorMessage="1" sqref="H41" xr:uid="{7407FDA8-E9D1-4143-937B-F011D485F926}">
      <formula1>"g/cm³,μm,mg/100ml,mg/kg,mg/l,mins,ppm,%liq vol"</formula1>
    </dataValidation>
    <dataValidation type="list" allowBlank="1" showInputMessage="1" showErrorMessage="1" sqref="H42" xr:uid="{865811B6-7DD9-49CD-8994-24C5E16829A2}">
      <formula1>"g P/US gal,mg P/l"</formula1>
    </dataValidation>
    <dataValidation type="list" allowBlank="1" showInputMessage="1" showErrorMessage="1" sqref="H44" xr:uid="{964A2B17-4BC6-4B51-A3F1-744ECA4A2E49}">
      <formula1>"mg/kg,mg/m³,ppm,%m,%m/m,%mole,%wt,%vol"</formula1>
    </dataValidation>
    <dataValidation type="list" allowBlank="1" showInputMessage="1" showErrorMessage="1" sqref="H45" xr:uid="{79056EE0-D455-4627-A365-69FD0161712C}">
      <formula1>"pos/neg,pass/fail"</formula1>
    </dataValidation>
    <dataValidation type="list" allowBlank="1" showInputMessage="1" showErrorMessage="1" sqref="H46" xr:uid="{AEBD2ECE-509F-4A80-9CC1-D0E8B7685F95}">
      <formula1>"kg/cm²,kPa,mm Hg,psi"</formula1>
    </dataValidation>
    <dataValidation type="list" allowBlank="1" showInputMessage="1" showErrorMessage="1" sqref="H47 H48" xr:uid="{D6ECAC56-FF1A-458B-9590-EE9097FBD0EB}">
      <formula1>"%vol"</formula1>
    </dataValidation>
    <dataValidation type="list" allowBlank="1" showInputMessage="1" showErrorMessage="1" sqref="H49" xr:uid="{B2591764-A2B9-4CF7-98EE-A8088CAD78FA}">
      <formula1>"mg/l,lb/1000 bbl"</formula1>
    </dataValidation>
    <dataValidation type="list" allowBlank="1" showInputMessage="1" showErrorMessage="1" sqref="H50 H52 H53 H54 H55 H56" xr:uid="{053B486B-BE94-488E-8D39-A7933931BC25}">
      <formula1>"mg/kg,mg/l,ppm"</formula1>
    </dataValidation>
    <dataValidation type="list" allowBlank="1" showInputMessage="1" showErrorMessage="1" sqref="H51" xr:uid="{7F326453-AA03-4715-8AD7-EADEF02D41AE}">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53D67567-494B-459D-8729-69150CCFBBA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1A0DEBD-B939-426D-9298-5E5C899F7E69}">
          <x14:formula1>
            <xm:f>Sheet3!$J$153:$J$168</xm:f>
          </x14:formula1>
          <xm:sqref>AT7:AT82 N7:N82 R7:R82 V7:V82 Z7:Z82 AD7:AD82 AH7:AH82 AL7:AL82 AP7:AP82 H57:H82</xm:sqref>
        </x14:dataValidation>
        <x14:dataValidation type="list" allowBlank="1" showInputMessage="1" showErrorMessage="1" xr:uid="{0434155C-D424-4638-ABC5-31FE59403C8F}">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C78AD-8A8C-46C0-A1F4-F836C0C19CED}">
  <sheetPr codeName="Sheet6">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232</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65">
      <formula>$B7="v"</formula>
    </cfRule>
  </conditionalFormatting>
  <conditionalFormatting sqref="P7:Q82">
    <cfRule type="expression" dxfId="1808" priority="164">
      <formula>$B7="v"</formula>
    </cfRule>
  </conditionalFormatting>
  <conditionalFormatting sqref="R7:R82">
    <cfRule type="expression" dxfId="1807" priority="163">
      <formula>$B7="v"</formula>
    </cfRule>
  </conditionalFormatting>
  <conditionalFormatting sqref="Z7:Z82 V7:V82 AL7:AL82 AH7:AH82 AD7:AD82 AX7:AX82 AT7:AT82 AP7:AP82 BJ7:BJ82 BF7:BF82 BB7:BB82 BV7:BV82 BR7:BR82 BN7:BN82">
    <cfRule type="expression" dxfId="1806" priority="162">
      <formula>$B7="v"</formula>
    </cfRule>
  </conditionalFormatting>
  <conditionalFormatting sqref="X7:Y82 T7:U82 AJ7:AK82 AF7:AG82 AB7:AC82 AR7:AS82 AN7:AO82 BH7:BI82 BD7:BE82 AZ7:BA82 BT7:BU82 BP7:BQ82 BL7:BM82">
    <cfRule type="expression" dxfId="1805" priority="161">
      <formula>$B7="v"</formula>
    </cfRule>
  </conditionalFormatting>
  <conditionalFormatting sqref="AV7:AW82">
    <cfRule type="expression" dxfId="1804" priority="160">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4">
      <formula>$K$4=1</formula>
    </cfRule>
  </conditionalFormatting>
  <conditionalFormatting sqref="M4:N4">
    <cfRule type="expression" dxfId="1649" priority="175">
      <formula>$K$4=1</formula>
    </cfRule>
  </conditionalFormatting>
  <conditionalFormatting sqref="L7:N82">
    <cfRule type="expression" dxfId="1648" priority="176">
      <formula>$K$4=""</formula>
    </cfRule>
  </conditionalFormatting>
  <conditionalFormatting sqref="P5:R6">
    <cfRule type="expression" dxfId="1647" priority="177">
      <formula>$O$4=1</formula>
    </cfRule>
  </conditionalFormatting>
  <conditionalFormatting sqref="P7:R82">
    <cfRule type="expression" dxfId="1646" priority="178">
      <formula>$O$4=1</formula>
    </cfRule>
  </conditionalFormatting>
  <conditionalFormatting sqref="Q4:R4">
    <cfRule type="expression" dxfId="1645" priority="179">
      <formula>$O$4=1</formula>
    </cfRule>
  </conditionalFormatting>
  <conditionalFormatting sqref="P7:R82">
    <cfRule type="expression" dxfId="1644" priority="180">
      <formula>$O$4=""</formula>
    </cfRule>
  </conditionalFormatting>
  <conditionalFormatting sqref="T5:V6">
    <cfRule type="expression" dxfId="1643" priority="181">
      <formula>$S$4=1</formula>
    </cfRule>
  </conditionalFormatting>
  <conditionalFormatting sqref="T7:V82">
    <cfRule type="expression" dxfId="1642" priority="182">
      <formula>$S$4=1</formula>
    </cfRule>
  </conditionalFormatting>
  <conditionalFormatting sqref="U4:V4">
    <cfRule type="expression" dxfId="1641" priority="183">
      <formula>$S$4=1</formula>
    </cfRule>
  </conditionalFormatting>
  <conditionalFormatting sqref="T7:V82">
    <cfRule type="expression" dxfId="1640" priority="184">
      <formula>$S$4=""</formula>
    </cfRule>
  </conditionalFormatting>
  <conditionalFormatting sqref="X5:Z6">
    <cfRule type="expression" dxfId="1639" priority="185">
      <formula>$W$4=1</formula>
    </cfRule>
  </conditionalFormatting>
  <conditionalFormatting sqref="X7:Z82">
    <cfRule type="expression" dxfId="1638" priority="186">
      <formula>$W$4=1</formula>
    </cfRule>
  </conditionalFormatting>
  <conditionalFormatting sqref="Y4:Z4">
    <cfRule type="expression" dxfId="1637" priority="187">
      <formula>$W$4=1</formula>
    </cfRule>
  </conditionalFormatting>
  <conditionalFormatting sqref="X7:Z82">
    <cfRule type="expression" dxfId="1636" priority="188">
      <formula>$W$4=""</formula>
    </cfRule>
  </conditionalFormatting>
  <conditionalFormatting sqref="AB5:AD6">
    <cfRule type="expression" dxfId="1635" priority="189">
      <formula>$AA$4=1</formula>
    </cfRule>
  </conditionalFormatting>
  <conditionalFormatting sqref="AB7:AD82">
    <cfRule type="expression" dxfId="1634" priority="190">
      <formula>$AA$4=1</formula>
    </cfRule>
  </conditionalFormatting>
  <conditionalFormatting sqref="AC4:AD4">
    <cfRule type="expression" dxfId="1633" priority="191">
      <formula>$AA$4=1</formula>
    </cfRule>
  </conditionalFormatting>
  <conditionalFormatting sqref="AB7:AD82">
    <cfRule type="expression" dxfId="1632" priority="192">
      <formula>$AA$4=""</formula>
    </cfRule>
  </conditionalFormatting>
  <conditionalFormatting sqref="AF5:AH6">
    <cfRule type="expression" dxfId="1631" priority="193">
      <formula>$AE$4=1</formula>
    </cfRule>
  </conditionalFormatting>
  <conditionalFormatting sqref="AF7:AH82">
    <cfRule type="expression" dxfId="1630" priority="194">
      <formula>$AE$4=1</formula>
    </cfRule>
  </conditionalFormatting>
  <conditionalFormatting sqref="AG4:AH4">
    <cfRule type="expression" dxfId="1629" priority="195">
      <formula>$AE$4=1</formula>
    </cfRule>
  </conditionalFormatting>
  <conditionalFormatting sqref="AF7:AH82">
    <cfRule type="expression" dxfId="1628" priority="196">
      <formula>$AE$4=""</formula>
    </cfRule>
  </conditionalFormatting>
  <conditionalFormatting sqref="AJ7:AL82">
    <cfRule type="expression" dxfId="1627" priority="197">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200">
      <formula>$AI$4=""</formula>
    </cfRule>
  </conditionalFormatting>
  <conditionalFormatting sqref="AN7:AP82">
    <cfRule type="expression" dxfId="1623" priority="201">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204">
      <formula>$AM$4=""</formula>
    </cfRule>
  </conditionalFormatting>
  <conditionalFormatting sqref="AR7:AT82">
    <cfRule type="expression" dxfId="1619" priority="205">
      <formula>$AQ$4=1</formula>
    </cfRule>
  </conditionalFormatting>
  <conditionalFormatting sqref="AR5:AT6">
    <cfRule type="expression" dxfId="1618" priority="206">
      <formula>$AQ$4=1</formula>
    </cfRule>
  </conditionalFormatting>
  <conditionalFormatting sqref="AR7:AT82">
    <cfRule type="expression" dxfId="1617" priority="207">
      <formula>$AQ$4=""</formula>
    </cfRule>
  </conditionalFormatting>
  <conditionalFormatting sqref="AV7:AX82">
    <cfRule type="expression" dxfId="1616" priority="208">
      <formula>$AU$4=1</formula>
    </cfRule>
  </conditionalFormatting>
  <conditionalFormatting sqref="AV5:AX6">
    <cfRule type="expression" dxfId="1615" priority="209">
      <formula>$AU$4=1</formula>
    </cfRule>
  </conditionalFormatting>
  <conditionalFormatting sqref="AV7:AX82">
    <cfRule type="expression" dxfId="1614" priority="210">
      <formula>$AU$4=""</formula>
    </cfRule>
  </conditionalFormatting>
  <conditionalFormatting sqref="AZ7:BB82">
    <cfRule type="expression" dxfId="1613" priority="211">
      <formula>$AY$4=1</formula>
    </cfRule>
  </conditionalFormatting>
  <conditionalFormatting sqref="AZ5:BB6">
    <cfRule type="expression" dxfId="1612" priority="212">
      <formula>$AY$4=1</formula>
    </cfRule>
  </conditionalFormatting>
  <conditionalFormatting sqref="AZ7:BB82">
    <cfRule type="expression" dxfId="1611" priority="213">
      <formula>$AY$4=""</formula>
    </cfRule>
  </conditionalFormatting>
  <conditionalFormatting sqref="BD7:BF82">
    <cfRule type="expression" dxfId="1610" priority="214">
      <formula>$BC$4=1</formula>
    </cfRule>
  </conditionalFormatting>
  <conditionalFormatting sqref="BD5:BF6">
    <cfRule type="expression" dxfId="1609" priority="215">
      <formula>$BC$4=1</formula>
    </cfRule>
  </conditionalFormatting>
  <conditionalFormatting sqref="BD7:BF82">
    <cfRule type="expression" dxfId="1608" priority="216">
      <formula>$BC$4=""</formula>
    </cfRule>
  </conditionalFormatting>
  <conditionalFormatting sqref="BH7:BJ82">
    <cfRule type="expression" dxfId="1607" priority="217">
      <formula>$BG$4=1</formula>
    </cfRule>
  </conditionalFormatting>
  <conditionalFormatting sqref="BH5:BJ6">
    <cfRule type="expression" dxfId="1606" priority="218">
      <formula>$BG$4=1</formula>
    </cfRule>
  </conditionalFormatting>
  <conditionalFormatting sqref="BH7:BJ82">
    <cfRule type="expression" dxfId="1605" priority="219">
      <formula>$BG$4=""</formula>
    </cfRule>
  </conditionalFormatting>
  <conditionalFormatting sqref="BL7:BN82">
    <cfRule type="expression" dxfId="1604" priority="220">
      <formula>$BK$4=1</formula>
    </cfRule>
  </conditionalFormatting>
  <conditionalFormatting sqref="BL5:BN6">
    <cfRule type="expression" dxfId="1603" priority="221">
      <formula>$BK$4=1</formula>
    </cfRule>
  </conditionalFormatting>
  <conditionalFormatting sqref="BL7:BN82">
    <cfRule type="expression" dxfId="1602" priority="222">
      <formula>$BK$4=""</formula>
    </cfRule>
  </conditionalFormatting>
  <conditionalFormatting sqref="BP7:BR82">
    <cfRule type="expression" dxfId="1601" priority="223">
      <formula>$BO$4=1</formula>
    </cfRule>
  </conditionalFormatting>
  <conditionalFormatting sqref="BP5:BR6">
    <cfRule type="expression" dxfId="1600" priority="224">
      <formula>$BO$4=1</formula>
    </cfRule>
  </conditionalFormatting>
  <conditionalFormatting sqref="BP7:BR82">
    <cfRule type="expression" dxfId="1599" priority="225">
      <formula>$BO$4=""</formula>
    </cfRule>
  </conditionalFormatting>
  <conditionalFormatting sqref="BT7:BV82">
    <cfRule type="expression" dxfId="1598" priority="226">
      <formula>$BS$4=1</formula>
    </cfRule>
  </conditionalFormatting>
  <conditionalFormatting sqref="BT5:BV6">
    <cfRule type="expression" dxfId="1597" priority="227">
      <formula>$BS$4=1</formula>
    </cfRule>
  </conditionalFormatting>
  <conditionalFormatting sqref="BT7:BV82">
    <cfRule type="expression" dxfId="1596" priority="228">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0F1A2EFC-6DC4-4D4D-BB5A-B1B2F0D8A613}">
      <formula1>"&lt;, &lt;=, &gt;, &gt;=, ="</formula1>
    </dataValidation>
    <dataValidation type="list" allowBlank="1" showInputMessage="1" showErrorMessage="1" sqref="B7:B82" xr:uid="{C128A359-20EE-42E7-B863-3DEA225EFE67}">
      <formula1>"v"</formula1>
    </dataValidation>
    <dataValidation type="list" allowBlank="1" showInputMessage="1" showErrorMessage="1" sqref="F2" xr:uid="{5B4BBD39-FFFB-4485-9905-92B8D932760A}">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DDF5A1-5219-4DB3-8A23-A5C524ACD499}">
          <x14:formula1>
            <xm:f>Sheet3!$A$2:$A$49</xm:f>
          </x14:formula1>
          <xm:sqref>F3</xm:sqref>
        </x14:dataValidation>
        <x14:dataValidation type="list" allowBlank="1" showInputMessage="1" xr:uid="{76F0F365-AA0A-4932-B164-5428ABCD67C1}">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05BD-8C0B-416D-8789-1284A7932BDE}">
  <sheetPr codeName="Sheet7">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233</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65">
      <formula>$B7="v"</formula>
    </cfRule>
  </conditionalFormatting>
  <conditionalFormatting sqref="P7:Q82">
    <cfRule type="expression" dxfId="1581" priority="164">
      <formula>$B7="v"</formula>
    </cfRule>
  </conditionalFormatting>
  <conditionalFormatting sqref="R7:R82">
    <cfRule type="expression" dxfId="1580" priority="163">
      <formula>$B7="v"</formula>
    </cfRule>
  </conditionalFormatting>
  <conditionalFormatting sqref="Z7:Z82 V7:V82 AL7:AL82 AH7:AH82 AD7:AD82 AX7:AX82 AT7:AT82 AP7:AP82 BJ7:BJ82 BF7:BF82 BB7:BB82 BV7:BV82 BR7:BR82 BN7:BN82">
    <cfRule type="expression" dxfId="1579" priority="162">
      <formula>$B7="v"</formula>
    </cfRule>
  </conditionalFormatting>
  <conditionalFormatting sqref="X7:Y82 T7:U82 AJ7:AK82 AF7:AG82 AB7:AC82 AR7:AS82 AN7:AO82 BH7:BI82 BD7:BE82 AZ7:BA82 BT7:BU82 BP7:BQ82 BL7:BM82">
    <cfRule type="expression" dxfId="1578" priority="161">
      <formula>$B7="v"</formula>
    </cfRule>
  </conditionalFormatting>
  <conditionalFormatting sqref="AV7:AW82">
    <cfRule type="expression" dxfId="1577" priority="160">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4">
      <formula>$K$4=1</formula>
    </cfRule>
  </conditionalFormatting>
  <conditionalFormatting sqref="M4:N4">
    <cfRule type="expression" dxfId="1422" priority="175">
      <formula>$K$4=1</formula>
    </cfRule>
  </conditionalFormatting>
  <conditionalFormatting sqref="L7:N82">
    <cfRule type="expression" dxfId="1421" priority="176">
      <formula>$K$4=""</formula>
    </cfRule>
  </conditionalFormatting>
  <conditionalFormatting sqref="P5:R6">
    <cfRule type="expression" dxfId="1420" priority="177">
      <formula>$O$4=1</formula>
    </cfRule>
  </conditionalFormatting>
  <conditionalFormatting sqref="P7:R82">
    <cfRule type="expression" dxfId="1419" priority="178">
      <formula>$O$4=1</formula>
    </cfRule>
  </conditionalFormatting>
  <conditionalFormatting sqref="Q4:R4">
    <cfRule type="expression" dxfId="1418" priority="179">
      <formula>$O$4=1</formula>
    </cfRule>
  </conditionalFormatting>
  <conditionalFormatting sqref="P7:R82">
    <cfRule type="expression" dxfId="1417" priority="180">
      <formula>$O$4=""</formula>
    </cfRule>
  </conditionalFormatting>
  <conditionalFormatting sqref="T5:V6">
    <cfRule type="expression" dxfId="1416" priority="181">
      <formula>$S$4=1</formula>
    </cfRule>
  </conditionalFormatting>
  <conditionalFormatting sqref="T7:V82">
    <cfRule type="expression" dxfId="1415" priority="182">
      <formula>$S$4=1</formula>
    </cfRule>
  </conditionalFormatting>
  <conditionalFormatting sqref="U4:V4">
    <cfRule type="expression" dxfId="1414" priority="183">
      <formula>$S$4=1</formula>
    </cfRule>
  </conditionalFormatting>
  <conditionalFormatting sqref="T7:V82">
    <cfRule type="expression" dxfId="1413" priority="184">
      <formula>$S$4=""</formula>
    </cfRule>
  </conditionalFormatting>
  <conditionalFormatting sqref="X5:Z6">
    <cfRule type="expression" dxfId="1412" priority="185">
      <formula>$W$4=1</formula>
    </cfRule>
  </conditionalFormatting>
  <conditionalFormatting sqref="X7:Z82">
    <cfRule type="expression" dxfId="1411" priority="186">
      <formula>$W$4=1</formula>
    </cfRule>
  </conditionalFormatting>
  <conditionalFormatting sqref="Y4:Z4">
    <cfRule type="expression" dxfId="1410" priority="187">
      <formula>$W$4=1</formula>
    </cfRule>
  </conditionalFormatting>
  <conditionalFormatting sqref="X7:Z82">
    <cfRule type="expression" dxfId="1409" priority="188">
      <formula>$W$4=""</formula>
    </cfRule>
  </conditionalFormatting>
  <conditionalFormatting sqref="AB5:AD6">
    <cfRule type="expression" dxfId="1408" priority="189">
      <formula>$AA$4=1</formula>
    </cfRule>
  </conditionalFormatting>
  <conditionalFormatting sqref="AB7:AD82">
    <cfRule type="expression" dxfId="1407" priority="190">
      <formula>$AA$4=1</formula>
    </cfRule>
  </conditionalFormatting>
  <conditionalFormatting sqref="AC4:AD4">
    <cfRule type="expression" dxfId="1406" priority="191">
      <formula>$AA$4=1</formula>
    </cfRule>
  </conditionalFormatting>
  <conditionalFormatting sqref="AB7:AD82">
    <cfRule type="expression" dxfId="1405" priority="192">
      <formula>$AA$4=""</formula>
    </cfRule>
  </conditionalFormatting>
  <conditionalFormatting sqref="AF5:AH6">
    <cfRule type="expression" dxfId="1404" priority="193">
      <formula>$AE$4=1</formula>
    </cfRule>
  </conditionalFormatting>
  <conditionalFormatting sqref="AF7:AH82">
    <cfRule type="expression" dxfId="1403" priority="194">
      <formula>$AE$4=1</formula>
    </cfRule>
  </conditionalFormatting>
  <conditionalFormatting sqref="AG4:AH4">
    <cfRule type="expression" dxfId="1402" priority="195">
      <formula>$AE$4=1</formula>
    </cfRule>
  </conditionalFormatting>
  <conditionalFormatting sqref="AF7:AH82">
    <cfRule type="expression" dxfId="1401" priority="196">
      <formula>$AE$4=""</formula>
    </cfRule>
  </conditionalFormatting>
  <conditionalFormatting sqref="AJ7:AL82">
    <cfRule type="expression" dxfId="1400" priority="197">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200">
      <formula>$AI$4=""</formula>
    </cfRule>
  </conditionalFormatting>
  <conditionalFormatting sqref="AN7:AP82">
    <cfRule type="expression" dxfId="1396" priority="201">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204">
      <formula>$AM$4=""</formula>
    </cfRule>
  </conditionalFormatting>
  <conditionalFormatting sqref="AR7:AT82">
    <cfRule type="expression" dxfId="1392" priority="205">
      <formula>$AQ$4=1</formula>
    </cfRule>
  </conditionalFormatting>
  <conditionalFormatting sqref="AR5:AT6">
    <cfRule type="expression" dxfId="1391" priority="206">
      <formula>$AQ$4=1</formula>
    </cfRule>
  </conditionalFormatting>
  <conditionalFormatting sqref="AR7:AT82">
    <cfRule type="expression" dxfId="1390" priority="207">
      <formula>$AQ$4=""</formula>
    </cfRule>
  </conditionalFormatting>
  <conditionalFormatting sqref="AV7:AX82">
    <cfRule type="expression" dxfId="1389" priority="208">
      <formula>$AU$4=1</formula>
    </cfRule>
  </conditionalFormatting>
  <conditionalFormatting sqref="AV5:AX6">
    <cfRule type="expression" dxfId="1388" priority="209">
      <formula>$AU$4=1</formula>
    </cfRule>
  </conditionalFormatting>
  <conditionalFormatting sqref="AV7:AX82">
    <cfRule type="expression" dxfId="1387" priority="210">
      <formula>$AU$4=""</formula>
    </cfRule>
  </conditionalFormatting>
  <conditionalFormatting sqref="AZ7:BB82">
    <cfRule type="expression" dxfId="1386" priority="211">
      <formula>$AY$4=1</formula>
    </cfRule>
  </conditionalFormatting>
  <conditionalFormatting sqref="AZ5:BB6">
    <cfRule type="expression" dxfId="1385" priority="212">
      <formula>$AY$4=1</formula>
    </cfRule>
  </conditionalFormatting>
  <conditionalFormatting sqref="AZ7:BB82">
    <cfRule type="expression" dxfId="1384" priority="213">
      <formula>$AY$4=""</formula>
    </cfRule>
  </conditionalFormatting>
  <conditionalFormatting sqref="BD7:BF82">
    <cfRule type="expression" dxfId="1383" priority="214">
      <formula>$BC$4=1</formula>
    </cfRule>
  </conditionalFormatting>
  <conditionalFormatting sqref="BD5:BF6">
    <cfRule type="expression" dxfId="1382" priority="215">
      <formula>$BC$4=1</formula>
    </cfRule>
  </conditionalFormatting>
  <conditionalFormatting sqref="BD7:BF82">
    <cfRule type="expression" dxfId="1381" priority="216">
      <formula>$BC$4=""</formula>
    </cfRule>
  </conditionalFormatting>
  <conditionalFormatting sqref="BH7:BJ82">
    <cfRule type="expression" dxfId="1380" priority="217">
      <formula>$BG$4=1</formula>
    </cfRule>
  </conditionalFormatting>
  <conditionalFormatting sqref="BH5:BJ6">
    <cfRule type="expression" dxfId="1379" priority="218">
      <formula>$BG$4=1</formula>
    </cfRule>
  </conditionalFormatting>
  <conditionalFormatting sqref="BH7:BJ82">
    <cfRule type="expression" dxfId="1378" priority="219">
      <formula>$BG$4=""</formula>
    </cfRule>
  </conditionalFormatting>
  <conditionalFormatting sqref="BL7:BN82">
    <cfRule type="expression" dxfId="1377" priority="220">
      <formula>$BK$4=1</formula>
    </cfRule>
  </conditionalFormatting>
  <conditionalFormatting sqref="BL5:BN6">
    <cfRule type="expression" dxfId="1376" priority="221">
      <formula>$BK$4=1</formula>
    </cfRule>
  </conditionalFormatting>
  <conditionalFormatting sqref="BL7:BN82">
    <cfRule type="expression" dxfId="1375" priority="222">
      <formula>$BK$4=""</formula>
    </cfRule>
  </conditionalFormatting>
  <conditionalFormatting sqref="BP7:BR82">
    <cfRule type="expression" dxfId="1374" priority="223">
      <formula>$BO$4=1</formula>
    </cfRule>
  </conditionalFormatting>
  <conditionalFormatting sqref="BP5:BR6">
    <cfRule type="expression" dxfId="1373" priority="224">
      <formula>$BO$4=1</formula>
    </cfRule>
  </conditionalFormatting>
  <conditionalFormatting sqref="BP7:BR82">
    <cfRule type="expression" dxfId="1372" priority="225">
      <formula>$BO$4=""</formula>
    </cfRule>
  </conditionalFormatting>
  <conditionalFormatting sqref="BT7:BV82">
    <cfRule type="expression" dxfId="1371" priority="226">
      <formula>$BS$4=1</formula>
    </cfRule>
  </conditionalFormatting>
  <conditionalFormatting sqref="BT5:BV6">
    <cfRule type="expression" dxfId="1370" priority="227">
      <formula>$BS$4=1</formula>
    </cfRule>
  </conditionalFormatting>
  <conditionalFormatting sqref="BT7:BV82">
    <cfRule type="expression" dxfId="1369" priority="228">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DC24BF3A-69F8-4D51-B8B4-8CA8A9924792}">
      <formula1>"1, 2, 3, 4, 5, 6, 7, 8, 9, 10, 11, 12, 13, 14, 15, 16, 17"</formula1>
    </dataValidation>
    <dataValidation type="list" allowBlank="1" showInputMessage="1" showErrorMessage="1" sqref="B7:B82" xr:uid="{743291D3-145E-45C4-A047-EE615E5BC20B}">
      <formula1>"v"</formula1>
    </dataValidation>
    <dataValidation type="list" allowBlank="1" showInputMessage="1" showErrorMessage="1" sqref="BP7:BP82 AV7:AV82 BL7:BL82 BT7:BT82 BH7:BH82 BD7:BD82 AZ7:AZ82" xr:uid="{E77EC442-4F90-4ED7-8A7C-8C11CC0096C0}">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0B872A0-97CA-49CA-95A7-E71F6619765B}">
          <x14:formula1>
            <xm:f>Sheet3!$J$153:$J$168</xm:f>
          </x14:formula1>
          <xm:sqref>H7:H82 N7:N82 R7:R82 V7:V82 Z7:Z82 AD7:AD82 AH7:AH82 AL7:AL82 AP7:AP82 AT7:AT82</xm:sqref>
        </x14:dataValidation>
        <x14:dataValidation type="list" allowBlank="1" showInputMessage="1" showErrorMessage="1" xr:uid="{F405EDB9-1A05-4583-A390-DE28EF69F115}">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E47E0-FB30-491B-AB2A-237CCD6B56FD}">
  <sheetPr codeName="Sheet8">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234</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65">
      <formula>$B7="v"</formula>
    </cfRule>
  </conditionalFormatting>
  <conditionalFormatting sqref="P7:Q82">
    <cfRule type="expression" dxfId="1354" priority="164">
      <formula>$B7="v"</formula>
    </cfRule>
  </conditionalFormatting>
  <conditionalFormatting sqref="R7:R82">
    <cfRule type="expression" dxfId="1353" priority="163">
      <formula>$B7="v"</formula>
    </cfRule>
  </conditionalFormatting>
  <conditionalFormatting sqref="Z7:Z82 V7:V82 AL7:AL82 AH7:AH82 AD7:AD82 AX7:AX82 AT7:AT82 AP7:AP82 BJ7:BJ82 BF7:BF82 BB7:BB82 BV7:BV82 BR7:BR82 BN7:BN82">
    <cfRule type="expression" dxfId="1352" priority="162">
      <formula>$B7="v"</formula>
    </cfRule>
  </conditionalFormatting>
  <conditionalFormatting sqref="X7:Y82 T7:U82 AJ7:AK82 AF7:AG82 AB7:AC82 AR7:AS82 AN7:AO82 BH7:BI82 BD7:BE82 AZ7:BA82 BT7:BU82 BP7:BQ82 BL7:BM82">
    <cfRule type="expression" dxfId="1351" priority="161">
      <formula>$B7="v"</formula>
    </cfRule>
  </conditionalFormatting>
  <conditionalFormatting sqref="AV7:AW82">
    <cfRule type="expression" dxfId="1350" priority="160">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4">
      <formula>$K$4=1</formula>
    </cfRule>
  </conditionalFormatting>
  <conditionalFormatting sqref="M4:N4">
    <cfRule type="expression" dxfId="1195" priority="175">
      <formula>$K$4=1</formula>
    </cfRule>
  </conditionalFormatting>
  <conditionalFormatting sqref="L7:N82">
    <cfRule type="expression" dxfId="1194" priority="176">
      <formula>$K$4=""</formula>
    </cfRule>
  </conditionalFormatting>
  <conditionalFormatting sqref="P5:R6">
    <cfRule type="expression" dxfId="1193" priority="177">
      <formula>$O$4=1</formula>
    </cfRule>
  </conditionalFormatting>
  <conditionalFormatting sqref="P7:R82">
    <cfRule type="expression" dxfId="1192" priority="178">
      <formula>$O$4=1</formula>
    </cfRule>
  </conditionalFormatting>
  <conditionalFormatting sqref="Q4:R4">
    <cfRule type="expression" dxfId="1191" priority="179">
      <formula>$O$4=1</formula>
    </cfRule>
  </conditionalFormatting>
  <conditionalFormatting sqref="P7:R82">
    <cfRule type="expression" dxfId="1190" priority="180">
      <formula>$O$4=""</formula>
    </cfRule>
  </conditionalFormatting>
  <conditionalFormatting sqref="T5:V6">
    <cfRule type="expression" dxfId="1189" priority="181">
      <formula>$S$4=1</formula>
    </cfRule>
  </conditionalFormatting>
  <conditionalFormatting sqref="T7:V82">
    <cfRule type="expression" dxfId="1188" priority="182">
      <formula>$S$4=1</formula>
    </cfRule>
  </conditionalFormatting>
  <conditionalFormatting sqref="U4:V4">
    <cfRule type="expression" dxfId="1187" priority="183">
      <formula>$S$4=1</formula>
    </cfRule>
  </conditionalFormatting>
  <conditionalFormatting sqref="T7:V82">
    <cfRule type="expression" dxfId="1186" priority="184">
      <formula>$S$4=""</formula>
    </cfRule>
  </conditionalFormatting>
  <conditionalFormatting sqref="X5:Z6">
    <cfRule type="expression" dxfId="1185" priority="185">
      <formula>$W$4=1</formula>
    </cfRule>
  </conditionalFormatting>
  <conditionalFormatting sqref="X7:Z82">
    <cfRule type="expression" dxfId="1184" priority="186">
      <formula>$W$4=1</formula>
    </cfRule>
  </conditionalFormatting>
  <conditionalFormatting sqref="Y4:Z4">
    <cfRule type="expression" dxfId="1183" priority="187">
      <formula>$W$4=1</formula>
    </cfRule>
  </conditionalFormatting>
  <conditionalFormatting sqref="X7:Z82">
    <cfRule type="expression" dxfId="1182" priority="188">
      <formula>$W$4=""</formula>
    </cfRule>
  </conditionalFormatting>
  <conditionalFormatting sqref="AB5:AD6">
    <cfRule type="expression" dxfId="1181" priority="189">
      <formula>$AA$4=1</formula>
    </cfRule>
  </conditionalFormatting>
  <conditionalFormatting sqref="AB7:AD82">
    <cfRule type="expression" dxfId="1180" priority="190">
      <formula>$AA$4=1</formula>
    </cfRule>
  </conditionalFormatting>
  <conditionalFormatting sqref="AC4:AD4">
    <cfRule type="expression" dxfId="1179" priority="191">
      <formula>$AA$4=1</formula>
    </cfRule>
  </conditionalFormatting>
  <conditionalFormatting sqref="AB7:AD82">
    <cfRule type="expression" dxfId="1178" priority="192">
      <formula>$AA$4=""</formula>
    </cfRule>
  </conditionalFormatting>
  <conditionalFormatting sqref="AF5:AH6">
    <cfRule type="expression" dxfId="1177" priority="193">
      <formula>$AE$4=1</formula>
    </cfRule>
  </conditionalFormatting>
  <conditionalFormatting sqref="AF7:AH82">
    <cfRule type="expression" dxfId="1176" priority="194">
      <formula>$AE$4=1</formula>
    </cfRule>
  </conditionalFormatting>
  <conditionalFormatting sqref="AG4:AH4">
    <cfRule type="expression" dxfId="1175" priority="195">
      <formula>$AE$4=1</formula>
    </cfRule>
  </conditionalFormatting>
  <conditionalFormatting sqref="AF7:AH82">
    <cfRule type="expression" dxfId="1174" priority="196">
      <formula>$AE$4=""</formula>
    </cfRule>
  </conditionalFormatting>
  <conditionalFormatting sqref="AJ7:AL82">
    <cfRule type="expression" dxfId="1173" priority="197">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200">
      <formula>$AI$4=""</formula>
    </cfRule>
  </conditionalFormatting>
  <conditionalFormatting sqref="AN7:AP82">
    <cfRule type="expression" dxfId="1169" priority="201">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204">
      <formula>$AM$4=""</formula>
    </cfRule>
  </conditionalFormatting>
  <conditionalFormatting sqref="AR7:AT82">
    <cfRule type="expression" dxfId="1165" priority="205">
      <formula>$AQ$4=1</formula>
    </cfRule>
  </conditionalFormatting>
  <conditionalFormatting sqref="AR5:AT6">
    <cfRule type="expression" dxfId="1164" priority="206">
      <formula>$AQ$4=1</formula>
    </cfRule>
  </conditionalFormatting>
  <conditionalFormatting sqref="AR7:AT82">
    <cfRule type="expression" dxfId="1163" priority="207">
      <formula>$AQ$4=""</formula>
    </cfRule>
  </conditionalFormatting>
  <conditionalFormatting sqref="AV7:AX82">
    <cfRule type="expression" dxfId="1162" priority="208">
      <formula>$AU$4=1</formula>
    </cfRule>
  </conditionalFormatting>
  <conditionalFormatting sqref="AV5:AX6">
    <cfRule type="expression" dxfId="1161" priority="209">
      <formula>$AU$4=1</formula>
    </cfRule>
  </conditionalFormatting>
  <conditionalFormatting sqref="AV7:AX82">
    <cfRule type="expression" dxfId="1160" priority="210">
      <formula>$AU$4=""</formula>
    </cfRule>
  </conditionalFormatting>
  <conditionalFormatting sqref="AZ7:BB82">
    <cfRule type="expression" dxfId="1159" priority="211">
      <formula>$AY$4=1</formula>
    </cfRule>
  </conditionalFormatting>
  <conditionalFormatting sqref="AZ5:BB6">
    <cfRule type="expression" dxfId="1158" priority="212">
      <formula>$AY$4=1</formula>
    </cfRule>
  </conditionalFormatting>
  <conditionalFormatting sqref="AZ7:BB82">
    <cfRule type="expression" dxfId="1157" priority="213">
      <formula>$AY$4=""</formula>
    </cfRule>
  </conditionalFormatting>
  <conditionalFormatting sqref="BD7:BF82">
    <cfRule type="expression" dxfId="1156" priority="214">
      <formula>$BC$4=1</formula>
    </cfRule>
  </conditionalFormatting>
  <conditionalFormatting sqref="BD5:BF6">
    <cfRule type="expression" dxfId="1155" priority="215">
      <formula>$BC$4=1</formula>
    </cfRule>
  </conditionalFormatting>
  <conditionalFormatting sqref="BD7:BF82">
    <cfRule type="expression" dxfId="1154" priority="216">
      <formula>$BC$4=""</formula>
    </cfRule>
  </conditionalFormatting>
  <conditionalFormatting sqref="BH7:BJ82">
    <cfRule type="expression" dxfId="1153" priority="217">
      <formula>$BG$4=1</formula>
    </cfRule>
  </conditionalFormatting>
  <conditionalFormatting sqref="BH5:BJ6">
    <cfRule type="expression" dxfId="1152" priority="218">
      <formula>$BG$4=1</formula>
    </cfRule>
  </conditionalFormatting>
  <conditionalFormatting sqref="BH7:BJ82">
    <cfRule type="expression" dxfId="1151" priority="219">
      <formula>$BG$4=""</formula>
    </cfRule>
  </conditionalFormatting>
  <conditionalFormatting sqref="BL7:BN82">
    <cfRule type="expression" dxfId="1150" priority="220">
      <formula>$BK$4=1</formula>
    </cfRule>
  </conditionalFormatting>
  <conditionalFormatting sqref="BL5:BN6">
    <cfRule type="expression" dxfId="1149" priority="221">
      <formula>$BK$4=1</formula>
    </cfRule>
  </conditionalFormatting>
  <conditionalFormatting sqref="BL7:BN82">
    <cfRule type="expression" dxfId="1148" priority="222">
      <formula>$BK$4=""</formula>
    </cfRule>
  </conditionalFormatting>
  <conditionalFormatting sqref="BP7:BR82">
    <cfRule type="expression" dxfId="1147" priority="223">
      <formula>$BO$4=1</formula>
    </cfRule>
  </conditionalFormatting>
  <conditionalFormatting sqref="BP5:BR6">
    <cfRule type="expression" dxfId="1146" priority="224">
      <formula>$BO$4=1</formula>
    </cfRule>
  </conditionalFormatting>
  <conditionalFormatting sqref="BP7:BR82">
    <cfRule type="expression" dxfId="1145" priority="225">
      <formula>$BO$4=""</formula>
    </cfRule>
  </conditionalFormatting>
  <conditionalFormatting sqref="BT7:BV82">
    <cfRule type="expression" dxfId="1144" priority="226">
      <formula>$BS$4=1</formula>
    </cfRule>
  </conditionalFormatting>
  <conditionalFormatting sqref="BT5:BV6">
    <cfRule type="expression" dxfId="1143" priority="227">
      <formula>$BS$4=1</formula>
    </cfRule>
  </conditionalFormatting>
  <conditionalFormatting sqref="BT7:BV82">
    <cfRule type="expression" dxfId="1142" priority="228">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D8D1AE02-5923-4BB8-9326-C27E849E1C55}">
      <formula1>"&lt;, &lt;=, &gt;, &gt;=, ="</formula1>
    </dataValidation>
    <dataValidation type="list" allowBlank="1" showInputMessage="1" showErrorMessage="1" sqref="B7:B82" xr:uid="{69B5CAC0-83A8-4C87-9A94-B777A88FA22C}">
      <formula1>"v"</formula1>
    </dataValidation>
    <dataValidation type="list" allowBlank="1" showInputMessage="1" showErrorMessage="1" sqref="F2" xr:uid="{7B23C1DF-1778-4AF0-A895-985ADD42AB8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B4EB6E9-CCA6-4B00-8CED-A580F4025A6A}">
          <x14:formula1>
            <xm:f>Sheet3!$A$2:$A$49</xm:f>
          </x14:formula1>
          <xm:sqref>F3</xm:sqref>
        </x14:dataValidation>
        <x14:dataValidation type="list" allowBlank="1" showInputMessage="1" xr:uid="{6856A4A8-DAA0-49E7-8E8E-41C75C76A8C5}">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448DC-5B66-4100-B5E0-BEDBB85BD97C}">
  <sheetPr codeName="Sheet9">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235</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65">
      <formula>$B7="v"</formula>
    </cfRule>
  </conditionalFormatting>
  <conditionalFormatting sqref="P7:Q82">
    <cfRule type="expression" dxfId="1127" priority="164">
      <formula>$B7="v"</formula>
    </cfRule>
  </conditionalFormatting>
  <conditionalFormatting sqref="R7:R82">
    <cfRule type="expression" dxfId="1126" priority="163">
      <formula>$B7="v"</formula>
    </cfRule>
  </conditionalFormatting>
  <conditionalFormatting sqref="Z7:Z82 V7:V82 AL7:AL82 AH7:AH82 AD7:AD82 AX7:AX82 AT7:AT82 AP7:AP82 BJ7:BJ82 BF7:BF82 BB7:BB82 BV7:BV82 BR7:BR82 BN7:BN82">
    <cfRule type="expression" dxfId="1125" priority="162">
      <formula>$B7="v"</formula>
    </cfRule>
  </conditionalFormatting>
  <conditionalFormatting sqref="X7:Y82 T7:U82 AJ7:AK82 AF7:AG82 AB7:AC82 AR7:AS82 AN7:AO82 BH7:BI82 BD7:BE82 AZ7:BA82 BT7:BU82 BP7:BQ82 BL7:BM82">
    <cfRule type="expression" dxfId="1124" priority="161">
      <formula>$B7="v"</formula>
    </cfRule>
  </conditionalFormatting>
  <conditionalFormatting sqref="AV7:AW82">
    <cfRule type="expression" dxfId="1123" priority="160">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4">
      <formula>$K$4=1</formula>
    </cfRule>
  </conditionalFormatting>
  <conditionalFormatting sqref="M4:N4">
    <cfRule type="expression" dxfId="968" priority="175">
      <formula>$K$4=1</formula>
    </cfRule>
  </conditionalFormatting>
  <conditionalFormatting sqref="L7:N82">
    <cfRule type="expression" dxfId="967" priority="176">
      <formula>$K$4=""</formula>
    </cfRule>
  </conditionalFormatting>
  <conditionalFormatting sqref="P5:R6">
    <cfRule type="expression" dxfId="966" priority="177">
      <formula>$O$4=1</formula>
    </cfRule>
  </conditionalFormatting>
  <conditionalFormatting sqref="P7:R82">
    <cfRule type="expression" dxfId="965" priority="178">
      <formula>$O$4=1</formula>
    </cfRule>
  </conditionalFormatting>
  <conditionalFormatting sqref="Q4:R4">
    <cfRule type="expression" dxfId="964" priority="179">
      <formula>$O$4=1</formula>
    </cfRule>
  </conditionalFormatting>
  <conditionalFormatting sqref="P7:R82">
    <cfRule type="expression" dxfId="963" priority="180">
      <formula>$O$4=""</formula>
    </cfRule>
  </conditionalFormatting>
  <conditionalFormatting sqref="T5:V6">
    <cfRule type="expression" dxfId="962" priority="181">
      <formula>$S$4=1</formula>
    </cfRule>
  </conditionalFormatting>
  <conditionalFormatting sqref="T7:V82">
    <cfRule type="expression" dxfId="961" priority="182">
      <formula>$S$4=1</formula>
    </cfRule>
  </conditionalFormatting>
  <conditionalFormatting sqref="U4:V4">
    <cfRule type="expression" dxfId="960" priority="183">
      <formula>$S$4=1</formula>
    </cfRule>
  </conditionalFormatting>
  <conditionalFormatting sqref="T7:V82">
    <cfRule type="expression" dxfId="959" priority="184">
      <formula>$S$4=""</formula>
    </cfRule>
  </conditionalFormatting>
  <conditionalFormatting sqref="X5:Z6">
    <cfRule type="expression" dxfId="958" priority="185">
      <formula>$W$4=1</formula>
    </cfRule>
  </conditionalFormatting>
  <conditionalFormatting sqref="X7:Z82">
    <cfRule type="expression" dxfId="957" priority="186">
      <formula>$W$4=1</formula>
    </cfRule>
  </conditionalFormatting>
  <conditionalFormatting sqref="Y4:Z4">
    <cfRule type="expression" dxfId="956" priority="187">
      <formula>$W$4=1</formula>
    </cfRule>
  </conditionalFormatting>
  <conditionalFormatting sqref="X7:Z82">
    <cfRule type="expression" dxfId="955" priority="188">
      <formula>$W$4=""</formula>
    </cfRule>
  </conditionalFormatting>
  <conditionalFormatting sqref="AB5:AD6">
    <cfRule type="expression" dxfId="954" priority="189">
      <formula>$AA$4=1</formula>
    </cfRule>
  </conditionalFormatting>
  <conditionalFormatting sqref="AB7:AD82">
    <cfRule type="expression" dxfId="953" priority="190">
      <formula>$AA$4=1</formula>
    </cfRule>
  </conditionalFormatting>
  <conditionalFormatting sqref="AC4:AD4">
    <cfRule type="expression" dxfId="952" priority="191">
      <formula>$AA$4=1</formula>
    </cfRule>
  </conditionalFormatting>
  <conditionalFormatting sqref="AB7:AD82">
    <cfRule type="expression" dxfId="951" priority="192">
      <formula>$AA$4=""</formula>
    </cfRule>
  </conditionalFormatting>
  <conditionalFormatting sqref="AF5:AH6">
    <cfRule type="expression" dxfId="950" priority="193">
      <formula>$AE$4=1</formula>
    </cfRule>
  </conditionalFormatting>
  <conditionalFormatting sqref="AF7:AH82">
    <cfRule type="expression" dxfId="949" priority="194">
      <formula>$AE$4=1</formula>
    </cfRule>
  </conditionalFormatting>
  <conditionalFormatting sqref="AG4:AH4">
    <cfRule type="expression" dxfId="948" priority="195">
      <formula>$AE$4=1</formula>
    </cfRule>
  </conditionalFormatting>
  <conditionalFormatting sqref="AF7:AH82">
    <cfRule type="expression" dxfId="947" priority="196">
      <formula>$AE$4=""</formula>
    </cfRule>
  </conditionalFormatting>
  <conditionalFormatting sqref="AJ7:AL82">
    <cfRule type="expression" dxfId="946" priority="197">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200">
      <formula>$AI$4=""</formula>
    </cfRule>
  </conditionalFormatting>
  <conditionalFormatting sqref="AN7:AP82">
    <cfRule type="expression" dxfId="942" priority="201">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204">
      <formula>$AM$4=""</formula>
    </cfRule>
  </conditionalFormatting>
  <conditionalFormatting sqref="AR7:AT82">
    <cfRule type="expression" dxfId="938" priority="205">
      <formula>$AQ$4=1</formula>
    </cfRule>
  </conditionalFormatting>
  <conditionalFormatting sqref="AR5:AT6">
    <cfRule type="expression" dxfId="937" priority="206">
      <formula>$AQ$4=1</formula>
    </cfRule>
  </conditionalFormatting>
  <conditionalFormatting sqref="AR7:AT82">
    <cfRule type="expression" dxfId="936" priority="207">
      <formula>$AQ$4=""</formula>
    </cfRule>
  </conditionalFormatting>
  <conditionalFormatting sqref="AV7:AX82">
    <cfRule type="expression" dxfId="935" priority="208">
      <formula>$AU$4=1</formula>
    </cfRule>
  </conditionalFormatting>
  <conditionalFormatting sqref="AV5:AX6">
    <cfRule type="expression" dxfId="934" priority="209">
      <formula>$AU$4=1</formula>
    </cfRule>
  </conditionalFormatting>
  <conditionalFormatting sqref="AV7:AX82">
    <cfRule type="expression" dxfId="933" priority="210">
      <formula>$AU$4=""</formula>
    </cfRule>
  </conditionalFormatting>
  <conditionalFormatting sqref="AZ7:BB82">
    <cfRule type="expression" dxfId="932" priority="211">
      <formula>$AY$4=1</formula>
    </cfRule>
  </conditionalFormatting>
  <conditionalFormatting sqref="AZ5:BB6">
    <cfRule type="expression" dxfId="931" priority="212">
      <formula>$AY$4=1</formula>
    </cfRule>
  </conditionalFormatting>
  <conditionalFormatting sqref="AZ7:BB82">
    <cfRule type="expression" dxfId="930" priority="213">
      <formula>$AY$4=""</formula>
    </cfRule>
  </conditionalFormatting>
  <conditionalFormatting sqref="BD7:BF82">
    <cfRule type="expression" dxfId="929" priority="214">
      <formula>$BC$4=1</formula>
    </cfRule>
  </conditionalFormatting>
  <conditionalFormatting sqref="BD5:BF6">
    <cfRule type="expression" dxfId="928" priority="215">
      <formula>$BC$4=1</formula>
    </cfRule>
  </conditionalFormatting>
  <conditionalFormatting sqref="BD7:BF82">
    <cfRule type="expression" dxfId="927" priority="216">
      <formula>$BC$4=""</formula>
    </cfRule>
  </conditionalFormatting>
  <conditionalFormatting sqref="BH7:BJ82">
    <cfRule type="expression" dxfId="926" priority="217">
      <formula>$BG$4=1</formula>
    </cfRule>
  </conditionalFormatting>
  <conditionalFormatting sqref="BH5:BJ6">
    <cfRule type="expression" dxfId="925" priority="218">
      <formula>$BG$4=1</formula>
    </cfRule>
  </conditionalFormatting>
  <conditionalFormatting sqref="BH7:BJ82">
    <cfRule type="expression" dxfId="924" priority="219">
      <formula>$BG$4=""</formula>
    </cfRule>
  </conditionalFormatting>
  <conditionalFormatting sqref="BL7:BN82">
    <cfRule type="expression" dxfId="923" priority="220">
      <formula>$BK$4=1</formula>
    </cfRule>
  </conditionalFormatting>
  <conditionalFormatting sqref="BL5:BN6">
    <cfRule type="expression" dxfId="922" priority="221">
      <formula>$BK$4=1</formula>
    </cfRule>
  </conditionalFormatting>
  <conditionalFormatting sqref="BL7:BN82">
    <cfRule type="expression" dxfId="921" priority="222">
      <formula>$BK$4=""</formula>
    </cfRule>
  </conditionalFormatting>
  <conditionalFormatting sqref="BP7:BR82">
    <cfRule type="expression" dxfId="920" priority="223">
      <formula>$BO$4=1</formula>
    </cfRule>
  </conditionalFormatting>
  <conditionalFormatting sqref="BP5:BR6">
    <cfRule type="expression" dxfId="919" priority="224">
      <formula>$BO$4=1</formula>
    </cfRule>
  </conditionalFormatting>
  <conditionalFormatting sqref="BP7:BR82">
    <cfRule type="expression" dxfId="918" priority="225">
      <formula>$BO$4=""</formula>
    </cfRule>
  </conditionalFormatting>
  <conditionalFormatting sqref="BT7:BV82">
    <cfRule type="expression" dxfId="917" priority="226">
      <formula>$BS$4=1</formula>
    </cfRule>
  </conditionalFormatting>
  <conditionalFormatting sqref="BT5:BV6">
    <cfRule type="expression" dxfId="916" priority="227">
      <formula>$BS$4=1</formula>
    </cfRule>
  </conditionalFormatting>
  <conditionalFormatting sqref="BT7:BV82">
    <cfRule type="expression" dxfId="915" priority="228">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9073E6D5-D1EE-4BC1-A951-44E906C57226}">
      <formula1>"1, 2, 3, 4, 5, 6, 7, 8, 9, 10, 11, 12, 13, 14, 15, 16, 17"</formula1>
    </dataValidation>
    <dataValidation type="list" allowBlank="1" showInputMessage="1" showErrorMessage="1" sqref="B7:B82" xr:uid="{3F33D96B-66B1-4681-B68D-D2FA17249F26}">
      <formula1>"v"</formula1>
    </dataValidation>
    <dataValidation type="list" allowBlank="1" showInputMessage="1" showErrorMessage="1" sqref="BP7:BP82 AV7:AV82 BL7:BL82 BT7:BT82 BH7:BH82 BD7:BD82 AZ7:AZ82" xr:uid="{A6860FD1-9E19-4BB4-8F27-2BE95E8FE7AD}">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7EB21236-F368-45EF-8E44-95EDB567FBC0}">
          <x14:formula1>
            <xm:f>Sheet3!$J$153:$J$168</xm:f>
          </x14:formula1>
          <xm:sqref>H7:H82 N7:N82 R7:R82 V7:V82 Z7:Z82 AD7:AD82 AH7:AH82 AL7:AL82 AP7:AP82 AT7:AT82</xm:sqref>
        </x14:dataValidation>
        <x14:dataValidation type="list" allowBlank="1" showInputMessage="1" showErrorMessage="1" xr:uid="{903614AC-C839-49CE-AC1A-39D8A222CD7F}">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FB39-47F8-4080-83A2-259C7A5F9C0E}">
  <sheetPr codeName="Sheet10">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236</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65">
      <formula>$B7="v"</formula>
    </cfRule>
  </conditionalFormatting>
  <conditionalFormatting sqref="P7:Q82">
    <cfRule type="expression" dxfId="900" priority="164">
      <formula>$B7="v"</formula>
    </cfRule>
  </conditionalFormatting>
  <conditionalFormatting sqref="R7:R82">
    <cfRule type="expression" dxfId="899" priority="163">
      <formula>$B7="v"</formula>
    </cfRule>
  </conditionalFormatting>
  <conditionalFormatting sqref="Z7:Z82 V7:V82 AL7:AL82 AH7:AH82 AD7:AD82 AX7:AX82 AT7:AT82 AP7:AP82 BJ7:BJ82 BF7:BF82 BB7:BB82 BV7:BV82 BR7:BR82 BN7:BN82">
    <cfRule type="expression" dxfId="898" priority="162">
      <formula>$B7="v"</formula>
    </cfRule>
  </conditionalFormatting>
  <conditionalFormatting sqref="X7:Y82 T7:U82 AJ7:AK82 AF7:AG82 AB7:AC82 AR7:AS82 AN7:AO82 BH7:BI82 BD7:BE82 AZ7:BA82 BT7:BU82 BP7:BQ82 BL7:BM82">
    <cfRule type="expression" dxfId="897" priority="161">
      <formula>$B7="v"</formula>
    </cfRule>
  </conditionalFormatting>
  <conditionalFormatting sqref="AV7:AW82">
    <cfRule type="expression" dxfId="896" priority="160">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4">
      <formula>$K$4=1</formula>
    </cfRule>
  </conditionalFormatting>
  <conditionalFormatting sqref="M4:N4">
    <cfRule type="expression" dxfId="741" priority="175">
      <formula>$K$4=1</formula>
    </cfRule>
  </conditionalFormatting>
  <conditionalFormatting sqref="L7:N82">
    <cfRule type="expression" dxfId="740" priority="176">
      <formula>$K$4=""</formula>
    </cfRule>
  </conditionalFormatting>
  <conditionalFormatting sqref="P5:R6">
    <cfRule type="expression" dxfId="739" priority="177">
      <formula>$O$4=1</formula>
    </cfRule>
  </conditionalFormatting>
  <conditionalFormatting sqref="P7:R82">
    <cfRule type="expression" dxfId="738" priority="178">
      <formula>$O$4=1</formula>
    </cfRule>
  </conditionalFormatting>
  <conditionalFormatting sqref="Q4:R4">
    <cfRule type="expression" dxfId="737" priority="179">
      <formula>$O$4=1</formula>
    </cfRule>
  </conditionalFormatting>
  <conditionalFormatting sqref="P7:R82">
    <cfRule type="expression" dxfId="736" priority="180">
      <formula>$O$4=""</formula>
    </cfRule>
  </conditionalFormatting>
  <conditionalFormatting sqref="T5:V6">
    <cfRule type="expression" dxfId="735" priority="181">
      <formula>$S$4=1</formula>
    </cfRule>
  </conditionalFormatting>
  <conditionalFormatting sqref="T7:V82">
    <cfRule type="expression" dxfId="734" priority="182">
      <formula>$S$4=1</formula>
    </cfRule>
  </conditionalFormatting>
  <conditionalFormatting sqref="U4:V4">
    <cfRule type="expression" dxfId="733" priority="183">
      <formula>$S$4=1</formula>
    </cfRule>
  </conditionalFormatting>
  <conditionalFormatting sqref="T7:V82">
    <cfRule type="expression" dxfId="732" priority="184">
      <formula>$S$4=""</formula>
    </cfRule>
  </conditionalFormatting>
  <conditionalFormatting sqref="X5:Z6">
    <cfRule type="expression" dxfId="731" priority="185">
      <formula>$W$4=1</formula>
    </cfRule>
  </conditionalFormatting>
  <conditionalFormatting sqref="X7:Z82">
    <cfRule type="expression" dxfId="730" priority="186">
      <formula>$W$4=1</formula>
    </cfRule>
  </conditionalFormatting>
  <conditionalFormatting sqref="Y4:Z4">
    <cfRule type="expression" dxfId="729" priority="187">
      <formula>$W$4=1</formula>
    </cfRule>
  </conditionalFormatting>
  <conditionalFormatting sqref="X7:Z82">
    <cfRule type="expression" dxfId="728" priority="188">
      <formula>$W$4=""</formula>
    </cfRule>
  </conditionalFormatting>
  <conditionalFormatting sqref="AB5:AD6">
    <cfRule type="expression" dxfId="727" priority="189">
      <formula>$AA$4=1</formula>
    </cfRule>
  </conditionalFormatting>
  <conditionalFormatting sqref="AB7:AD82">
    <cfRule type="expression" dxfId="726" priority="190">
      <formula>$AA$4=1</formula>
    </cfRule>
  </conditionalFormatting>
  <conditionalFormatting sqref="AC4:AD4">
    <cfRule type="expression" dxfId="725" priority="191">
      <formula>$AA$4=1</formula>
    </cfRule>
  </conditionalFormatting>
  <conditionalFormatting sqref="AB7:AD82">
    <cfRule type="expression" dxfId="724" priority="192">
      <formula>$AA$4=""</formula>
    </cfRule>
  </conditionalFormatting>
  <conditionalFormatting sqref="AF5:AH6">
    <cfRule type="expression" dxfId="723" priority="193">
      <formula>$AE$4=1</formula>
    </cfRule>
  </conditionalFormatting>
  <conditionalFormatting sqref="AF7:AH82">
    <cfRule type="expression" dxfId="722" priority="194">
      <formula>$AE$4=1</formula>
    </cfRule>
  </conditionalFormatting>
  <conditionalFormatting sqref="AG4:AH4">
    <cfRule type="expression" dxfId="721" priority="195">
      <formula>$AE$4=1</formula>
    </cfRule>
  </conditionalFormatting>
  <conditionalFormatting sqref="AF7:AH82">
    <cfRule type="expression" dxfId="720" priority="196">
      <formula>$AE$4=""</formula>
    </cfRule>
  </conditionalFormatting>
  <conditionalFormatting sqref="AJ7:AL82">
    <cfRule type="expression" dxfId="719" priority="197">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200">
      <formula>$AI$4=""</formula>
    </cfRule>
  </conditionalFormatting>
  <conditionalFormatting sqref="AN7:AP82">
    <cfRule type="expression" dxfId="715" priority="201">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204">
      <formula>$AM$4=""</formula>
    </cfRule>
  </conditionalFormatting>
  <conditionalFormatting sqref="AR7:AT82">
    <cfRule type="expression" dxfId="711" priority="205">
      <formula>$AQ$4=1</formula>
    </cfRule>
  </conditionalFormatting>
  <conditionalFormatting sqref="AR5:AT6">
    <cfRule type="expression" dxfId="710" priority="206">
      <formula>$AQ$4=1</formula>
    </cfRule>
  </conditionalFormatting>
  <conditionalFormatting sqref="AR7:AT82">
    <cfRule type="expression" dxfId="709" priority="207">
      <formula>$AQ$4=""</formula>
    </cfRule>
  </conditionalFormatting>
  <conditionalFormatting sqref="AV7:AX82">
    <cfRule type="expression" dxfId="708" priority="208">
      <formula>$AU$4=1</formula>
    </cfRule>
  </conditionalFormatting>
  <conditionalFormatting sqref="AV5:AX6">
    <cfRule type="expression" dxfId="707" priority="209">
      <formula>$AU$4=1</formula>
    </cfRule>
  </conditionalFormatting>
  <conditionalFormatting sqref="AV7:AX82">
    <cfRule type="expression" dxfId="706" priority="210">
      <formula>$AU$4=""</formula>
    </cfRule>
  </conditionalFormatting>
  <conditionalFormatting sqref="AZ7:BB82">
    <cfRule type="expression" dxfId="705" priority="211">
      <formula>$AY$4=1</formula>
    </cfRule>
  </conditionalFormatting>
  <conditionalFormatting sqref="AZ5:BB6">
    <cfRule type="expression" dxfId="704" priority="212">
      <formula>$AY$4=1</formula>
    </cfRule>
  </conditionalFormatting>
  <conditionalFormatting sqref="AZ7:BB82">
    <cfRule type="expression" dxfId="703" priority="213">
      <formula>$AY$4=""</formula>
    </cfRule>
  </conditionalFormatting>
  <conditionalFormatting sqref="BD7:BF82">
    <cfRule type="expression" dxfId="702" priority="214">
      <formula>$BC$4=1</formula>
    </cfRule>
  </conditionalFormatting>
  <conditionalFormatting sqref="BD5:BF6">
    <cfRule type="expression" dxfId="701" priority="215">
      <formula>$BC$4=1</formula>
    </cfRule>
  </conditionalFormatting>
  <conditionalFormatting sqref="BD7:BF82">
    <cfRule type="expression" dxfId="700" priority="216">
      <formula>$BC$4=""</formula>
    </cfRule>
  </conditionalFormatting>
  <conditionalFormatting sqref="BH7:BJ82">
    <cfRule type="expression" dxfId="699" priority="217">
      <formula>$BG$4=1</formula>
    </cfRule>
  </conditionalFormatting>
  <conditionalFormatting sqref="BH5:BJ6">
    <cfRule type="expression" dxfId="698" priority="218">
      <formula>$BG$4=1</formula>
    </cfRule>
  </conditionalFormatting>
  <conditionalFormatting sqref="BH7:BJ82">
    <cfRule type="expression" dxfId="697" priority="219">
      <formula>$BG$4=""</formula>
    </cfRule>
  </conditionalFormatting>
  <conditionalFormatting sqref="BL7:BN82">
    <cfRule type="expression" dxfId="696" priority="220">
      <formula>$BK$4=1</formula>
    </cfRule>
  </conditionalFormatting>
  <conditionalFormatting sqref="BL5:BN6">
    <cfRule type="expression" dxfId="695" priority="221">
      <formula>$BK$4=1</formula>
    </cfRule>
  </conditionalFormatting>
  <conditionalFormatting sqref="BL7:BN82">
    <cfRule type="expression" dxfId="694" priority="222">
      <formula>$BK$4=""</formula>
    </cfRule>
  </conditionalFormatting>
  <conditionalFormatting sqref="BP7:BR82">
    <cfRule type="expression" dxfId="693" priority="223">
      <formula>$BO$4=1</formula>
    </cfRule>
  </conditionalFormatting>
  <conditionalFormatting sqref="BP5:BR6">
    <cfRule type="expression" dxfId="692" priority="224">
      <formula>$BO$4=1</formula>
    </cfRule>
  </conditionalFormatting>
  <conditionalFormatting sqref="BP7:BR82">
    <cfRule type="expression" dxfId="691" priority="225">
      <formula>$BO$4=""</formula>
    </cfRule>
  </conditionalFormatting>
  <conditionalFormatting sqref="BT7:BV82">
    <cfRule type="expression" dxfId="690" priority="226">
      <formula>$BS$4=1</formula>
    </cfRule>
  </conditionalFormatting>
  <conditionalFormatting sqref="BT5:BV6">
    <cfRule type="expression" dxfId="689" priority="227">
      <formula>$BS$4=1</formula>
    </cfRule>
  </conditionalFormatting>
  <conditionalFormatting sqref="BT7:BV82">
    <cfRule type="expression" dxfId="688" priority="228">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0132A382-FEA0-4812-A054-0886207A9626}">
      <formula1>"&lt;, &lt;=, &gt;, &gt;=, ="</formula1>
    </dataValidation>
    <dataValidation type="list" allowBlank="1" showInputMessage="1" showErrorMessage="1" sqref="B7:B82" xr:uid="{174751C5-70AE-4683-AC86-49C37796E628}">
      <formula1>"v"</formula1>
    </dataValidation>
    <dataValidation type="list" allowBlank="1" showInputMessage="1" showErrorMessage="1" sqref="F2" xr:uid="{D723FBD1-1B62-4CFD-9A53-94A96DE8A487}">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156FB32-6F73-47F5-9EDB-E391418A935B}">
          <x14:formula1>
            <xm:f>Sheet3!$A$2:$A$49</xm:f>
          </x14:formula1>
          <xm:sqref>F3</xm:sqref>
        </x14:dataValidation>
        <x14:dataValidation type="list" allowBlank="1" showInputMessage="1" xr:uid="{D5544482-1FC5-4E07-90B8-9DBF3A6DD10C}">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4D0EA-40A6-413F-9698-AB83553AC67E}">
  <sheetPr codeName="Sheet11">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237</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65">
      <formula>$B7="v"</formula>
    </cfRule>
  </conditionalFormatting>
  <conditionalFormatting sqref="P7:Q82">
    <cfRule type="expression" dxfId="673" priority="164">
      <formula>$B7="v"</formula>
    </cfRule>
  </conditionalFormatting>
  <conditionalFormatting sqref="R7:R82">
    <cfRule type="expression" dxfId="672" priority="163">
      <formula>$B7="v"</formula>
    </cfRule>
  </conditionalFormatting>
  <conditionalFormatting sqref="Z7:Z82 V7:V82 AL7:AL82 AH7:AH82 AD7:AD82 AX7:AX82 AT7:AT82 AP7:AP82 BJ7:BJ82 BF7:BF82 BB7:BB82 BV7:BV82 BR7:BR82 BN7:BN82">
    <cfRule type="expression" dxfId="671" priority="162">
      <formula>$B7="v"</formula>
    </cfRule>
  </conditionalFormatting>
  <conditionalFormatting sqref="X7:Y82 T7:U82 AJ7:AK82 AF7:AG82 AB7:AC82 AR7:AS82 AN7:AO82 BH7:BI82 BD7:BE82 AZ7:BA82 BT7:BU82 BP7:BQ82 BL7:BM82">
    <cfRule type="expression" dxfId="670" priority="161">
      <formula>$B7="v"</formula>
    </cfRule>
  </conditionalFormatting>
  <conditionalFormatting sqref="AV7:AW82">
    <cfRule type="expression" dxfId="669" priority="160">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4">
      <formula>$K$4=1</formula>
    </cfRule>
  </conditionalFormatting>
  <conditionalFormatting sqref="M4:N4">
    <cfRule type="expression" dxfId="514" priority="175">
      <formula>$K$4=1</formula>
    </cfRule>
  </conditionalFormatting>
  <conditionalFormatting sqref="L7:N82">
    <cfRule type="expression" dxfId="513" priority="176">
      <formula>$K$4=""</formula>
    </cfRule>
  </conditionalFormatting>
  <conditionalFormatting sqref="P5:R6">
    <cfRule type="expression" dxfId="512" priority="177">
      <formula>$O$4=1</formula>
    </cfRule>
  </conditionalFormatting>
  <conditionalFormatting sqref="P7:R82">
    <cfRule type="expression" dxfId="511" priority="178">
      <formula>$O$4=1</formula>
    </cfRule>
  </conditionalFormatting>
  <conditionalFormatting sqref="Q4:R4">
    <cfRule type="expression" dxfId="510" priority="179">
      <formula>$O$4=1</formula>
    </cfRule>
  </conditionalFormatting>
  <conditionalFormatting sqref="P7:R82">
    <cfRule type="expression" dxfId="509" priority="180">
      <formula>$O$4=""</formula>
    </cfRule>
  </conditionalFormatting>
  <conditionalFormatting sqref="T5:V6">
    <cfRule type="expression" dxfId="508" priority="181">
      <formula>$S$4=1</formula>
    </cfRule>
  </conditionalFormatting>
  <conditionalFormatting sqref="T7:V82">
    <cfRule type="expression" dxfId="507" priority="182">
      <formula>$S$4=1</formula>
    </cfRule>
  </conditionalFormatting>
  <conditionalFormatting sqref="U4:V4">
    <cfRule type="expression" dxfId="506" priority="183">
      <formula>$S$4=1</formula>
    </cfRule>
  </conditionalFormatting>
  <conditionalFormatting sqref="T7:V82">
    <cfRule type="expression" dxfId="505" priority="184">
      <formula>$S$4=""</formula>
    </cfRule>
  </conditionalFormatting>
  <conditionalFormatting sqref="X5:Z6">
    <cfRule type="expression" dxfId="504" priority="185">
      <formula>$W$4=1</formula>
    </cfRule>
  </conditionalFormatting>
  <conditionalFormatting sqref="X7:Z82">
    <cfRule type="expression" dxfId="503" priority="186">
      <formula>$W$4=1</formula>
    </cfRule>
  </conditionalFormatting>
  <conditionalFormatting sqref="Y4:Z4">
    <cfRule type="expression" dxfId="502" priority="187">
      <formula>$W$4=1</formula>
    </cfRule>
  </conditionalFormatting>
  <conditionalFormatting sqref="X7:Z82">
    <cfRule type="expression" dxfId="501" priority="188">
      <formula>$W$4=""</formula>
    </cfRule>
  </conditionalFormatting>
  <conditionalFormatting sqref="AB5:AD6">
    <cfRule type="expression" dxfId="500" priority="189">
      <formula>$AA$4=1</formula>
    </cfRule>
  </conditionalFormatting>
  <conditionalFormatting sqref="AB7:AD82">
    <cfRule type="expression" dxfId="499" priority="190">
      <formula>$AA$4=1</formula>
    </cfRule>
  </conditionalFormatting>
  <conditionalFormatting sqref="AC4:AD4">
    <cfRule type="expression" dxfId="498" priority="191">
      <formula>$AA$4=1</formula>
    </cfRule>
  </conditionalFormatting>
  <conditionalFormatting sqref="AB7:AD82">
    <cfRule type="expression" dxfId="497" priority="192">
      <formula>$AA$4=""</formula>
    </cfRule>
  </conditionalFormatting>
  <conditionalFormatting sqref="AF5:AH6">
    <cfRule type="expression" dxfId="496" priority="193">
      <formula>$AE$4=1</formula>
    </cfRule>
  </conditionalFormatting>
  <conditionalFormatting sqref="AF7:AH82">
    <cfRule type="expression" dxfId="495" priority="194">
      <formula>$AE$4=1</formula>
    </cfRule>
  </conditionalFormatting>
  <conditionalFormatting sqref="AG4:AH4">
    <cfRule type="expression" dxfId="494" priority="195">
      <formula>$AE$4=1</formula>
    </cfRule>
  </conditionalFormatting>
  <conditionalFormatting sqref="AF7:AH82">
    <cfRule type="expression" dxfId="493" priority="196">
      <formula>$AE$4=""</formula>
    </cfRule>
  </conditionalFormatting>
  <conditionalFormatting sqref="AJ7:AL82">
    <cfRule type="expression" dxfId="492" priority="197">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200">
      <formula>$AI$4=""</formula>
    </cfRule>
  </conditionalFormatting>
  <conditionalFormatting sqref="AN7:AP82">
    <cfRule type="expression" dxfId="488" priority="201">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204">
      <formula>$AM$4=""</formula>
    </cfRule>
  </conditionalFormatting>
  <conditionalFormatting sqref="AR7:AT82">
    <cfRule type="expression" dxfId="484" priority="205">
      <formula>$AQ$4=1</formula>
    </cfRule>
  </conditionalFormatting>
  <conditionalFormatting sqref="AR5:AT6">
    <cfRule type="expression" dxfId="483" priority="206">
      <formula>$AQ$4=1</formula>
    </cfRule>
  </conditionalFormatting>
  <conditionalFormatting sqref="AR7:AT82">
    <cfRule type="expression" dxfId="482" priority="207">
      <formula>$AQ$4=""</formula>
    </cfRule>
  </conditionalFormatting>
  <conditionalFormatting sqref="AV7:AX82">
    <cfRule type="expression" dxfId="481" priority="208">
      <formula>$AU$4=1</formula>
    </cfRule>
  </conditionalFormatting>
  <conditionalFormatting sqref="AV5:AX6">
    <cfRule type="expression" dxfId="480" priority="209">
      <formula>$AU$4=1</formula>
    </cfRule>
  </conditionalFormatting>
  <conditionalFormatting sqref="AV7:AX82">
    <cfRule type="expression" dxfId="479" priority="210">
      <formula>$AU$4=""</formula>
    </cfRule>
  </conditionalFormatting>
  <conditionalFormatting sqref="AZ7:BB82">
    <cfRule type="expression" dxfId="478" priority="211">
      <formula>$AY$4=1</formula>
    </cfRule>
  </conditionalFormatting>
  <conditionalFormatting sqref="AZ5:BB6">
    <cfRule type="expression" dxfId="477" priority="212">
      <formula>$AY$4=1</formula>
    </cfRule>
  </conditionalFormatting>
  <conditionalFormatting sqref="AZ7:BB82">
    <cfRule type="expression" dxfId="476" priority="213">
      <formula>$AY$4=""</formula>
    </cfRule>
  </conditionalFormatting>
  <conditionalFormatting sqref="BD7:BF82">
    <cfRule type="expression" dxfId="475" priority="214">
      <formula>$BC$4=1</formula>
    </cfRule>
  </conditionalFormatting>
  <conditionalFormatting sqref="BD5:BF6">
    <cfRule type="expression" dxfId="474" priority="215">
      <formula>$BC$4=1</formula>
    </cfRule>
  </conditionalFormatting>
  <conditionalFormatting sqref="BD7:BF82">
    <cfRule type="expression" dxfId="473" priority="216">
      <formula>$BC$4=""</formula>
    </cfRule>
  </conditionalFormatting>
  <conditionalFormatting sqref="BH7:BJ82">
    <cfRule type="expression" dxfId="472" priority="217">
      <formula>$BG$4=1</formula>
    </cfRule>
  </conditionalFormatting>
  <conditionalFormatting sqref="BH5:BJ6">
    <cfRule type="expression" dxfId="471" priority="218">
      <formula>$BG$4=1</formula>
    </cfRule>
  </conditionalFormatting>
  <conditionalFormatting sqref="BH7:BJ82">
    <cfRule type="expression" dxfId="470" priority="219">
      <formula>$BG$4=""</formula>
    </cfRule>
  </conditionalFormatting>
  <conditionalFormatting sqref="BL7:BN82">
    <cfRule type="expression" dxfId="469" priority="220">
      <formula>$BK$4=1</formula>
    </cfRule>
  </conditionalFormatting>
  <conditionalFormatting sqref="BL5:BN6">
    <cfRule type="expression" dxfId="468" priority="221">
      <formula>$BK$4=1</formula>
    </cfRule>
  </conditionalFormatting>
  <conditionalFormatting sqref="BL7:BN82">
    <cfRule type="expression" dxfId="467" priority="222">
      <formula>$BK$4=""</formula>
    </cfRule>
  </conditionalFormatting>
  <conditionalFormatting sqref="BP7:BR82">
    <cfRule type="expression" dxfId="466" priority="223">
      <formula>$BO$4=1</formula>
    </cfRule>
  </conditionalFormatting>
  <conditionalFormatting sqref="BP5:BR6">
    <cfRule type="expression" dxfId="465" priority="224">
      <formula>$BO$4=1</formula>
    </cfRule>
  </conditionalFormatting>
  <conditionalFormatting sqref="BP7:BR82">
    <cfRule type="expression" dxfId="464" priority="225">
      <formula>$BO$4=""</formula>
    </cfRule>
  </conditionalFormatting>
  <conditionalFormatting sqref="BT7:BV82">
    <cfRule type="expression" dxfId="463" priority="226">
      <formula>$BS$4=1</formula>
    </cfRule>
  </conditionalFormatting>
  <conditionalFormatting sqref="BT5:BV6">
    <cfRule type="expression" dxfId="462" priority="227">
      <formula>$BS$4=1</formula>
    </cfRule>
  </conditionalFormatting>
  <conditionalFormatting sqref="BT7:BV82">
    <cfRule type="expression" dxfId="461" priority="228">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92A824A3-7152-4B5F-BF1A-445A42803A46}">
      <formula1>"1, 2, 3, 4, 5, 6, 7, 8, 9, 10, 11, 12, 13, 14, 15, 16, 17"</formula1>
    </dataValidation>
    <dataValidation type="list" allowBlank="1" showInputMessage="1" showErrorMessage="1" sqref="B7:B82" xr:uid="{D517B9B7-1392-4DDB-8414-CE871410EDAB}">
      <formula1>"v"</formula1>
    </dataValidation>
    <dataValidation type="list" allowBlank="1" showInputMessage="1" showErrorMessage="1" sqref="BP7:BP82 AV7:AV82 BL7:BL82 BT7:BT82 BH7:BH82 BD7:BD82 AZ7:AZ82" xr:uid="{8D93091B-FFD2-4D79-B5FF-C33AFA2AD062}">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F4069EB-462B-47F7-9310-D93C991EA8D2}">
          <x14:formula1>
            <xm:f>Sheet3!$J$153:$J$168</xm:f>
          </x14:formula1>
          <xm:sqref>H7:H82 N7:N82 R7:R82 V7:V82 Z7:Z82 AD7:AD82 AH7:AH82 AL7:AL82 AP7:AP82 AT7:AT82</xm:sqref>
        </x14:dataValidation>
        <x14:dataValidation type="list" allowBlank="1" showInputMessage="1" showErrorMessage="1" xr:uid="{548E6D98-AF6E-42AB-A338-B2DC7F18C454}">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38806-F61F-4348-8D06-B60B665C4DA8}">
  <sheetPr codeName="Sheet12">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238</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65">
      <formula>$B7="v"</formula>
    </cfRule>
  </conditionalFormatting>
  <conditionalFormatting sqref="P7:Q82">
    <cfRule type="expression" dxfId="446" priority="164">
      <formula>$B7="v"</formula>
    </cfRule>
  </conditionalFormatting>
  <conditionalFormatting sqref="R7:R82">
    <cfRule type="expression" dxfId="445" priority="163">
      <formula>$B7="v"</formula>
    </cfRule>
  </conditionalFormatting>
  <conditionalFormatting sqref="Z7:Z82 V7:V82 AL7:AL82 AH7:AH82 AD7:AD82 AX7:AX82 AT7:AT82 AP7:AP82 BJ7:BJ82 BF7:BF82 BB7:BB82 BV7:BV82 BR7:BR82 BN7:BN82">
    <cfRule type="expression" dxfId="444" priority="162">
      <formula>$B7="v"</formula>
    </cfRule>
  </conditionalFormatting>
  <conditionalFormatting sqref="X7:Y82 T7:U82 AJ7:AK82 AF7:AG82 AB7:AC82 AR7:AS82 AN7:AO82 BH7:BI82 BD7:BE82 AZ7:BA82 BT7:BU82 BP7:BQ82 BL7:BM82">
    <cfRule type="expression" dxfId="443" priority="161">
      <formula>$B7="v"</formula>
    </cfRule>
  </conditionalFormatting>
  <conditionalFormatting sqref="AV7:AW82">
    <cfRule type="expression" dxfId="442" priority="160">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4">
      <formula>$K$4=1</formula>
    </cfRule>
  </conditionalFormatting>
  <conditionalFormatting sqref="M4:N4">
    <cfRule type="expression" dxfId="287" priority="175">
      <formula>$K$4=1</formula>
    </cfRule>
  </conditionalFormatting>
  <conditionalFormatting sqref="L7:N82">
    <cfRule type="expression" dxfId="286" priority="176">
      <formula>$K$4=""</formula>
    </cfRule>
  </conditionalFormatting>
  <conditionalFormatting sqref="P5:R6">
    <cfRule type="expression" dxfId="285" priority="177">
      <formula>$O$4=1</formula>
    </cfRule>
  </conditionalFormatting>
  <conditionalFormatting sqref="P7:R82">
    <cfRule type="expression" dxfId="284" priority="178">
      <formula>$O$4=1</formula>
    </cfRule>
  </conditionalFormatting>
  <conditionalFormatting sqref="Q4:R4">
    <cfRule type="expression" dxfId="283" priority="179">
      <formula>$O$4=1</formula>
    </cfRule>
  </conditionalFormatting>
  <conditionalFormatting sqref="P7:R82">
    <cfRule type="expression" dxfId="282" priority="180">
      <formula>$O$4=""</formula>
    </cfRule>
  </conditionalFormatting>
  <conditionalFormatting sqref="T5:V6">
    <cfRule type="expression" dxfId="281" priority="181">
      <formula>$S$4=1</formula>
    </cfRule>
  </conditionalFormatting>
  <conditionalFormatting sqref="T7:V82">
    <cfRule type="expression" dxfId="280" priority="182">
      <formula>$S$4=1</formula>
    </cfRule>
  </conditionalFormatting>
  <conditionalFormatting sqref="U4:V4">
    <cfRule type="expression" dxfId="279" priority="183">
      <formula>$S$4=1</formula>
    </cfRule>
  </conditionalFormatting>
  <conditionalFormatting sqref="T7:V82">
    <cfRule type="expression" dxfId="278" priority="184">
      <formula>$S$4=""</formula>
    </cfRule>
  </conditionalFormatting>
  <conditionalFormatting sqref="X5:Z6">
    <cfRule type="expression" dxfId="277" priority="185">
      <formula>$W$4=1</formula>
    </cfRule>
  </conditionalFormatting>
  <conditionalFormatting sqref="X7:Z82">
    <cfRule type="expression" dxfId="276" priority="186">
      <formula>$W$4=1</formula>
    </cfRule>
  </conditionalFormatting>
  <conditionalFormatting sqref="Y4:Z4">
    <cfRule type="expression" dxfId="275" priority="187">
      <formula>$W$4=1</formula>
    </cfRule>
  </conditionalFormatting>
  <conditionalFormatting sqref="X7:Z82">
    <cfRule type="expression" dxfId="274" priority="188">
      <formula>$W$4=""</formula>
    </cfRule>
  </conditionalFormatting>
  <conditionalFormatting sqref="AB5:AD6">
    <cfRule type="expression" dxfId="273" priority="189">
      <formula>$AA$4=1</formula>
    </cfRule>
  </conditionalFormatting>
  <conditionalFormatting sqref="AB7:AD82">
    <cfRule type="expression" dxfId="272" priority="190">
      <formula>$AA$4=1</formula>
    </cfRule>
  </conditionalFormatting>
  <conditionalFormatting sqref="AC4:AD4">
    <cfRule type="expression" dxfId="271" priority="191">
      <formula>$AA$4=1</formula>
    </cfRule>
  </conditionalFormatting>
  <conditionalFormatting sqref="AB7:AD82">
    <cfRule type="expression" dxfId="270" priority="192">
      <formula>$AA$4=""</formula>
    </cfRule>
  </conditionalFormatting>
  <conditionalFormatting sqref="AF5:AH6">
    <cfRule type="expression" dxfId="269" priority="193">
      <formula>$AE$4=1</formula>
    </cfRule>
  </conditionalFormatting>
  <conditionalFormatting sqref="AF7:AH82">
    <cfRule type="expression" dxfId="268" priority="194">
      <formula>$AE$4=1</formula>
    </cfRule>
  </conditionalFormatting>
  <conditionalFormatting sqref="AG4:AH4">
    <cfRule type="expression" dxfId="267" priority="195">
      <formula>$AE$4=1</formula>
    </cfRule>
  </conditionalFormatting>
  <conditionalFormatting sqref="AF7:AH82">
    <cfRule type="expression" dxfId="266" priority="196">
      <formula>$AE$4=""</formula>
    </cfRule>
  </conditionalFormatting>
  <conditionalFormatting sqref="AJ7:AL82">
    <cfRule type="expression" dxfId="265" priority="197">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200">
      <formula>$AI$4=""</formula>
    </cfRule>
  </conditionalFormatting>
  <conditionalFormatting sqref="AN7:AP82">
    <cfRule type="expression" dxfId="261" priority="201">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204">
      <formula>$AM$4=""</formula>
    </cfRule>
  </conditionalFormatting>
  <conditionalFormatting sqref="AR7:AT82">
    <cfRule type="expression" dxfId="257" priority="205">
      <formula>$AQ$4=1</formula>
    </cfRule>
  </conditionalFormatting>
  <conditionalFormatting sqref="AR5:AT6">
    <cfRule type="expression" dxfId="256" priority="206">
      <formula>$AQ$4=1</formula>
    </cfRule>
  </conditionalFormatting>
  <conditionalFormatting sqref="AR7:AT82">
    <cfRule type="expression" dxfId="255" priority="207">
      <formula>$AQ$4=""</formula>
    </cfRule>
  </conditionalFormatting>
  <conditionalFormatting sqref="AV7:AX82">
    <cfRule type="expression" dxfId="254" priority="208">
      <formula>$AU$4=1</formula>
    </cfRule>
  </conditionalFormatting>
  <conditionalFormatting sqref="AV5:AX6">
    <cfRule type="expression" dxfId="253" priority="209">
      <formula>$AU$4=1</formula>
    </cfRule>
  </conditionalFormatting>
  <conditionalFormatting sqref="AV7:AX82">
    <cfRule type="expression" dxfId="252" priority="210">
      <formula>$AU$4=""</formula>
    </cfRule>
  </conditionalFormatting>
  <conditionalFormatting sqref="AZ7:BB82">
    <cfRule type="expression" dxfId="251" priority="211">
      <formula>$AY$4=1</formula>
    </cfRule>
  </conditionalFormatting>
  <conditionalFormatting sqref="AZ5:BB6">
    <cfRule type="expression" dxfId="250" priority="212">
      <formula>$AY$4=1</formula>
    </cfRule>
  </conditionalFormatting>
  <conditionalFormatting sqref="AZ7:BB82">
    <cfRule type="expression" dxfId="249" priority="213">
      <formula>$AY$4=""</formula>
    </cfRule>
  </conditionalFormatting>
  <conditionalFormatting sqref="BD7:BF82">
    <cfRule type="expression" dxfId="248" priority="214">
      <formula>$BC$4=1</formula>
    </cfRule>
  </conditionalFormatting>
  <conditionalFormatting sqref="BD5:BF6">
    <cfRule type="expression" dxfId="247" priority="215">
      <formula>$BC$4=1</formula>
    </cfRule>
  </conditionalFormatting>
  <conditionalFormatting sqref="BD7:BF82">
    <cfRule type="expression" dxfId="246" priority="216">
      <formula>$BC$4=""</formula>
    </cfRule>
  </conditionalFormatting>
  <conditionalFormatting sqref="BH7:BJ82">
    <cfRule type="expression" dxfId="245" priority="217">
      <formula>$BG$4=1</formula>
    </cfRule>
  </conditionalFormatting>
  <conditionalFormatting sqref="BH5:BJ6">
    <cfRule type="expression" dxfId="244" priority="218">
      <formula>$BG$4=1</formula>
    </cfRule>
  </conditionalFormatting>
  <conditionalFormatting sqref="BH7:BJ82">
    <cfRule type="expression" dxfId="243" priority="219">
      <formula>$BG$4=""</formula>
    </cfRule>
  </conditionalFormatting>
  <conditionalFormatting sqref="BL7:BN82">
    <cfRule type="expression" dxfId="242" priority="220">
      <formula>$BK$4=1</formula>
    </cfRule>
  </conditionalFormatting>
  <conditionalFormatting sqref="BL5:BN6">
    <cfRule type="expression" dxfId="241" priority="221">
      <formula>$BK$4=1</formula>
    </cfRule>
  </conditionalFormatting>
  <conditionalFormatting sqref="BL7:BN82">
    <cfRule type="expression" dxfId="240" priority="222">
      <formula>$BK$4=""</formula>
    </cfRule>
  </conditionalFormatting>
  <conditionalFormatting sqref="BP7:BR82">
    <cfRule type="expression" dxfId="239" priority="223">
      <formula>$BO$4=1</formula>
    </cfRule>
  </conditionalFormatting>
  <conditionalFormatting sqref="BP5:BR6">
    <cfRule type="expression" dxfId="238" priority="224">
      <formula>$BO$4=1</formula>
    </cfRule>
  </conditionalFormatting>
  <conditionalFormatting sqref="BP7:BR82">
    <cfRule type="expression" dxfId="237" priority="225">
      <formula>$BO$4=""</formula>
    </cfRule>
  </conditionalFormatting>
  <conditionalFormatting sqref="BT7:BV82">
    <cfRule type="expression" dxfId="236" priority="226">
      <formula>$BS$4=1</formula>
    </cfRule>
  </conditionalFormatting>
  <conditionalFormatting sqref="BT5:BV6">
    <cfRule type="expression" dxfId="235" priority="227">
      <formula>$BS$4=1</formula>
    </cfRule>
  </conditionalFormatting>
  <conditionalFormatting sqref="BT7:BV82">
    <cfRule type="expression" dxfId="234" priority="228">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A894F277-BB29-4A01-A1CC-77F23693A1AF}">
      <formula1>"&lt;, &lt;=, &gt;, &gt;=, ="</formula1>
    </dataValidation>
    <dataValidation type="list" allowBlank="1" showInputMessage="1" showErrorMessage="1" sqref="B7:B82" xr:uid="{C4CE07D2-229A-46ED-BCE5-763D5E2469DD}">
      <formula1>"v"</formula1>
    </dataValidation>
    <dataValidation type="list" allowBlank="1" showInputMessage="1" showErrorMessage="1" sqref="F2" xr:uid="{A2880C64-718E-4C12-B3DD-8F56CD4E13C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386D804-C61D-4074-ADAC-AD235990640E}">
          <x14:formula1>
            <xm:f>Sheet3!$A$2:$A$49</xm:f>
          </x14:formula1>
          <xm:sqref>F3</xm:sqref>
        </x14:dataValidation>
        <x14:dataValidation type="list" allowBlank="1" showInputMessage="1" xr:uid="{27D2A04E-5E99-44FE-B75A-B2C83B408E73}">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124F8-2F3D-48B2-878B-E67A72832ACE}">
  <sheetPr codeName="Sheet13">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239</v>
      </c>
      <c r="C1" s="297"/>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50"/>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51"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292"/>
      <c r="G85" s="29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65">
      <formula>$B7="v"</formula>
    </cfRule>
  </conditionalFormatting>
  <conditionalFormatting sqref="P7:Q82">
    <cfRule type="expression" dxfId="219" priority="164">
      <formula>$B7="v"</formula>
    </cfRule>
  </conditionalFormatting>
  <conditionalFormatting sqref="R7:R82">
    <cfRule type="expression" dxfId="218" priority="163">
      <formula>$B7="v"</formula>
    </cfRule>
  </conditionalFormatting>
  <conditionalFormatting sqref="Z7:Z82 V7:V82 AL7:AL82 AH7:AH82 AD7:AD82 AX7:AX82 AT7:AT82 AP7:AP82 BJ7:BJ82 BF7:BF82 BB7:BB82 BV7:BV82 BR7:BR82 BN7:BN82">
    <cfRule type="expression" dxfId="217" priority="162">
      <formula>$B7="v"</formula>
    </cfRule>
  </conditionalFormatting>
  <conditionalFormatting sqref="X7:Y82 T7:U82 AJ7:AK82 AF7:AG82 AB7:AC82 AR7:AS82 AN7:AO82 BH7:BI82 BD7:BE82 AZ7:BA82 BT7:BU82 BP7:BQ82 BL7:BM82">
    <cfRule type="expression" dxfId="216" priority="161">
      <formula>$B7="v"</formula>
    </cfRule>
  </conditionalFormatting>
  <conditionalFormatting sqref="AV7:AW82">
    <cfRule type="expression" dxfId="215" priority="160">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4">
      <formula>$K$4=1</formula>
    </cfRule>
  </conditionalFormatting>
  <conditionalFormatting sqref="M4:N4">
    <cfRule type="expression" dxfId="60" priority="175">
      <formula>$K$4=1</formula>
    </cfRule>
  </conditionalFormatting>
  <conditionalFormatting sqref="L7:N82">
    <cfRule type="expression" dxfId="59" priority="176">
      <formula>$K$4=""</formula>
    </cfRule>
  </conditionalFormatting>
  <conditionalFormatting sqref="P5:R6">
    <cfRule type="expression" dxfId="58" priority="177">
      <formula>$O$4=1</formula>
    </cfRule>
  </conditionalFormatting>
  <conditionalFormatting sqref="P7:R82">
    <cfRule type="expression" dxfId="57" priority="178">
      <formula>$O$4=1</formula>
    </cfRule>
  </conditionalFormatting>
  <conditionalFormatting sqref="Q4:R4">
    <cfRule type="expression" dxfId="56" priority="179">
      <formula>$O$4=1</formula>
    </cfRule>
  </conditionalFormatting>
  <conditionalFormatting sqref="P7:R82">
    <cfRule type="expression" dxfId="55" priority="180">
      <formula>$O$4=""</formula>
    </cfRule>
  </conditionalFormatting>
  <conditionalFormatting sqref="T5:V6">
    <cfRule type="expression" dxfId="54" priority="181">
      <formula>$S$4=1</formula>
    </cfRule>
  </conditionalFormatting>
  <conditionalFormatting sqref="T7:V82">
    <cfRule type="expression" dxfId="53" priority="182">
      <formula>$S$4=1</formula>
    </cfRule>
  </conditionalFormatting>
  <conditionalFormatting sqref="U4:V4">
    <cfRule type="expression" dxfId="52" priority="183">
      <formula>$S$4=1</formula>
    </cfRule>
  </conditionalFormatting>
  <conditionalFormatting sqref="T7:V82">
    <cfRule type="expression" dxfId="51" priority="184">
      <formula>$S$4=""</formula>
    </cfRule>
  </conditionalFormatting>
  <conditionalFormatting sqref="X5:Z6">
    <cfRule type="expression" dxfId="50" priority="185">
      <formula>$W$4=1</formula>
    </cfRule>
  </conditionalFormatting>
  <conditionalFormatting sqref="X7:Z82">
    <cfRule type="expression" dxfId="49" priority="186">
      <formula>$W$4=1</formula>
    </cfRule>
  </conditionalFormatting>
  <conditionalFormatting sqref="Y4:Z4">
    <cfRule type="expression" dxfId="48" priority="187">
      <formula>$W$4=1</formula>
    </cfRule>
  </conditionalFormatting>
  <conditionalFormatting sqref="X7:Z82">
    <cfRule type="expression" dxfId="47" priority="188">
      <formula>$W$4=""</formula>
    </cfRule>
  </conditionalFormatting>
  <conditionalFormatting sqref="AB5:AD6">
    <cfRule type="expression" dxfId="46" priority="189">
      <formula>$AA$4=1</formula>
    </cfRule>
  </conditionalFormatting>
  <conditionalFormatting sqref="AB7:AD82">
    <cfRule type="expression" dxfId="45" priority="190">
      <formula>$AA$4=1</formula>
    </cfRule>
  </conditionalFormatting>
  <conditionalFormatting sqref="AC4:AD4">
    <cfRule type="expression" dxfId="44" priority="191">
      <formula>$AA$4=1</formula>
    </cfRule>
  </conditionalFormatting>
  <conditionalFormatting sqref="AB7:AD82">
    <cfRule type="expression" dxfId="43" priority="192">
      <formula>$AA$4=""</formula>
    </cfRule>
  </conditionalFormatting>
  <conditionalFormatting sqref="AF5:AH6">
    <cfRule type="expression" dxfId="42" priority="193">
      <formula>$AE$4=1</formula>
    </cfRule>
  </conditionalFormatting>
  <conditionalFormatting sqref="AF7:AH82">
    <cfRule type="expression" dxfId="41" priority="194">
      <formula>$AE$4=1</formula>
    </cfRule>
  </conditionalFormatting>
  <conditionalFormatting sqref="AG4:AH4">
    <cfRule type="expression" dxfId="40" priority="195">
      <formula>$AE$4=1</formula>
    </cfRule>
  </conditionalFormatting>
  <conditionalFormatting sqref="AF7:AH82">
    <cfRule type="expression" dxfId="39" priority="196">
      <formula>$AE$4=""</formula>
    </cfRule>
  </conditionalFormatting>
  <conditionalFormatting sqref="AJ7:AL82">
    <cfRule type="expression" dxfId="38" priority="197">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200">
      <formula>$AI$4=""</formula>
    </cfRule>
  </conditionalFormatting>
  <conditionalFormatting sqref="AN7:AP82">
    <cfRule type="expression" dxfId="34" priority="201">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204">
      <formula>$AM$4=""</formula>
    </cfRule>
  </conditionalFormatting>
  <conditionalFormatting sqref="AR7:AT82">
    <cfRule type="expression" dxfId="30" priority="205">
      <formula>$AQ$4=1</formula>
    </cfRule>
  </conditionalFormatting>
  <conditionalFormatting sqref="AR5:AT6">
    <cfRule type="expression" dxfId="29" priority="206">
      <formula>$AQ$4=1</formula>
    </cfRule>
  </conditionalFormatting>
  <conditionalFormatting sqref="AR7:AT82">
    <cfRule type="expression" dxfId="28" priority="207">
      <formula>$AQ$4=""</formula>
    </cfRule>
  </conditionalFormatting>
  <conditionalFormatting sqref="AV7:AX82">
    <cfRule type="expression" dxfId="27" priority="208">
      <formula>$AU$4=1</formula>
    </cfRule>
  </conditionalFormatting>
  <conditionalFormatting sqref="AV5:AX6">
    <cfRule type="expression" dxfId="26" priority="209">
      <formula>$AU$4=1</formula>
    </cfRule>
  </conditionalFormatting>
  <conditionalFormatting sqref="AV7:AX82">
    <cfRule type="expression" dxfId="25" priority="210">
      <formula>$AU$4=""</formula>
    </cfRule>
  </conditionalFormatting>
  <conditionalFormatting sqref="AZ7:BB82">
    <cfRule type="expression" dxfId="24" priority="211">
      <formula>$AY$4=1</formula>
    </cfRule>
  </conditionalFormatting>
  <conditionalFormatting sqref="AZ5:BB6">
    <cfRule type="expression" dxfId="23" priority="212">
      <formula>$AY$4=1</formula>
    </cfRule>
  </conditionalFormatting>
  <conditionalFormatting sqref="AZ7:BB82">
    <cfRule type="expression" dxfId="22" priority="213">
      <formula>$AY$4=""</formula>
    </cfRule>
  </conditionalFormatting>
  <conditionalFormatting sqref="BD7:BF82">
    <cfRule type="expression" dxfId="21" priority="214">
      <formula>$BC$4=1</formula>
    </cfRule>
  </conditionalFormatting>
  <conditionalFormatting sqref="BD5:BF6">
    <cfRule type="expression" dxfId="20" priority="215">
      <formula>$BC$4=1</formula>
    </cfRule>
  </conditionalFormatting>
  <conditionalFormatting sqref="BD7:BF82">
    <cfRule type="expression" dxfId="19" priority="216">
      <formula>$BC$4=""</formula>
    </cfRule>
  </conditionalFormatting>
  <conditionalFormatting sqref="BH7:BJ82">
    <cfRule type="expression" dxfId="18" priority="217">
      <formula>$BG$4=1</formula>
    </cfRule>
  </conditionalFormatting>
  <conditionalFormatting sqref="BH5:BJ6">
    <cfRule type="expression" dxfId="17" priority="218">
      <formula>$BG$4=1</formula>
    </cfRule>
  </conditionalFormatting>
  <conditionalFormatting sqref="BH7:BJ82">
    <cfRule type="expression" dxfId="16" priority="219">
      <formula>$BG$4=""</formula>
    </cfRule>
  </conditionalFormatting>
  <conditionalFormatting sqref="BL7:BN82">
    <cfRule type="expression" dxfId="15" priority="220">
      <formula>$BK$4=1</formula>
    </cfRule>
  </conditionalFormatting>
  <conditionalFormatting sqref="BL5:BN6">
    <cfRule type="expression" dxfId="14" priority="221">
      <formula>$BK$4=1</formula>
    </cfRule>
  </conditionalFormatting>
  <conditionalFormatting sqref="BL7:BN82">
    <cfRule type="expression" dxfId="13" priority="222">
      <formula>$BK$4=""</formula>
    </cfRule>
  </conditionalFormatting>
  <conditionalFormatting sqref="BP7:BR82">
    <cfRule type="expression" dxfId="12" priority="223">
      <formula>$BO$4=1</formula>
    </cfRule>
  </conditionalFormatting>
  <conditionalFormatting sqref="BP5:BR6">
    <cfRule type="expression" dxfId="11" priority="224">
      <formula>$BO$4=1</formula>
    </cfRule>
  </conditionalFormatting>
  <conditionalFormatting sqref="BP7:BR82">
    <cfRule type="expression" dxfId="10" priority="225">
      <formula>$BO$4=""</formula>
    </cfRule>
  </conditionalFormatting>
  <conditionalFormatting sqref="BT7:BV82">
    <cfRule type="expression" dxfId="9" priority="226">
      <formula>$BS$4=1</formula>
    </cfRule>
  </conditionalFormatting>
  <conditionalFormatting sqref="BT5:BV6">
    <cfRule type="expression" dxfId="8" priority="227">
      <formula>$BS$4=1</formula>
    </cfRule>
  </conditionalFormatting>
  <conditionalFormatting sqref="BT7:BV82">
    <cfRule type="expression" dxfId="7" priority="228">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61EFB1A9-EFFB-4FA3-892D-C807C1FEC827}">
      <formula1>"1, 2, 3, 4, 5, 6, 7, 8, 9, 10, 11, 12, 13, 14, 15, 16, 17"</formula1>
    </dataValidation>
    <dataValidation type="list" allowBlank="1" showInputMessage="1" showErrorMessage="1" sqref="B7:B82" xr:uid="{9AC9D902-7375-41B8-A4FF-5B0D2C7D82F8}">
      <formula1>"v"</formula1>
    </dataValidation>
    <dataValidation type="list" allowBlank="1" showInputMessage="1" showErrorMessage="1" sqref="BP7:BP82 AV7:AV82 BL7:BL82 BT7:BT82 BH7:BH82 BD7:BD82 AZ7:AZ82" xr:uid="{861A2C11-13D6-4144-A043-907F6F20D92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D90355D-869B-4CF6-B5DC-84344830B58A}">
          <x14:formula1>
            <xm:f>Sheet3!$J$153:$J$168</xm:f>
          </x14:formula1>
          <xm:sqref>H7:H82 N7:N82 R7:R82 V7:V82 Z7:Z82 AD7:AD82 AH7:AH82 AL7:AL82 AP7:AP82 AT7:AT82</xm:sqref>
        </x14:dataValidation>
        <x14:dataValidation type="list" allowBlank="1" showInputMessage="1" showErrorMessage="1" xr:uid="{021AEBDF-DD68-4712-A85E-8199F60B4C31}">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45238</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2023-11-08T04:51:18Z</dcterms:modified>
</cp:coreProperties>
</file>