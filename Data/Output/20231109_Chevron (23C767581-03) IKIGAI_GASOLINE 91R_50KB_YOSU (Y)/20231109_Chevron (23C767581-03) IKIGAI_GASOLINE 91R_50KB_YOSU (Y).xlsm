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현재_통합_문서" defaultThemeVersion="166925"/>
  <mc:AlternateContent xmlns:mc="http://schemas.openxmlformats.org/markup-compatibility/2006">
    <mc:Choice Requires="x15">
      <x15ac:absPath xmlns:x15ac="http://schemas.microsoft.com/office/spreadsheetml/2010/11/ac" url="C:\UiPath\RPA\KR\Ulsan\OGC\robot999\SGS_RPA_KR_Ulsan_OGC_5_Navarik_Draft\Data\Input\20231109_Chevron (23C767581-03) IKIGAI_GASOLINE 91R_50KB_YOSU (Y)\"/>
    </mc:Choice>
  </mc:AlternateContent>
  <xr:revisionPtr revIDLastSave="0" documentId="13_ncr:1_{67C8AD82-2A1D-4AEA-82F3-D059ECBB935A}" xr6:coauthVersionLast="45" xr6:coauthVersionMax="47" xr10:uidLastSave="{00000000-0000-0000-0000-000000000000}"/>
  <bookViews>
    <workbookView xWindow="240" yWindow="1860" windowWidth="21600" windowHeight="11385" tabRatio="688" activeTab="4" xr2:uid="{D5438E65-0C1A-43C8-87E4-52658D7A1A13}"/>
  </bookViews>
  <sheets>
    <sheet name="Navarik 설정" sheetId="36" r:id="rId1"/>
    <sheet name="Time" sheetId="4" state="hidden" r:id="rId2"/>
    <sheet name="Quantity" sheetId="1" r:id="rId3"/>
    <sheet name="Quality SET 1" sheetId="2" r:id="rId4"/>
    <sheet name="SET 2" sheetId="154" r:id="rId5"/>
    <sheet name="SET 3" sheetId="146" r:id="rId6"/>
    <sheet name="SET 4" sheetId="147" r:id="rId7"/>
    <sheet name="SET 5" sheetId="148" r:id="rId8"/>
    <sheet name="SET 6" sheetId="149" r:id="rId9"/>
    <sheet name="SET 7" sheetId="150" r:id="rId10"/>
    <sheet name="SET 8" sheetId="151" r:id="rId11"/>
    <sheet name="SET 9" sheetId="152" r:id="rId12"/>
    <sheet name="SET 10" sheetId="153" r:id="rId13"/>
    <sheet name="Sheet3" sheetId="3" state="hidden" r:id="rId14"/>
  </sheets>
  <definedNames>
    <definedName name="DENSHELL">Sheet3!$Q$1</definedName>
    <definedName name="DENVAC">Sheet3!$Q$2:$Q$852</definedName>
    <definedName name="_xlnm.Print_Area" localSheetId="0">'Navarik 설정'!$B$3:$K$34</definedName>
    <definedName name="_xlnm.Print_Area" localSheetId="3">'Quality SET 1'!$A$1:$I$83</definedName>
    <definedName name="_xlnm.Print_Area" localSheetId="2">Quantity!$A$1:$H$38</definedName>
    <definedName name="_xlnm.Print_Area" localSheetId="12">'SET 10'!$A$1:$I$83</definedName>
    <definedName name="_xlnm.Print_Area" localSheetId="4">'SET 2'!$A$1:$I$83</definedName>
    <definedName name="_xlnm.Print_Area" localSheetId="5">'SET 3'!$A$1:$I$83</definedName>
    <definedName name="_xlnm.Print_Area" localSheetId="6">'SET 4'!$A$1:$I$83</definedName>
    <definedName name="_xlnm.Print_Area" localSheetId="7">'SET 5'!$A$1:$I$83</definedName>
    <definedName name="_xlnm.Print_Area" localSheetId="8">'SET 6'!$A$1:$I$83</definedName>
    <definedName name="_xlnm.Print_Area" localSheetId="9">'SET 7'!$A$1:$I$83</definedName>
    <definedName name="_xlnm.Print_Area" localSheetId="10">'SET 8'!$A$1:$I$83</definedName>
    <definedName name="_xlnm.Print_Area" localSheetId="11">'SET 9'!$A$1:$I$83</definedName>
    <definedName name="_xlnm.Print_Area" localSheetId="1">Time!$A$1:$H$71</definedName>
    <definedName name="TABLE3">Sheet3!$N$1:$O$852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6" i="1" l="1"/>
  <c r="J82" i="154"/>
  <c r="J81" i="154"/>
  <c r="J80" i="154"/>
  <c r="J79" i="154"/>
  <c r="J78" i="154"/>
  <c r="J77" i="154"/>
  <c r="J76" i="154"/>
  <c r="J75" i="154"/>
  <c r="J74" i="154"/>
  <c r="J73" i="154"/>
  <c r="J72" i="154"/>
  <c r="J71" i="154"/>
  <c r="J70" i="154"/>
  <c r="J69" i="154"/>
  <c r="J68" i="154"/>
  <c r="J67" i="154"/>
  <c r="J66" i="154"/>
  <c r="J65" i="154"/>
  <c r="J64" i="154"/>
  <c r="J63" i="154"/>
  <c r="J62" i="154"/>
  <c r="J61" i="154"/>
  <c r="J60" i="154"/>
  <c r="J59" i="154"/>
  <c r="J58" i="154"/>
  <c r="J57" i="154"/>
  <c r="J56" i="154"/>
  <c r="J55" i="154"/>
  <c r="J54" i="154"/>
  <c r="J53" i="154"/>
  <c r="J52" i="154"/>
  <c r="J51" i="154"/>
  <c r="J50" i="154"/>
  <c r="J49" i="154"/>
  <c r="J48" i="154"/>
  <c r="J47" i="154"/>
  <c r="J46" i="154"/>
  <c r="J45" i="154"/>
  <c r="J44" i="154"/>
  <c r="J43" i="154"/>
  <c r="J42" i="154"/>
  <c r="J41" i="154"/>
  <c r="J40" i="154"/>
  <c r="J39" i="154"/>
  <c r="J38" i="154"/>
  <c r="J37" i="154"/>
  <c r="J36" i="154"/>
  <c r="J35" i="154"/>
  <c r="J34" i="154"/>
  <c r="J33" i="154"/>
  <c r="J32" i="154"/>
  <c r="BS31" i="154"/>
  <c r="J31" i="154"/>
  <c r="J30" i="154"/>
  <c r="AI29" i="154"/>
  <c r="J29" i="154"/>
  <c r="BS28" i="154"/>
  <c r="J28" i="154"/>
  <c r="BC27" i="154"/>
  <c r="W27" i="154"/>
  <c r="J27" i="154"/>
  <c r="BG26" i="154"/>
  <c r="AI26" i="154"/>
  <c r="J26" i="154"/>
  <c r="BS25" i="154"/>
  <c r="AU25" i="154"/>
  <c r="J25" i="154"/>
  <c r="AY24" i="154"/>
  <c r="AA24" i="154"/>
  <c r="J24" i="154"/>
  <c r="BS23" i="154"/>
  <c r="AU23" i="154"/>
  <c r="S23" i="154"/>
  <c r="J23" i="154"/>
  <c r="BK22" i="154"/>
  <c r="AI22" i="154"/>
  <c r="J22" i="154"/>
  <c r="AY21" i="154"/>
  <c r="AA21" i="154"/>
  <c r="J21" i="154"/>
  <c r="BO20" i="154"/>
  <c r="AM20" i="154"/>
  <c r="O20" i="154"/>
  <c r="J20" i="154"/>
  <c r="BC19" i="154"/>
  <c r="AE19" i="154"/>
  <c r="J19" i="154"/>
  <c r="BW18" i="154"/>
  <c r="AY18" i="154"/>
  <c r="AA18" i="154"/>
  <c r="J18" i="154"/>
  <c r="BS17" i="154"/>
  <c r="AU17" i="154"/>
  <c r="W17" i="154"/>
  <c r="J17" i="154"/>
  <c r="BO16" i="154"/>
  <c r="AQ16" i="154"/>
  <c r="S16" i="154"/>
  <c r="J16" i="154"/>
  <c r="BK15" i="154"/>
  <c r="BG15" i="154"/>
  <c r="AM15" i="154"/>
  <c r="O15" i="154"/>
  <c r="J15" i="154"/>
  <c r="BG14" i="154"/>
  <c r="AI14" i="154"/>
  <c r="J14" i="154"/>
  <c r="BC13" i="154"/>
  <c r="AE13" i="154"/>
  <c r="J13" i="154"/>
  <c r="BW12" i="154"/>
  <c r="BS12" i="154"/>
  <c r="AY12" i="154"/>
  <c r="AA12" i="154"/>
  <c r="W12" i="154"/>
  <c r="J12" i="154"/>
  <c r="BS11" i="154"/>
  <c r="AU11" i="154"/>
  <c r="W11" i="154"/>
  <c r="J11" i="154"/>
  <c r="BO10" i="154"/>
  <c r="BG10" i="154"/>
  <c r="AQ10" i="154"/>
  <c r="S10" i="154"/>
  <c r="J10" i="154"/>
  <c r="BK9" i="154"/>
  <c r="BG9" i="154"/>
  <c r="AM9" i="154"/>
  <c r="AI9" i="154"/>
  <c r="O9" i="154"/>
  <c r="J9" i="154"/>
  <c r="BG8" i="154"/>
  <c r="BC8" i="154"/>
  <c r="AI8" i="154"/>
  <c r="J8" i="154"/>
  <c r="BS7" i="154"/>
  <c r="BG7" i="154"/>
  <c r="BC7" i="154"/>
  <c r="AI7" i="154"/>
  <c r="AE7" i="154"/>
  <c r="W7" i="154"/>
  <c r="J7" i="154"/>
  <c r="BR6" i="154"/>
  <c r="BS6" i="154" s="1"/>
  <c r="BQ6" i="154"/>
  <c r="BP6" i="154"/>
  <c r="BF6" i="154"/>
  <c r="BG6" i="154" s="1"/>
  <c r="BE6" i="154"/>
  <c r="BD6" i="154"/>
  <c r="AT6" i="154"/>
  <c r="AU6" i="154" s="1"/>
  <c r="AS6" i="154"/>
  <c r="AR6" i="154"/>
  <c r="AH6" i="154"/>
  <c r="AI6" i="154" s="1"/>
  <c r="AG6" i="154"/>
  <c r="AF6" i="154"/>
  <c r="V6" i="154"/>
  <c r="W6" i="154" s="1"/>
  <c r="U6" i="154"/>
  <c r="T6" i="154"/>
  <c r="BS5" i="154"/>
  <c r="BP5" i="154"/>
  <c r="BG5" i="154"/>
  <c r="BD5" i="154"/>
  <c r="AU5" i="154"/>
  <c r="AR5" i="154"/>
  <c r="AI5" i="154"/>
  <c r="AF5" i="154"/>
  <c r="W5" i="154"/>
  <c r="T5" i="154"/>
  <c r="BT4" i="154"/>
  <c r="BS4" i="154"/>
  <c r="BW24" i="154" s="1"/>
  <c r="BO4" i="154"/>
  <c r="BS15" i="154" s="1"/>
  <c r="BK4" i="154"/>
  <c r="BO40" i="154" s="1"/>
  <c r="BH4" i="154"/>
  <c r="BG4" i="154"/>
  <c r="BK33" i="154" s="1"/>
  <c r="BD4" i="154"/>
  <c r="BC4" i="154"/>
  <c r="AY4" i="154"/>
  <c r="BC37" i="154" s="1"/>
  <c r="AV4" i="154"/>
  <c r="AU4" i="154"/>
  <c r="AY48" i="154" s="1"/>
  <c r="AQ4" i="154"/>
  <c r="AU38" i="154" s="1"/>
  <c r="AM4" i="154"/>
  <c r="AQ11" i="154" s="1"/>
  <c r="AJ4" i="154"/>
  <c r="AI4" i="154"/>
  <c r="AM11" i="154" s="1"/>
  <c r="AF4" i="154"/>
  <c r="AE4" i="154"/>
  <c r="AA4" i="154"/>
  <c r="AE31" i="154" s="1"/>
  <c r="X4" i="154"/>
  <c r="W4" i="154"/>
  <c r="AA32" i="154" s="1"/>
  <c r="S4" i="154"/>
  <c r="W36" i="154" s="1"/>
  <c r="O4" i="154"/>
  <c r="S42" i="154" s="1"/>
  <c r="L4" i="154"/>
  <c r="K4" i="154"/>
  <c r="O27" i="154" s="1"/>
  <c r="J4" i="154"/>
  <c r="BT3" i="154"/>
  <c r="BP3" i="154"/>
  <c r="BL3" i="154"/>
  <c r="BH3" i="154"/>
  <c r="BD3" i="154"/>
  <c r="AZ3" i="154"/>
  <c r="AV3" i="154"/>
  <c r="AR3" i="154"/>
  <c r="AN3" i="154"/>
  <c r="AJ3" i="154"/>
  <c r="AF3" i="154"/>
  <c r="AB3" i="154"/>
  <c r="X3" i="154"/>
  <c r="T3" i="154"/>
  <c r="P3" i="154"/>
  <c r="L3" i="154"/>
  <c r="J3" i="154"/>
  <c r="J2" i="154"/>
  <c r="F1" i="154"/>
  <c r="J82" i="153"/>
  <c r="J81" i="153"/>
  <c r="J80" i="153"/>
  <c r="AU79" i="153"/>
  <c r="J79" i="153"/>
  <c r="J78" i="153"/>
  <c r="J77" i="153"/>
  <c r="BC76" i="153"/>
  <c r="J76" i="153"/>
  <c r="AE75" i="153"/>
  <c r="J75" i="153"/>
  <c r="J74" i="153"/>
  <c r="W73" i="153"/>
  <c r="S73" i="153"/>
  <c r="J73" i="153"/>
  <c r="J72" i="153"/>
  <c r="J71" i="153"/>
  <c r="J70" i="153"/>
  <c r="BC69" i="153"/>
  <c r="J69" i="153"/>
  <c r="J68" i="153"/>
  <c r="J67" i="153"/>
  <c r="BO66" i="153"/>
  <c r="BK66" i="153"/>
  <c r="J66" i="153"/>
  <c r="J65" i="153"/>
  <c r="J64" i="153"/>
  <c r="AE63" i="153"/>
  <c r="AA63" i="153"/>
  <c r="J63" i="153"/>
  <c r="J62" i="153"/>
  <c r="J61" i="153"/>
  <c r="AM60" i="153"/>
  <c r="J60" i="153"/>
  <c r="J59" i="153"/>
  <c r="J58" i="153"/>
  <c r="J57" i="153"/>
  <c r="BW56" i="153"/>
  <c r="BS56" i="153"/>
  <c r="J56" i="153"/>
  <c r="J55" i="153"/>
  <c r="S54" i="153"/>
  <c r="O54" i="153"/>
  <c r="J54" i="153"/>
  <c r="J53" i="153"/>
  <c r="J52" i="153"/>
  <c r="BW51" i="153"/>
  <c r="BC51" i="153"/>
  <c r="J51" i="153"/>
  <c r="J50" i="153"/>
  <c r="AU49" i="153"/>
  <c r="W49" i="153"/>
  <c r="J49" i="153"/>
  <c r="J48" i="153"/>
  <c r="O47" i="153"/>
  <c r="J47" i="153"/>
  <c r="AE46" i="153"/>
  <c r="J46" i="153"/>
  <c r="J45" i="153"/>
  <c r="BS44" i="153"/>
  <c r="W44" i="153"/>
  <c r="J44" i="153"/>
  <c r="J43" i="153"/>
  <c r="BO42" i="153"/>
  <c r="BK42" i="153"/>
  <c r="W42" i="153"/>
  <c r="J42" i="153"/>
  <c r="W41" i="153"/>
  <c r="J41" i="153"/>
  <c r="J40" i="153"/>
  <c r="BW39" i="153"/>
  <c r="J39" i="153"/>
  <c r="BC38" i="153"/>
  <c r="AY38" i="153"/>
  <c r="J38" i="153"/>
  <c r="AA37" i="153"/>
  <c r="W37" i="153"/>
  <c r="J37" i="153"/>
  <c r="J36" i="153"/>
  <c r="BS35" i="153"/>
  <c r="J35" i="153"/>
  <c r="BS34" i="153"/>
  <c r="AU34" i="153"/>
  <c r="J34" i="153"/>
  <c r="BO33" i="153"/>
  <c r="BK33" i="153"/>
  <c r="AY33" i="153"/>
  <c r="J33" i="153"/>
  <c r="BS32" i="153"/>
  <c r="BK32" i="153"/>
  <c r="J32" i="153"/>
  <c r="BC31" i="153"/>
  <c r="J31" i="153"/>
  <c r="BK30" i="153"/>
  <c r="BC30" i="153"/>
  <c r="AE30" i="153"/>
  <c r="J30" i="153"/>
  <c r="BK29" i="153"/>
  <c r="AY29" i="153"/>
  <c r="J29" i="153"/>
  <c r="BK28" i="153"/>
  <c r="J28" i="153"/>
  <c r="BK27" i="153"/>
  <c r="BC27" i="153"/>
  <c r="J27" i="153"/>
  <c r="BC26" i="153"/>
  <c r="J26" i="153"/>
  <c r="BC25" i="153"/>
  <c r="AE25" i="153"/>
  <c r="J25" i="153"/>
  <c r="BC24" i="153"/>
  <c r="AY24" i="153"/>
  <c r="AU24" i="153"/>
  <c r="AE24" i="153"/>
  <c r="J24" i="153"/>
  <c r="AY23" i="153"/>
  <c r="AA23" i="153"/>
  <c r="J23" i="153"/>
  <c r="AU22" i="153"/>
  <c r="AQ22" i="153"/>
  <c r="AE22" i="153"/>
  <c r="J22" i="153"/>
  <c r="BS21" i="153"/>
  <c r="BC21" i="153"/>
  <c r="AY21" i="153"/>
  <c r="J21" i="153"/>
  <c r="BK20" i="153"/>
  <c r="J20" i="153"/>
  <c r="BW19" i="153"/>
  <c r="BS19" i="153"/>
  <c r="BC19" i="153"/>
  <c r="AE19" i="153"/>
  <c r="W19" i="153"/>
  <c r="S19" i="153"/>
  <c r="J19" i="153"/>
  <c r="BW18" i="153"/>
  <c r="BC18" i="153"/>
  <c r="AQ18" i="153"/>
  <c r="AM18" i="153"/>
  <c r="AA18" i="153"/>
  <c r="J18" i="153"/>
  <c r="BK17" i="153"/>
  <c r="BC17" i="153"/>
  <c r="AU17" i="153"/>
  <c r="AE17" i="153"/>
  <c r="O17" i="153"/>
  <c r="J17" i="153"/>
  <c r="BO16" i="153"/>
  <c r="AU16" i="153"/>
  <c r="AE16" i="153"/>
  <c r="S16" i="153"/>
  <c r="J16" i="153"/>
  <c r="BS15" i="153"/>
  <c r="BC15" i="153"/>
  <c r="AY15" i="153"/>
  <c r="AM15" i="153"/>
  <c r="AE15" i="153"/>
  <c r="W15" i="153"/>
  <c r="J15" i="153"/>
  <c r="BW14" i="153"/>
  <c r="BS14" i="153"/>
  <c r="BC14" i="153"/>
  <c r="AE14" i="153"/>
  <c r="AA14" i="153"/>
  <c r="W14" i="153"/>
  <c r="J14" i="153"/>
  <c r="BS13" i="153"/>
  <c r="BC13" i="153"/>
  <c r="AU13" i="153"/>
  <c r="AQ13" i="153"/>
  <c r="AE13" i="153"/>
  <c r="W13" i="153"/>
  <c r="J13" i="153"/>
  <c r="BS12" i="153"/>
  <c r="BO12" i="153"/>
  <c r="BK12" i="153"/>
  <c r="AY12" i="153"/>
  <c r="AE12" i="153"/>
  <c r="W12" i="153"/>
  <c r="S12" i="153"/>
  <c r="O12" i="153"/>
  <c r="J12" i="153"/>
  <c r="BS11" i="153"/>
  <c r="BC11" i="153"/>
  <c r="AU11" i="153"/>
  <c r="AM11" i="153"/>
  <c r="AE11" i="153"/>
  <c r="W11" i="153"/>
  <c r="J11" i="153"/>
  <c r="BW10" i="153"/>
  <c r="BS10" i="153"/>
  <c r="BC10" i="153"/>
  <c r="AQ10" i="153"/>
  <c r="AA10" i="153"/>
  <c r="W10" i="153"/>
  <c r="J10" i="153"/>
  <c r="BW9" i="153"/>
  <c r="BS9" i="153"/>
  <c r="BK9" i="153"/>
  <c r="BC9" i="153"/>
  <c r="AU9" i="153"/>
  <c r="AE9" i="153"/>
  <c r="AA9" i="153"/>
  <c r="W9" i="153"/>
  <c r="O9" i="153"/>
  <c r="J9" i="153"/>
  <c r="BW8" i="153"/>
  <c r="BC8" i="153"/>
  <c r="AY8" i="153"/>
  <c r="AU8" i="153"/>
  <c r="AE8" i="153"/>
  <c r="AA8" i="153"/>
  <c r="J8" i="153"/>
  <c r="BW7" i="153"/>
  <c r="BS7" i="153"/>
  <c r="BO7" i="153"/>
  <c r="BC7" i="153"/>
  <c r="AU7" i="153"/>
  <c r="AE7" i="153"/>
  <c r="AA7" i="153"/>
  <c r="W7" i="153"/>
  <c r="S7" i="153"/>
  <c r="J7" i="153"/>
  <c r="BU6" i="153"/>
  <c r="BS6" i="153"/>
  <c r="BR6" i="153"/>
  <c r="BQ6" i="153"/>
  <c r="BP6" i="153"/>
  <c r="BN6" i="153"/>
  <c r="BO6" i="153" s="1"/>
  <c r="BI6" i="153"/>
  <c r="BB6" i="153"/>
  <c r="BC6" i="153" s="1"/>
  <c r="BA6" i="153"/>
  <c r="AW6" i="153"/>
  <c r="AU6" i="153"/>
  <c r="AT6" i="153"/>
  <c r="AS6" i="153"/>
  <c r="AR6" i="153"/>
  <c r="AP6" i="153"/>
  <c r="AQ6" i="153" s="1"/>
  <c r="AK6" i="153"/>
  <c r="AD6" i="153"/>
  <c r="AE6" i="153" s="1"/>
  <c r="AC6" i="153"/>
  <c r="Y6" i="153"/>
  <c r="W6" i="153"/>
  <c r="V6" i="153"/>
  <c r="U6" i="153"/>
  <c r="T6" i="153"/>
  <c r="R6" i="153"/>
  <c r="S6" i="153" s="1"/>
  <c r="M6" i="153"/>
  <c r="BW5" i="153"/>
  <c r="BT5" i="153"/>
  <c r="BP5" i="153"/>
  <c r="BS5" i="153" s="1"/>
  <c r="BL5" i="153"/>
  <c r="BO5" i="153" s="1"/>
  <c r="BC5" i="153"/>
  <c r="AZ5" i="153"/>
  <c r="AY5" i="153"/>
  <c r="AV5" i="153"/>
  <c r="AR5" i="153"/>
  <c r="AU5" i="153" s="1"/>
  <c r="AN5" i="153"/>
  <c r="AQ5" i="153" s="1"/>
  <c r="AE5" i="153"/>
  <c r="AB5" i="153"/>
  <c r="AA5" i="153"/>
  <c r="X5" i="153"/>
  <c r="T5" i="153"/>
  <c r="W5" i="153" s="1"/>
  <c r="P5" i="153"/>
  <c r="S5" i="153" s="1"/>
  <c r="BT4" i="153"/>
  <c r="BS4" i="153"/>
  <c r="BW37" i="153" s="1"/>
  <c r="BP4" i="153"/>
  <c r="BO4" i="153"/>
  <c r="BS41" i="153" s="1"/>
  <c r="BL4" i="153"/>
  <c r="BK4" i="153"/>
  <c r="BO24" i="153" s="1"/>
  <c r="BG4" i="153"/>
  <c r="BC4" i="153"/>
  <c r="BG40" i="153" s="1"/>
  <c r="AZ4" i="153"/>
  <c r="AY4" i="153"/>
  <c r="BC81" i="153" s="1"/>
  <c r="AV4" i="153"/>
  <c r="AU4" i="153"/>
  <c r="AY81" i="153" s="1"/>
  <c r="AR4" i="153"/>
  <c r="AQ4" i="153"/>
  <c r="AU74" i="153" s="1"/>
  <c r="AN4" i="153"/>
  <c r="AM4" i="153"/>
  <c r="AQ67" i="153" s="1"/>
  <c r="AI4" i="153"/>
  <c r="AE4" i="153"/>
  <c r="AI77" i="153" s="1"/>
  <c r="AB4" i="153"/>
  <c r="AA4" i="153"/>
  <c r="AE27" i="153" s="1"/>
  <c r="X4" i="153"/>
  <c r="W4" i="153"/>
  <c r="AA68" i="153" s="1"/>
  <c r="T4" i="153"/>
  <c r="S4" i="153"/>
  <c r="W61" i="153" s="1"/>
  <c r="P4" i="153"/>
  <c r="O4" i="153"/>
  <c r="S40" i="153" s="1"/>
  <c r="K4" i="153"/>
  <c r="J4" i="153"/>
  <c r="BT3" i="153"/>
  <c r="BP3" i="153"/>
  <c r="BL3" i="153"/>
  <c r="BH3" i="153"/>
  <c r="BD3" i="153"/>
  <c r="AZ3" i="153"/>
  <c r="AV3" i="153"/>
  <c r="AR3" i="153"/>
  <c r="AN3" i="153"/>
  <c r="AJ3" i="153"/>
  <c r="AF3" i="153"/>
  <c r="AB3" i="153"/>
  <c r="X3" i="153"/>
  <c r="T3" i="153"/>
  <c r="P3" i="153"/>
  <c r="L3" i="153"/>
  <c r="J3" i="153"/>
  <c r="J2" i="153"/>
  <c r="F1" i="153"/>
  <c r="J82" i="152"/>
  <c r="J81" i="152"/>
  <c r="J80" i="152"/>
  <c r="J79" i="152"/>
  <c r="J78" i="152"/>
  <c r="J77" i="152"/>
  <c r="J76" i="152"/>
  <c r="J75" i="152"/>
  <c r="J74" i="152"/>
  <c r="J73" i="152"/>
  <c r="J72" i="152"/>
  <c r="J71" i="152"/>
  <c r="J70" i="152"/>
  <c r="J69" i="152"/>
  <c r="J68" i="152"/>
  <c r="BW67" i="152"/>
  <c r="J67" i="152"/>
  <c r="J66" i="152"/>
  <c r="J65" i="152"/>
  <c r="J64" i="152"/>
  <c r="J63" i="152"/>
  <c r="BW62" i="152"/>
  <c r="J62" i="152"/>
  <c r="J61" i="152"/>
  <c r="BS60" i="152"/>
  <c r="J60" i="152"/>
  <c r="AA59" i="152"/>
  <c r="J59" i="152"/>
  <c r="J58" i="152"/>
  <c r="AQ57" i="152"/>
  <c r="J57" i="152"/>
  <c r="J56" i="152"/>
  <c r="BG55" i="152"/>
  <c r="J55" i="152"/>
  <c r="J54" i="152"/>
  <c r="J53" i="152"/>
  <c r="AU52" i="152"/>
  <c r="J52" i="152"/>
  <c r="J51" i="152"/>
  <c r="J50" i="152"/>
  <c r="AY49" i="152"/>
  <c r="J49" i="152"/>
  <c r="S48" i="152"/>
  <c r="J48" i="152"/>
  <c r="J47" i="152"/>
  <c r="BC46" i="152"/>
  <c r="J46" i="152"/>
  <c r="AY45" i="152"/>
  <c r="J45" i="152"/>
  <c r="AQ44" i="152"/>
  <c r="J44" i="152"/>
  <c r="AI43" i="152"/>
  <c r="J43" i="152"/>
  <c r="AE42" i="152"/>
  <c r="J42" i="152"/>
  <c r="S41" i="152"/>
  <c r="J41" i="152"/>
  <c r="J40" i="152"/>
  <c r="J39" i="152"/>
  <c r="BW38" i="152"/>
  <c r="J38" i="152"/>
  <c r="BO37" i="152"/>
  <c r="J37" i="152"/>
  <c r="BC36" i="152"/>
  <c r="J36" i="152"/>
  <c r="BW35" i="152"/>
  <c r="AY35" i="152"/>
  <c r="J35" i="152"/>
  <c r="AY34" i="152"/>
  <c r="J34" i="152"/>
  <c r="BO33" i="152"/>
  <c r="AI33" i="152"/>
  <c r="J33" i="152"/>
  <c r="AY32" i="152"/>
  <c r="AI32" i="152"/>
  <c r="J32" i="152"/>
  <c r="BC31" i="152"/>
  <c r="AM31" i="152"/>
  <c r="J31" i="152"/>
  <c r="BC30" i="152"/>
  <c r="AM30" i="152"/>
  <c r="J30" i="152"/>
  <c r="AU29" i="152"/>
  <c r="J29" i="152"/>
  <c r="BO28" i="152"/>
  <c r="AU28" i="152"/>
  <c r="J28" i="152"/>
  <c r="BW27" i="152"/>
  <c r="BC27" i="152"/>
  <c r="J27" i="152"/>
  <c r="BW26" i="152"/>
  <c r="BK26" i="152"/>
  <c r="S26" i="152"/>
  <c r="J26" i="152"/>
  <c r="BK25" i="152"/>
  <c r="AE25" i="152"/>
  <c r="AA25" i="152"/>
  <c r="S25" i="152"/>
  <c r="J25" i="152"/>
  <c r="BS24" i="152"/>
  <c r="BC24" i="152"/>
  <c r="AE24" i="152"/>
  <c r="J24" i="152"/>
  <c r="BO23" i="152"/>
  <c r="AQ23" i="152"/>
  <c r="S23" i="152"/>
  <c r="J23" i="152"/>
  <c r="AY22" i="152"/>
  <c r="W22" i="152"/>
  <c r="J22" i="152"/>
  <c r="BW21" i="152"/>
  <c r="AQ21" i="152"/>
  <c r="AA21" i="152"/>
  <c r="J21" i="152"/>
  <c r="BC20" i="152"/>
  <c r="AY20" i="152"/>
  <c r="AI20" i="152"/>
  <c r="S20" i="152"/>
  <c r="J20" i="152"/>
  <c r="BO19" i="152"/>
  <c r="AQ19" i="152"/>
  <c r="AE19" i="152"/>
  <c r="AA19" i="152"/>
  <c r="J19" i="152"/>
  <c r="BW18" i="152"/>
  <c r="BG18" i="152"/>
  <c r="AY18" i="152"/>
  <c r="AA18" i="152"/>
  <c r="S18" i="152"/>
  <c r="J18" i="152"/>
  <c r="BW17" i="152"/>
  <c r="BO17" i="152"/>
  <c r="BC17" i="152"/>
  <c r="AQ17" i="152"/>
  <c r="W17" i="152"/>
  <c r="J17" i="152"/>
  <c r="BW16" i="152"/>
  <c r="BC16" i="152"/>
  <c r="AY16" i="152"/>
  <c r="AM16" i="152"/>
  <c r="AA16" i="152"/>
  <c r="S16" i="152"/>
  <c r="J16" i="152"/>
  <c r="BW15" i="152"/>
  <c r="BO15" i="152"/>
  <c r="AY15" i="152"/>
  <c r="AQ15" i="152"/>
  <c r="S15" i="152"/>
  <c r="J15" i="152"/>
  <c r="BO14" i="152"/>
  <c r="BC14" i="152"/>
  <c r="AY14" i="152"/>
  <c r="AE14" i="152"/>
  <c r="O14" i="152"/>
  <c r="J14" i="152"/>
  <c r="BW13" i="152"/>
  <c r="BO13" i="152"/>
  <c r="BC13" i="152"/>
  <c r="AY13" i="152"/>
  <c r="AQ13" i="152"/>
  <c r="AE13" i="152"/>
  <c r="S13" i="152"/>
  <c r="J13" i="152"/>
  <c r="AU12" i="152"/>
  <c r="AE12" i="152"/>
  <c r="J12" i="152"/>
  <c r="BW11" i="152"/>
  <c r="BK11" i="152"/>
  <c r="BC11" i="152"/>
  <c r="AY11" i="152"/>
  <c r="AE11" i="152"/>
  <c r="AA11" i="152"/>
  <c r="J11" i="152"/>
  <c r="BO10" i="152"/>
  <c r="AQ10" i="152"/>
  <c r="AA10" i="152"/>
  <c r="S10" i="152"/>
  <c r="J10" i="152"/>
  <c r="BO9" i="152"/>
  <c r="AU9" i="152"/>
  <c r="AA9" i="152"/>
  <c r="J9" i="152"/>
  <c r="BW8" i="152"/>
  <c r="BK8" i="152"/>
  <c r="BC8" i="152"/>
  <c r="AQ8" i="152"/>
  <c r="AE8" i="152"/>
  <c r="AA8" i="152"/>
  <c r="J8" i="152"/>
  <c r="BO7" i="152"/>
  <c r="AQ7" i="152"/>
  <c r="AA7" i="152"/>
  <c r="J7" i="152"/>
  <c r="BT6" i="152"/>
  <c r="BN6" i="152"/>
  <c r="BO6" i="152" s="1"/>
  <c r="BL6" i="152"/>
  <c r="BA6" i="152"/>
  <c r="AX6" i="152"/>
  <c r="AY6" i="152" s="1"/>
  <c r="AW6" i="152"/>
  <c r="AS6" i="152"/>
  <c r="AN6" i="152"/>
  <c r="AD6" i="152"/>
  <c r="AE6" i="152" s="1"/>
  <c r="Y6" i="152"/>
  <c r="X6" i="152"/>
  <c r="S6" i="152"/>
  <c r="R6" i="152"/>
  <c r="BO5" i="152"/>
  <c r="BL5" i="152"/>
  <c r="AZ5" i="152"/>
  <c r="BC5" i="152" s="1"/>
  <c r="AQ5" i="152"/>
  <c r="AN5" i="152"/>
  <c r="AB5" i="152"/>
  <c r="AE5" i="152" s="1"/>
  <c r="S5" i="152"/>
  <c r="P5" i="152"/>
  <c r="BT4" i="152"/>
  <c r="BS4" i="152"/>
  <c r="BW40" i="152" s="1"/>
  <c r="BO4" i="152"/>
  <c r="BS21" i="152" s="1"/>
  <c r="BL4" i="152"/>
  <c r="BK4" i="152"/>
  <c r="BO61" i="152" s="1"/>
  <c r="BG4" i="152"/>
  <c r="BK32" i="152" s="1"/>
  <c r="BD4" i="152"/>
  <c r="BC4" i="152"/>
  <c r="BG35" i="152" s="1"/>
  <c r="AY4" i="152"/>
  <c r="AV4" i="152"/>
  <c r="AU4" i="152"/>
  <c r="AY37" i="152" s="1"/>
  <c r="AQ4" i="152"/>
  <c r="AU53" i="152" s="1"/>
  <c r="AN4" i="152"/>
  <c r="AM4" i="152"/>
  <c r="AQ66" i="152" s="1"/>
  <c r="AI4" i="152"/>
  <c r="AM40" i="152" s="1"/>
  <c r="AE4" i="152"/>
  <c r="AI61" i="152" s="1"/>
  <c r="AA4" i="152"/>
  <c r="X4" i="152"/>
  <c r="W4" i="152"/>
  <c r="AA52" i="152" s="1"/>
  <c r="S4" i="152"/>
  <c r="W55" i="152" s="1"/>
  <c r="P4" i="152"/>
  <c r="O4" i="152"/>
  <c r="S36" i="152" s="1"/>
  <c r="K4" i="152"/>
  <c r="O50" i="152" s="1"/>
  <c r="J4" i="152"/>
  <c r="BT3" i="152"/>
  <c r="BP3" i="152"/>
  <c r="BL3" i="152"/>
  <c r="BH3" i="152"/>
  <c r="BD3" i="152"/>
  <c r="AZ3" i="152"/>
  <c r="AV3" i="152"/>
  <c r="AR3" i="152"/>
  <c r="AN3" i="152"/>
  <c r="AJ3" i="152"/>
  <c r="AF3" i="152"/>
  <c r="AB3" i="152"/>
  <c r="X3" i="152"/>
  <c r="T3" i="152"/>
  <c r="P3" i="152"/>
  <c r="L3" i="152"/>
  <c r="J3" i="152"/>
  <c r="J2" i="152"/>
  <c r="F1" i="152"/>
  <c r="J82" i="151"/>
  <c r="J81" i="151"/>
  <c r="J80" i="151"/>
  <c r="AU79" i="151"/>
  <c r="J79" i="151"/>
  <c r="J78" i="151"/>
  <c r="J77" i="151"/>
  <c r="O76" i="151"/>
  <c r="J76" i="151"/>
  <c r="J75" i="151"/>
  <c r="J74" i="151"/>
  <c r="J73" i="151"/>
  <c r="AU72" i="151"/>
  <c r="J72" i="151"/>
  <c r="J71" i="151"/>
  <c r="J70" i="151"/>
  <c r="BG69" i="151"/>
  <c r="BC69" i="151"/>
  <c r="J69" i="151"/>
  <c r="J68" i="151"/>
  <c r="J67" i="151"/>
  <c r="W66" i="151"/>
  <c r="S66" i="151"/>
  <c r="J66" i="151"/>
  <c r="J65" i="151"/>
  <c r="J64" i="151"/>
  <c r="J63" i="151"/>
  <c r="BC62" i="151"/>
  <c r="J62" i="151"/>
  <c r="J61" i="151"/>
  <c r="J60" i="151"/>
  <c r="BO59" i="151"/>
  <c r="BK59" i="151"/>
  <c r="J59" i="151"/>
  <c r="J58" i="151"/>
  <c r="J57" i="151"/>
  <c r="AA56" i="151"/>
  <c r="J56" i="151"/>
  <c r="J55" i="151"/>
  <c r="J54" i="151"/>
  <c r="AM53" i="151"/>
  <c r="J53" i="151"/>
  <c r="J52" i="151"/>
  <c r="J51" i="151"/>
  <c r="J50" i="151"/>
  <c r="BW49" i="151"/>
  <c r="BS49" i="151"/>
  <c r="J49" i="151"/>
  <c r="J48" i="151"/>
  <c r="J47" i="151"/>
  <c r="AM46" i="151"/>
  <c r="J46" i="151"/>
  <c r="J45" i="151"/>
  <c r="J44" i="151"/>
  <c r="AU43" i="151"/>
  <c r="J43" i="151"/>
  <c r="J42" i="151"/>
  <c r="J41" i="151"/>
  <c r="O40" i="151"/>
  <c r="J40" i="151"/>
  <c r="J39" i="151"/>
  <c r="J38" i="151"/>
  <c r="J37" i="151"/>
  <c r="AU36" i="151"/>
  <c r="J36" i="151"/>
  <c r="J35" i="151"/>
  <c r="AQ34" i="151"/>
  <c r="AI34" i="151"/>
  <c r="J34" i="151"/>
  <c r="J33" i="151"/>
  <c r="BW32" i="151"/>
  <c r="J32" i="151"/>
  <c r="BK31" i="151"/>
  <c r="J31" i="151"/>
  <c r="BW30" i="151"/>
  <c r="AI30" i="151"/>
  <c r="AA30" i="151"/>
  <c r="J30" i="151"/>
  <c r="J29" i="151"/>
  <c r="BW28" i="151"/>
  <c r="AA28" i="151"/>
  <c r="J28" i="151"/>
  <c r="AY27" i="151"/>
  <c r="AU27" i="151"/>
  <c r="J27" i="151"/>
  <c r="BO26" i="151"/>
  <c r="AU26" i="151"/>
  <c r="W26" i="151"/>
  <c r="J26" i="151"/>
  <c r="BO25" i="151"/>
  <c r="AQ25" i="151"/>
  <c r="AA25" i="151"/>
  <c r="W25" i="151"/>
  <c r="J25" i="151"/>
  <c r="AY24" i="151"/>
  <c r="J24" i="151"/>
  <c r="BW23" i="151"/>
  <c r="AA23" i="151"/>
  <c r="S23" i="151"/>
  <c r="J23" i="151"/>
  <c r="BC22" i="151"/>
  <c r="AQ22" i="151"/>
  <c r="J22" i="151"/>
  <c r="BW21" i="151"/>
  <c r="BK21" i="151"/>
  <c r="BG21" i="151"/>
  <c r="S21" i="151"/>
  <c r="J21" i="151"/>
  <c r="BW20" i="151"/>
  <c r="AY20" i="151"/>
  <c r="AU20" i="151"/>
  <c r="J20" i="151"/>
  <c r="BO19" i="151"/>
  <c r="BG19" i="151"/>
  <c r="BC19" i="151"/>
  <c r="AQ19" i="151"/>
  <c r="AA19" i="151"/>
  <c r="S19" i="151"/>
  <c r="J19" i="151"/>
  <c r="BW18" i="151"/>
  <c r="AY18" i="151"/>
  <c r="AQ18" i="151"/>
  <c r="AA18" i="151"/>
  <c r="J18" i="151"/>
  <c r="BO17" i="151"/>
  <c r="AY17" i="151"/>
  <c r="AU17" i="151"/>
  <c r="S17" i="151"/>
  <c r="J17" i="151"/>
  <c r="BS16" i="151"/>
  <c r="BO16" i="151"/>
  <c r="AQ16" i="151"/>
  <c r="W16" i="151"/>
  <c r="S16" i="151"/>
  <c r="J16" i="151"/>
  <c r="BW15" i="151"/>
  <c r="AY15" i="151"/>
  <c r="AQ15" i="151"/>
  <c r="AM15" i="151"/>
  <c r="AA15" i="151"/>
  <c r="J15" i="151"/>
  <c r="BW14" i="151"/>
  <c r="BK14" i="151"/>
  <c r="BG14" i="151"/>
  <c r="AA14" i="151"/>
  <c r="O14" i="151"/>
  <c r="J14" i="151"/>
  <c r="BO13" i="151"/>
  <c r="AY13" i="151"/>
  <c r="AQ13" i="151"/>
  <c r="AI13" i="151"/>
  <c r="AE13" i="151"/>
  <c r="S13" i="151"/>
  <c r="J13" i="151"/>
  <c r="BW12" i="151"/>
  <c r="BO12" i="151"/>
  <c r="AY12" i="151"/>
  <c r="AA12" i="151"/>
  <c r="S12" i="151"/>
  <c r="J12" i="151"/>
  <c r="BW11" i="151"/>
  <c r="BS11" i="151"/>
  <c r="AQ11" i="151"/>
  <c r="AA11" i="151"/>
  <c r="W11" i="151"/>
  <c r="J11" i="151"/>
  <c r="BO10" i="151"/>
  <c r="AY10" i="151"/>
  <c r="AU10" i="151"/>
  <c r="AQ10" i="151"/>
  <c r="S10" i="151"/>
  <c r="J10" i="151"/>
  <c r="BW9" i="151"/>
  <c r="BO9" i="151"/>
  <c r="BK9" i="151"/>
  <c r="AY9" i="151"/>
  <c r="AA9" i="151"/>
  <c r="S9" i="151"/>
  <c r="O9" i="151"/>
  <c r="J9" i="151"/>
  <c r="AY8" i="151"/>
  <c r="AQ8" i="151"/>
  <c r="AM8" i="151"/>
  <c r="AI8" i="151"/>
  <c r="J8" i="151"/>
  <c r="BW7" i="151"/>
  <c r="BO7" i="151"/>
  <c r="BG7" i="151"/>
  <c r="BC7" i="151"/>
  <c r="AQ7" i="151"/>
  <c r="AA7" i="151"/>
  <c r="S7" i="151"/>
  <c r="J7" i="151"/>
  <c r="BT6" i="151"/>
  <c r="BN6" i="151"/>
  <c r="BO6" i="151" s="1"/>
  <c r="BM6" i="151"/>
  <c r="BL6" i="151"/>
  <c r="AV6" i="151"/>
  <c r="AP6" i="151"/>
  <c r="AQ6" i="151" s="1"/>
  <c r="AO6" i="151"/>
  <c r="AN6" i="151"/>
  <c r="X6" i="151"/>
  <c r="R6" i="151"/>
  <c r="S6" i="151" s="1"/>
  <c r="Q6" i="151"/>
  <c r="P6" i="151"/>
  <c r="BL5" i="151"/>
  <c r="BO5" i="151" s="1"/>
  <c r="BH5" i="151"/>
  <c r="BK5" i="151" s="1"/>
  <c r="AN5" i="151"/>
  <c r="AQ5" i="151" s="1"/>
  <c r="AJ5" i="151"/>
  <c r="AM5" i="151" s="1"/>
  <c r="P5" i="151"/>
  <c r="S5" i="151" s="1"/>
  <c r="L5" i="151"/>
  <c r="O5" i="151" s="1"/>
  <c r="BT4" i="151"/>
  <c r="BS4" i="151"/>
  <c r="BW68" i="151" s="1"/>
  <c r="BO4" i="151"/>
  <c r="BS61" i="151" s="1"/>
  <c r="BL4" i="151"/>
  <c r="BK4" i="151"/>
  <c r="BO54" i="151" s="1"/>
  <c r="BG4" i="151"/>
  <c r="BK47" i="151" s="1"/>
  <c r="BC4" i="151"/>
  <c r="BG76" i="151" s="1"/>
  <c r="AY4" i="151"/>
  <c r="BC29" i="151" s="1"/>
  <c r="AV4" i="151"/>
  <c r="AU4" i="151"/>
  <c r="AY55" i="151" s="1"/>
  <c r="AQ4" i="151"/>
  <c r="AU48" i="151" s="1"/>
  <c r="AN4" i="151"/>
  <c r="AM4" i="151"/>
  <c r="AQ77" i="151" s="1"/>
  <c r="AI4" i="151"/>
  <c r="AM70" i="151" s="1"/>
  <c r="AE4" i="151"/>
  <c r="AI29" i="151" s="1"/>
  <c r="AA4" i="151"/>
  <c r="AE28" i="151" s="1"/>
  <c r="X4" i="151"/>
  <c r="W4" i="151"/>
  <c r="AA8" i="151" s="1"/>
  <c r="S4" i="151"/>
  <c r="W15" i="151" s="1"/>
  <c r="P4" i="151"/>
  <c r="O4" i="151"/>
  <c r="S35" i="151" s="1"/>
  <c r="K4" i="151"/>
  <c r="O28" i="151" s="1"/>
  <c r="J4" i="151"/>
  <c r="BT3" i="151"/>
  <c r="BP3" i="151"/>
  <c r="BL3" i="151"/>
  <c r="BH3" i="151"/>
  <c r="BD3" i="151"/>
  <c r="AZ3" i="151"/>
  <c r="AV3" i="151"/>
  <c r="AR3" i="151"/>
  <c r="AN3" i="151"/>
  <c r="AJ3" i="151"/>
  <c r="AF3" i="151"/>
  <c r="AB3" i="151"/>
  <c r="X3" i="151"/>
  <c r="T3" i="151"/>
  <c r="P3" i="151"/>
  <c r="L3" i="151"/>
  <c r="J3" i="151"/>
  <c r="J2" i="151"/>
  <c r="F1" i="151"/>
  <c r="J82" i="150"/>
  <c r="J81" i="150"/>
  <c r="J80" i="150"/>
  <c r="J79" i="150"/>
  <c r="J78" i="150"/>
  <c r="J77" i="150"/>
  <c r="J76" i="150"/>
  <c r="J75" i="150"/>
  <c r="J74" i="150"/>
  <c r="J73" i="150"/>
  <c r="J72" i="150"/>
  <c r="J71" i="150"/>
  <c r="J70" i="150"/>
  <c r="J69" i="150"/>
  <c r="J68" i="150"/>
  <c r="J67" i="150"/>
  <c r="J66" i="150"/>
  <c r="J65" i="150"/>
  <c r="J64" i="150"/>
  <c r="J63" i="150"/>
  <c r="J62" i="150"/>
  <c r="J61" i="150"/>
  <c r="J60" i="150"/>
  <c r="J59" i="150"/>
  <c r="J58" i="150"/>
  <c r="J57" i="150"/>
  <c r="J56" i="150"/>
  <c r="J55" i="150"/>
  <c r="J54" i="150"/>
  <c r="J53" i="150"/>
  <c r="J52" i="150"/>
  <c r="J51" i="150"/>
  <c r="J50" i="150"/>
  <c r="J49" i="150"/>
  <c r="J48" i="150"/>
  <c r="J47" i="150"/>
  <c r="J46" i="150"/>
  <c r="J45" i="150"/>
  <c r="J44" i="150"/>
  <c r="J43" i="150"/>
  <c r="BC42" i="150"/>
  <c r="J42" i="150"/>
  <c r="J41" i="150"/>
  <c r="J40" i="150"/>
  <c r="J39" i="150"/>
  <c r="AE38" i="150"/>
  <c r="J38" i="150"/>
  <c r="J37" i="150"/>
  <c r="W36" i="150"/>
  <c r="J36" i="150"/>
  <c r="S35" i="150"/>
  <c r="J35" i="150"/>
  <c r="W34" i="150"/>
  <c r="J34" i="150"/>
  <c r="AE33" i="150"/>
  <c r="W33" i="150"/>
  <c r="J33" i="150"/>
  <c r="AQ32" i="150"/>
  <c r="AE32" i="150"/>
  <c r="J32" i="150"/>
  <c r="BC31" i="150"/>
  <c r="AU31" i="150"/>
  <c r="AQ31" i="150"/>
  <c r="J31" i="150"/>
  <c r="BC30" i="150"/>
  <c r="AU30" i="150"/>
  <c r="AQ30" i="150"/>
  <c r="S30" i="150"/>
  <c r="J30" i="150"/>
  <c r="BO29" i="150"/>
  <c r="BC29" i="150"/>
  <c r="J29" i="150"/>
  <c r="BS28" i="150"/>
  <c r="BO28" i="150"/>
  <c r="J28" i="150"/>
  <c r="BO27" i="150"/>
  <c r="S27" i="150"/>
  <c r="J27" i="150"/>
  <c r="BO26" i="150"/>
  <c r="AU26" i="150"/>
  <c r="W26" i="150"/>
  <c r="S26" i="150"/>
  <c r="J26" i="150"/>
  <c r="AE25" i="150"/>
  <c r="J25" i="150"/>
  <c r="BS24" i="150"/>
  <c r="BC24" i="150"/>
  <c r="AU24" i="150"/>
  <c r="AQ24" i="150"/>
  <c r="S24" i="150"/>
  <c r="J24" i="150"/>
  <c r="BS23" i="150"/>
  <c r="BO23" i="150"/>
  <c r="BC23" i="150"/>
  <c r="S23" i="150"/>
  <c r="J23" i="150"/>
  <c r="BS22" i="150"/>
  <c r="BC22" i="150"/>
  <c r="AE22" i="150"/>
  <c r="W22" i="150"/>
  <c r="J22" i="150"/>
  <c r="BS21" i="150"/>
  <c r="BO21" i="150"/>
  <c r="AU21" i="150"/>
  <c r="AQ21" i="150"/>
  <c r="AE21" i="150"/>
  <c r="S21" i="150"/>
  <c r="J21" i="150"/>
  <c r="BO20" i="150"/>
  <c r="BC20" i="150"/>
  <c r="AU20" i="150"/>
  <c r="AE20" i="150"/>
  <c r="J20" i="150"/>
  <c r="BS19" i="150"/>
  <c r="BO19" i="150"/>
  <c r="BC19" i="150"/>
  <c r="W19" i="150"/>
  <c r="S19" i="150"/>
  <c r="J19" i="150"/>
  <c r="BS18" i="150"/>
  <c r="BO18" i="150"/>
  <c r="AU18" i="150"/>
  <c r="AQ18" i="150"/>
  <c r="W18" i="150"/>
  <c r="S18" i="150"/>
  <c r="J18" i="150"/>
  <c r="BS17" i="150"/>
  <c r="BO17" i="150"/>
  <c r="BC17" i="150"/>
  <c r="AQ17" i="150"/>
  <c r="W17" i="150"/>
  <c r="S17" i="150"/>
  <c r="J17" i="150"/>
  <c r="BO16" i="150"/>
  <c r="AQ16" i="150"/>
  <c r="AE16" i="150"/>
  <c r="J16" i="150"/>
  <c r="BC15" i="150"/>
  <c r="AU15" i="150"/>
  <c r="AE15" i="150"/>
  <c r="J15" i="150"/>
  <c r="BS14" i="150"/>
  <c r="BO14" i="150"/>
  <c r="BC14" i="150"/>
  <c r="AE14" i="150"/>
  <c r="W14" i="150"/>
  <c r="S14" i="150"/>
  <c r="J14" i="150"/>
  <c r="BS13" i="150"/>
  <c r="BC13" i="150"/>
  <c r="AU13" i="150"/>
  <c r="AQ13" i="150"/>
  <c r="AE13" i="150"/>
  <c r="W13" i="150"/>
  <c r="J13" i="150"/>
  <c r="BS12" i="150"/>
  <c r="BO12" i="150"/>
  <c r="AU12" i="150"/>
  <c r="AQ12" i="150"/>
  <c r="W12" i="150"/>
  <c r="S12" i="150"/>
  <c r="J12" i="150"/>
  <c r="BS11" i="150"/>
  <c r="BO11" i="150"/>
  <c r="AU11" i="150"/>
  <c r="AQ11" i="150"/>
  <c r="AE11" i="150"/>
  <c r="W11" i="150"/>
  <c r="S11" i="150"/>
  <c r="J11" i="150"/>
  <c r="BO10" i="150"/>
  <c r="BC10" i="150"/>
  <c r="AQ10" i="150"/>
  <c r="S10" i="150"/>
  <c r="J10" i="150"/>
  <c r="BW9" i="150"/>
  <c r="BS9" i="150"/>
  <c r="BC9" i="150"/>
  <c r="AE9" i="150"/>
  <c r="AA9" i="150"/>
  <c r="W9" i="150"/>
  <c r="J9" i="150"/>
  <c r="BC8" i="150"/>
  <c r="AU8" i="150"/>
  <c r="AQ8" i="150"/>
  <c r="AE8" i="150"/>
  <c r="J8" i="150"/>
  <c r="BW7" i="150"/>
  <c r="BS7" i="150"/>
  <c r="BO7" i="150"/>
  <c r="BC7" i="150"/>
  <c r="AU7" i="150"/>
  <c r="AE7" i="150"/>
  <c r="AA7" i="150"/>
  <c r="W7" i="150"/>
  <c r="S7" i="150"/>
  <c r="J7" i="150"/>
  <c r="BQ6" i="150"/>
  <c r="BP6" i="150"/>
  <c r="BN6" i="150"/>
  <c r="BO6" i="150" s="1"/>
  <c r="BM6" i="150"/>
  <c r="BB6" i="150"/>
  <c r="BC6" i="150" s="1"/>
  <c r="BA6" i="150"/>
  <c r="AS6" i="150"/>
  <c r="AR6" i="150"/>
  <c r="AP6" i="150"/>
  <c r="AQ6" i="150" s="1"/>
  <c r="AO6" i="150"/>
  <c r="AD6" i="150"/>
  <c r="AE6" i="150" s="1"/>
  <c r="AC6" i="150"/>
  <c r="U6" i="150"/>
  <c r="T6" i="150"/>
  <c r="R6" i="150"/>
  <c r="S6" i="150" s="1"/>
  <c r="Q6" i="150"/>
  <c r="BP5" i="150"/>
  <c r="BS5" i="150" s="1"/>
  <c r="BL5" i="150"/>
  <c r="BO5" i="150" s="1"/>
  <c r="AR5" i="150"/>
  <c r="AU5" i="150" s="1"/>
  <c r="AN5" i="150"/>
  <c r="AQ5" i="150" s="1"/>
  <c r="T5" i="150"/>
  <c r="W5" i="150" s="1"/>
  <c r="P5" i="150"/>
  <c r="S5" i="150" s="1"/>
  <c r="BS4" i="150"/>
  <c r="BW31" i="150" s="1"/>
  <c r="BP4" i="150"/>
  <c r="BO4" i="150"/>
  <c r="BS48" i="150" s="1"/>
  <c r="BK4" i="150"/>
  <c r="BO49" i="150" s="1"/>
  <c r="BG4" i="150"/>
  <c r="BK54" i="150" s="1"/>
  <c r="BC4" i="150"/>
  <c r="BG28" i="150" s="1"/>
  <c r="AZ4" i="150"/>
  <c r="AY4" i="150"/>
  <c r="BC26" i="150" s="1"/>
  <c r="AU4" i="150"/>
  <c r="AY36" i="150" s="1"/>
  <c r="AR4" i="150"/>
  <c r="AQ4" i="150"/>
  <c r="AU50" i="150" s="1"/>
  <c r="AM4" i="150"/>
  <c r="AQ33" i="150" s="1"/>
  <c r="AI4" i="150"/>
  <c r="AM48" i="150" s="1"/>
  <c r="AE4" i="150"/>
  <c r="AI31" i="150" s="1"/>
  <c r="AB4" i="150"/>
  <c r="AA4" i="150"/>
  <c r="AE49" i="150" s="1"/>
  <c r="W4" i="150"/>
  <c r="AA29" i="150" s="1"/>
  <c r="T4" i="150"/>
  <c r="S4" i="150"/>
  <c r="W45" i="150" s="1"/>
  <c r="O4" i="150"/>
  <c r="S38" i="150" s="1"/>
  <c r="K4" i="150"/>
  <c r="O32" i="150" s="1"/>
  <c r="J4" i="150"/>
  <c r="BT3" i="150"/>
  <c r="BP3" i="150"/>
  <c r="BL3" i="150"/>
  <c r="BH3" i="150"/>
  <c r="BD3" i="150"/>
  <c r="AZ3" i="150"/>
  <c r="AV3" i="150"/>
  <c r="AR3" i="150"/>
  <c r="AN3" i="150"/>
  <c r="AJ3" i="150"/>
  <c r="AF3" i="150"/>
  <c r="AB3" i="150"/>
  <c r="X3" i="150"/>
  <c r="T3" i="150"/>
  <c r="P3" i="150"/>
  <c r="L3" i="150"/>
  <c r="J3" i="150"/>
  <c r="J2" i="150"/>
  <c r="F1" i="150"/>
  <c r="J82" i="149"/>
  <c r="J81" i="149"/>
  <c r="BS80" i="149"/>
  <c r="AE80" i="149"/>
  <c r="J80" i="149"/>
  <c r="J79" i="149"/>
  <c r="W78" i="149"/>
  <c r="S78" i="149"/>
  <c r="J78" i="149"/>
  <c r="J77" i="149"/>
  <c r="J76" i="149"/>
  <c r="BW75" i="149"/>
  <c r="J75" i="149"/>
  <c r="J74" i="149"/>
  <c r="AA73" i="149"/>
  <c r="J73" i="149"/>
  <c r="J72" i="149"/>
  <c r="O71" i="149"/>
  <c r="J71" i="149"/>
  <c r="J70" i="149"/>
  <c r="J69" i="149"/>
  <c r="BS68" i="149"/>
  <c r="AE68" i="149"/>
  <c r="J68" i="149"/>
  <c r="J67" i="149"/>
  <c r="W66" i="149"/>
  <c r="S66" i="149"/>
  <c r="J66" i="149"/>
  <c r="J65" i="149"/>
  <c r="J64" i="149"/>
  <c r="BW63" i="149"/>
  <c r="J63" i="149"/>
  <c r="J62" i="149"/>
  <c r="AA61" i="149"/>
  <c r="J61" i="149"/>
  <c r="J60" i="149"/>
  <c r="O59" i="149"/>
  <c r="J59" i="149"/>
  <c r="J58" i="149"/>
  <c r="J57" i="149"/>
  <c r="BS56" i="149"/>
  <c r="AE56" i="149"/>
  <c r="J56" i="149"/>
  <c r="J55" i="149"/>
  <c r="W54" i="149"/>
  <c r="S54" i="149"/>
  <c r="J54" i="149"/>
  <c r="J53" i="149"/>
  <c r="J52" i="149"/>
  <c r="BW51" i="149"/>
  <c r="J51" i="149"/>
  <c r="J50" i="149"/>
  <c r="AA49" i="149"/>
  <c r="J49" i="149"/>
  <c r="J48" i="149"/>
  <c r="BK47" i="149"/>
  <c r="BG47" i="149"/>
  <c r="J47" i="149"/>
  <c r="AE46" i="149"/>
  <c r="AA46" i="149"/>
  <c r="J46" i="149"/>
  <c r="J45" i="149"/>
  <c r="BW44" i="149"/>
  <c r="BS44" i="149"/>
  <c r="J44" i="149"/>
  <c r="BK43" i="149"/>
  <c r="AY43" i="149"/>
  <c r="J43" i="149"/>
  <c r="BG42" i="149"/>
  <c r="AQ42" i="149"/>
  <c r="J42" i="149"/>
  <c r="AM41" i="149"/>
  <c r="AI41" i="149"/>
  <c r="J41" i="149"/>
  <c r="AA40" i="149"/>
  <c r="O40" i="149"/>
  <c r="J40" i="149"/>
  <c r="O39" i="149"/>
  <c r="J39" i="149"/>
  <c r="W38" i="149"/>
  <c r="S38" i="149"/>
  <c r="J38" i="149"/>
  <c r="AA37" i="149"/>
  <c r="W37" i="149"/>
  <c r="J37" i="149"/>
  <c r="AM36" i="149"/>
  <c r="J36" i="149"/>
  <c r="BC35" i="149"/>
  <c r="AU35" i="149"/>
  <c r="J35" i="149"/>
  <c r="BK34" i="149"/>
  <c r="BG34" i="149"/>
  <c r="J34" i="149"/>
  <c r="BW33" i="149"/>
  <c r="BS33" i="149"/>
  <c r="O33" i="149"/>
  <c r="J33" i="149"/>
  <c r="AI32" i="149"/>
  <c r="AE32" i="149"/>
  <c r="J32" i="149"/>
  <c r="AY31" i="149"/>
  <c r="AU31" i="149"/>
  <c r="J31" i="149"/>
  <c r="BK30" i="149"/>
  <c r="O30" i="149"/>
  <c r="J30" i="149"/>
  <c r="AE29" i="149"/>
  <c r="W29" i="149"/>
  <c r="J29" i="149"/>
  <c r="AM28" i="149"/>
  <c r="J28" i="149"/>
  <c r="BG27" i="149"/>
  <c r="BC27" i="149"/>
  <c r="J27" i="149"/>
  <c r="BW26" i="149"/>
  <c r="BS26" i="149"/>
  <c r="W26" i="149"/>
  <c r="S26" i="149"/>
  <c r="J26" i="149"/>
  <c r="AM25" i="149"/>
  <c r="AI25" i="149"/>
  <c r="J25" i="149"/>
  <c r="BK24" i="149"/>
  <c r="BG24" i="149"/>
  <c r="BC24" i="149"/>
  <c r="J24" i="149"/>
  <c r="BW23" i="149"/>
  <c r="BS23" i="149"/>
  <c r="W23" i="149"/>
  <c r="S23" i="149"/>
  <c r="J23" i="149"/>
  <c r="AM22" i="149"/>
  <c r="AI22" i="149"/>
  <c r="J22" i="149"/>
  <c r="BG21" i="149"/>
  <c r="BC21" i="149"/>
  <c r="AY21" i="149"/>
  <c r="J21" i="149"/>
  <c r="BS20" i="149"/>
  <c r="BO20" i="149"/>
  <c r="AU20" i="149"/>
  <c r="W20" i="149"/>
  <c r="J20" i="149"/>
  <c r="BK19" i="149"/>
  <c r="AM19" i="149"/>
  <c r="AI19" i="149"/>
  <c r="AE19" i="149"/>
  <c r="O19" i="149"/>
  <c r="J19" i="149"/>
  <c r="BG18" i="149"/>
  <c r="BC18" i="149"/>
  <c r="AY18" i="149"/>
  <c r="AI18" i="149"/>
  <c r="J18" i="149"/>
  <c r="BW17" i="149"/>
  <c r="BS17" i="149"/>
  <c r="AA17" i="149"/>
  <c r="W17" i="149"/>
  <c r="J17" i="149"/>
  <c r="AU16" i="149"/>
  <c r="AQ16" i="149"/>
  <c r="J16" i="149"/>
  <c r="BS15" i="149"/>
  <c r="BK15" i="149"/>
  <c r="AU15" i="149"/>
  <c r="W15" i="149"/>
  <c r="O15" i="149"/>
  <c r="J15" i="149"/>
  <c r="AM14" i="149"/>
  <c r="AI14" i="149"/>
  <c r="J14" i="149"/>
  <c r="BK13" i="149"/>
  <c r="BG13" i="149"/>
  <c r="BC13" i="149"/>
  <c r="AM13" i="149"/>
  <c r="O13" i="149"/>
  <c r="J13" i="149"/>
  <c r="BW12" i="149"/>
  <c r="BG12" i="149"/>
  <c r="AI12" i="149"/>
  <c r="AE12" i="149"/>
  <c r="AA12" i="149"/>
  <c r="J12" i="149"/>
  <c r="BC11" i="149"/>
  <c r="AY11" i="149"/>
  <c r="AU11" i="149"/>
  <c r="J11" i="149"/>
  <c r="BW10" i="149"/>
  <c r="BS10" i="149"/>
  <c r="BO10" i="149"/>
  <c r="AM10" i="149"/>
  <c r="AA10" i="149"/>
  <c r="W10" i="149"/>
  <c r="S10" i="149"/>
  <c r="J10" i="149"/>
  <c r="BS9" i="149"/>
  <c r="BG9" i="149"/>
  <c r="AU9" i="149"/>
  <c r="AM9" i="149"/>
  <c r="W9" i="149"/>
  <c r="J9" i="149"/>
  <c r="BK8" i="149"/>
  <c r="BG8" i="149"/>
  <c r="O8" i="149"/>
  <c r="J8" i="149"/>
  <c r="BK7" i="149"/>
  <c r="BG7" i="149"/>
  <c r="AM7" i="149"/>
  <c r="AI7" i="149"/>
  <c r="AE7" i="149"/>
  <c r="O7" i="149"/>
  <c r="J7" i="149"/>
  <c r="BR6" i="149"/>
  <c r="BS6" i="149" s="1"/>
  <c r="BQ6" i="149"/>
  <c r="BJ6" i="149"/>
  <c r="BK6" i="149" s="1"/>
  <c r="BF6" i="149"/>
  <c r="BG6" i="149" s="1"/>
  <c r="BE6" i="149"/>
  <c r="BA6" i="149"/>
  <c r="AT6" i="149"/>
  <c r="AU6" i="149" s="1"/>
  <c r="AS6" i="149"/>
  <c r="AL6" i="149"/>
  <c r="AM6" i="149" s="1"/>
  <c r="AH6" i="149"/>
  <c r="AI6" i="149" s="1"/>
  <c r="AG6" i="149"/>
  <c r="AC6" i="149"/>
  <c r="V6" i="149"/>
  <c r="W6" i="149" s="1"/>
  <c r="U6" i="149"/>
  <c r="N6" i="149"/>
  <c r="O6" i="149" s="1"/>
  <c r="BT5" i="149"/>
  <c r="BW5" i="149" s="1"/>
  <c r="BK5" i="149"/>
  <c r="BH5" i="149"/>
  <c r="BD5" i="149"/>
  <c r="BG5" i="149" s="1"/>
  <c r="AV5" i="149"/>
  <c r="AY5" i="149" s="1"/>
  <c r="AM5" i="149"/>
  <c r="AJ5" i="149"/>
  <c r="AF5" i="149"/>
  <c r="AI5" i="149" s="1"/>
  <c r="X5" i="149"/>
  <c r="AA5" i="149" s="1"/>
  <c r="O5" i="149"/>
  <c r="L5" i="149"/>
  <c r="BS4" i="149"/>
  <c r="BW27" i="149" s="1"/>
  <c r="BO4" i="149"/>
  <c r="BS73" i="149" s="1"/>
  <c r="BK4" i="149"/>
  <c r="BO47" i="149" s="1"/>
  <c r="BH4" i="149"/>
  <c r="BG4" i="149"/>
  <c r="BD4" i="149"/>
  <c r="BC4" i="149"/>
  <c r="BG45" i="149" s="1"/>
  <c r="AZ4" i="149"/>
  <c r="AY4" i="149"/>
  <c r="BC37" i="149" s="1"/>
  <c r="AU4" i="149"/>
  <c r="AY81" i="149" s="1"/>
  <c r="AQ4" i="149"/>
  <c r="AU36" i="149" s="1"/>
  <c r="AM4" i="149"/>
  <c r="AQ36" i="149" s="1"/>
  <c r="AJ4" i="149"/>
  <c r="AI4" i="149"/>
  <c r="AF4" i="149"/>
  <c r="AE4" i="149"/>
  <c r="AI77" i="149" s="1"/>
  <c r="AB4" i="149"/>
  <c r="AA4" i="149"/>
  <c r="AE34" i="149" s="1"/>
  <c r="W4" i="149"/>
  <c r="AA45" i="149" s="1"/>
  <c r="S4" i="149"/>
  <c r="W39" i="149" s="1"/>
  <c r="O4" i="149"/>
  <c r="S30" i="149" s="1"/>
  <c r="L4" i="149"/>
  <c r="K4" i="149"/>
  <c r="J4" i="149"/>
  <c r="BT3" i="149"/>
  <c r="BP3" i="149"/>
  <c r="BL3" i="149"/>
  <c r="BH3" i="149"/>
  <c r="BD3" i="149"/>
  <c r="AZ3" i="149"/>
  <c r="AV3" i="149"/>
  <c r="AR3" i="149"/>
  <c r="AN3" i="149"/>
  <c r="AJ3" i="149"/>
  <c r="AF3" i="149"/>
  <c r="AB3" i="149"/>
  <c r="X3" i="149"/>
  <c r="T3" i="149"/>
  <c r="P3" i="149"/>
  <c r="L3" i="149"/>
  <c r="J3" i="149"/>
  <c r="J2" i="149"/>
  <c r="F1" i="149"/>
  <c r="J82" i="148"/>
  <c r="J81" i="148"/>
  <c r="J80" i="148"/>
  <c r="J79" i="148"/>
  <c r="J78" i="148"/>
  <c r="J77" i="148"/>
  <c r="J76" i="148"/>
  <c r="J75" i="148"/>
  <c r="J74" i="148"/>
  <c r="J73" i="148"/>
  <c r="J72" i="148"/>
  <c r="J71" i="148"/>
  <c r="J70" i="148"/>
  <c r="J69" i="148"/>
  <c r="J68" i="148"/>
  <c r="J67" i="148"/>
  <c r="J66" i="148"/>
  <c r="J65" i="148"/>
  <c r="J64" i="148"/>
  <c r="J63" i="148"/>
  <c r="J62" i="148"/>
  <c r="J61" i="148"/>
  <c r="J60" i="148"/>
  <c r="J59" i="148"/>
  <c r="J58" i="148"/>
  <c r="J57" i="148"/>
  <c r="J56" i="148"/>
  <c r="J55" i="148"/>
  <c r="J54" i="148"/>
  <c r="J53" i="148"/>
  <c r="J52" i="148"/>
  <c r="J51" i="148"/>
  <c r="J50" i="148"/>
  <c r="J49" i="148"/>
  <c r="J48" i="148"/>
  <c r="J47" i="148"/>
  <c r="J46" i="148"/>
  <c r="J45" i="148"/>
  <c r="J44" i="148"/>
  <c r="J43" i="148"/>
  <c r="J42" i="148"/>
  <c r="J41" i="148"/>
  <c r="J40" i="148"/>
  <c r="J39" i="148"/>
  <c r="J38" i="148"/>
  <c r="J37" i="148"/>
  <c r="J36" i="148"/>
  <c r="J35" i="148"/>
  <c r="J34" i="148"/>
  <c r="J33" i="148"/>
  <c r="J32" i="148"/>
  <c r="J31" i="148"/>
  <c r="J30" i="148"/>
  <c r="J29" i="148"/>
  <c r="J28" i="148"/>
  <c r="BG27" i="148"/>
  <c r="J27" i="148"/>
  <c r="BG26" i="148"/>
  <c r="J26" i="148"/>
  <c r="J25" i="148"/>
  <c r="J24" i="148"/>
  <c r="BK23" i="148"/>
  <c r="O23" i="148"/>
  <c r="J23" i="148"/>
  <c r="J22" i="148"/>
  <c r="AI21" i="148"/>
  <c r="J21" i="148"/>
  <c r="AI20" i="148"/>
  <c r="AA20" i="148"/>
  <c r="J20" i="148"/>
  <c r="AI19" i="148"/>
  <c r="J19" i="148"/>
  <c r="BK18" i="148"/>
  <c r="BC18" i="148"/>
  <c r="O18" i="148"/>
  <c r="J18" i="148"/>
  <c r="BW17" i="148"/>
  <c r="BK17" i="148"/>
  <c r="AI17" i="148"/>
  <c r="AA17" i="148"/>
  <c r="O17" i="148"/>
  <c r="J17" i="148"/>
  <c r="BC16" i="148"/>
  <c r="AI16" i="148"/>
  <c r="J16" i="148"/>
  <c r="BW15" i="148"/>
  <c r="BC15" i="148"/>
  <c r="AA15" i="148"/>
  <c r="J15" i="148"/>
  <c r="BW14" i="148"/>
  <c r="AM14" i="148"/>
  <c r="AA14" i="148"/>
  <c r="J14" i="148"/>
  <c r="BG13" i="148"/>
  <c r="J13" i="148"/>
  <c r="AM12" i="148"/>
  <c r="AE12" i="148"/>
  <c r="J12" i="148"/>
  <c r="BG11" i="148"/>
  <c r="AY11" i="148"/>
  <c r="AM11" i="148"/>
  <c r="J11" i="148"/>
  <c r="BG10" i="148"/>
  <c r="AE10" i="148"/>
  <c r="J10" i="148"/>
  <c r="AY9" i="148"/>
  <c r="AE9" i="148"/>
  <c r="J9" i="148"/>
  <c r="BK8" i="148"/>
  <c r="AY8" i="148"/>
  <c r="O8" i="148"/>
  <c r="J8" i="148"/>
  <c r="BK7" i="148"/>
  <c r="AM7" i="148"/>
  <c r="AI7" i="148"/>
  <c r="O7" i="148"/>
  <c r="J7" i="148"/>
  <c r="BT6" i="148"/>
  <c r="BI6" i="148"/>
  <c r="BH6" i="148"/>
  <c r="BF6" i="148"/>
  <c r="BG6" i="148" s="1"/>
  <c r="BE6" i="148"/>
  <c r="BA6" i="148"/>
  <c r="AV6" i="148"/>
  <c r="AK6" i="148"/>
  <c r="AJ6" i="148"/>
  <c r="AH6" i="148"/>
  <c r="AI6" i="148" s="1"/>
  <c r="AG6" i="148"/>
  <c r="AC6" i="148"/>
  <c r="X6" i="148"/>
  <c r="M6" i="148"/>
  <c r="L6" i="148"/>
  <c r="BT5" i="148"/>
  <c r="BW5" i="148" s="1"/>
  <c r="BD5" i="148"/>
  <c r="BG5" i="148" s="1"/>
  <c r="AZ5" i="148"/>
  <c r="BC5" i="148" s="1"/>
  <c r="AV5" i="148"/>
  <c r="AY5" i="148" s="1"/>
  <c r="AF5" i="148"/>
  <c r="AI5" i="148" s="1"/>
  <c r="AB5" i="148"/>
  <c r="AE5" i="148" s="1"/>
  <c r="X5" i="148"/>
  <c r="AA5" i="148" s="1"/>
  <c r="BS4" i="148"/>
  <c r="BW27" i="148" s="1"/>
  <c r="BO4" i="148"/>
  <c r="BS44" i="148" s="1"/>
  <c r="BK4" i="148"/>
  <c r="BO52" i="148" s="1"/>
  <c r="BH4" i="148"/>
  <c r="BG4" i="148"/>
  <c r="BK66" i="148" s="1"/>
  <c r="BD4" i="148"/>
  <c r="BC4" i="148"/>
  <c r="BG35" i="148" s="1"/>
  <c r="AZ4" i="148"/>
  <c r="AY4" i="148"/>
  <c r="BC32" i="148" s="1"/>
  <c r="AU4" i="148"/>
  <c r="AY30" i="148" s="1"/>
  <c r="AQ4" i="148"/>
  <c r="AU29" i="148" s="1"/>
  <c r="AM4" i="148"/>
  <c r="AQ67" i="148" s="1"/>
  <c r="AJ4" i="148"/>
  <c r="AI4" i="148"/>
  <c r="AM28" i="148" s="1"/>
  <c r="AF4" i="148"/>
  <c r="AE4" i="148"/>
  <c r="AI26" i="148" s="1"/>
  <c r="AB4" i="148"/>
  <c r="AA4" i="148"/>
  <c r="AE24" i="148" s="1"/>
  <c r="W4" i="148"/>
  <c r="AA35" i="148" s="1"/>
  <c r="S4" i="148"/>
  <c r="W68" i="148" s="1"/>
  <c r="O4" i="148"/>
  <c r="S10" i="148" s="1"/>
  <c r="L4" i="148"/>
  <c r="K4" i="148"/>
  <c r="O66" i="148" s="1"/>
  <c r="J4" i="148"/>
  <c r="BT3" i="148"/>
  <c r="BP3" i="148"/>
  <c r="BL3" i="148"/>
  <c r="BH3" i="148"/>
  <c r="BD3" i="148"/>
  <c r="AZ3" i="148"/>
  <c r="AV3" i="148"/>
  <c r="AR3" i="148"/>
  <c r="AN3" i="148"/>
  <c r="AJ3" i="148"/>
  <c r="AF3" i="148"/>
  <c r="AB3" i="148"/>
  <c r="X3" i="148"/>
  <c r="T3" i="148"/>
  <c r="P3" i="148"/>
  <c r="L3" i="148"/>
  <c r="J3" i="148"/>
  <c r="J2" i="148"/>
  <c r="F1" i="148"/>
  <c r="J82" i="147"/>
  <c r="J81" i="147"/>
  <c r="J80" i="147"/>
  <c r="J79" i="147"/>
  <c r="J78" i="147"/>
  <c r="J77" i="147"/>
  <c r="J76" i="147"/>
  <c r="J75" i="147"/>
  <c r="J74" i="147"/>
  <c r="BO73" i="147"/>
  <c r="J73" i="147"/>
  <c r="J72" i="147"/>
  <c r="BO71" i="147"/>
  <c r="J71" i="147"/>
  <c r="J70" i="147"/>
  <c r="BG69" i="147"/>
  <c r="J69" i="147"/>
  <c r="BG68" i="147"/>
  <c r="J68" i="147"/>
  <c r="AQ67" i="147"/>
  <c r="AE67" i="147"/>
  <c r="J67" i="147"/>
  <c r="J66" i="147"/>
  <c r="BO65" i="147"/>
  <c r="AI65" i="147"/>
  <c r="J65" i="147"/>
  <c r="BO64" i="147"/>
  <c r="S64" i="147"/>
  <c r="J64" i="147"/>
  <c r="BG63" i="147"/>
  <c r="AQ63" i="147"/>
  <c r="S63" i="147"/>
  <c r="J63" i="147"/>
  <c r="BG62" i="147"/>
  <c r="AI62" i="147"/>
  <c r="J62" i="147"/>
  <c r="BO61" i="147"/>
  <c r="BG61" i="147"/>
  <c r="S61" i="147"/>
  <c r="J61" i="147"/>
  <c r="AE60" i="147"/>
  <c r="J60" i="147"/>
  <c r="AQ59" i="147"/>
  <c r="J59" i="147"/>
  <c r="BO58" i="147"/>
  <c r="J58" i="147"/>
  <c r="BO57" i="147"/>
  <c r="BG57" i="147"/>
  <c r="AI57" i="147"/>
  <c r="S57" i="147"/>
  <c r="J57" i="147"/>
  <c r="BG56" i="147"/>
  <c r="J56" i="147"/>
  <c r="BG55" i="147"/>
  <c r="J55" i="147"/>
  <c r="BS54" i="147"/>
  <c r="J54" i="147"/>
  <c r="S53" i="147"/>
  <c r="J53" i="147"/>
  <c r="BS52" i="147"/>
  <c r="S52" i="147"/>
  <c r="J52" i="147"/>
  <c r="BG51" i="147"/>
  <c r="S51" i="147"/>
  <c r="J51" i="147"/>
  <c r="BG50" i="147"/>
  <c r="J50" i="147"/>
  <c r="BO49" i="147"/>
  <c r="S49" i="147"/>
  <c r="J49" i="147"/>
  <c r="BO48" i="147"/>
  <c r="S48" i="147"/>
  <c r="J48" i="147"/>
  <c r="BO47" i="147"/>
  <c r="AQ47" i="147"/>
  <c r="S47" i="147"/>
  <c r="J47" i="147"/>
  <c r="BO46" i="147"/>
  <c r="AQ46" i="147"/>
  <c r="S46" i="147"/>
  <c r="J46" i="147"/>
  <c r="BO45" i="147"/>
  <c r="AQ45" i="147"/>
  <c r="S45" i="147"/>
  <c r="J45" i="147"/>
  <c r="BS44" i="147"/>
  <c r="BG44" i="147"/>
  <c r="J44" i="147"/>
  <c r="BG43" i="147"/>
  <c r="J43" i="147"/>
  <c r="BO42" i="147"/>
  <c r="AQ42" i="147"/>
  <c r="S42" i="147"/>
  <c r="J42" i="147"/>
  <c r="BO41" i="147"/>
  <c r="AQ41" i="147"/>
  <c r="AI41" i="147"/>
  <c r="J41" i="147"/>
  <c r="BG40" i="147"/>
  <c r="AQ40" i="147"/>
  <c r="AI40" i="147"/>
  <c r="S40" i="147"/>
  <c r="J40" i="147"/>
  <c r="BO39" i="147"/>
  <c r="BG39" i="147"/>
  <c r="AQ39" i="147"/>
  <c r="AI39" i="147"/>
  <c r="J39" i="147"/>
  <c r="BG38" i="147"/>
  <c r="BC38" i="147"/>
  <c r="AI38" i="147"/>
  <c r="J38" i="147"/>
  <c r="BO37" i="147"/>
  <c r="S37" i="147"/>
  <c r="J37" i="147"/>
  <c r="BO36" i="147"/>
  <c r="BC36" i="147"/>
  <c r="AQ36" i="147"/>
  <c r="S36" i="147"/>
  <c r="J36" i="147"/>
  <c r="BG35" i="147"/>
  <c r="AQ35" i="147"/>
  <c r="AI35" i="147"/>
  <c r="S35" i="147"/>
  <c r="J35" i="147"/>
  <c r="BO34" i="147"/>
  <c r="BG34" i="147"/>
  <c r="BC34" i="147"/>
  <c r="AQ34" i="147"/>
  <c r="AI34" i="147"/>
  <c r="J34" i="147"/>
  <c r="BO33" i="147"/>
  <c r="BG33" i="147"/>
  <c r="BC33" i="147"/>
  <c r="AQ33" i="147"/>
  <c r="AI33" i="147"/>
  <c r="S33" i="147"/>
  <c r="J33" i="147"/>
  <c r="J32" i="147"/>
  <c r="BO31" i="147"/>
  <c r="BG31" i="147"/>
  <c r="BC31" i="147"/>
  <c r="AQ31" i="147"/>
  <c r="AI31" i="147"/>
  <c r="AE31" i="147"/>
  <c r="S31" i="147"/>
  <c r="J31" i="147"/>
  <c r="BO30" i="147"/>
  <c r="AQ30" i="147"/>
  <c r="S30" i="147"/>
  <c r="J30" i="147"/>
  <c r="BO29" i="147"/>
  <c r="BG29" i="147"/>
  <c r="AQ29" i="147"/>
  <c r="AI29" i="147"/>
  <c r="J29" i="147"/>
  <c r="BO28" i="147"/>
  <c r="BG28" i="147"/>
  <c r="BC28" i="147"/>
  <c r="AQ28" i="147"/>
  <c r="AI28" i="147"/>
  <c r="S28" i="147"/>
  <c r="J28" i="147"/>
  <c r="BO27" i="147"/>
  <c r="AQ27" i="147"/>
  <c r="S27" i="147"/>
  <c r="J27" i="147"/>
  <c r="BG26" i="147"/>
  <c r="BC26" i="147"/>
  <c r="AI26" i="147"/>
  <c r="AE26" i="147"/>
  <c r="O26" i="147"/>
  <c r="J26" i="147"/>
  <c r="BO25" i="147"/>
  <c r="AQ25" i="147"/>
  <c r="AI25" i="147"/>
  <c r="AA25" i="147"/>
  <c r="S25" i="147"/>
  <c r="J25" i="147"/>
  <c r="BC24" i="147"/>
  <c r="AQ24" i="147"/>
  <c r="S24" i="147"/>
  <c r="J24" i="147"/>
  <c r="BO23" i="147"/>
  <c r="BG23" i="147"/>
  <c r="AQ23" i="147"/>
  <c r="AI23" i="147"/>
  <c r="S23" i="147"/>
  <c r="O23" i="147"/>
  <c r="J23" i="147"/>
  <c r="BS22" i="147"/>
  <c r="BO22" i="147"/>
  <c r="AQ22" i="147"/>
  <c r="S22" i="147"/>
  <c r="O22" i="147"/>
  <c r="J22" i="147"/>
  <c r="BG21" i="147"/>
  <c r="BC21" i="147"/>
  <c r="AQ21" i="147"/>
  <c r="AI21" i="147"/>
  <c r="AE21" i="147"/>
  <c r="S21" i="147"/>
  <c r="J21" i="147"/>
  <c r="BS20" i="147"/>
  <c r="AI20" i="147"/>
  <c r="J20" i="147"/>
  <c r="BO19" i="147"/>
  <c r="BG19" i="147"/>
  <c r="BC19" i="147"/>
  <c r="AQ19" i="147"/>
  <c r="AE19" i="147"/>
  <c r="J19" i="147"/>
  <c r="BS18" i="147"/>
  <c r="BO18" i="147"/>
  <c r="BG18" i="147"/>
  <c r="AQ18" i="147"/>
  <c r="AI18" i="147"/>
  <c r="AA18" i="147"/>
  <c r="S18" i="147"/>
  <c r="J18" i="147"/>
  <c r="BO17" i="147"/>
  <c r="AQ17" i="147"/>
  <c r="AI17" i="147"/>
  <c r="AE17" i="147"/>
  <c r="S17" i="147"/>
  <c r="O17" i="147"/>
  <c r="J17" i="147"/>
  <c r="BO16" i="147"/>
  <c r="BG16" i="147"/>
  <c r="AQ16" i="147"/>
  <c r="AM16" i="147"/>
  <c r="AI16" i="147"/>
  <c r="S16" i="147"/>
  <c r="J16" i="147"/>
  <c r="BS15" i="147"/>
  <c r="BG15" i="147"/>
  <c r="BC15" i="147"/>
  <c r="AQ15" i="147"/>
  <c r="AI15" i="147"/>
  <c r="AE15" i="147"/>
  <c r="J15" i="147"/>
  <c r="BO14" i="147"/>
  <c r="BG14" i="147"/>
  <c r="BC14" i="147"/>
  <c r="AY14" i="147"/>
  <c r="AQ14" i="147"/>
  <c r="AI14" i="147"/>
  <c r="AE14" i="147"/>
  <c r="AA14" i="147"/>
  <c r="S14" i="147"/>
  <c r="J14" i="147"/>
  <c r="BS13" i="147"/>
  <c r="BO13" i="147"/>
  <c r="BC13" i="147"/>
  <c r="AY13" i="147"/>
  <c r="AI13" i="147"/>
  <c r="AE13" i="147"/>
  <c r="AA13" i="147"/>
  <c r="S13" i="147"/>
  <c r="J13" i="147"/>
  <c r="BS12" i="147"/>
  <c r="BO12" i="147"/>
  <c r="BG12" i="147"/>
  <c r="AY12" i="147"/>
  <c r="AQ12" i="147"/>
  <c r="AI12" i="147"/>
  <c r="S12" i="147"/>
  <c r="J12" i="147"/>
  <c r="BO11" i="147"/>
  <c r="BG11" i="147"/>
  <c r="BC11" i="147"/>
  <c r="AQ11" i="147"/>
  <c r="S11" i="147"/>
  <c r="O11" i="147"/>
  <c r="J11" i="147"/>
  <c r="BW10" i="147"/>
  <c r="BO10" i="147"/>
  <c r="BG10" i="147"/>
  <c r="AQ10" i="147"/>
  <c r="AM10" i="147"/>
  <c r="AI10" i="147"/>
  <c r="AE10" i="147"/>
  <c r="S10" i="147"/>
  <c r="O10" i="147"/>
  <c r="J10" i="147"/>
  <c r="BO9" i="147"/>
  <c r="BG9" i="147"/>
  <c r="BC9" i="147"/>
  <c r="AI9" i="147"/>
  <c r="AE9" i="147"/>
  <c r="S9" i="147"/>
  <c r="J9" i="147"/>
  <c r="BO8" i="147"/>
  <c r="BG8" i="147"/>
  <c r="BC8" i="147"/>
  <c r="AQ8" i="147"/>
  <c r="AI8" i="147"/>
  <c r="AE8" i="147"/>
  <c r="AA8" i="147"/>
  <c r="S8" i="147"/>
  <c r="J8" i="147"/>
  <c r="BS7" i="147"/>
  <c r="BG7" i="147"/>
  <c r="BC7" i="147"/>
  <c r="AQ7" i="147"/>
  <c r="AE7" i="147"/>
  <c r="AA7" i="147"/>
  <c r="J7" i="147"/>
  <c r="BM6" i="147"/>
  <c r="BL6" i="147"/>
  <c r="BJ6" i="147"/>
  <c r="BK6" i="147" s="1"/>
  <c r="BE6" i="147"/>
  <c r="BD6" i="147"/>
  <c r="AO6" i="147"/>
  <c r="AN6" i="147"/>
  <c r="AG6" i="147"/>
  <c r="AF6" i="147"/>
  <c r="Z6" i="147"/>
  <c r="AA6" i="147" s="1"/>
  <c r="Y6" i="147"/>
  <c r="Q6" i="147"/>
  <c r="P6" i="147"/>
  <c r="N6" i="147"/>
  <c r="O6" i="147" s="1"/>
  <c r="BP5" i="147"/>
  <c r="BS5" i="147" s="1"/>
  <c r="BG5" i="147"/>
  <c r="BD5" i="147"/>
  <c r="BC5" i="147"/>
  <c r="AZ5" i="147"/>
  <c r="AF5" i="147"/>
  <c r="AI5" i="147" s="1"/>
  <c r="AB5" i="147"/>
  <c r="AE5" i="147" s="1"/>
  <c r="BS4" i="147"/>
  <c r="BW50" i="147" s="1"/>
  <c r="BP4" i="147"/>
  <c r="BO4" i="147"/>
  <c r="BL4" i="147"/>
  <c r="BK4" i="147"/>
  <c r="BO40" i="147" s="1"/>
  <c r="BG4" i="147"/>
  <c r="BK23" i="147" s="1"/>
  <c r="BD4" i="147"/>
  <c r="BC4" i="147"/>
  <c r="BG67" i="147" s="1"/>
  <c r="AY4" i="147"/>
  <c r="BC67" i="147" s="1"/>
  <c r="AU4" i="147"/>
  <c r="AQ4" i="147"/>
  <c r="AN4" i="147"/>
  <c r="AM4" i="147"/>
  <c r="AQ55" i="147" s="1"/>
  <c r="AI4" i="147"/>
  <c r="AM7" i="147" s="1"/>
  <c r="AF4" i="147"/>
  <c r="AE4" i="147"/>
  <c r="AI63" i="147" s="1"/>
  <c r="AA4" i="147"/>
  <c r="AE54" i="147" s="1"/>
  <c r="W4" i="147"/>
  <c r="S4" i="147"/>
  <c r="W15" i="147" s="1"/>
  <c r="P4" i="147"/>
  <c r="O4" i="147"/>
  <c r="S39" i="147" s="1"/>
  <c r="K4" i="147"/>
  <c r="O66" i="147" s="1"/>
  <c r="J4" i="147"/>
  <c r="BT3" i="147"/>
  <c r="BP3" i="147"/>
  <c r="BL3" i="147"/>
  <c r="BH3" i="147"/>
  <c r="BD3" i="147"/>
  <c r="AZ3" i="147"/>
  <c r="AV3" i="147"/>
  <c r="AR3" i="147"/>
  <c r="AN3" i="147"/>
  <c r="AJ3" i="147"/>
  <c r="AF3" i="147"/>
  <c r="AB3" i="147"/>
  <c r="X3" i="147"/>
  <c r="T3" i="147"/>
  <c r="P3" i="147"/>
  <c r="L3" i="147"/>
  <c r="J3" i="147"/>
  <c r="J2" i="147"/>
  <c r="F1" i="147"/>
  <c r="J82" i="146"/>
  <c r="J81" i="146"/>
  <c r="J80" i="146"/>
  <c r="J79" i="146"/>
  <c r="J78" i="146"/>
  <c r="J77" i="146"/>
  <c r="J76" i="146"/>
  <c r="J75" i="146"/>
  <c r="J74" i="146"/>
  <c r="J73" i="146"/>
  <c r="J72" i="146"/>
  <c r="J71" i="146"/>
  <c r="J70" i="146"/>
  <c r="J69" i="146"/>
  <c r="J68" i="146"/>
  <c r="J67" i="146"/>
  <c r="J66" i="146"/>
  <c r="J65" i="146"/>
  <c r="J64" i="146"/>
  <c r="J63" i="146"/>
  <c r="AU62" i="146"/>
  <c r="J62" i="146"/>
  <c r="J61" i="146"/>
  <c r="J60" i="146"/>
  <c r="J59" i="146"/>
  <c r="J58" i="146"/>
  <c r="J57" i="146"/>
  <c r="J56" i="146"/>
  <c r="J55" i="146"/>
  <c r="J54" i="146"/>
  <c r="J53" i="146"/>
  <c r="J52" i="146"/>
  <c r="J51" i="146"/>
  <c r="J50" i="146"/>
  <c r="J49" i="146"/>
  <c r="J48" i="146"/>
  <c r="BS47" i="146"/>
  <c r="J47" i="146"/>
  <c r="J46" i="146"/>
  <c r="J45" i="146"/>
  <c r="BS44" i="146"/>
  <c r="AU44" i="146"/>
  <c r="J44" i="146"/>
  <c r="W43" i="146"/>
  <c r="J43" i="146"/>
  <c r="J42" i="146"/>
  <c r="J41" i="146"/>
  <c r="BS40" i="146"/>
  <c r="W40" i="146"/>
  <c r="J40" i="146"/>
  <c r="J39" i="146"/>
  <c r="BS38" i="146"/>
  <c r="W38" i="146"/>
  <c r="J38" i="146"/>
  <c r="AU37" i="146"/>
  <c r="J37" i="146"/>
  <c r="AU36" i="146"/>
  <c r="W36" i="146"/>
  <c r="J36" i="146"/>
  <c r="BS35" i="146"/>
  <c r="W35" i="146"/>
  <c r="J35" i="146"/>
  <c r="AU34" i="146"/>
  <c r="W34" i="146"/>
  <c r="J34" i="146"/>
  <c r="J33" i="146"/>
  <c r="AU32" i="146"/>
  <c r="AE32" i="146"/>
  <c r="J32" i="146"/>
  <c r="W31" i="146"/>
  <c r="J31" i="146"/>
  <c r="BS30" i="146"/>
  <c r="W30" i="146"/>
  <c r="J30" i="146"/>
  <c r="J29" i="146"/>
  <c r="AU28" i="146"/>
  <c r="W28" i="146"/>
  <c r="J28" i="146"/>
  <c r="BS27" i="146"/>
  <c r="AU27" i="146"/>
  <c r="J27" i="146"/>
  <c r="BS26" i="146"/>
  <c r="AU26" i="146"/>
  <c r="W26" i="146"/>
  <c r="J26" i="146"/>
  <c r="BS25" i="146"/>
  <c r="AU25" i="146"/>
  <c r="AA25" i="146"/>
  <c r="J25" i="146"/>
  <c r="AU24" i="146"/>
  <c r="W24" i="146"/>
  <c r="J24" i="146"/>
  <c r="BS23" i="146"/>
  <c r="W23" i="146"/>
  <c r="J23" i="146"/>
  <c r="W22" i="146"/>
  <c r="J22" i="146"/>
  <c r="BS21" i="146"/>
  <c r="AU21" i="146"/>
  <c r="J21" i="146"/>
  <c r="BS20" i="146"/>
  <c r="BK20" i="146"/>
  <c r="AY20" i="146"/>
  <c r="W20" i="146"/>
  <c r="J20" i="146"/>
  <c r="BS19" i="146"/>
  <c r="AA19" i="146"/>
  <c r="W19" i="146"/>
  <c r="J19" i="146"/>
  <c r="BS18" i="146"/>
  <c r="AY18" i="146"/>
  <c r="AU18" i="146"/>
  <c r="W18" i="146"/>
  <c r="J18" i="146"/>
  <c r="BS17" i="146"/>
  <c r="BG17" i="146"/>
  <c r="W17" i="146"/>
  <c r="J17" i="146"/>
  <c r="BS16" i="146"/>
  <c r="AU16" i="146"/>
  <c r="W16" i="146"/>
  <c r="J16" i="146"/>
  <c r="BS15" i="146"/>
  <c r="BG15" i="146"/>
  <c r="AI15" i="146"/>
  <c r="W15" i="146"/>
  <c r="J15" i="146"/>
  <c r="BS14" i="146"/>
  <c r="W14" i="146"/>
  <c r="J14" i="146"/>
  <c r="BS13" i="146"/>
  <c r="BC13" i="146"/>
  <c r="AU13" i="146"/>
  <c r="W13" i="146"/>
  <c r="J13" i="146"/>
  <c r="BS12" i="146"/>
  <c r="BK12" i="146"/>
  <c r="AU12" i="146"/>
  <c r="W12" i="146"/>
  <c r="J12" i="146"/>
  <c r="AU11" i="146"/>
  <c r="AI11" i="146"/>
  <c r="AA11" i="146"/>
  <c r="J11" i="146"/>
  <c r="BS10" i="146"/>
  <c r="AU10" i="146"/>
  <c r="W10" i="146"/>
  <c r="J10" i="146"/>
  <c r="BO9" i="146"/>
  <c r="AU9" i="146"/>
  <c r="J9" i="146"/>
  <c r="BG8" i="146"/>
  <c r="BC8" i="146"/>
  <c r="AU8" i="146"/>
  <c r="AE8" i="146"/>
  <c r="J8" i="146"/>
  <c r="BS7" i="146"/>
  <c r="AY7" i="146"/>
  <c r="AU7" i="146"/>
  <c r="AI7" i="146"/>
  <c r="AE7" i="146"/>
  <c r="W7" i="146"/>
  <c r="J7" i="146"/>
  <c r="BR6" i="146"/>
  <c r="BS6" i="146" s="1"/>
  <c r="BQ6" i="146"/>
  <c r="BP6" i="146"/>
  <c r="BJ6" i="146"/>
  <c r="BK6" i="146" s="1"/>
  <c r="BF6" i="146"/>
  <c r="BG6" i="146" s="1"/>
  <c r="BE6" i="146"/>
  <c r="BD6" i="146"/>
  <c r="AT6" i="146"/>
  <c r="AU6" i="146" s="1"/>
  <c r="AS6" i="146"/>
  <c r="AR6" i="146"/>
  <c r="AH6" i="146"/>
  <c r="AI6" i="146" s="1"/>
  <c r="AF6" i="146"/>
  <c r="AB6" i="146"/>
  <c r="W6" i="146"/>
  <c r="V6" i="146"/>
  <c r="U6" i="146"/>
  <c r="T6" i="146"/>
  <c r="BP5" i="146"/>
  <c r="BS5" i="146" s="1"/>
  <c r="AR5" i="146"/>
  <c r="AU5" i="146" s="1"/>
  <c r="AF5" i="146"/>
  <c r="AI5" i="146" s="1"/>
  <c r="X5" i="146"/>
  <c r="AA5" i="146" s="1"/>
  <c r="W5" i="146"/>
  <c r="T5" i="146"/>
  <c r="BS4" i="146"/>
  <c r="BW12" i="146" s="1"/>
  <c r="BP4" i="146"/>
  <c r="BO4" i="146"/>
  <c r="BS43" i="146" s="1"/>
  <c r="BK4" i="146"/>
  <c r="BO17" i="146" s="1"/>
  <c r="BG4" i="146"/>
  <c r="BH5" i="146" s="1"/>
  <c r="BK5" i="146" s="1"/>
  <c r="BD4" i="146"/>
  <c r="BC4" i="146"/>
  <c r="AY4" i="146"/>
  <c r="BC35" i="146" s="1"/>
  <c r="AU4" i="146"/>
  <c r="AY43" i="146" s="1"/>
  <c r="AR4" i="146"/>
  <c r="AQ4" i="146"/>
  <c r="AU74" i="146" s="1"/>
  <c r="AM4" i="146"/>
  <c r="AQ11" i="146" s="1"/>
  <c r="AI4" i="146"/>
  <c r="AM9" i="146" s="1"/>
  <c r="AE4" i="146"/>
  <c r="AI21" i="146" s="1"/>
  <c r="AA4" i="146"/>
  <c r="AE14" i="146" s="1"/>
  <c r="W4" i="146"/>
  <c r="AA39" i="146" s="1"/>
  <c r="T4" i="146"/>
  <c r="S4" i="146"/>
  <c r="W47" i="146" s="1"/>
  <c r="O4" i="146"/>
  <c r="S33" i="146" s="1"/>
  <c r="K4" i="146"/>
  <c r="O16" i="146" s="1"/>
  <c r="J4" i="146"/>
  <c r="BT3" i="146"/>
  <c r="BP3" i="146"/>
  <c r="BL3" i="146"/>
  <c r="BH3" i="146"/>
  <c r="BD3" i="146"/>
  <c r="AZ3" i="146"/>
  <c r="AV3" i="146"/>
  <c r="AR3" i="146"/>
  <c r="AN3" i="146"/>
  <c r="AJ3" i="146"/>
  <c r="AF3" i="146"/>
  <c r="AB3" i="146"/>
  <c r="X3" i="146"/>
  <c r="T3" i="146"/>
  <c r="P3" i="146"/>
  <c r="L3" i="146"/>
  <c r="J3" i="146"/>
  <c r="J2" i="146"/>
  <c r="F1" i="146"/>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7" i="2"/>
  <c r="B6" i="36"/>
  <c r="C6" i="36"/>
  <c r="C7" i="36"/>
  <c r="C48" i="36"/>
  <c r="C49" i="36"/>
  <c r="C50" i="36"/>
  <c r="J180" i="3"/>
  <c r="J178" i="3"/>
  <c r="J177" i="3"/>
  <c r="J179" i="3"/>
  <c r="J176" i="3"/>
  <c r="C58" i="36"/>
  <c r="D17" i="1"/>
  <c r="G24" i="1"/>
  <c r="F24" i="1"/>
  <c r="D24" i="1"/>
  <c r="E24" i="1"/>
  <c r="E11" i="1"/>
  <c r="G11" i="1"/>
  <c r="F11" i="1"/>
  <c r="D11" i="1"/>
  <c r="C11" i="1"/>
  <c r="E13" i="1"/>
  <c r="G13" i="1"/>
  <c r="F13" i="1"/>
  <c r="D13" i="1"/>
  <c r="C13" i="1"/>
  <c r="H7" i="4"/>
  <c r="C27" i="1"/>
  <c r="N3" i="1"/>
  <c r="K4" i="2"/>
  <c r="O26" i="2" s="1"/>
  <c r="E37" i="1"/>
  <c r="G36" i="1"/>
  <c r="D37" i="1"/>
  <c r="F37" i="1"/>
  <c r="F36" i="1"/>
  <c r="D36" i="1"/>
  <c r="C11" i="36"/>
  <c r="C10" i="36"/>
  <c r="C29" i="36"/>
  <c r="C31" i="36" s="1"/>
  <c r="J110" i="3"/>
  <c r="AI72" i="154" l="1"/>
  <c r="AI60" i="154"/>
  <c r="AI48" i="154"/>
  <c r="AI36" i="154"/>
  <c r="AI79" i="154"/>
  <c r="AI67" i="154"/>
  <c r="AI55" i="154"/>
  <c r="AI43" i="154"/>
  <c r="AI31" i="154"/>
  <c r="AI74" i="154"/>
  <c r="AI62" i="154"/>
  <c r="AI50" i="154"/>
  <c r="AI81" i="154"/>
  <c r="AI69" i="154"/>
  <c r="AI57" i="154"/>
  <c r="AI45" i="154"/>
  <c r="AI76" i="154"/>
  <c r="AI64" i="154"/>
  <c r="AI52" i="154"/>
  <c r="AI71" i="154"/>
  <c r="AI59" i="154"/>
  <c r="AI47" i="154"/>
  <c r="AI35" i="154"/>
  <c r="AI78" i="154"/>
  <c r="AI66" i="154"/>
  <c r="AI54" i="154"/>
  <c r="AI42" i="154"/>
  <c r="AI30" i="154"/>
  <c r="AI73" i="154"/>
  <c r="AI61" i="154"/>
  <c r="AI49" i="154"/>
  <c r="AI80" i="154"/>
  <c r="AI68" i="154"/>
  <c r="AI56" i="154"/>
  <c r="AI75" i="154"/>
  <c r="AI63" i="154"/>
  <c r="AI51" i="154"/>
  <c r="AI82" i="154"/>
  <c r="AI70" i="154"/>
  <c r="AI58" i="154"/>
  <c r="AI77" i="154"/>
  <c r="AI65" i="154"/>
  <c r="AI53" i="154"/>
  <c r="AI41" i="154"/>
  <c r="BG78" i="154"/>
  <c r="BG66" i="154"/>
  <c r="BG54" i="154"/>
  <c r="BG42" i="154"/>
  <c r="BG30" i="154"/>
  <c r="BG73" i="154"/>
  <c r="BG61" i="154"/>
  <c r="BG49" i="154"/>
  <c r="BG37" i="154"/>
  <c r="BG80" i="154"/>
  <c r="BG68" i="154"/>
  <c r="BG56" i="154"/>
  <c r="BG75" i="154"/>
  <c r="BG63" i="154"/>
  <c r="BG51" i="154"/>
  <c r="BG39" i="154"/>
  <c r="BG82" i="154"/>
  <c r="BG70" i="154"/>
  <c r="BG58" i="154"/>
  <c r="BG46" i="154"/>
  <c r="BG77" i="154"/>
  <c r="BG65" i="154"/>
  <c r="BG53" i="154"/>
  <c r="BG41" i="154"/>
  <c r="BG29" i="154"/>
  <c r="BG72" i="154"/>
  <c r="BG60" i="154"/>
  <c r="BG48" i="154"/>
  <c r="BG36" i="154"/>
  <c r="BG24" i="154"/>
  <c r="BG79" i="154"/>
  <c r="BG67" i="154"/>
  <c r="BG55" i="154"/>
  <c r="BG43" i="154"/>
  <c r="BG74" i="154"/>
  <c r="BG62" i="154"/>
  <c r="BG50" i="154"/>
  <c r="BG81" i="154"/>
  <c r="BG69" i="154"/>
  <c r="BG57" i="154"/>
  <c r="BG45" i="154"/>
  <c r="BG76" i="154"/>
  <c r="BG64" i="154"/>
  <c r="BG52" i="154"/>
  <c r="BG71" i="154"/>
  <c r="BG59" i="154"/>
  <c r="BG47" i="154"/>
  <c r="P5" i="154"/>
  <c r="S5" i="154" s="1"/>
  <c r="AN5" i="154"/>
  <c r="AQ5" i="154" s="1"/>
  <c r="BL5" i="154"/>
  <c r="BO5" i="154" s="1"/>
  <c r="R6" i="154"/>
  <c r="S6" i="154" s="1"/>
  <c r="AD6" i="154"/>
  <c r="AE6" i="154" s="1"/>
  <c r="AP6" i="154"/>
  <c r="AQ6" i="154" s="1"/>
  <c r="BB6" i="154"/>
  <c r="BC6" i="154" s="1"/>
  <c r="BN6" i="154"/>
  <c r="BO6" i="154" s="1"/>
  <c r="S7" i="154"/>
  <c r="BO7" i="154"/>
  <c r="AU8" i="154"/>
  <c r="AA9" i="154"/>
  <c r="BW9" i="154"/>
  <c r="BC10" i="154"/>
  <c r="AI11" i="154"/>
  <c r="O12" i="154"/>
  <c r="BK12" i="154"/>
  <c r="AQ13" i="154"/>
  <c r="W14" i="154"/>
  <c r="BS14" i="154"/>
  <c r="AY15" i="154"/>
  <c r="AE16" i="154"/>
  <c r="BG17" i="154"/>
  <c r="AM18" i="154"/>
  <c r="S19" i="154"/>
  <c r="BS19" i="154"/>
  <c r="BC20" i="154"/>
  <c r="AM21" i="154"/>
  <c r="W22" i="154"/>
  <c r="BW22" i="154"/>
  <c r="BG23" i="154"/>
  <c r="AM24" i="154"/>
  <c r="AA25" i="154"/>
  <c r="O26" i="154"/>
  <c r="BO27" i="154"/>
  <c r="BG28" i="154"/>
  <c r="AU29" i="154"/>
  <c r="AU30" i="154"/>
  <c r="AY31" i="154"/>
  <c r="BC32" i="154"/>
  <c r="BG33" i="154"/>
  <c r="BK34" i="154"/>
  <c r="BO35" i="154"/>
  <c r="BO36" i="154"/>
  <c r="BW37" i="154"/>
  <c r="O39" i="154"/>
  <c r="AQ40" i="154"/>
  <c r="BK41" i="154"/>
  <c r="W43" i="154"/>
  <c r="O45" i="154"/>
  <c r="W47" i="154"/>
  <c r="BC49" i="154"/>
  <c r="AY8" i="154"/>
  <c r="AE9" i="154"/>
  <c r="S12" i="154"/>
  <c r="BO12" i="154"/>
  <c r="AU13" i="154"/>
  <c r="AA14" i="154"/>
  <c r="BW14" i="154"/>
  <c r="BC15" i="154"/>
  <c r="AI16" i="154"/>
  <c r="O17" i="154"/>
  <c r="BK17" i="154"/>
  <c r="AQ18" i="154"/>
  <c r="W19" i="154"/>
  <c r="BW19" i="154"/>
  <c r="BG20" i="154"/>
  <c r="AQ21" i="154"/>
  <c r="AA22" i="154"/>
  <c r="BK23" i="154"/>
  <c r="AQ24" i="154"/>
  <c r="AE25" i="154"/>
  <c r="AA26" i="154"/>
  <c r="BS27" i="154"/>
  <c r="BK28" i="154"/>
  <c r="AY29" i="154"/>
  <c r="AY30" i="154"/>
  <c r="BC31" i="154"/>
  <c r="BG32" i="154"/>
  <c r="BO34" i="154"/>
  <c r="BS35" i="154"/>
  <c r="BW36" i="154"/>
  <c r="AE39" i="154"/>
  <c r="BG40" i="154"/>
  <c r="BS41" i="154"/>
  <c r="AE43" i="154"/>
  <c r="AE45" i="154"/>
  <c r="AU47" i="154"/>
  <c r="BS49" i="154"/>
  <c r="O73" i="154"/>
  <c r="O61" i="154"/>
  <c r="O49" i="154"/>
  <c r="O37" i="154"/>
  <c r="O80" i="154"/>
  <c r="O68" i="154"/>
  <c r="O56" i="154"/>
  <c r="O44" i="154"/>
  <c r="O32" i="154"/>
  <c r="O75" i="154"/>
  <c r="O63" i="154"/>
  <c r="O51" i="154"/>
  <c r="O82" i="154"/>
  <c r="O70" i="154"/>
  <c r="O58" i="154"/>
  <c r="O46" i="154"/>
  <c r="O77" i="154"/>
  <c r="O65" i="154"/>
  <c r="O53" i="154"/>
  <c r="O72" i="154"/>
  <c r="O60" i="154"/>
  <c r="O48" i="154"/>
  <c r="O36" i="154"/>
  <c r="O79" i="154"/>
  <c r="O67" i="154"/>
  <c r="O55" i="154"/>
  <c r="O43" i="154"/>
  <c r="O31" i="154"/>
  <c r="O74" i="154"/>
  <c r="O62" i="154"/>
  <c r="O50" i="154"/>
  <c r="O81" i="154"/>
  <c r="O69" i="154"/>
  <c r="O57" i="154"/>
  <c r="O76" i="154"/>
  <c r="O64" i="154"/>
  <c r="O52" i="154"/>
  <c r="O71" i="154"/>
  <c r="O59" i="154"/>
  <c r="O78" i="154"/>
  <c r="O66" i="154"/>
  <c r="O54" i="154"/>
  <c r="O42" i="154"/>
  <c r="AM79" i="154"/>
  <c r="AM67" i="154"/>
  <c r="AM55" i="154"/>
  <c r="AM43" i="154"/>
  <c r="AM31" i="154"/>
  <c r="AM74" i="154"/>
  <c r="AM62" i="154"/>
  <c r="AM50" i="154"/>
  <c r="AM38" i="154"/>
  <c r="AM81" i="154"/>
  <c r="AM69" i="154"/>
  <c r="AM57" i="154"/>
  <c r="AM76" i="154"/>
  <c r="AM64" i="154"/>
  <c r="AM52" i="154"/>
  <c r="AM40" i="154"/>
  <c r="AM71" i="154"/>
  <c r="AM59" i="154"/>
  <c r="AM47" i="154"/>
  <c r="AM78" i="154"/>
  <c r="AM66" i="154"/>
  <c r="AM54" i="154"/>
  <c r="AM42" i="154"/>
  <c r="AM30" i="154"/>
  <c r="AM73" i="154"/>
  <c r="AM61" i="154"/>
  <c r="AM49" i="154"/>
  <c r="AM37" i="154"/>
  <c r="AM25" i="154"/>
  <c r="AM80" i="154"/>
  <c r="AM68" i="154"/>
  <c r="AM56" i="154"/>
  <c r="AM44" i="154"/>
  <c r="AM75" i="154"/>
  <c r="AM63" i="154"/>
  <c r="AM51" i="154"/>
  <c r="AM82" i="154"/>
  <c r="AM70" i="154"/>
  <c r="AM58" i="154"/>
  <c r="AM46" i="154"/>
  <c r="AM77" i="154"/>
  <c r="AM65" i="154"/>
  <c r="AM53" i="154"/>
  <c r="AM72" i="154"/>
  <c r="AM60" i="154"/>
  <c r="AM48" i="154"/>
  <c r="BK73" i="154"/>
  <c r="BK61" i="154"/>
  <c r="BK49" i="154"/>
  <c r="BK37" i="154"/>
  <c r="BK80" i="154"/>
  <c r="BK68" i="154"/>
  <c r="BK56" i="154"/>
  <c r="BK44" i="154"/>
  <c r="BK32" i="154"/>
  <c r="BK75" i="154"/>
  <c r="BK63" i="154"/>
  <c r="BK51" i="154"/>
  <c r="BK82" i="154"/>
  <c r="BK70" i="154"/>
  <c r="BK58" i="154"/>
  <c r="BK46" i="154"/>
  <c r="BK77" i="154"/>
  <c r="BK65" i="154"/>
  <c r="BK53" i="154"/>
  <c r="BK72" i="154"/>
  <c r="BK60" i="154"/>
  <c r="BK48" i="154"/>
  <c r="BK36" i="154"/>
  <c r="BK24" i="154"/>
  <c r="BK79" i="154"/>
  <c r="BK67" i="154"/>
  <c r="BK55" i="154"/>
  <c r="BK43" i="154"/>
  <c r="BK31" i="154"/>
  <c r="BK19" i="154"/>
  <c r="BK74" i="154"/>
  <c r="BK62" i="154"/>
  <c r="BK50" i="154"/>
  <c r="BK81" i="154"/>
  <c r="BK69" i="154"/>
  <c r="BK57" i="154"/>
  <c r="BK76" i="154"/>
  <c r="BK64" i="154"/>
  <c r="BK52" i="154"/>
  <c r="BK71" i="154"/>
  <c r="BK59" i="154"/>
  <c r="BK78" i="154"/>
  <c r="BK66" i="154"/>
  <c r="BK54" i="154"/>
  <c r="BK42" i="154"/>
  <c r="AA7" i="154"/>
  <c r="BW7" i="154"/>
  <c r="O10" i="154"/>
  <c r="BK10" i="154"/>
  <c r="AY13" i="154"/>
  <c r="AE14" i="154"/>
  <c r="AM16" i="154"/>
  <c r="S17" i="154"/>
  <c r="BO17" i="154"/>
  <c r="AU18" i="154"/>
  <c r="AA19" i="154"/>
  <c r="BK20" i="154"/>
  <c r="AU21" i="154"/>
  <c r="AE22" i="154"/>
  <c r="O23" i="154"/>
  <c r="BO23" i="154"/>
  <c r="AU24" i="154"/>
  <c r="AI25" i="154"/>
  <c r="AE26" i="154"/>
  <c r="S27" i="154"/>
  <c r="BW27" i="154"/>
  <c r="BO28" i="154"/>
  <c r="BK29" i="154"/>
  <c r="BK30" i="154"/>
  <c r="BG31" i="154"/>
  <c r="BS32" i="154"/>
  <c r="BO33" i="154"/>
  <c r="BW35" i="154"/>
  <c r="O38" i="154"/>
  <c r="AI39" i="154"/>
  <c r="BK40" i="154"/>
  <c r="AU43" i="154"/>
  <c r="AM45" i="154"/>
  <c r="BK47" i="154"/>
  <c r="BO29" i="154"/>
  <c r="BO30" i="154"/>
  <c r="BW32" i="154"/>
  <c r="O35" i="154"/>
  <c r="S37" i="154"/>
  <c r="AA38" i="154"/>
  <c r="AM39" i="154"/>
  <c r="BC43" i="154"/>
  <c r="BC45" i="154"/>
  <c r="BS47" i="154"/>
  <c r="AY50" i="154"/>
  <c r="S80" i="154"/>
  <c r="S68" i="154"/>
  <c r="S56" i="154"/>
  <c r="S44" i="154"/>
  <c r="S32" i="154"/>
  <c r="S75" i="154"/>
  <c r="S63" i="154"/>
  <c r="S51" i="154"/>
  <c r="S39" i="154"/>
  <c r="S82" i="154"/>
  <c r="S70" i="154"/>
  <c r="S58" i="154"/>
  <c r="S77" i="154"/>
  <c r="S65" i="154"/>
  <c r="S53" i="154"/>
  <c r="S41" i="154"/>
  <c r="S72" i="154"/>
  <c r="S60" i="154"/>
  <c r="S48" i="154"/>
  <c r="S79" i="154"/>
  <c r="S67" i="154"/>
  <c r="S55" i="154"/>
  <c r="S43" i="154"/>
  <c r="S31" i="154"/>
  <c r="S74" i="154"/>
  <c r="S62" i="154"/>
  <c r="S50" i="154"/>
  <c r="S38" i="154"/>
  <c r="S26" i="154"/>
  <c r="S81" i="154"/>
  <c r="S69" i="154"/>
  <c r="S57" i="154"/>
  <c r="S45" i="154"/>
  <c r="S76" i="154"/>
  <c r="S64" i="154"/>
  <c r="S52" i="154"/>
  <c r="S71" i="154"/>
  <c r="S59" i="154"/>
  <c r="S47" i="154"/>
  <c r="S78" i="154"/>
  <c r="S66" i="154"/>
  <c r="S54" i="154"/>
  <c r="S73" i="154"/>
  <c r="S61" i="154"/>
  <c r="S49" i="154"/>
  <c r="AQ74" i="154"/>
  <c r="AQ62" i="154"/>
  <c r="AQ50" i="154"/>
  <c r="AQ38" i="154"/>
  <c r="AQ81" i="154"/>
  <c r="AQ69" i="154"/>
  <c r="AQ57" i="154"/>
  <c r="AQ45" i="154"/>
  <c r="AQ33" i="154"/>
  <c r="AQ76" i="154"/>
  <c r="AQ64" i="154"/>
  <c r="AQ52" i="154"/>
  <c r="AQ71" i="154"/>
  <c r="AQ59" i="154"/>
  <c r="AQ47" i="154"/>
  <c r="AQ78" i="154"/>
  <c r="AQ66" i="154"/>
  <c r="AQ54" i="154"/>
  <c r="AQ73" i="154"/>
  <c r="AQ61" i="154"/>
  <c r="AQ49" i="154"/>
  <c r="AQ37" i="154"/>
  <c r="AQ25" i="154"/>
  <c r="AQ80" i="154"/>
  <c r="AQ68" i="154"/>
  <c r="AQ56" i="154"/>
  <c r="AQ44" i="154"/>
  <c r="AQ32" i="154"/>
  <c r="AQ20" i="154"/>
  <c r="AQ75" i="154"/>
  <c r="AQ63" i="154"/>
  <c r="AQ51" i="154"/>
  <c r="AQ82" i="154"/>
  <c r="AQ70" i="154"/>
  <c r="AQ58" i="154"/>
  <c r="AQ77" i="154"/>
  <c r="AQ65" i="154"/>
  <c r="AQ53" i="154"/>
  <c r="AQ72" i="154"/>
  <c r="AQ60" i="154"/>
  <c r="AQ79" i="154"/>
  <c r="AQ67" i="154"/>
  <c r="AQ55" i="154"/>
  <c r="AQ43" i="154"/>
  <c r="BO80" i="154"/>
  <c r="BO68" i="154"/>
  <c r="BO56" i="154"/>
  <c r="BO44" i="154"/>
  <c r="BO32" i="154"/>
  <c r="BO75" i="154"/>
  <c r="BO63" i="154"/>
  <c r="BO51" i="154"/>
  <c r="BO39" i="154"/>
  <c r="BO82" i="154"/>
  <c r="BO70" i="154"/>
  <c r="BO58" i="154"/>
  <c r="BO77" i="154"/>
  <c r="BO65" i="154"/>
  <c r="BO53" i="154"/>
  <c r="BO41" i="154"/>
  <c r="BO72" i="154"/>
  <c r="BO60" i="154"/>
  <c r="BO48" i="154"/>
  <c r="BO79" i="154"/>
  <c r="BO67" i="154"/>
  <c r="BO55" i="154"/>
  <c r="BO43" i="154"/>
  <c r="BO31" i="154"/>
  <c r="BO74" i="154"/>
  <c r="BO62" i="154"/>
  <c r="BO50" i="154"/>
  <c r="BO38" i="154"/>
  <c r="BO26" i="154"/>
  <c r="BO81" i="154"/>
  <c r="BO69" i="154"/>
  <c r="BO57" i="154"/>
  <c r="BO45" i="154"/>
  <c r="BO76" i="154"/>
  <c r="BO64" i="154"/>
  <c r="BO52" i="154"/>
  <c r="BO71" i="154"/>
  <c r="BO59" i="154"/>
  <c r="BO47" i="154"/>
  <c r="BO78" i="154"/>
  <c r="BO66" i="154"/>
  <c r="BO54" i="154"/>
  <c r="BO73" i="154"/>
  <c r="BO61" i="154"/>
  <c r="BO49" i="154"/>
  <c r="X5" i="154"/>
  <c r="AA5" i="154" s="1"/>
  <c r="AV5" i="154"/>
  <c r="AY5" i="154" s="1"/>
  <c r="BT5" i="154"/>
  <c r="BW5" i="154" s="1"/>
  <c r="O8" i="154"/>
  <c r="BK8" i="154"/>
  <c r="AQ9" i="154"/>
  <c r="W10" i="154"/>
  <c r="BS10" i="154"/>
  <c r="AY11" i="154"/>
  <c r="AE12" i="154"/>
  <c r="BG13" i="154"/>
  <c r="AM14" i="154"/>
  <c r="S15" i="154"/>
  <c r="BO15" i="154"/>
  <c r="AU16" i="154"/>
  <c r="AA17" i="154"/>
  <c r="BW17" i="154"/>
  <c r="BC18" i="154"/>
  <c r="AI19" i="154"/>
  <c r="S20" i="154"/>
  <c r="BS20" i="154"/>
  <c r="BC21" i="154"/>
  <c r="AM22" i="154"/>
  <c r="W23" i="154"/>
  <c r="BW23" i="154"/>
  <c r="BC24" i="154"/>
  <c r="AY25" i="154"/>
  <c r="AM26" i="154"/>
  <c r="AA27" i="154"/>
  <c r="O28" i="154"/>
  <c r="BS29" i="154"/>
  <c r="BS30" i="154"/>
  <c r="BW31" i="154"/>
  <c r="O34" i="154"/>
  <c r="S35" i="154"/>
  <c r="S36" i="154"/>
  <c r="W37" i="154"/>
  <c r="AI38" i="154"/>
  <c r="AQ39" i="154"/>
  <c r="BS40" i="154"/>
  <c r="W42" i="154"/>
  <c r="BS43" i="154"/>
  <c r="BK45" i="154"/>
  <c r="P4" i="154"/>
  <c r="AN4" i="154"/>
  <c r="BL4" i="154"/>
  <c r="AM7" i="154"/>
  <c r="S8" i="154"/>
  <c r="BO8" i="154"/>
  <c r="AU9" i="154"/>
  <c r="AA10" i="154"/>
  <c r="BW10" i="154"/>
  <c r="BC11" i="154"/>
  <c r="AI12" i="154"/>
  <c r="O13" i="154"/>
  <c r="BK13" i="154"/>
  <c r="AQ14" i="154"/>
  <c r="W15" i="154"/>
  <c r="AY16" i="154"/>
  <c r="AE17" i="154"/>
  <c r="BG18" i="154"/>
  <c r="AM19" i="154"/>
  <c r="W20" i="154"/>
  <c r="BW20" i="154"/>
  <c r="BG21" i="154"/>
  <c r="AQ22" i="154"/>
  <c r="AA23" i="154"/>
  <c r="BO24" i="154"/>
  <c r="BC25" i="154"/>
  <c r="AQ26" i="154"/>
  <c r="AE27" i="154"/>
  <c r="S28" i="154"/>
  <c r="O29" i="154"/>
  <c r="BW30" i="154"/>
  <c r="O33" i="154"/>
  <c r="S34" i="154"/>
  <c r="W35" i="154"/>
  <c r="AA37" i="154"/>
  <c r="BC39" i="154"/>
  <c r="AA42" i="154"/>
  <c r="AA48" i="154"/>
  <c r="W75" i="154"/>
  <c r="W63" i="154"/>
  <c r="W51" i="154"/>
  <c r="W39" i="154"/>
  <c r="W82" i="154"/>
  <c r="W70" i="154"/>
  <c r="W58" i="154"/>
  <c r="W46" i="154"/>
  <c r="W34" i="154"/>
  <c r="W77" i="154"/>
  <c r="W65" i="154"/>
  <c r="W53" i="154"/>
  <c r="W72" i="154"/>
  <c r="W60" i="154"/>
  <c r="W48" i="154"/>
  <c r="W79" i="154"/>
  <c r="W67" i="154"/>
  <c r="W55" i="154"/>
  <c r="W74" i="154"/>
  <c r="W62" i="154"/>
  <c r="W50" i="154"/>
  <c r="W38" i="154"/>
  <c r="W26" i="154"/>
  <c r="W81" i="154"/>
  <c r="W69" i="154"/>
  <c r="W57" i="154"/>
  <c r="W45" i="154"/>
  <c r="W33" i="154"/>
  <c r="W21" i="154"/>
  <c r="W76" i="154"/>
  <c r="W64" i="154"/>
  <c r="W52" i="154"/>
  <c r="W71" i="154"/>
  <c r="W59" i="154"/>
  <c r="W78" i="154"/>
  <c r="W66" i="154"/>
  <c r="W54" i="154"/>
  <c r="W73" i="154"/>
  <c r="W61" i="154"/>
  <c r="W80" i="154"/>
  <c r="W68" i="154"/>
  <c r="W56" i="154"/>
  <c r="W44" i="154"/>
  <c r="AU81" i="154"/>
  <c r="AU69" i="154"/>
  <c r="AU57" i="154"/>
  <c r="AU45" i="154"/>
  <c r="AU33" i="154"/>
  <c r="AU76" i="154"/>
  <c r="AU64" i="154"/>
  <c r="AU52" i="154"/>
  <c r="AU40" i="154"/>
  <c r="AU71" i="154"/>
  <c r="AU59" i="154"/>
  <c r="AU78" i="154"/>
  <c r="AU66" i="154"/>
  <c r="AU54" i="154"/>
  <c r="AU42" i="154"/>
  <c r="AU73" i="154"/>
  <c r="AU61" i="154"/>
  <c r="AU49" i="154"/>
  <c r="AU80" i="154"/>
  <c r="AU68" i="154"/>
  <c r="AU56" i="154"/>
  <c r="AU44" i="154"/>
  <c r="AU32" i="154"/>
  <c r="AU75" i="154"/>
  <c r="AU63" i="154"/>
  <c r="AU51" i="154"/>
  <c r="AU39" i="154"/>
  <c r="AU27" i="154"/>
  <c r="AU82" i="154"/>
  <c r="AU70" i="154"/>
  <c r="AU58" i="154"/>
  <c r="AU46" i="154"/>
  <c r="AU77" i="154"/>
  <c r="AU65" i="154"/>
  <c r="AU53" i="154"/>
  <c r="AU72" i="154"/>
  <c r="AU60" i="154"/>
  <c r="AU48" i="154"/>
  <c r="AU79" i="154"/>
  <c r="AU67" i="154"/>
  <c r="AU55" i="154"/>
  <c r="AU74" i="154"/>
  <c r="AU62" i="154"/>
  <c r="AU50" i="154"/>
  <c r="BS75" i="154"/>
  <c r="BS63" i="154"/>
  <c r="BS51" i="154"/>
  <c r="BS39" i="154"/>
  <c r="BS82" i="154"/>
  <c r="BS70" i="154"/>
  <c r="BS58" i="154"/>
  <c r="BS46" i="154"/>
  <c r="BS34" i="154"/>
  <c r="BS77" i="154"/>
  <c r="BS65" i="154"/>
  <c r="BS53" i="154"/>
  <c r="BS72" i="154"/>
  <c r="BS60" i="154"/>
  <c r="BS48" i="154"/>
  <c r="BS36" i="154"/>
  <c r="BS79" i="154"/>
  <c r="BS67" i="154"/>
  <c r="BS55" i="154"/>
  <c r="BS74" i="154"/>
  <c r="BS62" i="154"/>
  <c r="BS50" i="154"/>
  <c r="BS38" i="154"/>
  <c r="BS26" i="154"/>
  <c r="BS81" i="154"/>
  <c r="BS69" i="154"/>
  <c r="BS57" i="154"/>
  <c r="BS45" i="154"/>
  <c r="BS33" i="154"/>
  <c r="BS21" i="154"/>
  <c r="BS76" i="154"/>
  <c r="BS64" i="154"/>
  <c r="BS52" i="154"/>
  <c r="BS71" i="154"/>
  <c r="BS59" i="154"/>
  <c r="BS78" i="154"/>
  <c r="BS66" i="154"/>
  <c r="BS54" i="154"/>
  <c r="BS42" i="154"/>
  <c r="BS73" i="154"/>
  <c r="BS61" i="154"/>
  <c r="BS80" i="154"/>
  <c r="BS68" i="154"/>
  <c r="BS56" i="154"/>
  <c r="BS44" i="154"/>
  <c r="AB5" i="154"/>
  <c r="AE5" i="154" s="1"/>
  <c r="AZ5" i="154"/>
  <c r="BC5" i="154" s="1"/>
  <c r="L6" i="154"/>
  <c r="X6" i="154"/>
  <c r="AJ6" i="154"/>
  <c r="AV6" i="154"/>
  <c r="BH6" i="154"/>
  <c r="BT6" i="154"/>
  <c r="AQ7" i="154"/>
  <c r="W8" i="154"/>
  <c r="BS8" i="154"/>
  <c r="AY9" i="154"/>
  <c r="AE10" i="154"/>
  <c r="BG11" i="154"/>
  <c r="AM12" i="154"/>
  <c r="S13" i="154"/>
  <c r="BO13" i="154"/>
  <c r="AU14" i="154"/>
  <c r="AA15" i="154"/>
  <c r="BW15" i="154"/>
  <c r="BC16" i="154"/>
  <c r="AI17" i="154"/>
  <c r="O18" i="154"/>
  <c r="BK18" i="154"/>
  <c r="AQ19" i="154"/>
  <c r="AA20" i="154"/>
  <c r="BK21" i="154"/>
  <c r="AU22" i="154"/>
  <c r="AI23" i="154"/>
  <c r="O24" i="154"/>
  <c r="BS24" i="154"/>
  <c r="BG25" i="154"/>
  <c r="AU26" i="154"/>
  <c r="AI27" i="154"/>
  <c r="W28" i="154"/>
  <c r="S29" i="154"/>
  <c r="O30" i="154"/>
  <c r="W32" i="154"/>
  <c r="S33" i="154"/>
  <c r="AE34" i="154"/>
  <c r="AA35" i="154"/>
  <c r="AA36" i="154"/>
  <c r="AE37" i="154"/>
  <c r="AY38" i="154"/>
  <c r="BK39" i="154"/>
  <c r="O41" i="154"/>
  <c r="AE42" i="154"/>
  <c r="AA44" i="154"/>
  <c r="S46" i="154"/>
  <c r="AQ48" i="154"/>
  <c r="T4" i="154"/>
  <c r="AR4" i="154"/>
  <c r="BP4" i="154"/>
  <c r="M6" i="154"/>
  <c r="Y6" i="154"/>
  <c r="AK6" i="154"/>
  <c r="AW6" i="154"/>
  <c r="BI6" i="154"/>
  <c r="BU6" i="154"/>
  <c r="AU7" i="154"/>
  <c r="AA8" i="154"/>
  <c r="BW8" i="154"/>
  <c r="BC9" i="154"/>
  <c r="AI10" i="154"/>
  <c r="O11" i="154"/>
  <c r="BK11" i="154"/>
  <c r="AQ12" i="154"/>
  <c r="W13" i="154"/>
  <c r="BS13" i="154"/>
  <c r="AY14" i="154"/>
  <c r="AE15" i="154"/>
  <c r="BG16" i="154"/>
  <c r="AM17" i="154"/>
  <c r="S18" i="154"/>
  <c r="BO18" i="154"/>
  <c r="AU19" i="154"/>
  <c r="AE20" i="154"/>
  <c r="O21" i="154"/>
  <c r="BO21" i="154"/>
  <c r="BC22" i="154"/>
  <c r="AM23" i="154"/>
  <c r="S24" i="154"/>
  <c r="BK25" i="154"/>
  <c r="AY26" i="154"/>
  <c r="AM27" i="154"/>
  <c r="AI28" i="154"/>
  <c r="W29" i="154"/>
  <c r="S30" i="154"/>
  <c r="W31" i="154"/>
  <c r="AE33" i="154"/>
  <c r="AI34" i="154"/>
  <c r="AM35" i="154"/>
  <c r="AM36" i="154"/>
  <c r="AI37" i="154"/>
  <c r="BC38" i="154"/>
  <c r="W41" i="154"/>
  <c r="AQ42" i="154"/>
  <c r="AI44" i="154"/>
  <c r="AI46" i="154"/>
  <c r="AA82" i="154"/>
  <c r="AA70" i="154"/>
  <c r="AA58" i="154"/>
  <c r="AA46" i="154"/>
  <c r="AA34" i="154"/>
  <c r="AA77" i="154"/>
  <c r="AA65" i="154"/>
  <c r="AA53" i="154"/>
  <c r="AA41" i="154"/>
  <c r="AA72" i="154"/>
  <c r="AA60" i="154"/>
  <c r="AA79" i="154"/>
  <c r="AA67" i="154"/>
  <c r="AA55" i="154"/>
  <c r="AA43" i="154"/>
  <c r="AA74" i="154"/>
  <c r="AA62" i="154"/>
  <c r="AA50" i="154"/>
  <c r="AA81" i="154"/>
  <c r="AA69" i="154"/>
  <c r="AA57" i="154"/>
  <c r="AA45" i="154"/>
  <c r="AA33" i="154"/>
  <c r="AA76" i="154"/>
  <c r="AA64" i="154"/>
  <c r="AA52" i="154"/>
  <c r="AA40" i="154"/>
  <c r="AA28" i="154"/>
  <c r="AA71" i="154"/>
  <c r="AA59" i="154"/>
  <c r="AA47" i="154"/>
  <c r="AA78" i="154"/>
  <c r="AA66" i="154"/>
  <c r="AA54" i="154"/>
  <c r="AA73" i="154"/>
  <c r="AA61" i="154"/>
  <c r="AA49" i="154"/>
  <c r="AA80" i="154"/>
  <c r="AA68" i="154"/>
  <c r="AA56" i="154"/>
  <c r="AA75" i="154"/>
  <c r="AA63" i="154"/>
  <c r="AA51" i="154"/>
  <c r="AA39" i="154"/>
  <c r="AY76" i="154"/>
  <c r="AY64" i="154"/>
  <c r="AY52" i="154"/>
  <c r="AY40" i="154"/>
  <c r="AY28" i="154"/>
  <c r="AY71" i="154"/>
  <c r="AY59" i="154"/>
  <c r="AY47" i="154"/>
  <c r="AY35" i="154"/>
  <c r="AY78" i="154"/>
  <c r="AY66" i="154"/>
  <c r="AY54" i="154"/>
  <c r="AY73" i="154"/>
  <c r="AY61" i="154"/>
  <c r="AY49" i="154"/>
  <c r="AY37" i="154"/>
  <c r="AY80" i="154"/>
  <c r="AY68" i="154"/>
  <c r="AY56" i="154"/>
  <c r="AY75" i="154"/>
  <c r="AY63" i="154"/>
  <c r="AY51" i="154"/>
  <c r="AY39" i="154"/>
  <c r="AY27" i="154"/>
  <c r="AY82" i="154"/>
  <c r="AY70" i="154"/>
  <c r="AY58" i="154"/>
  <c r="AY46" i="154"/>
  <c r="AY34" i="154"/>
  <c r="AY22" i="154"/>
  <c r="AY77" i="154"/>
  <c r="AY65" i="154"/>
  <c r="AY53" i="154"/>
  <c r="AY72" i="154"/>
  <c r="AY60" i="154"/>
  <c r="AY79" i="154"/>
  <c r="AY67" i="154"/>
  <c r="AY55" i="154"/>
  <c r="AY43" i="154"/>
  <c r="AY74" i="154"/>
  <c r="AY62" i="154"/>
  <c r="AY81" i="154"/>
  <c r="AY69" i="154"/>
  <c r="AY57" i="154"/>
  <c r="AY45" i="154"/>
  <c r="BW82" i="154"/>
  <c r="BW70" i="154"/>
  <c r="BW58" i="154"/>
  <c r="BW46" i="154"/>
  <c r="BW34" i="154"/>
  <c r="BW77" i="154"/>
  <c r="BW65" i="154"/>
  <c r="BW53" i="154"/>
  <c r="BW41" i="154"/>
  <c r="BW29" i="154"/>
  <c r="BW72" i="154"/>
  <c r="BW60" i="154"/>
  <c r="BW79" i="154"/>
  <c r="BW67" i="154"/>
  <c r="BW55" i="154"/>
  <c r="BW43" i="154"/>
  <c r="BW74" i="154"/>
  <c r="BW62" i="154"/>
  <c r="BW50" i="154"/>
  <c r="BW81" i="154"/>
  <c r="BW69" i="154"/>
  <c r="BW57" i="154"/>
  <c r="BW45" i="154"/>
  <c r="BW33" i="154"/>
  <c r="BW76" i="154"/>
  <c r="BW64" i="154"/>
  <c r="BW52" i="154"/>
  <c r="BW40" i="154"/>
  <c r="BW28" i="154"/>
  <c r="BW71" i="154"/>
  <c r="BW59" i="154"/>
  <c r="BW47" i="154"/>
  <c r="BW78" i="154"/>
  <c r="BW66" i="154"/>
  <c r="BW54" i="154"/>
  <c r="BW73" i="154"/>
  <c r="BW61" i="154"/>
  <c r="BW49" i="154"/>
  <c r="BW80" i="154"/>
  <c r="BW68" i="154"/>
  <c r="BW56" i="154"/>
  <c r="BW75" i="154"/>
  <c r="BW63" i="154"/>
  <c r="BW51" i="154"/>
  <c r="BW39" i="154"/>
  <c r="N6" i="154"/>
  <c r="O6" i="154" s="1"/>
  <c r="Z6" i="154"/>
  <c r="AA6" i="154" s="1"/>
  <c r="AL6" i="154"/>
  <c r="AM6" i="154" s="1"/>
  <c r="AX6" i="154"/>
  <c r="AY6" i="154" s="1"/>
  <c r="BJ6" i="154"/>
  <c r="BK6" i="154" s="1"/>
  <c r="BV6" i="154"/>
  <c r="BW6" i="154" s="1"/>
  <c r="AY7" i="154"/>
  <c r="AE8" i="154"/>
  <c r="AM10" i="154"/>
  <c r="S11" i="154"/>
  <c r="BO11" i="154"/>
  <c r="AU12" i="154"/>
  <c r="AA13" i="154"/>
  <c r="BW13" i="154"/>
  <c r="BC14" i="154"/>
  <c r="AI15" i="154"/>
  <c r="O16" i="154"/>
  <c r="BK16" i="154"/>
  <c r="AQ17" i="154"/>
  <c r="W18" i="154"/>
  <c r="BS18" i="154"/>
  <c r="AY19" i="154"/>
  <c r="AI20" i="154"/>
  <c r="S21" i="154"/>
  <c r="BW21" i="154"/>
  <c r="BG22" i="154"/>
  <c r="AQ23" i="154"/>
  <c r="W24" i="154"/>
  <c r="BO25" i="154"/>
  <c r="BC26" i="154"/>
  <c r="AQ27" i="154"/>
  <c r="AM28" i="154"/>
  <c r="AA29" i="154"/>
  <c r="W30" i="154"/>
  <c r="AA31" i="154"/>
  <c r="AE32" i="154"/>
  <c r="AI33" i="154"/>
  <c r="AM34" i="154"/>
  <c r="AQ35" i="154"/>
  <c r="AQ36" i="154"/>
  <c r="AU37" i="154"/>
  <c r="BG38" i="154"/>
  <c r="O40" i="154"/>
  <c r="AM41" i="154"/>
  <c r="AY42" i="154"/>
  <c r="AY44" i="154"/>
  <c r="AQ46" i="154"/>
  <c r="BW48" i="154"/>
  <c r="O25" i="154"/>
  <c r="AQ28" i="154"/>
  <c r="AA30" i="154"/>
  <c r="AI32" i="154"/>
  <c r="AM33" i="154"/>
  <c r="AQ34" i="154"/>
  <c r="AU35" i="154"/>
  <c r="AU36" i="154"/>
  <c r="BK38" i="154"/>
  <c r="S40" i="154"/>
  <c r="AQ41" i="154"/>
  <c r="BO42" i="154"/>
  <c r="BG44" i="154"/>
  <c r="BO46" i="154"/>
  <c r="AE77" i="154"/>
  <c r="AE65" i="154"/>
  <c r="AE53" i="154"/>
  <c r="AE41" i="154"/>
  <c r="AE29" i="154"/>
  <c r="AE72" i="154"/>
  <c r="AE60" i="154"/>
  <c r="AE48" i="154"/>
  <c r="AE36" i="154"/>
  <c r="AE79" i="154"/>
  <c r="AE67" i="154"/>
  <c r="AE55" i="154"/>
  <c r="AE74" i="154"/>
  <c r="AE62" i="154"/>
  <c r="AE50" i="154"/>
  <c r="AE38" i="154"/>
  <c r="AE81" i="154"/>
  <c r="AE69" i="154"/>
  <c r="AE57" i="154"/>
  <c r="AE76" i="154"/>
  <c r="AE64" i="154"/>
  <c r="AE52" i="154"/>
  <c r="AE40" i="154"/>
  <c r="AE28" i="154"/>
  <c r="AE71" i="154"/>
  <c r="AE59" i="154"/>
  <c r="AE47" i="154"/>
  <c r="AE35" i="154"/>
  <c r="AE23" i="154"/>
  <c r="AE78" i="154"/>
  <c r="AE66" i="154"/>
  <c r="AE54" i="154"/>
  <c r="AE73" i="154"/>
  <c r="AE61" i="154"/>
  <c r="AE80" i="154"/>
  <c r="AE68" i="154"/>
  <c r="AE56" i="154"/>
  <c r="AE44" i="154"/>
  <c r="AE75" i="154"/>
  <c r="AE63" i="154"/>
  <c r="AE51" i="154"/>
  <c r="AE82" i="154"/>
  <c r="AE70" i="154"/>
  <c r="AE58" i="154"/>
  <c r="AE46" i="154"/>
  <c r="BC71" i="154"/>
  <c r="BC59" i="154"/>
  <c r="BC47" i="154"/>
  <c r="BC35" i="154"/>
  <c r="BC78" i="154"/>
  <c r="BC66" i="154"/>
  <c r="BC54" i="154"/>
  <c r="BC42" i="154"/>
  <c r="BC30" i="154"/>
  <c r="BC73" i="154"/>
  <c r="BC61" i="154"/>
  <c r="BC80" i="154"/>
  <c r="BC68" i="154"/>
  <c r="BC56" i="154"/>
  <c r="BC44" i="154"/>
  <c r="BC75" i="154"/>
  <c r="BC63" i="154"/>
  <c r="BC51" i="154"/>
  <c r="BC82" i="154"/>
  <c r="BC70" i="154"/>
  <c r="BC58" i="154"/>
  <c r="BC46" i="154"/>
  <c r="BC34" i="154"/>
  <c r="BC77" i="154"/>
  <c r="BC65" i="154"/>
  <c r="BC53" i="154"/>
  <c r="BC41" i="154"/>
  <c r="BC29" i="154"/>
  <c r="BC72" i="154"/>
  <c r="BC60" i="154"/>
  <c r="BC48" i="154"/>
  <c r="BC79" i="154"/>
  <c r="BC67" i="154"/>
  <c r="BC55" i="154"/>
  <c r="BC74" i="154"/>
  <c r="BC62" i="154"/>
  <c r="BC50" i="154"/>
  <c r="BC81" i="154"/>
  <c r="BC69" i="154"/>
  <c r="BC57" i="154"/>
  <c r="BC76" i="154"/>
  <c r="BC64" i="154"/>
  <c r="BC52" i="154"/>
  <c r="BC40" i="154"/>
  <c r="L5" i="154"/>
  <c r="O5" i="154" s="1"/>
  <c r="AJ5" i="154"/>
  <c r="AM5" i="154" s="1"/>
  <c r="BH5" i="154"/>
  <c r="BK5" i="154" s="1"/>
  <c r="P6" i="154"/>
  <c r="AB6" i="154"/>
  <c r="AN6" i="154"/>
  <c r="AZ6" i="154"/>
  <c r="BL6" i="154"/>
  <c r="AM8" i="154"/>
  <c r="S9" i="154"/>
  <c r="BO9" i="154"/>
  <c r="AU10" i="154"/>
  <c r="AA11" i="154"/>
  <c r="BW11" i="154"/>
  <c r="BC12" i="154"/>
  <c r="AI13" i="154"/>
  <c r="O14" i="154"/>
  <c r="BK14" i="154"/>
  <c r="AQ15" i="154"/>
  <c r="W16" i="154"/>
  <c r="BS16" i="154"/>
  <c r="AY17" i="154"/>
  <c r="AE18" i="154"/>
  <c r="BG19" i="154"/>
  <c r="AU20" i="154"/>
  <c r="AE21" i="154"/>
  <c r="O22" i="154"/>
  <c r="BO22" i="154"/>
  <c r="AY23" i="154"/>
  <c r="AE24" i="154"/>
  <c r="S25" i="154"/>
  <c r="BW25" i="154"/>
  <c r="BK26" i="154"/>
  <c r="BG27" i="154"/>
  <c r="AU28" i="154"/>
  <c r="AM29" i="154"/>
  <c r="AE30" i="154"/>
  <c r="AQ31" i="154"/>
  <c r="AM32" i="154"/>
  <c r="AY33" i="154"/>
  <c r="AU34" i="154"/>
  <c r="BG35" i="154"/>
  <c r="AY36" i="154"/>
  <c r="BO37" i="154"/>
  <c r="BW38" i="154"/>
  <c r="W40" i="154"/>
  <c r="AU41" i="154"/>
  <c r="BW42" i="154"/>
  <c r="BW44" i="154"/>
  <c r="W49" i="154"/>
  <c r="AB4" i="154"/>
  <c r="AZ4" i="154"/>
  <c r="Q6" i="154"/>
  <c r="AC6" i="154"/>
  <c r="AO6" i="154"/>
  <c r="BA6" i="154"/>
  <c r="BM6" i="154"/>
  <c r="O7" i="154"/>
  <c r="BK7" i="154"/>
  <c r="AQ8" i="154"/>
  <c r="W9" i="154"/>
  <c r="BS9" i="154"/>
  <c r="AY10" i="154"/>
  <c r="AE11" i="154"/>
  <c r="BG12" i="154"/>
  <c r="AM13" i="154"/>
  <c r="S14" i="154"/>
  <c r="BO14" i="154"/>
  <c r="AU15" i="154"/>
  <c r="AA16" i="154"/>
  <c r="BW16" i="154"/>
  <c r="BC17" i="154"/>
  <c r="AI18" i="154"/>
  <c r="O19" i="154"/>
  <c r="BO19" i="154"/>
  <c r="AY20" i="154"/>
  <c r="AI21" i="154"/>
  <c r="S22" i="154"/>
  <c r="BS22" i="154"/>
  <c r="BC23" i="154"/>
  <c r="AI24" i="154"/>
  <c r="W25" i="154"/>
  <c r="BW26" i="154"/>
  <c r="BK27" i="154"/>
  <c r="BC28" i="154"/>
  <c r="AQ29" i="154"/>
  <c r="AQ30" i="154"/>
  <c r="AU31" i="154"/>
  <c r="AY32" i="154"/>
  <c r="BC33" i="154"/>
  <c r="BG34" i="154"/>
  <c r="BK35" i="154"/>
  <c r="BC36" i="154"/>
  <c r="BS37" i="154"/>
  <c r="AI40" i="154"/>
  <c r="AY41" i="154"/>
  <c r="O47" i="154"/>
  <c r="AE49" i="154"/>
  <c r="O73" i="153"/>
  <c r="O61" i="153"/>
  <c r="O49" i="153"/>
  <c r="O37" i="153"/>
  <c r="O25" i="153"/>
  <c r="O80" i="153"/>
  <c r="O68" i="153"/>
  <c r="O56" i="153"/>
  <c r="O44" i="153"/>
  <c r="O75" i="153"/>
  <c r="O63" i="153"/>
  <c r="O51" i="153"/>
  <c r="O82" i="153"/>
  <c r="O70" i="153"/>
  <c r="O58" i="153"/>
  <c r="O46" i="153"/>
  <c r="O34" i="153"/>
  <c r="O22" i="153"/>
  <c r="O77" i="153"/>
  <c r="O65" i="153"/>
  <c r="O72" i="153"/>
  <c r="O60" i="153"/>
  <c r="O48" i="153"/>
  <c r="O36" i="153"/>
  <c r="O24" i="153"/>
  <c r="O79" i="153"/>
  <c r="O67" i="153"/>
  <c r="O55" i="153"/>
  <c r="O43" i="153"/>
  <c r="O31" i="153"/>
  <c r="O74" i="153"/>
  <c r="O62" i="153"/>
  <c r="O50" i="153"/>
  <c r="O38" i="153"/>
  <c r="O81" i="153"/>
  <c r="O69" i="153"/>
  <c r="O57" i="153"/>
  <c r="O45" i="153"/>
  <c r="O76" i="153"/>
  <c r="O64" i="153"/>
  <c r="O52" i="153"/>
  <c r="AM79" i="153"/>
  <c r="AM67" i="153"/>
  <c r="AM55" i="153"/>
  <c r="AM43" i="153"/>
  <c r="AM31" i="153"/>
  <c r="AM74" i="153"/>
  <c r="AM62" i="153"/>
  <c r="AM50" i="153"/>
  <c r="AM38" i="153"/>
  <c r="AM81" i="153"/>
  <c r="AM69" i="153"/>
  <c r="AM57" i="153"/>
  <c r="AM76" i="153"/>
  <c r="AM64" i="153"/>
  <c r="AM52" i="153"/>
  <c r="AM40" i="153"/>
  <c r="AM28" i="153"/>
  <c r="AM71" i="153"/>
  <c r="AM59" i="153"/>
  <c r="AM78" i="153"/>
  <c r="AM66" i="153"/>
  <c r="AM54" i="153"/>
  <c r="AM42" i="153"/>
  <c r="AM30" i="153"/>
  <c r="AM73" i="153"/>
  <c r="AM61" i="153"/>
  <c r="AM49" i="153"/>
  <c r="AM37" i="153"/>
  <c r="AM25" i="153"/>
  <c r="AM80" i="153"/>
  <c r="AM68" i="153"/>
  <c r="AM56" i="153"/>
  <c r="AM44" i="153"/>
  <c r="AM75" i="153"/>
  <c r="AM63" i="153"/>
  <c r="AM51" i="153"/>
  <c r="AM82" i="153"/>
  <c r="AM70" i="153"/>
  <c r="AM58" i="153"/>
  <c r="AM46" i="153"/>
  <c r="BK73" i="153"/>
  <c r="BK61" i="153"/>
  <c r="BK49" i="153"/>
  <c r="BK37" i="153"/>
  <c r="BK25" i="153"/>
  <c r="BK80" i="153"/>
  <c r="BK68" i="153"/>
  <c r="BK56" i="153"/>
  <c r="BK44" i="153"/>
  <c r="BK75" i="153"/>
  <c r="BK63" i="153"/>
  <c r="BK51" i="153"/>
  <c r="BK82" i="153"/>
  <c r="BK70" i="153"/>
  <c r="BK58" i="153"/>
  <c r="BK46" i="153"/>
  <c r="BK34" i="153"/>
  <c r="BK22" i="153"/>
  <c r="BK77" i="153"/>
  <c r="BK65" i="153"/>
  <c r="BK72" i="153"/>
  <c r="BK60" i="153"/>
  <c r="BK48" i="153"/>
  <c r="BK36" i="153"/>
  <c r="BK24" i="153"/>
  <c r="BK79" i="153"/>
  <c r="BK67" i="153"/>
  <c r="BK55" i="153"/>
  <c r="BK43" i="153"/>
  <c r="BK31" i="153"/>
  <c r="BK74" i="153"/>
  <c r="BK62" i="153"/>
  <c r="BK50" i="153"/>
  <c r="BK38" i="153"/>
  <c r="BK81" i="153"/>
  <c r="BK69" i="153"/>
  <c r="BK57" i="153"/>
  <c r="BK45" i="153"/>
  <c r="BK76" i="153"/>
  <c r="BK64" i="153"/>
  <c r="BK52" i="153"/>
  <c r="AF6" i="153"/>
  <c r="BD6" i="153"/>
  <c r="AI9" i="153"/>
  <c r="O10" i="153"/>
  <c r="BK10" i="153"/>
  <c r="AQ11" i="153"/>
  <c r="AY13" i="153"/>
  <c r="BG15" i="153"/>
  <c r="AM16" i="153"/>
  <c r="S17" i="153"/>
  <c r="BO17" i="153"/>
  <c r="AU18" i="153"/>
  <c r="AA19" i="153"/>
  <c r="BS20" i="153"/>
  <c r="BG21" i="153"/>
  <c r="BG22" i="153"/>
  <c r="BK23" i="153"/>
  <c r="BO25" i="153"/>
  <c r="BK26" i="153"/>
  <c r="BO27" i="153"/>
  <c r="BO28" i="153"/>
  <c r="BS29" i="153"/>
  <c r="BO30" i="153"/>
  <c r="BS31" i="153"/>
  <c r="BW32" i="153"/>
  <c r="O35" i="153"/>
  <c r="S36" i="153"/>
  <c r="AE37" i="153"/>
  <c r="BG38" i="153"/>
  <c r="O40" i="153"/>
  <c r="AM41" i="153"/>
  <c r="BW44" i="153"/>
  <c r="AM47" i="153"/>
  <c r="BO49" i="153"/>
  <c r="AQ54" i="153"/>
  <c r="AQ60" i="153"/>
  <c r="BW63" i="153"/>
  <c r="AE70" i="153"/>
  <c r="BO73" i="153"/>
  <c r="W80" i="153"/>
  <c r="BG20" i="153"/>
  <c r="L4" i="153"/>
  <c r="AJ4" i="153"/>
  <c r="BH4" i="153"/>
  <c r="AG6" i="153"/>
  <c r="BE6" i="153"/>
  <c r="BG8" i="153"/>
  <c r="AM9" i="153"/>
  <c r="S10" i="153"/>
  <c r="BO10" i="153"/>
  <c r="AA12" i="153"/>
  <c r="BW12" i="153"/>
  <c r="AI14" i="153"/>
  <c r="O15" i="153"/>
  <c r="BK15" i="153"/>
  <c r="AQ16" i="153"/>
  <c r="W17" i="153"/>
  <c r="BS17" i="153"/>
  <c r="AY18" i="153"/>
  <c r="O20" i="153"/>
  <c r="BW20" i="153"/>
  <c r="BK21" i="153"/>
  <c r="BO22" i="153"/>
  <c r="BO23" i="153"/>
  <c r="BS25" i="153"/>
  <c r="BW26" i="153"/>
  <c r="BW27" i="153"/>
  <c r="BS28" i="153"/>
  <c r="BW29" i="153"/>
  <c r="BS30" i="153"/>
  <c r="S34" i="153"/>
  <c r="S35" i="153"/>
  <c r="AA36" i="153"/>
  <c r="AU37" i="153"/>
  <c r="BW38" i="153"/>
  <c r="AQ41" i="153"/>
  <c r="W43" i="153"/>
  <c r="BG47" i="153"/>
  <c r="BS49" i="153"/>
  <c r="AI52" i="153"/>
  <c r="BK54" i="153"/>
  <c r="AY57" i="153"/>
  <c r="AI70" i="153"/>
  <c r="BS73" i="153"/>
  <c r="AA80" i="153"/>
  <c r="AI72" i="153"/>
  <c r="AI60" i="153"/>
  <c r="AI48" i="153"/>
  <c r="AI36" i="153"/>
  <c r="AI24" i="153"/>
  <c r="AI79" i="153"/>
  <c r="AI67" i="153"/>
  <c r="AI55" i="153"/>
  <c r="AI43" i="153"/>
  <c r="AI74" i="153"/>
  <c r="AI62" i="153"/>
  <c r="AI50" i="153"/>
  <c r="AI81" i="153"/>
  <c r="AI69" i="153"/>
  <c r="AI57" i="153"/>
  <c r="AI45" i="153"/>
  <c r="AI33" i="153"/>
  <c r="AI76" i="153"/>
  <c r="AI64" i="153"/>
  <c r="AI71" i="153"/>
  <c r="AI59" i="153"/>
  <c r="AI47" i="153"/>
  <c r="AI35" i="153"/>
  <c r="AI23" i="153"/>
  <c r="AI78" i="153"/>
  <c r="AI66" i="153"/>
  <c r="AI54" i="153"/>
  <c r="AI42" i="153"/>
  <c r="AI30" i="153"/>
  <c r="AI73" i="153"/>
  <c r="AI61" i="153"/>
  <c r="AI49" i="153"/>
  <c r="AI37" i="153"/>
  <c r="AI80" i="153"/>
  <c r="AI68" i="153"/>
  <c r="AI56" i="153"/>
  <c r="AI44" i="153"/>
  <c r="AI75" i="153"/>
  <c r="AI63" i="153"/>
  <c r="AI51" i="153"/>
  <c r="BG17" i="153"/>
  <c r="S80" i="153"/>
  <c r="S68" i="153"/>
  <c r="S56" i="153"/>
  <c r="S44" i="153"/>
  <c r="S32" i="153"/>
  <c r="S20" i="153"/>
  <c r="S75" i="153"/>
  <c r="S63" i="153"/>
  <c r="S51" i="153"/>
  <c r="S39" i="153"/>
  <c r="S82" i="153"/>
  <c r="S70" i="153"/>
  <c r="S58" i="153"/>
  <c r="S46" i="153"/>
  <c r="S77" i="153"/>
  <c r="S65" i="153"/>
  <c r="S53" i="153"/>
  <c r="S41" i="153"/>
  <c r="S29" i="153"/>
  <c r="S72" i="153"/>
  <c r="S60" i="153"/>
  <c r="S79" i="153"/>
  <c r="S67" i="153"/>
  <c r="S55" i="153"/>
  <c r="S43" i="153"/>
  <c r="S31" i="153"/>
  <c r="S74" i="153"/>
  <c r="S62" i="153"/>
  <c r="S50" i="153"/>
  <c r="S38" i="153"/>
  <c r="S26" i="153"/>
  <c r="S81" i="153"/>
  <c r="S69" i="153"/>
  <c r="S57" i="153"/>
  <c r="S45" i="153"/>
  <c r="S76" i="153"/>
  <c r="S64" i="153"/>
  <c r="S52" i="153"/>
  <c r="S71" i="153"/>
  <c r="S59" i="153"/>
  <c r="S47" i="153"/>
  <c r="AQ74" i="153"/>
  <c r="AQ62" i="153"/>
  <c r="AQ50" i="153"/>
  <c r="AQ38" i="153"/>
  <c r="AQ26" i="153"/>
  <c r="AQ81" i="153"/>
  <c r="AQ69" i="153"/>
  <c r="AQ57" i="153"/>
  <c r="AQ45" i="153"/>
  <c r="AQ76" i="153"/>
  <c r="AQ64" i="153"/>
  <c r="AQ52" i="153"/>
  <c r="AQ71" i="153"/>
  <c r="AQ59" i="153"/>
  <c r="AQ47" i="153"/>
  <c r="AQ35" i="153"/>
  <c r="AQ23" i="153"/>
  <c r="AQ78" i="153"/>
  <c r="AQ66" i="153"/>
  <c r="AQ73" i="153"/>
  <c r="AQ61" i="153"/>
  <c r="AQ49" i="153"/>
  <c r="AQ37" i="153"/>
  <c r="AQ25" i="153"/>
  <c r="AQ80" i="153"/>
  <c r="AQ68" i="153"/>
  <c r="AQ56" i="153"/>
  <c r="AQ44" i="153"/>
  <c r="AQ32" i="153"/>
  <c r="AQ75" i="153"/>
  <c r="AQ63" i="153"/>
  <c r="AQ51" i="153"/>
  <c r="AQ39" i="153"/>
  <c r="AQ82" i="153"/>
  <c r="AQ70" i="153"/>
  <c r="AQ58" i="153"/>
  <c r="AQ46" i="153"/>
  <c r="AQ77" i="153"/>
  <c r="AQ65" i="153"/>
  <c r="AQ53" i="153"/>
  <c r="BO80" i="153"/>
  <c r="BO68" i="153"/>
  <c r="BO56" i="153"/>
  <c r="BO44" i="153"/>
  <c r="BO32" i="153"/>
  <c r="BO20" i="153"/>
  <c r="BO75" i="153"/>
  <c r="BO63" i="153"/>
  <c r="BO51" i="153"/>
  <c r="BO39" i="153"/>
  <c r="BO82" i="153"/>
  <c r="BO70" i="153"/>
  <c r="BO58" i="153"/>
  <c r="BO46" i="153"/>
  <c r="BO77" i="153"/>
  <c r="BO65" i="153"/>
  <c r="BO53" i="153"/>
  <c r="BO41" i="153"/>
  <c r="BO29" i="153"/>
  <c r="BO72" i="153"/>
  <c r="BO60" i="153"/>
  <c r="BO79" i="153"/>
  <c r="BO67" i="153"/>
  <c r="BO55" i="153"/>
  <c r="BO43" i="153"/>
  <c r="BO31" i="153"/>
  <c r="BO19" i="153"/>
  <c r="BO74" i="153"/>
  <c r="BO62" i="153"/>
  <c r="BO50" i="153"/>
  <c r="BO38" i="153"/>
  <c r="BO26" i="153"/>
  <c r="BO81" i="153"/>
  <c r="BO69" i="153"/>
  <c r="BO57" i="153"/>
  <c r="BO45" i="153"/>
  <c r="BO76" i="153"/>
  <c r="BO64" i="153"/>
  <c r="BO52" i="153"/>
  <c r="BO71" i="153"/>
  <c r="BO59" i="153"/>
  <c r="BO47" i="153"/>
  <c r="AH6" i="153"/>
  <c r="AI6" i="153" s="1"/>
  <c r="BF6" i="153"/>
  <c r="BG6" i="153" s="1"/>
  <c r="AI7" i="153"/>
  <c r="O8" i="153"/>
  <c r="BK8" i="153"/>
  <c r="AQ9" i="153"/>
  <c r="AY11" i="153"/>
  <c r="BG13" i="153"/>
  <c r="AM14" i="153"/>
  <c r="S15" i="153"/>
  <c r="BO15" i="153"/>
  <c r="AA17" i="153"/>
  <c r="BW17" i="153"/>
  <c r="AI19" i="153"/>
  <c r="W20" i="153"/>
  <c r="BO21" i="153"/>
  <c r="BS22" i="153"/>
  <c r="BS23" i="153"/>
  <c r="BW24" i="153"/>
  <c r="BW25" i="153"/>
  <c r="BW30" i="153"/>
  <c r="O32" i="153"/>
  <c r="O33" i="153"/>
  <c r="W34" i="153"/>
  <c r="W35" i="153"/>
  <c r="AM36" i="153"/>
  <c r="BC37" i="153"/>
  <c r="AI40" i="153"/>
  <c r="BK41" i="153"/>
  <c r="AE43" i="153"/>
  <c r="AE45" i="153"/>
  <c r="BK47" i="153"/>
  <c r="BC52" i="153"/>
  <c r="BO54" i="153"/>
  <c r="BC57" i="153"/>
  <c r="S61" i="153"/>
  <c r="BC64" i="153"/>
  <c r="AU67" i="153"/>
  <c r="AM77" i="153"/>
  <c r="BS80" i="153"/>
  <c r="BG28" i="153"/>
  <c r="BD4" i="153"/>
  <c r="AM7" i="153"/>
  <c r="S8" i="153"/>
  <c r="BO8" i="153"/>
  <c r="AI12" i="153"/>
  <c r="O13" i="153"/>
  <c r="BK13" i="153"/>
  <c r="AQ14" i="153"/>
  <c r="AY16" i="153"/>
  <c r="BG18" i="153"/>
  <c r="AM19" i="153"/>
  <c r="AA20" i="153"/>
  <c r="O21" i="153"/>
  <c r="BW23" i="153"/>
  <c r="O27" i="153"/>
  <c r="O28" i="153"/>
  <c r="O29" i="153"/>
  <c r="O30" i="153"/>
  <c r="W32" i="153"/>
  <c r="S33" i="153"/>
  <c r="AE34" i="153"/>
  <c r="AA35" i="153"/>
  <c r="AQ36" i="153"/>
  <c r="BO37" i="153"/>
  <c r="O39" i="153"/>
  <c r="AQ40" i="153"/>
  <c r="AQ43" i="153"/>
  <c r="AM45" i="153"/>
  <c r="AA50" i="153"/>
  <c r="BG52" i="153"/>
  <c r="BG64" i="153"/>
  <c r="O71" i="153"/>
  <c r="BW80" i="153"/>
  <c r="AI11" i="153"/>
  <c r="W75" i="153"/>
  <c r="W63" i="153"/>
  <c r="W51" i="153"/>
  <c r="W39" i="153"/>
  <c r="W27" i="153"/>
  <c r="W82" i="153"/>
  <c r="W70" i="153"/>
  <c r="W58" i="153"/>
  <c r="W46" i="153"/>
  <c r="W77" i="153"/>
  <c r="W65" i="153"/>
  <c r="W53" i="153"/>
  <c r="W72" i="153"/>
  <c r="W60" i="153"/>
  <c r="W48" i="153"/>
  <c r="W36" i="153"/>
  <c r="W24" i="153"/>
  <c r="W79" i="153"/>
  <c r="W67" i="153"/>
  <c r="W74" i="153"/>
  <c r="W62" i="153"/>
  <c r="W50" i="153"/>
  <c r="W38" i="153"/>
  <c r="W26" i="153"/>
  <c r="W81" i="153"/>
  <c r="W69" i="153"/>
  <c r="W57" i="153"/>
  <c r="W45" i="153"/>
  <c r="W33" i="153"/>
  <c r="W76" i="153"/>
  <c r="W64" i="153"/>
  <c r="W52" i="153"/>
  <c r="W40" i="153"/>
  <c r="W71" i="153"/>
  <c r="W59" i="153"/>
  <c r="W47" i="153"/>
  <c r="W78" i="153"/>
  <c r="W66" i="153"/>
  <c r="W54" i="153"/>
  <c r="AU81" i="153"/>
  <c r="AU69" i="153"/>
  <c r="AU57" i="153"/>
  <c r="AU45" i="153"/>
  <c r="AU33" i="153"/>
  <c r="AU21" i="153"/>
  <c r="AU76" i="153"/>
  <c r="AU64" i="153"/>
  <c r="AU52" i="153"/>
  <c r="AU40" i="153"/>
  <c r="AU71" i="153"/>
  <c r="AU59" i="153"/>
  <c r="AU47" i="153"/>
  <c r="AU78" i="153"/>
  <c r="AU66" i="153"/>
  <c r="AU54" i="153"/>
  <c r="AU42" i="153"/>
  <c r="AU30" i="153"/>
  <c r="AU73" i="153"/>
  <c r="AU61" i="153"/>
  <c r="AU80" i="153"/>
  <c r="AU68" i="153"/>
  <c r="AU56" i="153"/>
  <c r="AU44" i="153"/>
  <c r="AU32" i="153"/>
  <c r="AU20" i="153"/>
  <c r="AU75" i="153"/>
  <c r="AU63" i="153"/>
  <c r="AU51" i="153"/>
  <c r="AU39" i="153"/>
  <c r="AU27" i="153"/>
  <c r="AU82" i="153"/>
  <c r="AU70" i="153"/>
  <c r="AU58" i="153"/>
  <c r="AU46" i="153"/>
  <c r="AU77" i="153"/>
  <c r="AU65" i="153"/>
  <c r="AU53" i="153"/>
  <c r="AU41" i="153"/>
  <c r="AU72" i="153"/>
  <c r="AU60" i="153"/>
  <c r="AU48" i="153"/>
  <c r="BS75" i="153"/>
  <c r="BS63" i="153"/>
  <c r="BS51" i="153"/>
  <c r="BS39" i="153"/>
  <c r="BS27" i="153"/>
  <c r="BS82" i="153"/>
  <c r="BS70" i="153"/>
  <c r="BS58" i="153"/>
  <c r="BS46" i="153"/>
  <c r="BS77" i="153"/>
  <c r="BS65" i="153"/>
  <c r="BS53" i="153"/>
  <c r="BS72" i="153"/>
  <c r="BS60" i="153"/>
  <c r="BS48" i="153"/>
  <c r="BS36" i="153"/>
  <c r="BS24" i="153"/>
  <c r="BS79" i="153"/>
  <c r="BS67" i="153"/>
  <c r="BS55" i="153"/>
  <c r="BS74" i="153"/>
  <c r="BS62" i="153"/>
  <c r="BS50" i="153"/>
  <c r="BS38" i="153"/>
  <c r="BS26" i="153"/>
  <c r="BS81" i="153"/>
  <c r="BS69" i="153"/>
  <c r="BS57" i="153"/>
  <c r="BS45" i="153"/>
  <c r="BS33" i="153"/>
  <c r="BS76" i="153"/>
  <c r="BS64" i="153"/>
  <c r="BS52" i="153"/>
  <c r="BS40" i="153"/>
  <c r="BS71" i="153"/>
  <c r="BS59" i="153"/>
  <c r="BS47" i="153"/>
  <c r="BS78" i="153"/>
  <c r="BS66" i="153"/>
  <c r="BS54" i="153"/>
  <c r="BS42" i="153"/>
  <c r="L6" i="153"/>
  <c r="X6" i="153"/>
  <c r="AJ6" i="153"/>
  <c r="AV6" i="153"/>
  <c r="BH6" i="153"/>
  <c r="BT6" i="153"/>
  <c r="AQ7" i="153"/>
  <c r="W8" i="153"/>
  <c r="BS8" i="153"/>
  <c r="AY9" i="153"/>
  <c r="AE10" i="153"/>
  <c r="BG11" i="153"/>
  <c r="AM12" i="153"/>
  <c r="S13" i="153"/>
  <c r="BO13" i="153"/>
  <c r="AU14" i="153"/>
  <c r="AA15" i="153"/>
  <c r="BW15" i="153"/>
  <c r="BC16" i="153"/>
  <c r="AI17" i="153"/>
  <c r="O18" i="153"/>
  <c r="BK18" i="153"/>
  <c r="AQ19" i="153"/>
  <c r="AE20" i="153"/>
  <c r="S21" i="153"/>
  <c r="O23" i="153"/>
  <c r="S25" i="153"/>
  <c r="O26" i="153"/>
  <c r="S27" i="153"/>
  <c r="S28" i="153"/>
  <c r="W29" i="153"/>
  <c r="S30" i="153"/>
  <c r="W31" i="153"/>
  <c r="AA32" i="153"/>
  <c r="AE33" i="153"/>
  <c r="AI34" i="153"/>
  <c r="AM35" i="153"/>
  <c r="AU36" i="153"/>
  <c r="BS37" i="153"/>
  <c r="AA39" i="153"/>
  <c r="BC40" i="153"/>
  <c r="AU43" i="153"/>
  <c r="AY45" i="153"/>
  <c r="S48" i="153"/>
  <c r="AU50" i="153"/>
  <c r="W55" i="153"/>
  <c r="AE58" i="153"/>
  <c r="BO61" i="153"/>
  <c r="W68" i="153"/>
  <c r="BG71" i="153"/>
  <c r="AY74" i="153"/>
  <c r="O78" i="153"/>
  <c r="AI10" i="153"/>
  <c r="O11" i="153"/>
  <c r="BK11" i="153"/>
  <c r="AQ12" i="153"/>
  <c r="AY14" i="153"/>
  <c r="BG16" i="153"/>
  <c r="AM17" i="153"/>
  <c r="S18" i="153"/>
  <c r="BO18" i="153"/>
  <c r="AU19" i="153"/>
  <c r="AI20" i="153"/>
  <c r="W21" i="153"/>
  <c r="S22" i="153"/>
  <c r="S23" i="153"/>
  <c r="S24" i="153"/>
  <c r="W25" i="153"/>
  <c r="AA26" i="153"/>
  <c r="AA27" i="153"/>
  <c r="W28" i="153"/>
  <c r="AA29" i="153"/>
  <c r="W30" i="153"/>
  <c r="AE31" i="153"/>
  <c r="AE32" i="153"/>
  <c r="AM33" i="153"/>
  <c r="AM34" i="153"/>
  <c r="AU35" i="153"/>
  <c r="AY36" i="153"/>
  <c r="AE39" i="153"/>
  <c r="O42" i="153"/>
  <c r="BS43" i="153"/>
  <c r="BC45" i="153"/>
  <c r="AM48" i="153"/>
  <c r="AY50" i="153"/>
  <c r="O53" i="153"/>
  <c r="AQ55" i="153"/>
  <c r="AI58" i="153"/>
  <c r="BS61" i="153"/>
  <c r="AI65" i="153"/>
  <c r="BK71" i="153"/>
  <c r="S78" i="153"/>
  <c r="BG78" i="153"/>
  <c r="BG66" i="153"/>
  <c r="BG54" i="153"/>
  <c r="BG42" i="153"/>
  <c r="BG30" i="153"/>
  <c r="BG73" i="153"/>
  <c r="BG61" i="153"/>
  <c r="BG49" i="153"/>
  <c r="BG37" i="153"/>
  <c r="BG80" i="153"/>
  <c r="BG68" i="153"/>
  <c r="BG56" i="153"/>
  <c r="BG75" i="153"/>
  <c r="BG63" i="153"/>
  <c r="BG51" i="153"/>
  <c r="BG39" i="153"/>
  <c r="BG27" i="153"/>
  <c r="BG82" i="153"/>
  <c r="BG70" i="153"/>
  <c r="BG58" i="153"/>
  <c r="BG77" i="153"/>
  <c r="BG65" i="153"/>
  <c r="BG53" i="153"/>
  <c r="BG41" i="153"/>
  <c r="BG29" i="153"/>
  <c r="BG72" i="153"/>
  <c r="BG60" i="153"/>
  <c r="BG48" i="153"/>
  <c r="BG36" i="153"/>
  <c r="BG24" i="153"/>
  <c r="BG79" i="153"/>
  <c r="BG67" i="153"/>
  <c r="BG55" i="153"/>
  <c r="BG43" i="153"/>
  <c r="BG74" i="153"/>
  <c r="BG62" i="153"/>
  <c r="BG50" i="153"/>
  <c r="BG81" i="153"/>
  <c r="BG69" i="153"/>
  <c r="BG57" i="153"/>
  <c r="BG45" i="153"/>
  <c r="BG26" i="153"/>
  <c r="BG31" i="153"/>
  <c r="AI41" i="153"/>
  <c r="AA82" i="153"/>
  <c r="AA70" i="153"/>
  <c r="AA58" i="153"/>
  <c r="AA46" i="153"/>
  <c r="AA34" i="153"/>
  <c r="AA22" i="153"/>
  <c r="AA77" i="153"/>
  <c r="AA65" i="153"/>
  <c r="AA53" i="153"/>
  <c r="AA41" i="153"/>
  <c r="AA72" i="153"/>
  <c r="AA60" i="153"/>
  <c r="AA48" i="153"/>
  <c r="AA79" i="153"/>
  <c r="AA67" i="153"/>
  <c r="AA55" i="153"/>
  <c r="AA43" i="153"/>
  <c r="AA31" i="153"/>
  <c r="AA74" i="153"/>
  <c r="AA62" i="153"/>
  <c r="AA81" i="153"/>
  <c r="AA69" i="153"/>
  <c r="AA57" i="153"/>
  <c r="AA45" i="153"/>
  <c r="AA33" i="153"/>
  <c r="AA21" i="153"/>
  <c r="AA76" i="153"/>
  <c r="AA64" i="153"/>
  <c r="AA52" i="153"/>
  <c r="AA40" i="153"/>
  <c r="AA28" i="153"/>
  <c r="AA71" i="153"/>
  <c r="AA59" i="153"/>
  <c r="AA47" i="153"/>
  <c r="AA78" i="153"/>
  <c r="AA66" i="153"/>
  <c r="AA54" i="153"/>
  <c r="AA42" i="153"/>
  <c r="AA73" i="153"/>
  <c r="AA61" i="153"/>
  <c r="AA49" i="153"/>
  <c r="AY76" i="153"/>
  <c r="AY64" i="153"/>
  <c r="AY52" i="153"/>
  <c r="AY40" i="153"/>
  <c r="AY28" i="153"/>
  <c r="AY71" i="153"/>
  <c r="AY59" i="153"/>
  <c r="AY47" i="153"/>
  <c r="AY78" i="153"/>
  <c r="AY66" i="153"/>
  <c r="AY54" i="153"/>
  <c r="AY73" i="153"/>
  <c r="AY61" i="153"/>
  <c r="AY49" i="153"/>
  <c r="AY37" i="153"/>
  <c r="AY25" i="153"/>
  <c r="AY80" i="153"/>
  <c r="AY68" i="153"/>
  <c r="AY56" i="153"/>
  <c r="AY75" i="153"/>
  <c r="AY63" i="153"/>
  <c r="AY51" i="153"/>
  <c r="AY39" i="153"/>
  <c r="AY27" i="153"/>
  <c r="AY82" i="153"/>
  <c r="AY70" i="153"/>
  <c r="AY58" i="153"/>
  <c r="AY46" i="153"/>
  <c r="AY34" i="153"/>
  <c r="AY22" i="153"/>
  <c r="AY77" i="153"/>
  <c r="AY65" i="153"/>
  <c r="AY53" i="153"/>
  <c r="AY41" i="153"/>
  <c r="AY72" i="153"/>
  <c r="AY60" i="153"/>
  <c r="AY48" i="153"/>
  <c r="AY79" i="153"/>
  <c r="AY67" i="153"/>
  <c r="AY55" i="153"/>
  <c r="AY43" i="153"/>
  <c r="BW82" i="153"/>
  <c r="BW70" i="153"/>
  <c r="BW58" i="153"/>
  <c r="BW46" i="153"/>
  <c r="BW34" i="153"/>
  <c r="BW22" i="153"/>
  <c r="BW77" i="153"/>
  <c r="BW65" i="153"/>
  <c r="BW53" i="153"/>
  <c r="BW41" i="153"/>
  <c r="BW72" i="153"/>
  <c r="BW60" i="153"/>
  <c r="BW48" i="153"/>
  <c r="BW79" i="153"/>
  <c r="BW67" i="153"/>
  <c r="BW55" i="153"/>
  <c r="BW43" i="153"/>
  <c r="BW31" i="153"/>
  <c r="BW74" i="153"/>
  <c r="BW62" i="153"/>
  <c r="BW81" i="153"/>
  <c r="BW69" i="153"/>
  <c r="BW57" i="153"/>
  <c r="BW45" i="153"/>
  <c r="BW33" i="153"/>
  <c r="BW21" i="153"/>
  <c r="BW76" i="153"/>
  <c r="BW64" i="153"/>
  <c r="BW52" i="153"/>
  <c r="BW40" i="153"/>
  <c r="BW28" i="153"/>
  <c r="BW71" i="153"/>
  <c r="BW59" i="153"/>
  <c r="BW47" i="153"/>
  <c r="BW35" i="153"/>
  <c r="BW78" i="153"/>
  <c r="BW66" i="153"/>
  <c r="BW54" i="153"/>
  <c r="BW42" i="153"/>
  <c r="BW73" i="153"/>
  <c r="BW61" i="153"/>
  <c r="BW49" i="153"/>
  <c r="AF5" i="153"/>
  <c r="AI5" i="153" s="1"/>
  <c r="BD5" i="153"/>
  <c r="BG5" i="153" s="1"/>
  <c r="N6" i="153"/>
  <c r="O6" i="153" s="1"/>
  <c r="Z6" i="153"/>
  <c r="AA6" i="153" s="1"/>
  <c r="AL6" i="153"/>
  <c r="AM6" i="153" s="1"/>
  <c r="AX6" i="153"/>
  <c r="AY6" i="153" s="1"/>
  <c r="BJ6" i="153"/>
  <c r="BK6" i="153" s="1"/>
  <c r="BV6" i="153"/>
  <c r="BW6" i="153" s="1"/>
  <c r="AY7" i="153"/>
  <c r="BG9" i="153"/>
  <c r="AM10" i="153"/>
  <c r="S11" i="153"/>
  <c r="BO11" i="153"/>
  <c r="AU12" i="153"/>
  <c r="AA13" i="153"/>
  <c r="BW13" i="153"/>
  <c r="AI15" i="153"/>
  <c r="O16" i="153"/>
  <c r="BK16" i="153"/>
  <c r="AQ17" i="153"/>
  <c r="W18" i="153"/>
  <c r="BS18" i="153"/>
  <c r="AY19" i="153"/>
  <c r="AM20" i="153"/>
  <c r="AE21" i="153"/>
  <c r="W22" i="153"/>
  <c r="W23" i="153"/>
  <c r="AA24" i="153"/>
  <c r="AA25" i="153"/>
  <c r="AI26" i="153"/>
  <c r="AI28" i="153"/>
  <c r="AI29" i="153"/>
  <c r="AA30" i="153"/>
  <c r="AI31" i="153"/>
  <c r="AI32" i="153"/>
  <c r="AQ33" i="153"/>
  <c r="AQ34" i="153"/>
  <c r="AY35" i="153"/>
  <c r="BO36" i="153"/>
  <c r="AI39" i="153"/>
  <c r="BK40" i="153"/>
  <c r="S42" i="153"/>
  <c r="AQ48" i="153"/>
  <c r="BW50" i="153"/>
  <c r="AI53" i="153"/>
  <c r="AU55" i="153"/>
  <c r="AM65" i="153"/>
  <c r="BS68" i="153"/>
  <c r="AA75" i="153"/>
  <c r="BK78" i="153"/>
  <c r="AF4" i="153"/>
  <c r="BG10" i="153"/>
  <c r="BG23" i="153"/>
  <c r="AI8" i="153"/>
  <c r="BG14" i="153"/>
  <c r="AQ20" i="153"/>
  <c r="AI21" i="153"/>
  <c r="AM26" i="153"/>
  <c r="AI27" i="153"/>
  <c r="AQ28" i="153"/>
  <c r="AM29" i="153"/>
  <c r="AQ31" i="153"/>
  <c r="AM32" i="153"/>
  <c r="BG35" i="153"/>
  <c r="BW36" i="153"/>
  <c r="AA38" i="153"/>
  <c r="AM39" i="153"/>
  <c r="BO40" i="153"/>
  <c r="BO48" i="153"/>
  <c r="AM53" i="153"/>
  <c r="O59" i="153"/>
  <c r="AU62" i="153"/>
  <c r="BW68" i="153"/>
  <c r="AM72" i="153"/>
  <c r="BO78" i="153"/>
  <c r="AE77" i="153"/>
  <c r="AE65" i="153"/>
  <c r="AE53" i="153"/>
  <c r="AE41" i="153"/>
  <c r="AE29" i="153"/>
  <c r="AE72" i="153"/>
  <c r="AE60" i="153"/>
  <c r="AE48" i="153"/>
  <c r="AE36" i="153"/>
  <c r="AE79" i="153"/>
  <c r="AE67" i="153"/>
  <c r="AE55" i="153"/>
  <c r="AE74" i="153"/>
  <c r="AE62" i="153"/>
  <c r="AE50" i="153"/>
  <c r="AE38" i="153"/>
  <c r="AE26" i="153"/>
  <c r="AE81" i="153"/>
  <c r="AE69" i="153"/>
  <c r="AE57" i="153"/>
  <c r="AE76" i="153"/>
  <c r="AE64" i="153"/>
  <c r="AE52" i="153"/>
  <c r="AE40" i="153"/>
  <c r="AE28" i="153"/>
  <c r="AE71" i="153"/>
  <c r="AE59" i="153"/>
  <c r="AE47" i="153"/>
  <c r="AE35" i="153"/>
  <c r="AE23" i="153"/>
  <c r="AE78" i="153"/>
  <c r="AE66" i="153"/>
  <c r="AE54" i="153"/>
  <c r="AE42" i="153"/>
  <c r="AE73" i="153"/>
  <c r="AE61" i="153"/>
  <c r="AE49" i="153"/>
  <c r="AE80" i="153"/>
  <c r="AE68" i="153"/>
  <c r="AE56" i="153"/>
  <c r="AE44" i="153"/>
  <c r="BC71" i="153"/>
  <c r="BC59" i="153"/>
  <c r="BC47" i="153"/>
  <c r="BC35" i="153"/>
  <c r="BC23" i="153"/>
  <c r="BC78" i="153"/>
  <c r="BC66" i="153"/>
  <c r="BC54" i="153"/>
  <c r="BC42" i="153"/>
  <c r="BC73" i="153"/>
  <c r="BC61" i="153"/>
  <c r="BC49" i="153"/>
  <c r="BC80" i="153"/>
  <c r="BC68" i="153"/>
  <c r="BC56" i="153"/>
  <c r="BC44" i="153"/>
  <c r="BC32" i="153"/>
  <c r="BC75" i="153"/>
  <c r="BC63" i="153"/>
  <c r="BC82" i="153"/>
  <c r="BC70" i="153"/>
  <c r="BC58" i="153"/>
  <c r="BC46" i="153"/>
  <c r="BC34" i="153"/>
  <c r="BC22" i="153"/>
  <c r="BC77" i="153"/>
  <c r="BC65" i="153"/>
  <c r="BC53" i="153"/>
  <c r="BC41" i="153"/>
  <c r="BC29" i="153"/>
  <c r="BC72" i="153"/>
  <c r="BC60" i="153"/>
  <c r="BC48" i="153"/>
  <c r="BC36" i="153"/>
  <c r="BC79" i="153"/>
  <c r="BC67" i="153"/>
  <c r="BC55" i="153"/>
  <c r="BC43" i="153"/>
  <c r="BC74" i="153"/>
  <c r="BC62" i="153"/>
  <c r="BC50" i="153"/>
  <c r="L5" i="153"/>
  <c r="O5" i="153" s="1"/>
  <c r="AJ5" i="153"/>
  <c r="AM5" i="153" s="1"/>
  <c r="BH5" i="153"/>
  <c r="BK5" i="153" s="1"/>
  <c r="P6" i="153"/>
  <c r="AB6" i="153"/>
  <c r="AN6" i="153"/>
  <c r="AZ6" i="153"/>
  <c r="BL6" i="153"/>
  <c r="BG7" i="153"/>
  <c r="AM8" i="153"/>
  <c r="S9" i="153"/>
  <c r="BO9" i="153"/>
  <c r="AU10" i="153"/>
  <c r="AA11" i="153"/>
  <c r="BW11" i="153"/>
  <c r="BC12" i="153"/>
  <c r="AI13" i="153"/>
  <c r="O14" i="153"/>
  <c r="BK14" i="153"/>
  <c r="AQ15" i="153"/>
  <c r="W16" i="153"/>
  <c r="BS16" i="153"/>
  <c r="AY17" i="153"/>
  <c r="AE18" i="153"/>
  <c r="BG19" i="153"/>
  <c r="AY20" i="153"/>
  <c r="AM21" i="153"/>
  <c r="AI22" i="153"/>
  <c r="AM23" i="153"/>
  <c r="AM24" i="153"/>
  <c r="AI25" i="153"/>
  <c r="AU26" i="153"/>
  <c r="AM27" i="153"/>
  <c r="AU28" i="153"/>
  <c r="AQ29" i="153"/>
  <c r="AQ30" i="153"/>
  <c r="AU31" i="153"/>
  <c r="AY32" i="153"/>
  <c r="BC33" i="153"/>
  <c r="BG34" i="153"/>
  <c r="BK35" i="153"/>
  <c r="AI38" i="153"/>
  <c r="BC39" i="153"/>
  <c r="AQ42" i="153"/>
  <c r="AA44" i="153"/>
  <c r="AI46" i="153"/>
  <c r="AA51" i="153"/>
  <c r="BK53" i="153"/>
  <c r="W56" i="153"/>
  <c r="BG59" i="153"/>
  <c r="AY62" i="153"/>
  <c r="O66" i="153"/>
  <c r="AQ72" i="153"/>
  <c r="BW75" i="153"/>
  <c r="AE82" i="153"/>
  <c r="BG44" i="153"/>
  <c r="AI16" i="153"/>
  <c r="BG25" i="153"/>
  <c r="BG76" i="153"/>
  <c r="Q6" i="153"/>
  <c r="AO6" i="153"/>
  <c r="BM6" i="153"/>
  <c r="O7" i="153"/>
  <c r="BK7" i="153"/>
  <c r="AQ8" i="153"/>
  <c r="AY10" i="153"/>
  <c r="BG12" i="153"/>
  <c r="AM13" i="153"/>
  <c r="S14" i="153"/>
  <c r="BO14" i="153"/>
  <c r="AU15" i="153"/>
  <c r="AA16" i="153"/>
  <c r="BW16" i="153"/>
  <c r="AI18" i="153"/>
  <c r="O19" i="153"/>
  <c r="BK19" i="153"/>
  <c r="BC20" i="153"/>
  <c r="AQ21" i="153"/>
  <c r="AM22" i="153"/>
  <c r="AU23" i="153"/>
  <c r="AQ24" i="153"/>
  <c r="AU25" i="153"/>
  <c r="AY26" i="153"/>
  <c r="AQ27" i="153"/>
  <c r="BC28" i="153"/>
  <c r="AU29" i="153"/>
  <c r="AY30" i="153"/>
  <c r="AY31" i="153"/>
  <c r="BG32" i="153"/>
  <c r="BG33" i="153"/>
  <c r="BO34" i="153"/>
  <c r="BO35" i="153"/>
  <c r="S37" i="153"/>
  <c r="AU38" i="153"/>
  <c r="BK39" i="153"/>
  <c r="O41" i="153"/>
  <c r="AY42" i="153"/>
  <c r="AY44" i="153"/>
  <c r="BG46" i="153"/>
  <c r="S49" i="153"/>
  <c r="AE51" i="153"/>
  <c r="AA56" i="153"/>
  <c r="BK59" i="153"/>
  <c r="S66" i="153"/>
  <c r="AY69" i="153"/>
  <c r="AQ79" i="153"/>
  <c r="AI82" i="153"/>
  <c r="AE79" i="152"/>
  <c r="AE67" i="152"/>
  <c r="AE55" i="152"/>
  <c r="AE43" i="152"/>
  <c r="AE31" i="152"/>
  <c r="AE76" i="152"/>
  <c r="AE64" i="152"/>
  <c r="AE52" i="152"/>
  <c r="AE80" i="152"/>
  <c r="AE68" i="152"/>
  <c r="AE56" i="152"/>
  <c r="AE75" i="152"/>
  <c r="AE63" i="152"/>
  <c r="AE51" i="152"/>
  <c r="AE39" i="152"/>
  <c r="AE27" i="152"/>
  <c r="AE59" i="152"/>
  <c r="AE65" i="152"/>
  <c r="AE62" i="152"/>
  <c r="AE61" i="152"/>
  <c r="AE70" i="152"/>
  <c r="AE69" i="152"/>
  <c r="AE66" i="152"/>
  <c r="AE71" i="152"/>
  <c r="AE72" i="152"/>
  <c r="AE33" i="152"/>
  <c r="AE28" i="152"/>
  <c r="AE23" i="152"/>
  <c r="AE9" i="152"/>
  <c r="AE77" i="152"/>
  <c r="AE74" i="152"/>
  <c r="AE73" i="152"/>
  <c r="AE82" i="152"/>
  <c r="AE81" i="152"/>
  <c r="AE78" i="152"/>
  <c r="AE53" i="152"/>
  <c r="AE50" i="152"/>
  <c r="AE49" i="152"/>
  <c r="AE47" i="152"/>
  <c r="BC73" i="152"/>
  <c r="BC61" i="152"/>
  <c r="BC49" i="152"/>
  <c r="BC37" i="152"/>
  <c r="BC25" i="152"/>
  <c r="BC82" i="152"/>
  <c r="BC70" i="152"/>
  <c r="BC58" i="152"/>
  <c r="BC74" i="152"/>
  <c r="BC62" i="152"/>
  <c r="BC50" i="152"/>
  <c r="BC81" i="152"/>
  <c r="BC69" i="152"/>
  <c r="BC57" i="152"/>
  <c r="BC45" i="152"/>
  <c r="BC33" i="152"/>
  <c r="BC21" i="152"/>
  <c r="BC71" i="152"/>
  <c r="BC67" i="152"/>
  <c r="BC72" i="152"/>
  <c r="BC77" i="152"/>
  <c r="BC76" i="152"/>
  <c r="BC43" i="152"/>
  <c r="BC38" i="152"/>
  <c r="BC32" i="152"/>
  <c r="BC80" i="152"/>
  <c r="BC78" i="152"/>
  <c r="BC75" i="152"/>
  <c r="BC79" i="152"/>
  <c r="BC48" i="152"/>
  <c r="BC47" i="152"/>
  <c r="BC15" i="152"/>
  <c r="BC65" i="152"/>
  <c r="BC64" i="152"/>
  <c r="L5" i="152"/>
  <c r="O5" i="152" s="1"/>
  <c r="AJ5" i="152"/>
  <c r="AM5" i="152" s="1"/>
  <c r="BH5" i="152"/>
  <c r="BK5" i="152" s="1"/>
  <c r="P6" i="152"/>
  <c r="AB6" i="152"/>
  <c r="AO6" i="152"/>
  <c r="BB6" i="152"/>
  <c r="BC6" i="152" s="1"/>
  <c r="BP6" i="152"/>
  <c r="AE7" i="152"/>
  <c r="O8" i="152"/>
  <c r="BO8" i="152"/>
  <c r="AY9" i="152"/>
  <c r="AE10" i="152"/>
  <c r="O11" i="152"/>
  <c r="BO11" i="152"/>
  <c r="AY12" i="152"/>
  <c r="AI13" i="152"/>
  <c r="S14" i="152"/>
  <c r="BS14" i="152"/>
  <c r="BG15" i="152"/>
  <c r="AQ16" i="152"/>
  <c r="AA17" i="152"/>
  <c r="BK18" i="152"/>
  <c r="AY19" i="152"/>
  <c r="AM20" i="152"/>
  <c r="AE21" i="152"/>
  <c r="AA22" i="152"/>
  <c r="W23" i="152"/>
  <c r="O24" i="152"/>
  <c r="BW25" i="152"/>
  <c r="BO26" i="152"/>
  <c r="BG27" i="152"/>
  <c r="AY28" i="152"/>
  <c r="AY29" i="152"/>
  <c r="AQ30" i="152"/>
  <c r="AQ31" i="152"/>
  <c r="AM32" i="152"/>
  <c r="AQ33" i="152"/>
  <c r="BC34" i="152"/>
  <c r="BC35" i="152"/>
  <c r="BK36" i="152"/>
  <c r="S40" i="152"/>
  <c r="AE41" i="152"/>
  <c r="AI42" i="152"/>
  <c r="AQ43" i="152"/>
  <c r="AY44" i="152"/>
  <c r="BG45" i="152"/>
  <c r="BK46" i="152"/>
  <c r="AE48" i="152"/>
  <c r="BK49" i="152"/>
  <c r="S51" i="152"/>
  <c r="AY52" i="152"/>
  <c r="O54" i="152"/>
  <c r="BK55" i="152"/>
  <c r="AU57" i="152"/>
  <c r="AM59" i="152"/>
  <c r="AI65" i="152"/>
  <c r="BO72" i="152"/>
  <c r="AB4" i="152"/>
  <c r="AZ4" i="152"/>
  <c r="Q6" i="152"/>
  <c r="AC6" i="152"/>
  <c r="AP6" i="152"/>
  <c r="AQ6" i="152" s="1"/>
  <c r="BD6" i="152"/>
  <c r="BQ6" i="152"/>
  <c r="AI7" i="152"/>
  <c r="S8" i="152"/>
  <c r="BS8" i="152"/>
  <c r="BC9" i="152"/>
  <c r="AI10" i="152"/>
  <c r="S11" i="152"/>
  <c r="BS11" i="152"/>
  <c r="BC12" i="152"/>
  <c r="AM13" i="152"/>
  <c r="W14" i="152"/>
  <c r="BK15" i="152"/>
  <c r="AU16" i="152"/>
  <c r="AE17" i="152"/>
  <c r="O18" i="152"/>
  <c r="BO18" i="152"/>
  <c r="BC19" i="152"/>
  <c r="AQ20" i="152"/>
  <c r="AI21" i="152"/>
  <c r="AE22" i="152"/>
  <c r="AA23" i="152"/>
  <c r="W24" i="152"/>
  <c r="O25" i="152"/>
  <c r="BS26" i="152"/>
  <c r="BO27" i="152"/>
  <c r="BC28" i="152"/>
  <c r="BC29" i="152"/>
  <c r="AU30" i="152"/>
  <c r="AY31" i="152"/>
  <c r="AU32" i="152"/>
  <c r="AY33" i="152"/>
  <c r="BG34" i="152"/>
  <c r="BO36" i="152"/>
  <c r="O38" i="152"/>
  <c r="S39" i="152"/>
  <c r="W40" i="152"/>
  <c r="AI41" i="152"/>
  <c r="AM42" i="152"/>
  <c r="AY43" i="152"/>
  <c r="BC44" i="152"/>
  <c r="BK45" i="152"/>
  <c r="BS46" i="152"/>
  <c r="AI48" i="152"/>
  <c r="BO49" i="152"/>
  <c r="AA51" i="152"/>
  <c r="BC52" i="152"/>
  <c r="AE54" i="152"/>
  <c r="AY57" i="152"/>
  <c r="AY59" i="152"/>
  <c r="AQ63" i="152"/>
  <c r="AY65" i="152"/>
  <c r="BC68" i="152"/>
  <c r="AI74" i="152"/>
  <c r="AI62" i="152"/>
  <c r="AI50" i="152"/>
  <c r="AI38" i="152"/>
  <c r="AI26" i="152"/>
  <c r="AI71" i="152"/>
  <c r="AI59" i="152"/>
  <c r="AI75" i="152"/>
  <c r="AI63" i="152"/>
  <c r="AI51" i="152"/>
  <c r="AI82" i="152"/>
  <c r="AI70" i="152"/>
  <c r="AI58" i="152"/>
  <c r="AI46" i="152"/>
  <c r="AI34" i="152"/>
  <c r="AI22" i="152"/>
  <c r="AI60" i="152"/>
  <c r="AI45" i="152"/>
  <c r="AI40" i="152"/>
  <c r="AI35" i="152"/>
  <c r="AI69" i="152"/>
  <c r="AI66" i="152"/>
  <c r="AI64" i="152"/>
  <c r="AI29" i="152"/>
  <c r="AI68" i="152"/>
  <c r="AI67" i="152"/>
  <c r="AI72" i="152"/>
  <c r="AI77" i="152"/>
  <c r="AI73" i="152"/>
  <c r="AI16" i="152"/>
  <c r="AI81" i="152"/>
  <c r="AI78" i="152"/>
  <c r="AI76" i="152"/>
  <c r="AI80" i="152"/>
  <c r="AI79" i="152"/>
  <c r="AI57" i="152"/>
  <c r="AI54" i="152"/>
  <c r="AI52" i="152"/>
  <c r="BG80" i="152"/>
  <c r="BG68" i="152"/>
  <c r="BG56" i="152"/>
  <c r="BG44" i="152"/>
  <c r="BG32" i="152"/>
  <c r="BG20" i="152"/>
  <c r="BG77" i="152"/>
  <c r="BG65" i="152"/>
  <c r="BG53" i="152"/>
  <c r="BG81" i="152"/>
  <c r="BG69" i="152"/>
  <c r="BG57" i="152"/>
  <c r="BG76" i="152"/>
  <c r="BG64" i="152"/>
  <c r="BG52" i="152"/>
  <c r="BG40" i="152"/>
  <c r="BG28" i="152"/>
  <c r="BG72" i="152"/>
  <c r="BG33" i="152"/>
  <c r="BG73" i="152"/>
  <c r="BG78" i="152"/>
  <c r="BG75" i="152"/>
  <c r="BG74" i="152"/>
  <c r="BG82" i="152"/>
  <c r="BG79" i="152"/>
  <c r="BG49" i="152"/>
  <c r="BG46" i="152"/>
  <c r="BG41" i="152"/>
  <c r="BG36" i="152"/>
  <c r="BG31" i="152"/>
  <c r="BG26" i="152"/>
  <c r="BG10" i="152"/>
  <c r="BG66" i="152"/>
  <c r="BG63" i="152"/>
  <c r="BG62" i="152"/>
  <c r="AR6" i="152"/>
  <c r="BE6" i="152"/>
  <c r="BR6" i="152"/>
  <c r="BS6" i="152" s="1"/>
  <c r="AM7" i="152"/>
  <c r="W8" i="152"/>
  <c r="BG9" i="152"/>
  <c r="AM10" i="152"/>
  <c r="W11" i="152"/>
  <c r="BG12" i="152"/>
  <c r="O15" i="152"/>
  <c r="AI17" i="152"/>
  <c r="BS18" i="152"/>
  <c r="BG19" i="152"/>
  <c r="AU20" i="152"/>
  <c r="AM22" i="152"/>
  <c r="AI23" i="152"/>
  <c r="O26" i="152"/>
  <c r="BS27" i="152"/>
  <c r="BK28" i="152"/>
  <c r="BG29" i="152"/>
  <c r="BK33" i="152"/>
  <c r="BK34" i="152"/>
  <c r="BO35" i="152"/>
  <c r="S38" i="152"/>
  <c r="W39" i="152"/>
  <c r="AE40" i="152"/>
  <c r="AQ41" i="152"/>
  <c r="AQ42" i="152"/>
  <c r="BG43" i="152"/>
  <c r="BK44" i="152"/>
  <c r="BO45" i="152"/>
  <c r="AM48" i="152"/>
  <c r="AQ51" i="152"/>
  <c r="BW52" i="152"/>
  <c r="AQ54" i="152"/>
  <c r="S56" i="152"/>
  <c r="BK57" i="152"/>
  <c r="BC59" i="152"/>
  <c r="AU61" i="152"/>
  <c r="BC63" i="152"/>
  <c r="BO65" i="152"/>
  <c r="BS68" i="152"/>
  <c r="AF4" i="152"/>
  <c r="AF6" i="152"/>
  <c r="BF6" i="152"/>
  <c r="BG6" i="152" s="1"/>
  <c r="BK9" i="152"/>
  <c r="BK12" i="152"/>
  <c r="AI14" i="152"/>
  <c r="BS15" i="152"/>
  <c r="AM17" i="152"/>
  <c r="W18" i="152"/>
  <c r="BK19" i="152"/>
  <c r="AU21" i="152"/>
  <c r="AU22" i="152"/>
  <c r="AM23" i="152"/>
  <c r="AI24" i="152"/>
  <c r="BK29" i="152"/>
  <c r="BG30" i="152"/>
  <c r="BK31" i="152"/>
  <c r="BS34" i="152"/>
  <c r="S37" i="152"/>
  <c r="W38" i="152"/>
  <c r="AI39" i="152"/>
  <c r="AU41" i="152"/>
  <c r="BC42" i="152"/>
  <c r="BO43" i="152"/>
  <c r="BO44" i="152"/>
  <c r="BW45" i="152"/>
  <c r="AA47" i="152"/>
  <c r="AY48" i="152"/>
  <c r="AU51" i="152"/>
  <c r="AU54" i="152"/>
  <c r="AI56" i="152"/>
  <c r="BG59" i="152"/>
  <c r="BG61" i="152"/>
  <c r="BO63" i="152"/>
  <c r="BW65" i="152"/>
  <c r="O75" i="152"/>
  <c r="O63" i="152"/>
  <c r="O51" i="152"/>
  <c r="O39" i="152"/>
  <c r="O27" i="152"/>
  <c r="O72" i="152"/>
  <c r="O60" i="152"/>
  <c r="O76" i="152"/>
  <c r="O64" i="152"/>
  <c r="O52" i="152"/>
  <c r="O71" i="152"/>
  <c r="O59" i="152"/>
  <c r="O47" i="152"/>
  <c r="O35" i="152"/>
  <c r="O23" i="152"/>
  <c r="O49" i="152"/>
  <c r="O48" i="152"/>
  <c r="O42" i="152"/>
  <c r="O37" i="152"/>
  <c r="O58" i="152"/>
  <c r="O57" i="152"/>
  <c r="O56" i="152"/>
  <c r="O55" i="152"/>
  <c r="O46" i="152"/>
  <c r="O41" i="152"/>
  <c r="O36" i="152"/>
  <c r="O31" i="152"/>
  <c r="O61" i="152"/>
  <c r="O66" i="152"/>
  <c r="O65" i="152"/>
  <c r="O62" i="152"/>
  <c r="O45" i="152"/>
  <c r="O40" i="152"/>
  <c r="O17" i="152"/>
  <c r="O70" i="152"/>
  <c r="O69" i="152"/>
  <c r="O68" i="152"/>
  <c r="O67" i="152"/>
  <c r="O73" i="152"/>
  <c r="O78" i="152"/>
  <c r="O77" i="152"/>
  <c r="O74" i="152"/>
  <c r="O82" i="152"/>
  <c r="O81" i="152"/>
  <c r="O80" i="152"/>
  <c r="O79" i="152"/>
  <c r="AM81" i="152"/>
  <c r="AM69" i="152"/>
  <c r="AM57" i="152"/>
  <c r="AM45" i="152"/>
  <c r="AM33" i="152"/>
  <c r="AM21" i="152"/>
  <c r="AM78" i="152"/>
  <c r="AM66" i="152"/>
  <c r="AM54" i="152"/>
  <c r="AM82" i="152"/>
  <c r="AM70" i="152"/>
  <c r="AM58" i="152"/>
  <c r="AM77" i="152"/>
  <c r="AM65" i="152"/>
  <c r="AM53" i="152"/>
  <c r="AM41" i="152"/>
  <c r="AM29" i="152"/>
  <c r="AM61" i="152"/>
  <c r="AM68" i="152"/>
  <c r="AM67" i="152"/>
  <c r="AM63" i="152"/>
  <c r="AM44" i="152"/>
  <c r="AM34" i="152"/>
  <c r="AM72" i="152"/>
  <c r="AM71" i="152"/>
  <c r="AM73" i="152"/>
  <c r="AM76" i="152"/>
  <c r="AM74" i="152"/>
  <c r="AM43" i="152"/>
  <c r="AM38" i="152"/>
  <c r="AM11" i="152"/>
  <c r="AM80" i="152"/>
  <c r="AM79" i="152"/>
  <c r="AM75" i="152"/>
  <c r="AM56" i="152"/>
  <c r="AM55" i="152"/>
  <c r="AM51" i="152"/>
  <c r="BK75" i="152"/>
  <c r="BK63" i="152"/>
  <c r="BK51" i="152"/>
  <c r="BK39" i="152"/>
  <c r="BK27" i="152"/>
  <c r="BK72" i="152"/>
  <c r="BK60" i="152"/>
  <c r="BK48" i="152"/>
  <c r="BK76" i="152"/>
  <c r="BK64" i="152"/>
  <c r="BK52" i="152"/>
  <c r="BK71" i="152"/>
  <c r="BK59" i="152"/>
  <c r="BK47" i="152"/>
  <c r="BK35" i="152"/>
  <c r="BK23" i="152"/>
  <c r="BK73" i="152"/>
  <c r="BK43" i="152"/>
  <c r="BK38" i="152"/>
  <c r="BK78" i="152"/>
  <c r="BK77" i="152"/>
  <c r="BK74" i="152"/>
  <c r="BK82" i="152"/>
  <c r="BK81" i="152"/>
  <c r="BK80" i="152"/>
  <c r="BK79" i="152"/>
  <c r="BK42" i="152"/>
  <c r="BK37" i="152"/>
  <c r="BK54" i="152"/>
  <c r="BK53" i="152"/>
  <c r="BK50" i="152"/>
  <c r="BK20" i="152"/>
  <c r="BK17" i="152"/>
  <c r="BK66" i="152"/>
  <c r="BK65" i="152"/>
  <c r="BK70" i="152"/>
  <c r="BK69" i="152"/>
  <c r="BK68" i="152"/>
  <c r="BK67" i="152"/>
  <c r="T5" i="152"/>
  <c r="W5" i="152" s="1"/>
  <c r="AR5" i="152"/>
  <c r="AU5" i="152" s="1"/>
  <c r="BP5" i="152"/>
  <c r="BS5" i="152" s="1"/>
  <c r="T6" i="152"/>
  <c r="AG6" i="152"/>
  <c r="AT6" i="152"/>
  <c r="AU6" i="152" s="1"/>
  <c r="AU7" i="152"/>
  <c r="O9" i="152"/>
  <c r="AU10" i="152"/>
  <c r="O12" i="152"/>
  <c r="BS12" i="152"/>
  <c r="AM14" i="152"/>
  <c r="W15" i="152"/>
  <c r="BG16" i="152"/>
  <c r="BG21" i="152"/>
  <c r="AM24" i="152"/>
  <c r="W26" i="152"/>
  <c r="S27" i="152"/>
  <c r="BS28" i="152"/>
  <c r="BO29" i="152"/>
  <c r="BK30" i="152"/>
  <c r="BO31" i="152"/>
  <c r="BO32" i="152"/>
  <c r="BS33" i="152"/>
  <c r="BW34" i="152"/>
  <c r="AA37" i="152"/>
  <c r="AA38" i="152"/>
  <c r="AM39" i="152"/>
  <c r="AU40" i="152"/>
  <c r="AY41" i="152"/>
  <c r="BG42" i="152"/>
  <c r="BS43" i="152"/>
  <c r="BS44" i="152"/>
  <c r="AI47" i="152"/>
  <c r="BG48" i="152"/>
  <c r="AA50" i="152"/>
  <c r="BC51" i="152"/>
  <c r="O53" i="152"/>
  <c r="BC54" i="152"/>
  <c r="AQ56" i="152"/>
  <c r="W58" i="152"/>
  <c r="BS59" i="152"/>
  <c r="BK61" i="152"/>
  <c r="BS63" i="152"/>
  <c r="AY69" i="152"/>
  <c r="L4" i="152"/>
  <c r="AJ4" i="152"/>
  <c r="BH4" i="152"/>
  <c r="U6" i="152"/>
  <c r="AH6" i="152"/>
  <c r="AI6" i="152" s="1"/>
  <c r="BH6" i="152"/>
  <c r="BU6" i="152"/>
  <c r="AY7" i="152"/>
  <c r="AI8" i="152"/>
  <c r="S9" i="152"/>
  <c r="BS9" i="152"/>
  <c r="AY10" i="152"/>
  <c r="AI11" i="152"/>
  <c r="W12" i="152"/>
  <c r="BW12" i="152"/>
  <c r="BG13" i="152"/>
  <c r="AQ14" i="152"/>
  <c r="AA15" i="152"/>
  <c r="BK16" i="152"/>
  <c r="AU17" i="152"/>
  <c r="AE18" i="152"/>
  <c r="O19" i="152"/>
  <c r="BS19" i="152"/>
  <c r="BO20" i="152"/>
  <c r="BK21" i="152"/>
  <c r="BC22" i="152"/>
  <c r="AY23" i="152"/>
  <c r="AU24" i="152"/>
  <c r="AI25" i="152"/>
  <c r="AA26" i="152"/>
  <c r="W27" i="152"/>
  <c r="O28" i="152"/>
  <c r="BW28" i="152"/>
  <c r="BW29" i="152"/>
  <c r="BW30" i="152"/>
  <c r="BW31" i="152"/>
  <c r="BS32" i="152"/>
  <c r="BW33" i="152"/>
  <c r="AE37" i="152"/>
  <c r="AE38" i="152"/>
  <c r="AU39" i="152"/>
  <c r="AY40" i="152"/>
  <c r="BC41" i="152"/>
  <c r="BS42" i="152"/>
  <c r="BW43" i="152"/>
  <c r="W46" i="152"/>
  <c r="AM47" i="152"/>
  <c r="BO48" i="152"/>
  <c r="AM50" i="152"/>
  <c r="BG51" i="152"/>
  <c r="AA53" i="152"/>
  <c r="BG54" i="152"/>
  <c r="AY56" i="152"/>
  <c r="AE58" i="152"/>
  <c r="BW63" i="152"/>
  <c r="BS69" i="152"/>
  <c r="S82" i="152"/>
  <c r="S70" i="152"/>
  <c r="S58" i="152"/>
  <c r="S46" i="152"/>
  <c r="S34" i="152"/>
  <c r="S22" i="152"/>
  <c r="S79" i="152"/>
  <c r="S67" i="152"/>
  <c r="S55" i="152"/>
  <c r="S71" i="152"/>
  <c r="S59" i="152"/>
  <c r="S47" i="152"/>
  <c r="S78" i="152"/>
  <c r="S66" i="152"/>
  <c r="S54" i="152"/>
  <c r="S42" i="152"/>
  <c r="S30" i="152"/>
  <c r="S53" i="152"/>
  <c r="S50" i="152"/>
  <c r="S61" i="152"/>
  <c r="S60" i="152"/>
  <c r="S65" i="152"/>
  <c r="S62" i="152"/>
  <c r="S69" i="152"/>
  <c r="S68" i="152"/>
  <c r="S64" i="152"/>
  <c r="S63" i="152"/>
  <c r="S29" i="152"/>
  <c r="S24" i="152"/>
  <c r="S12" i="152"/>
  <c r="S73" i="152"/>
  <c r="S72" i="152"/>
  <c r="S77" i="152"/>
  <c r="S74" i="152"/>
  <c r="S81" i="152"/>
  <c r="S80" i="152"/>
  <c r="S76" i="152"/>
  <c r="S75" i="152"/>
  <c r="AQ76" i="152"/>
  <c r="AQ64" i="152"/>
  <c r="AQ52" i="152"/>
  <c r="AQ40" i="152"/>
  <c r="AQ28" i="152"/>
  <c r="AQ73" i="152"/>
  <c r="AQ61" i="152"/>
  <c r="AQ49" i="152"/>
  <c r="AQ77" i="152"/>
  <c r="AQ65" i="152"/>
  <c r="AQ53" i="152"/>
  <c r="AQ72" i="152"/>
  <c r="AQ60" i="152"/>
  <c r="AQ48" i="152"/>
  <c r="AQ36" i="152"/>
  <c r="AQ24" i="152"/>
  <c r="AQ62" i="152"/>
  <c r="AQ69" i="152"/>
  <c r="AQ68" i="152"/>
  <c r="AQ71" i="152"/>
  <c r="AQ70" i="152"/>
  <c r="AQ39" i="152"/>
  <c r="AQ74" i="152"/>
  <c r="AQ81" i="152"/>
  <c r="AQ80" i="152"/>
  <c r="AQ79" i="152"/>
  <c r="AQ78" i="152"/>
  <c r="AQ75" i="152"/>
  <c r="AQ32" i="152"/>
  <c r="AQ22" i="152"/>
  <c r="AQ18" i="152"/>
  <c r="AQ82" i="152"/>
  <c r="AQ59" i="152"/>
  <c r="AQ58" i="152"/>
  <c r="BO82" i="152"/>
  <c r="BO70" i="152"/>
  <c r="BO58" i="152"/>
  <c r="BO46" i="152"/>
  <c r="BO34" i="152"/>
  <c r="BO22" i="152"/>
  <c r="BO79" i="152"/>
  <c r="BO67" i="152"/>
  <c r="BO55" i="152"/>
  <c r="BO71" i="152"/>
  <c r="BO59" i="152"/>
  <c r="BO47" i="152"/>
  <c r="BO78" i="152"/>
  <c r="BO66" i="152"/>
  <c r="BO54" i="152"/>
  <c r="BO42" i="152"/>
  <c r="BO30" i="152"/>
  <c r="BO77" i="152"/>
  <c r="BO74" i="152"/>
  <c r="BO81" i="152"/>
  <c r="BO80" i="152"/>
  <c r="BO76" i="152"/>
  <c r="BO75" i="152"/>
  <c r="BO53" i="152"/>
  <c r="BO57" i="152"/>
  <c r="BO56" i="152"/>
  <c r="BO52" i="152"/>
  <c r="BO51" i="152"/>
  <c r="BO25" i="152"/>
  <c r="BO12" i="152"/>
  <c r="BO69" i="152"/>
  <c r="BO68" i="152"/>
  <c r="BO64" i="152"/>
  <c r="BO73" i="152"/>
  <c r="X5" i="152"/>
  <c r="AA5" i="152" s="1"/>
  <c r="AV5" i="152"/>
  <c r="AY5" i="152" s="1"/>
  <c r="BT5" i="152"/>
  <c r="BW5" i="152" s="1"/>
  <c r="V6" i="152"/>
  <c r="W6" i="152" s="1"/>
  <c r="AV6" i="152"/>
  <c r="BI6" i="152"/>
  <c r="BV6" i="152"/>
  <c r="BW6" i="152" s="1"/>
  <c r="BC7" i="152"/>
  <c r="AM8" i="152"/>
  <c r="W9" i="152"/>
  <c r="BW9" i="152"/>
  <c r="BC10" i="152"/>
  <c r="AQ11" i="152"/>
  <c r="AA12" i="152"/>
  <c r="BK13" i="152"/>
  <c r="AU14" i="152"/>
  <c r="AE15" i="152"/>
  <c r="O16" i="152"/>
  <c r="BO16" i="152"/>
  <c r="AY17" i="152"/>
  <c r="AI18" i="152"/>
  <c r="S19" i="152"/>
  <c r="BS20" i="152"/>
  <c r="BO21" i="152"/>
  <c r="BG22" i="152"/>
  <c r="BC23" i="152"/>
  <c r="AY24" i="152"/>
  <c r="AM25" i="152"/>
  <c r="AE26" i="152"/>
  <c r="AA27" i="152"/>
  <c r="S28" i="152"/>
  <c r="S35" i="152"/>
  <c r="AE36" i="152"/>
  <c r="AI37" i="152"/>
  <c r="AQ38" i="152"/>
  <c r="BC39" i="152"/>
  <c r="BC40" i="152"/>
  <c r="BK41" i="152"/>
  <c r="S45" i="152"/>
  <c r="AE46" i="152"/>
  <c r="AQ47" i="152"/>
  <c r="AQ50" i="152"/>
  <c r="BW51" i="152"/>
  <c r="AI53" i="152"/>
  <c r="BC56" i="152"/>
  <c r="AU58" i="152"/>
  <c r="AE60" i="152"/>
  <c r="BC66" i="152"/>
  <c r="AJ6" i="152"/>
  <c r="BJ6" i="152"/>
  <c r="BK6" i="152" s="1"/>
  <c r="BG7" i="152"/>
  <c r="BK10" i="152"/>
  <c r="AU11" i="152"/>
  <c r="O13" i="152"/>
  <c r="AI15" i="152"/>
  <c r="BS16" i="152"/>
  <c r="AM18" i="152"/>
  <c r="O20" i="152"/>
  <c r="BK22" i="152"/>
  <c r="BG23" i="152"/>
  <c r="AQ25" i="152"/>
  <c r="AM26" i="152"/>
  <c r="AI27" i="152"/>
  <c r="W28" i="152"/>
  <c r="O29" i="152"/>
  <c r="O30" i="152"/>
  <c r="S31" i="152"/>
  <c r="O32" i="152"/>
  <c r="O33" i="152"/>
  <c r="O34" i="152"/>
  <c r="W35" i="152"/>
  <c r="AI36" i="152"/>
  <c r="AM37" i="152"/>
  <c r="AU38" i="152"/>
  <c r="BG39" i="152"/>
  <c r="BK40" i="152"/>
  <c r="BO41" i="152"/>
  <c r="O43" i="152"/>
  <c r="O44" i="152"/>
  <c r="W45" i="152"/>
  <c r="AM46" i="152"/>
  <c r="AY47" i="152"/>
  <c r="S49" i="152"/>
  <c r="AU50" i="152"/>
  <c r="BK56" i="152"/>
  <c r="AY58" i="152"/>
  <c r="AM60" i="152"/>
  <c r="AM62" i="152"/>
  <c r="AM64" i="152"/>
  <c r="BW66" i="152"/>
  <c r="BG70" i="152"/>
  <c r="W77" i="152"/>
  <c r="W65" i="152"/>
  <c r="W53" i="152"/>
  <c r="W41" i="152"/>
  <c r="W29" i="152"/>
  <c r="W74" i="152"/>
  <c r="W62" i="152"/>
  <c r="W50" i="152"/>
  <c r="W78" i="152"/>
  <c r="W66" i="152"/>
  <c r="W54" i="152"/>
  <c r="W73" i="152"/>
  <c r="W61" i="152"/>
  <c r="W49" i="152"/>
  <c r="W37" i="152"/>
  <c r="W25" i="152"/>
  <c r="W57" i="152"/>
  <c r="W56" i="152"/>
  <c r="W52" i="152"/>
  <c r="W51" i="152"/>
  <c r="W47" i="152"/>
  <c r="W36" i="152"/>
  <c r="W60" i="152"/>
  <c r="W59" i="152"/>
  <c r="W69" i="152"/>
  <c r="W68" i="152"/>
  <c r="W64" i="152"/>
  <c r="W63" i="152"/>
  <c r="W70" i="152"/>
  <c r="W67" i="152"/>
  <c r="W44" i="152"/>
  <c r="W34" i="152"/>
  <c r="W19" i="152"/>
  <c r="W7" i="152"/>
  <c r="W72" i="152"/>
  <c r="W71" i="152"/>
  <c r="W81" i="152"/>
  <c r="W80" i="152"/>
  <c r="W76" i="152"/>
  <c r="W75" i="152"/>
  <c r="W82" i="152"/>
  <c r="W79" i="152"/>
  <c r="W48" i="152"/>
  <c r="AU71" i="152"/>
  <c r="AU59" i="152"/>
  <c r="AU47" i="152"/>
  <c r="AU35" i="152"/>
  <c r="AU23" i="152"/>
  <c r="AU80" i="152"/>
  <c r="AU68" i="152"/>
  <c r="AU56" i="152"/>
  <c r="AU72" i="152"/>
  <c r="AU60" i="152"/>
  <c r="AU48" i="152"/>
  <c r="AU79" i="152"/>
  <c r="AU67" i="152"/>
  <c r="AU55" i="152"/>
  <c r="AU43" i="152"/>
  <c r="AU31" i="152"/>
  <c r="AU19" i="152"/>
  <c r="AU69" i="152"/>
  <c r="AU66" i="152"/>
  <c r="AU65" i="152"/>
  <c r="AU64" i="152"/>
  <c r="AU63" i="152"/>
  <c r="AU44" i="152"/>
  <c r="AU34" i="152"/>
  <c r="AU70" i="152"/>
  <c r="AU33" i="152"/>
  <c r="AU74" i="152"/>
  <c r="AU73" i="152"/>
  <c r="AU81" i="152"/>
  <c r="AU78" i="152"/>
  <c r="AU77" i="152"/>
  <c r="AU76" i="152"/>
  <c r="AU75" i="152"/>
  <c r="AU82" i="152"/>
  <c r="AU42" i="152"/>
  <c r="AU37" i="152"/>
  <c r="AU27" i="152"/>
  <c r="AU13" i="152"/>
  <c r="BS77" i="152"/>
  <c r="BS65" i="152"/>
  <c r="BS53" i="152"/>
  <c r="BS41" i="152"/>
  <c r="BS29" i="152"/>
  <c r="BS74" i="152"/>
  <c r="BS62" i="152"/>
  <c r="BS50" i="152"/>
  <c r="BS78" i="152"/>
  <c r="BS66" i="152"/>
  <c r="BS54" i="152"/>
  <c r="BS73" i="152"/>
  <c r="BS61" i="152"/>
  <c r="BS49" i="152"/>
  <c r="BS37" i="152"/>
  <c r="BS25" i="152"/>
  <c r="BS81" i="152"/>
  <c r="BS80" i="152"/>
  <c r="BS76" i="152"/>
  <c r="BS75" i="152"/>
  <c r="BS82" i="152"/>
  <c r="BS79" i="152"/>
  <c r="BS48" i="152"/>
  <c r="BS36" i="152"/>
  <c r="BS31" i="152"/>
  <c r="BS57" i="152"/>
  <c r="BS56" i="152"/>
  <c r="BS52" i="152"/>
  <c r="BS51" i="152"/>
  <c r="BS58" i="152"/>
  <c r="BS55" i="152"/>
  <c r="BS45" i="152"/>
  <c r="BS40" i="152"/>
  <c r="BS35" i="152"/>
  <c r="BS30" i="152"/>
  <c r="BS7" i="152"/>
  <c r="BS70" i="152"/>
  <c r="BS67" i="152"/>
  <c r="BS72" i="152"/>
  <c r="BS71" i="152"/>
  <c r="L6" i="152"/>
  <c r="AK6" i="152"/>
  <c r="BK7" i="152"/>
  <c r="AU8" i="152"/>
  <c r="AI9" i="152"/>
  <c r="O10" i="152"/>
  <c r="AI12" i="152"/>
  <c r="BS13" i="152"/>
  <c r="AM15" i="152"/>
  <c r="W16" i="152"/>
  <c r="BG17" i="152"/>
  <c r="AU18" i="152"/>
  <c r="O21" i="152"/>
  <c r="BS22" i="152"/>
  <c r="BG24" i="152"/>
  <c r="AU25" i="152"/>
  <c r="AQ26" i="152"/>
  <c r="AM27" i="152"/>
  <c r="AA28" i="152"/>
  <c r="AA29" i="152"/>
  <c r="W30" i="152"/>
  <c r="W31" i="152"/>
  <c r="S32" i="152"/>
  <c r="S33" i="152"/>
  <c r="AA34" i="152"/>
  <c r="AE35" i="152"/>
  <c r="AM36" i="152"/>
  <c r="AQ37" i="152"/>
  <c r="BG38" i="152"/>
  <c r="BO39" i="152"/>
  <c r="BO40" i="152"/>
  <c r="S43" i="152"/>
  <c r="S44" i="152"/>
  <c r="AE45" i="152"/>
  <c r="AQ46" i="152"/>
  <c r="BG47" i="152"/>
  <c r="AI49" i="152"/>
  <c r="BG50" i="152"/>
  <c r="S52" i="152"/>
  <c r="AY53" i="152"/>
  <c r="AI55" i="152"/>
  <c r="BG58" i="152"/>
  <c r="BC60" i="152"/>
  <c r="AU62" i="152"/>
  <c r="AY64" i="152"/>
  <c r="BW70" i="152"/>
  <c r="T4" i="152"/>
  <c r="AR4" i="152"/>
  <c r="BP4" i="152"/>
  <c r="M6" i="152"/>
  <c r="AL6" i="152"/>
  <c r="AM6" i="152" s="1"/>
  <c r="O7" i="152"/>
  <c r="AM9" i="152"/>
  <c r="BS10" i="152"/>
  <c r="AM12" i="152"/>
  <c r="W13" i="152"/>
  <c r="BG14" i="152"/>
  <c r="AI19" i="152"/>
  <c r="W20" i="152"/>
  <c r="S21" i="152"/>
  <c r="BW22" i="152"/>
  <c r="BS23" i="152"/>
  <c r="BK24" i="152"/>
  <c r="AY25" i="152"/>
  <c r="AU26" i="152"/>
  <c r="AQ27" i="152"/>
  <c r="AI28" i="152"/>
  <c r="AE29" i="152"/>
  <c r="AE30" i="152"/>
  <c r="AA31" i="152"/>
  <c r="W32" i="152"/>
  <c r="W33" i="152"/>
  <c r="AE34" i="152"/>
  <c r="AM35" i="152"/>
  <c r="AU36" i="152"/>
  <c r="BO38" i="152"/>
  <c r="BS39" i="152"/>
  <c r="W42" i="152"/>
  <c r="W43" i="152"/>
  <c r="AE44" i="152"/>
  <c r="AQ45" i="152"/>
  <c r="AU46" i="152"/>
  <c r="BS47" i="152"/>
  <c r="AM49" i="152"/>
  <c r="BO50" i="152"/>
  <c r="BC53" i="152"/>
  <c r="AQ55" i="152"/>
  <c r="S57" i="152"/>
  <c r="BK58" i="152"/>
  <c r="BG60" i="152"/>
  <c r="BK62" i="152"/>
  <c r="BS64" i="152"/>
  <c r="AQ67" i="152"/>
  <c r="AA72" i="152"/>
  <c r="AA60" i="152"/>
  <c r="AA48" i="152"/>
  <c r="AA36" i="152"/>
  <c r="AA24" i="152"/>
  <c r="AA81" i="152"/>
  <c r="AA69" i="152"/>
  <c r="AA57" i="152"/>
  <c r="AA73" i="152"/>
  <c r="AA61" i="152"/>
  <c r="AA49" i="152"/>
  <c r="AA80" i="152"/>
  <c r="AA68" i="152"/>
  <c r="AA56" i="152"/>
  <c r="AA44" i="152"/>
  <c r="AA32" i="152"/>
  <c r="AA20" i="152"/>
  <c r="AA58" i="152"/>
  <c r="AA55" i="152"/>
  <c r="AA54" i="152"/>
  <c r="AA46" i="152"/>
  <c r="AA41" i="152"/>
  <c r="AA45" i="152"/>
  <c r="AA40" i="152"/>
  <c r="AA35" i="152"/>
  <c r="AA30" i="152"/>
  <c r="AA65" i="152"/>
  <c r="AA64" i="152"/>
  <c r="AA63" i="152"/>
  <c r="AA62" i="152"/>
  <c r="AA70" i="152"/>
  <c r="AA67" i="152"/>
  <c r="AA66" i="152"/>
  <c r="AA71" i="152"/>
  <c r="AA39" i="152"/>
  <c r="AA14" i="152"/>
  <c r="AA77" i="152"/>
  <c r="AA76" i="152"/>
  <c r="AA75" i="152"/>
  <c r="AA74" i="152"/>
  <c r="AA82" i="152"/>
  <c r="AA79" i="152"/>
  <c r="AA78" i="152"/>
  <c r="AY78" i="152"/>
  <c r="AY66" i="152"/>
  <c r="AY54" i="152"/>
  <c r="AY42" i="152"/>
  <c r="AY30" i="152"/>
  <c r="AY75" i="152"/>
  <c r="AY63" i="152"/>
  <c r="AY51" i="152"/>
  <c r="AY79" i="152"/>
  <c r="AY67" i="152"/>
  <c r="AY55" i="152"/>
  <c r="AY74" i="152"/>
  <c r="AY62" i="152"/>
  <c r="AY50" i="152"/>
  <c r="AY38" i="152"/>
  <c r="AY26" i="152"/>
  <c r="AY70" i="152"/>
  <c r="AY68" i="152"/>
  <c r="AY39" i="152"/>
  <c r="AY71" i="152"/>
  <c r="AY73" i="152"/>
  <c r="AY72" i="152"/>
  <c r="AY81" i="152"/>
  <c r="AY77" i="152"/>
  <c r="AY76" i="152"/>
  <c r="AY82" i="152"/>
  <c r="AY80" i="152"/>
  <c r="AY21" i="152"/>
  <c r="AY8" i="152"/>
  <c r="AY61" i="152"/>
  <c r="AY60" i="152"/>
  <c r="BW72" i="152"/>
  <c r="BW60" i="152"/>
  <c r="BW48" i="152"/>
  <c r="BW36" i="152"/>
  <c r="BW24" i="152"/>
  <c r="BW81" i="152"/>
  <c r="BW69" i="152"/>
  <c r="BW57" i="152"/>
  <c r="BW73" i="152"/>
  <c r="BW61" i="152"/>
  <c r="BW49" i="152"/>
  <c r="BW80" i="152"/>
  <c r="BW68" i="152"/>
  <c r="BW56" i="152"/>
  <c r="BW44" i="152"/>
  <c r="BW32" i="152"/>
  <c r="BW20" i="152"/>
  <c r="BW82" i="152"/>
  <c r="BW79" i="152"/>
  <c r="BW78" i="152"/>
  <c r="BW42" i="152"/>
  <c r="BW37" i="152"/>
  <c r="BW47" i="152"/>
  <c r="BW46" i="152"/>
  <c r="BW41" i="152"/>
  <c r="BW58" i="152"/>
  <c r="BW55" i="152"/>
  <c r="BW54" i="152"/>
  <c r="BW59" i="152"/>
  <c r="BW19" i="152"/>
  <c r="BW14" i="152"/>
  <c r="BW71" i="152"/>
  <c r="BW77" i="152"/>
  <c r="BW76" i="152"/>
  <c r="BW75" i="152"/>
  <c r="BW74" i="152"/>
  <c r="AF5" i="152"/>
  <c r="AI5" i="152" s="1"/>
  <c r="BD5" i="152"/>
  <c r="BG5" i="152" s="1"/>
  <c r="N6" i="152"/>
  <c r="O6" i="152" s="1"/>
  <c r="Z6" i="152"/>
  <c r="AA6" i="152" s="1"/>
  <c r="AZ6" i="152"/>
  <c r="BM6" i="152"/>
  <c r="S7" i="152"/>
  <c r="BW7" i="152"/>
  <c r="BG8" i="152"/>
  <c r="AQ9" i="152"/>
  <c r="W10" i="152"/>
  <c r="BW10" i="152"/>
  <c r="BG11" i="152"/>
  <c r="AQ12" i="152"/>
  <c r="AA13" i="152"/>
  <c r="BK14" i="152"/>
  <c r="AU15" i="152"/>
  <c r="AE16" i="152"/>
  <c r="S17" i="152"/>
  <c r="BS17" i="152"/>
  <c r="BC18" i="152"/>
  <c r="AM19" i="152"/>
  <c r="AE20" i="152"/>
  <c r="W21" i="152"/>
  <c r="O22" i="152"/>
  <c r="BW23" i="152"/>
  <c r="BO24" i="152"/>
  <c r="BG25" i="152"/>
  <c r="BC26" i="152"/>
  <c r="AY27" i="152"/>
  <c r="AM28" i="152"/>
  <c r="AQ29" i="152"/>
  <c r="AI30" i="152"/>
  <c r="AI31" i="152"/>
  <c r="AE32" i="152"/>
  <c r="AA33" i="152"/>
  <c r="AQ34" i="152"/>
  <c r="AQ35" i="152"/>
  <c r="AY36" i="152"/>
  <c r="BG37" i="152"/>
  <c r="BS38" i="152"/>
  <c r="BW39" i="152"/>
  <c r="AA42" i="152"/>
  <c r="AA43" i="152"/>
  <c r="AI44" i="152"/>
  <c r="AU45" i="152"/>
  <c r="AY46" i="152"/>
  <c r="AU49" i="152"/>
  <c r="BW50" i="152"/>
  <c r="AM52" i="152"/>
  <c r="BW53" i="152"/>
  <c r="BC55" i="152"/>
  <c r="AE57" i="152"/>
  <c r="BO60" i="152"/>
  <c r="BO62" i="152"/>
  <c r="BW64" i="152"/>
  <c r="BG67" i="152"/>
  <c r="BG71" i="152"/>
  <c r="AZ6" i="151"/>
  <c r="AB4" i="151"/>
  <c r="AZ4" i="151"/>
  <c r="AC6" i="151"/>
  <c r="BA6" i="151"/>
  <c r="O7" i="151"/>
  <c r="BK7" i="151"/>
  <c r="W9" i="151"/>
  <c r="BS9" i="151"/>
  <c r="AE11" i="151"/>
  <c r="BG12" i="151"/>
  <c r="AM13" i="151"/>
  <c r="S14" i="151"/>
  <c r="BO14" i="151"/>
  <c r="AU15" i="151"/>
  <c r="AA16" i="151"/>
  <c r="BW16" i="151"/>
  <c r="BC17" i="151"/>
  <c r="AI18" i="151"/>
  <c r="O19" i="151"/>
  <c r="BK19" i="151"/>
  <c r="BS20" i="151"/>
  <c r="BO21" i="151"/>
  <c r="O23" i="151"/>
  <c r="O24" i="151"/>
  <c r="AE25" i="151"/>
  <c r="AY26" i="151"/>
  <c r="BW27" i="151"/>
  <c r="AM30" i="151"/>
  <c r="AA32" i="151"/>
  <c r="AM34" i="151"/>
  <c r="W37" i="151"/>
  <c r="BG40" i="151"/>
  <c r="AY43" i="151"/>
  <c r="O47" i="151"/>
  <c r="AQ53" i="151"/>
  <c r="BW56" i="151"/>
  <c r="AE63" i="151"/>
  <c r="BO66" i="151"/>
  <c r="W73" i="151"/>
  <c r="AY79" i="151"/>
  <c r="AI72" i="151"/>
  <c r="AI60" i="151"/>
  <c r="AI48" i="151"/>
  <c r="AI36" i="151"/>
  <c r="AI24" i="151"/>
  <c r="AI79" i="151"/>
  <c r="AI67" i="151"/>
  <c r="AI55" i="151"/>
  <c r="AI43" i="151"/>
  <c r="AI31" i="151"/>
  <c r="AI74" i="151"/>
  <c r="AI62" i="151"/>
  <c r="AI50" i="151"/>
  <c r="AI38" i="151"/>
  <c r="AI26" i="151"/>
  <c r="AI81" i="151"/>
  <c r="AI69" i="151"/>
  <c r="AI57" i="151"/>
  <c r="AI45" i="151"/>
  <c r="AI33" i="151"/>
  <c r="AI21" i="151"/>
  <c r="AI76" i="151"/>
  <c r="AI64" i="151"/>
  <c r="AI52" i="151"/>
  <c r="AI40" i="151"/>
  <c r="AI28" i="151"/>
  <c r="AI71" i="151"/>
  <c r="AI59" i="151"/>
  <c r="AI47" i="151"/>
  <c r="AI35" i="151"/>
  <c r="AI78" i="151"/>
  <c r="AI66" i="151"/>
  <c r="AI54" i="151"/>
  <c r="AI42" i="151"/>
  <c r="AI73" i="151"/>
  <c r="AI61" i="151"/>
  <c r="AI49" i="151"/>
  <c r="AI37" i="151"/>
  <c r="AI80" i="151"/>
  <c r="AI68" i="151"/>
  <c r="AI56" i="151"/>
  <c r="AI44" i="151"/>
  <c r="AI77" i="151"/>
  <c r="AI65" i="151"/>
  <c r="AI53" i="151"/>
  <c r="AI41" i="151"/>
  <c r="BG78" i="151"/>
  <c r="BG66" i="151"/>
  <c r="BG54" i="151"/>
  <c r="BG42" i="151"/>
  <c r="BG30" i="151"/>
  <c r="BG73" i="151"/>
  <c r="BG61" i="151"/>
  <c r="BG49" i="151"/>
  <c r="BG37" i="151"/>
  <c r="BG25" i="151"/>
  <c r="BG80" i="151"/>
  <c r="BG68" i="151"/>
  <c r="BG56" i="151"/>
  <c r="BG44" i="151"/>
  <c r="BG32" i="151"/>
  <c r="BG20" i="151"/>
  <c r="BG75" i="151"/>
  <c r="BG63" i="151"/>
  <c r="BG51" i="151"/>
  <c r="BG39" i="151"/>
  <c r="BG27" i="151"/>
  <c r="BG82" i="151"/>
  <c r="BG70" i="151"/>
  <c r="BG58" i="151"/>
  <c r="BG46" i="151"/>
  <c r="BG34" i="151"/>
  <c r="BG22" i="151"/>
  <c r="BG77" i="151"/>
  <c r="BG65" i="151"/>
  <c r="BG53" i="151"/>
  <c r="BG41" i="151"/>
  <c r="BG72" i="151"/>
  <c r="BG60" i="151"/>
  <c r="BG48" i="151"/>
  <c r="BG36" i="151"/>
  <c r="BG79" i="151"/>
  <c r="BG67" i="151"/>
  <c r="BG55" i="151"/>
  <c r="BG43" i="151"/>
  <c r="BG31" i="151"/>
  <c r="BG74" i="151"/>
  <c r="BG62" i="151"/>
  <c r="BG50" i="151"/>
  <c r="BG38" i="151"/>
  <c r="BG71" i="151"/>
  <c r="BG59" i="151"/>
  <c r="BG47" i="151"/>
  <c r="BG35" i="151"/>
  <c r="AD6" i="151"/>
  <c r="AE6" i="151" s="1"/>
  <c r="BB6" i="151"/>
  <c r="BC6" i="151" s="1"/>
  <c r="AU8" i="151"/>
  <c r="BC10" i="151"/>
  <c r="AI11" i="151"/>
  <c r="O12" i="151"/>
  <c r="BK12" i="151"/>
  <c r="W14" i="151"/>
  <c r="BS14" i="151"/>
  <c r="AE16" i="151"/>
  <c r="BG17" i="151"/>
  <c r="AM18" i="151"/>
  <c r="BS21" i="151"/>
  <c r="AM24" i="151"/>
  <c r="AI25" i="151"/>
  <c r="BC26" i="151"/>
  <c r="AM29" i="151"/>
  <c r="BK30" i="151"/>
  <c r="AE32" i="151"/>
  <c r="AA37" i="151"/>
  <c r="BK40" i="151"/>
  <c r="S47" i="151"/>
  <c r="AY50" i="151"/>
  <c r="AQ60" i="151"/>
  <c r="AI63" i="151"/>
  <c r="BS66" i="151"/>
  <c r="AI70" i="151"/>
  <c r="AA73" i="151"/>
  <c r="BK76" i="151"/>
  <c r="AF4" i="151"/>
  <c r="BD4" i="151"/>
  <c r="W7" i="151"/>
  <c r="BS7" i="151"/>
  <c r="AE9" i="151"/>
  <c r="BG10" i="151"/>
  <c r="AM11" i="151"/>
  <c r="AU13" i="151"/>
  <c r="BC15" i="151"/>
  <c r="AI16" i="151"/>
  <c r="O17" i="151"/>
  <c r="BK17" i="151"/>
  <c r="W19" i="151"/>
  <c r="BS19" i="151"/>
  <c r="W23" i="151"/>
  <c r="AQ24" i="151"/>
  <c r="AM25" i="151"/>
  <c r="BG26" i="151"/>
  <c r="AQ29" i="151"/>
  <c r="BO30" i="151"/>
  <c r="AI32" i="151"/>
  <c r="BS37" i="151"/>
  <c r="AA44" i="151"/>
  <c r="BC50" i="151"/>
  <c r="S54" i="151"/>
  <c r="BC57" i="151"/>
  <c r="AU60" i="151"/>
  <c r="BS73" i="151"/>
  <c r="AA80" i="151"/>
  <c r="O73" i="151"/>
  <c r="O61" i="151"/>
  <c r="O49" i="151"/>
  <c r="O37" i="151"/>
  <c r="O25" i="151"/>
  <c r="O80" i="151"/>
  <c r="O68" i="151"/>
  <c r="O56" i="151"/>
  <c r="O44" i="151"/>
  <c r="O32" i="151"/>
  <c r="O20" i="151"/>
  <c r="O75" i="151"/>
  <c r="O63" i="151"/>
  <c r="O51" i="151"/>
  <c r="O39" i="151"/>
  <c r="O27" i="151"/>
  <c r="O82" i="151"/>
  <c r="O70" i="151"/>
  <c r="O58" i="151"/>
  <c r="O46" i="151"/>
  <c r="O34" i="151"/>
  <c r="O22" i="151"/>
  <c r="O77" i="151"/>
  <c r="O65" i="151"/>
  <c r="O53" i="151"/>
  <c r="O41" i="151"/>
  <c r="O29" i="151"/>
  <c r="O72" i="151"/>
  <c r="O60" i="151"/>
  <c r="O48" i="151"/>
  <c r="O36" i="151"/>
  <c r="O79" i="151"/>
  <c r="O67" i="151"/>
  <c r="O55" i="151"/>
  <c r="O43" i="151"/>
  <c r="O74" i="151"/>
  <c r="O62" i="151"/>
  <c r="O50" i="151"/>
  <c r="O38" i="151"/>
  <c r="O81" i="151"/>
  <c r="O69" i="151"/>
  <c r="O57" i="151"/>
  <c r="O45" i="151"/>
  <c r="O78" i="151"/>
  <c r="O66" i="151"/>
  <c r="O54" i="151"/>
  <c r="O42" i="151"/>
  <c r="AM79" i="151"/>
  <c r="AM67" i="151"/>
  <c r="AM55" i="151"/>
  <c r="AM43" i="151"/>
  <c r="AM31" i="151"/>
  <c r="AM74" i="151"/>
  <c r="AM62" i="151"/>
  <c r="AM50" i="151"/>
  <c r="AM38" i="151"/>
  <c r="AM26" i="151"/>
  <c r="AM81" i="151"/>
  <c r="AM69" i="151"/>
  <c r="AM57" i="151"/>
  <c r="AM45" i="151"/>
  <c r="AM33" i="151"/>
  <c r="AM21" i="151"/>
  <c r="AM76" i="151"/>
  <c r="AM64" i="151"/>
  <c r="AM52" i="151"/>
  <c r="AM40" i="151"/>
  <c r="AM28" i="151"/>
  <c r="AM71" i="151"/>
  <c r="AM59" i="151"/>
  <c r="AM47" i="151"/>
  <c r="AM35" i="151"/>
  <c r="AM23" i="151"/>
  <c r="AM78" i="151"/>
  <c r="AM66" i="151"/>
  <c r="AM54" i="151"/>
  <c r="AM42" i="151"/>
  <c r="AM73" i="151"/>
  <c r="AM61" i="151"/>
  <c r="AM49" i="151"/>
  <c r="AM37" i="151"/>
  <c r="AM80" i="151"/>
  <c r="AM68" i="151"/>
  <c r="AM56" i="151"/>
  <c r="AM44" i="151"/>
  <c r="AM32" i="151"/>
  <c r="AM75" i="151"/>
  <c r="AM63" i="151"/>
  <c r="AM51" i="151"/>
  <c r="AM39" i="151"/>
  <c r="AM82" i="151"/>
  <c r="AM72" i="151"/>
  <c r="AM60" i="151"/>
  <c r="AM48" i="151"/>
  <c r="AM36" i="151"/>
  <c r="BK73" i="151"/>
  <c r="BK61" i="151"/>
  <c r="BK49" i="151"/>
  <c r="BK37" i="151"/>
  <c r="BK25" i="151"/>
  <c r="BK80" i="151"/>
  <c r="BK68" i="151"/>
  <c r="BK56" i="151"/>
  <c r="BK44" i="151"/>
  <c r="BK32" i="151"/>
  <c r="BK20" i="151"/>
  <c r="BK75" i="151"/>
  <c r="BK63" i="151"/>
  <c r="BK51" i="151"/>
  <c r="BK39" i="151"/>
  <c r="BK27" i="151"/>
  <c r="BK82" i="151"/>
  <c r="BK70" i="151"/>
  <c r="BK58" i="151"/>
  <c r="BK46" i="151"/>
  <c r="BK34" i="151"/>
  <c r="BK22" i="151"/>
  <c r="BK77" i="151"/>
  <c r="BK65" i="151"/>
  <c r="BK53" i="151"/>
  <c r="BK41" i="151"/>
  <c r="BK29" i="151"/>
  <c r="BK72" i="151"/>
  <c r="BK60" i="151"/>
  <c r="BK48" i="151"/>
  <c r="BK36" i="151"/>
  <c r="BK79" i="151"/>
  <c r="BK67" i="151"/>
  <c r="BK55" i="151"/>
  <c r="BK43" i="151"/>
  <c r="BK74" i="151"/>
  <c r="BK62" i="151"/>
  <c r="BK50" i="151"/>
  <c r="BK38" i="151"/>
  <c r="BK26" i="151"/>
  <c r="BK81" i="151"/>
  <c r="BK69" i="151"/>
  <c r="BK57" i="151"/>
  <c r="BK45" i="151"/>
  <c r="BK78" i="151"/>
  <c r="BK66" i="151"/>
  <c r="BK54" i="151"/>
  <c r="BK42" i="151"/>
  <c r="T5" i="151"/>
  <c r="W5" i="151" s="1"/>
  <c r="AR5" i="151"/>
  <c r="AU5" i="151" s="1"/>
  <c r="BP5" i="151"/>
  <c r="BS5" i="151" s="1"/>
  <c r="T6" i="151"/>
  <c r="AF6" i="151"/>
  <c r="AR6" i="151"/>
  <c r="BD6" i="151"/>
  <c r="BP6" i="151"/>
  <c r="BC8" i="151"/>
  <c r="AI9" i="151"/>
  <c r="O10" i="151"/>
  <c r="BK10" i="151"/>
  <c r="W12" i="151"/>
  <c r="BS12" i="151"/>
  <c r="AE14" i="151"/>
  <c r="BG15" i="151"/>
  <c r="AM16" i="151"/>
  <c r="AU18" i="151"/>
  <c r="O21" i="151"/>
  <c r="AU24" i="151"/>
  <c r="S28" i="151"/>
  <c r="AU29" i="151"/>
  <c r="BS30" i="151"/>
  <c r="AQ32" i="151"/>
  <c r="O35" i="151"/>
  <c r="BW37" i="151"/>
  <c r="AM41" i="151"/>
  <c r="AE44" i="151"/>
  <c r="BO47" i="151"/>
  <c r="W54" i="151"/>
  <c r="BG57" i="151"/>
  <c r="O64" i="151"/>
  <c r="AU67" i="151"/>
  <c r="BW73" i="151"/>
  <c r="AM77" i="151"/>
  <c r="AE80" i="151"/>
  <c r="L4" i="151"/>
  <c r="AJ4" i="151"/>
  <c r="BH4" i="151"/>
  <c r="U6" i="151"/>
  <c r="AG6" i="151"/>
  <c r="AS6" i="151"/>
  <c r="BE6" i="151"/>
  <c r="BQ6" i="151"/>
  <c r="AE7" i="151"/>
  <c r="BG8" i="151"/>
  <c r="AM9" i="151"/>
  <c r="AU11" i="151"/>
  <c r="BC13" i="151"/>
  <c r="AI14" i="151"/>
  <c r="O15" i="151"/>
  <c r="BK15" i="151"/>
  <c r="W17" i="151"/>
  <c r="BS17" i="151"/>
  <c r="AE19" i="151"/>
  <c r="W20" i="151"/>
  <c r="AE22" i="151"/>
  <c r="AE23" i="151"/>
  <c r="BS26" i="151"/>
  <c r="AQ41" i="151"/>
  <c r="BW44" i="151"/>
  <c r="AE51" i="151"/>
  <c r="W61" i="151"/>
  <c r="BG64" i="151"/>
  <c r="AY67" i="151"/>
  <c r="O71" i="151"/>
  <c r="BW80" i="151"/>
  <c r="BC71" i="151"/>
  <c r="BC59" i="151"/>
  <c r="BC47" i="151"/>
  <c r="BC35" i="151"/>
  <c r="BC23" i="151"/>
  <c r="BC78" i="151"/>
  <c r="BC66" i="151"/>
  <c r="BC54" i="151"/>
  <c r="BC42" i="151"/>
  <c r="BC30" i="151"/>
  <c r="BC73" i="151"/>
  <c r="BC61" i="151"/>
  <c r="BC49" i="151"/>
  <c r="BC37" i="151"/>
  <c r="BC25" i="151"/>
  <c r="BC80" i="151"/>
  <c r="BC68" i="151"/>
  <c r="BC56" i="151"/>
  <c r="BC44" i="151"/>
  <c r="BC32" i="151"/>
  <c r="BC20" i="151"/>
  <c r="BC75" i="151"/>
  <c r="BC63" i="151"/>
  <c r="BC51" i="151"/>
  <c r="BC39" i="151"/>
  <c r="BC27" i="151"/>
  <c r="BC82" i="151"/>
  <c r="BC70" i="151"/>
  <c r="BC58" i="151"/>
  <c r="BC46" i="151"/>
  <c r="BC34" i="151"/>
  <c r="BC77" i="151"/>
  <c r="BC65" i="151"/>
  <c r="BC53" i="151"/>
  <c r="BC41" i="151"/>
  <c r="BC72" i="151"/>
  <c r="BC60" i="151"/>
  <c r="BC48" i="151"/>
  <c r="BC36" i="151"/>
  <c r="BC79" i="151"/>
  <c r="BC67" i="151"/>
  <c r="BC55" i="151"/>
  <c r="BC43" i="151"/>
  <c r="BC76" i="151"/>
  <c r="BC64" i="151"/>
  <c r="BC52" i="151"/>
  <c r="BC40" i="151"/>
  <c r="S80" i="151"/>
  <c r="S68" i="151"/>
  <c r="S56" i="151"/>
  <c r="S44" i="151"/>
  <c r="S32" i="151"/>
  <c r="S20" i="151"/>
  <c r="S75" i="151"/>
  <c r="S63" i="151"/>
  <c r="S51" i="151"/>
  <c r="S39" i="151"/>
  <c r="S27" i="151"/>
  <c r="S82" i="151"/>
  <c r="S70" i="151"/>
  <c r="S58" i="151"/>
  <c r="S46" i="151"/>
  <c r="S34" i="151"/>
  <c r="S22" i="151"/>
  <c r="S77" i="151"/>
  <c r="S65" i="151"/>
  <c r="S53" i="151"/>
  <c r="S41" i="151"/>
  <c r="S29" i="151"/>
  <c r="S72" i="151"/>
  <c r="S60" i="151"/>
  <c r="S48" i="151"/>
  <c r="S36" i="151"/>
  <c r="S24" i="151"/>
  <c r="S79" i="151"/>
  <c r="S67" i="151"/>
  <c r="S55" i="151"/>
  <c r="S43" i="151"/>
  <c r="S31" i="151"/>
  <c r="S74" i="151"/>
  <c r="S62" i="151"/>
  <c r="S50" i="151"/>
  <c r="S38" i="151"/>
  <c r="S81" i="151"/>
  <c r="S69" i="151"/>
  <c r="S57" i="151"/>
  <c r="S45" i="151"/>
  <c r="S33" i="151"/>
  <c r="S76" i="151"/>
  <c r="S64" i="151"/>
  <c r="S52" i="151"/>
  <c r="S40" i="151"/>
  <c r="S73" i="151"/>
  <c r="S61" i="151"/>
  <c r="S49" i="151"/>
  <c r="S37" i="151"/>
  <c r="AQ74" i="151"/>
  <c r="AQ62" i="151"/>
  <c r="AQ50" i="151"/>
  <c r="AQ38" i="151"/>
  <c r="AQ26" i="151"/>
  <c r="AQ81" i="151"/>
  <c r="AQ69" i="151"/>
  <c r="AQ57" i="151"/>
  <c r="AQ45" i="151"/>
  <c r="AQ33" i="151"/>
  <c r="AQ21" i="151"/>
  <c r="AQ76" i="151"/>
  <c r="AQ64" i="151"/>
  <c r="AQ52" i="151"/>
  <c r="AQ40" i="151"/>
  <c r="AQ28" i="151"/>
  <c r="AQ71" i="151"/>
  <c r="AQ59" i="151"/>
  <c r="AQ47" i="151"/>
  <c r="AQ35" i="151"/>
  <c r="AQ23" i="151"/>
  <c r="AQ78" i="151"/>
  <c r="AQ66" i="151"/>
  <c r="AQ54" i="151"/>
  <c r="AQ42" i="151"/>
  <c r="AQ30" i="151"/>
  <c r="AQ73" i="151"/>
  <c r="AQ61" i="151"/>
  <c r="AQ49" i="151"/>
  <c r="AQ37" i="151"/>
  <c r="AQ80" i="151"/>
  <c r="AQ68" i="151"/>
  <c r="AQ56" i="151"/>
  <c r="AQ44" i="151"/>
  <c r="AQ75" i="151"/>
  <c r="AQ63" i="151"/>
  <c r="AQ51" i="151"/>
  <c r="AQ39" i="151"/>
  <c r="AQ27" i="151"/>
  <c r="AQ82" i="151"/>
  <c r="AQ70" i="151"/>
  <c r="AQ58" i="151"/>
  <c r="AQ46" i="151"/>
  <c r="AQ79" i="151"/>
  <c r="AQ67" i="151"/>
  <c r="AQ55" i="151"/>
  <c r="AQ43" i="151"/>
  <c r="AQ31" i="151"/>
  <c r="BO80" i="151"/>
  <c r="BO68" i="151"/>
  <c r="BO56" i="151"/>
  <c r="BO44" i="151"/>
  <c r="BO32" i="151"/>
  <c r="BO20" i="151"/>
  <c r="BO75" i="151"/>
  <c r="BO63" i="151"/>
  <c r="BO51" i="151"/>
  <c r="BO39" i="151"/>
  <c r="BO27" i="151"/>
  <c r="BO82" i="151"/>
  <c r="BO70" i="151"/>
  <c r="BO58" i="151"/>
  <c r="BO46" i="151"/>
  <c r="BO34" i="151"/>
  <c r="BO22" i="151"/>
  <c r="BO77" i="151"/>
  <c r="BO65" i="151"/>
  <c r="BO53" i="151"/>
  <c r="BO41" i="151"/>
  <c r="BO29" i="151"/>
  <c r="BO72" i="151"/>
  <c r="BO60" i="151"/>
  <c r="BO48" i="151"/>
  <c r="BO36" i="151"/>
  <c r="BO24" i="151"/>
  <c r="BO79" i="151"/>
  <c r="BO67" i="151"/>
  <c r="BO55" i="151"/>
  <c r="BO43" i="151"/>
  <c r="BO31" i="151"/>
  <c r="BO74" i="151"/>
  <c r="BO62" i="151"/>
  <c r="BO50" i="151"/>
  <c r="BO38" i="151"/>
  <c r="BO81" i="151"/>
  <c r="BO69" i="151"/>
  <c r="BO57" i="151"/>
  <c r="BO45" i="151"/>
  <c r="BO33" i="151"/>
  <c r="BO76" i="151"/>
  <c r="BO64" i="151"/>
  <c r="BO52" i="151"/>
  <c r="BO40" i="151"/>
  <c r="BO73" i="151"/>
  <c r="BO61" i="151"/>
  <c r="BO49" i="151"/>
  <c r="BO37" i="151"/>
  <c r="X5" i="151"/>
  <c r="AA5" i="151" s="1"/>
  <c r="AV5" i="151"/>
  <c r="AY5" i="151" s="1"/>
  <c r="BT5" i="151"/>
  <c r="BW5" i="151" s="1"/>
  <c r="V6" i="151"/>
  <c r="W6" i="151" s="1"/>
  <c r="AH6" i="151"/>
  <c r="AI6" i="151" s="1"/>
  <c r="AT6" i="151"/>
  <c r="AU6" i="151" s="1"/>
  <c r="BF6" i="151"/>
  <c r="BG6" i="151" s="1"/>
  <c r="BR6" i="151"/>
  <c r="BS6" i="151" s="1"/>
  <c r="AI7" i="151"/>
  <c r="O8" i="151"/>
  <c r="BK8" i="151"/>
  <c r="AQ9" i="151"/>
  <c r="W10" i="151"/>
  <c r="BS10" i="151"/>
  <c r="AY11" i="151"/>
  <c r="AE12" i="151"/>
  <c r="BG13" i="151"/>
  <c r="AM14" i="151"/>
  <c r="S15" i="151"/>
  <c r="BO15" i="151"/>
  <c r="AU16" i="151"/>
  <c r="AA17" i="151"/>
  <c r="BW17" i="151"/>
  <c r="BC18" i="151"/>
  <c r="AI19" i="151"/>
  <c r="AA20" i="151"/>
  <c r="W21" i="151"/>
  <c r="AI22" i="151"/>
  <c r="AI23" i="151"/>
  <c r="BC24" i="151"/>
  <c r="BS25" i="151"/>
  <c r="BG29" i="151"/>
  <c r="W35" i="151"/>
  <c r="AY38" i="151"/>
  <c r="AQ48" i="151"/>
  <c r="AI51" i="151"/>
  <c r="BS54" i="151"/>
  <c r="AI58" i="151"/>
  <c r="AA61" i="151"/>
  <c r="BK64" i="151"/>
  <c r="S71" i="151"/>
  <c r="AY74" i="151"/>
  <c r="AE77" i="151"/>
  <c r="AE65" i="151"/>
  <c r="AE53" i="151"/>
  <c r="AE41" i="151"/>
  <c r="AE29" i="151"/>
  <c r="AE72" i="151"/>
  <c r="AE60" i="151"/>
  <c r="AE48" i="151"/>
  <c r="AE36" i="151"/>
  <c r="AE24" i="151"/>
  <c r="AE79" i="151"/>
  <c r="AE67" i="151"/>
  <c r="AE55" i="151"/>
  <c r="AE43" i="151"/>
  <c r="AE31" i="151"/>
  <c r="AE74" i="151"/>
  <c r="AE62" i="151"/>
  <c r="AE50" i="151"/>
  <c r="AE38" i="151"/>
  <c r="AE26" i="151"/>
  <c r="AE81" i="151"/>
  <c r="AE69" i="151"/>
  <c r="AE57" i="151"/>
  <c r="AE45" i="151"/>
  <c r="AE33" i="151"/>
  <c r="AE76" i="151"/>
  <c r="AE64" i="151"/>
  <c r="AE52" i="151"/>
  <c r="AE40" i="151"/>
  <c r="AE71" i="151"/>
  <c r="AE59" i="151"/>
  <c r="AE47" i="151"/>
  <c r="AE35" i="151"/>
  <c r="AE78" i="151"/>
  <c r="AE66" i="151"/>
  <c r="AE54" i="151"/>
  <c r="AE42" i="151"/>
  <c r="AE30" i="151"/>
  <c r="AE73" i="151"/>
  <c r="AE61" i="151"/>
  <c r="AE49" i="151"/>
  <c r="AE37" i="151"/>
  <c r="AE82" i="151"/>
  <c r="AE70" i="151"/>
  <c r="AE58" i="151"/>
  <c r="AE46" i="151"/>
  <c r="AE34" i="151"/>
  <c r="BC12" i="151"/>
  <c r="AE56" i="151"/>
  <c r="AM7" i="151"/>
  <c r="S8" i="151"/>
  <c r="BO8" i="151"/>
  <c r="AU9" i="151"/>
  <c r="AA10" i="151"/>
  <c r="BW10" i="151"/>
  <c r="BC11" i="151"/>
  <c r="AI12" i="151"/>
  <c r="O13" i="151"/>
  <c r="BK13" i="151"/>
  <c r="AQ14" i="151"/>
  <c r="BS15" i="151"/>
  <c r="AY16" i="151"/>
  <c r="AE17" i="151"/>
  <c r="BG18" i="151"/>
  <c r="AM19" i="151"/>
  <c r="AE20" i="151"/>
  <c r="AA21" i="151"/>
  <c r="AM22" i="151"/>
  <c r="BG23" i="151"/>
  <c r="BG24" i="151"/>
  <c r="BW25" i="151"/>
  <c r="AA27" i="151"/>
  <c r="BC28" i="151"/>
  <c r="O31" i="151"/>
  <c r="O33" i="151"/>
  <c r="BK35" i="151"/>
  <c r="BC38" i="151"/>
  <c r="S42" i="151"/>
  <c r="BC45" i="151"/>
  <c r="AM58" i="151"/>
  <c r="AA68" i="151"/>
  <c r="BK71" i="151"/>
  <c r="BC74" i="151"/>
  <c r="S78" i="151"/>
  <c r="BC81" i="151"/>
  <c r="W75" i="151"/>
  <c r="W63" i="151"/>
  <c r="W51" i="151"/>
  <c r="W39" i="151"/>
  <c r="W27" i="151"/>
  <c r="W82" i="151"/>
  <c r="W70" i="151"/>
  <c r="W58" i="151"/>
  <c r="W46" i="151"/>
  <c r="W34" i="151"/>
  <c r="W22" i="151"/>
  <c r="W77" i="151"/>
  <c r="W65" i="151"/>
  <c r="W53" i="151"/>
  <c r="W41" i="151"/>
  <c r="W29" i="151"/>
  <c r="W72" i="151"/>
  <c r="W60" i="151"/>
  <c r="W48" i="151"/>
  <c r="W36" i="151"/>
  <c r="W24" i="151"/>
  <c r="W79" i="151"/>
  <c r="W67" i="151"/>
  <c r="W55" i="151"/>
  <c r="W43" i="151"/>
  <c r="W31" i="151"/>
  <c r="W74" i="151"/>
  <c r="W62" i="151"/>
  <c r="W50" i="151"/>
  <c r="W38" i="151"/>
  <c r="W81" i="151"/>
  <c r="W69" i="151"/>
  <c r="W57" i="151"/>
  <c r="W45" i="151"/>
  <c r="W33" i="151"/>
  <c r="W76" i="151"/>
  <c r="W64" i="151"/>
  <c r="W52" i="151"/>
  <c r="W40" i="151"/>
  <c r="W28" i="151"/>
  <c r="W71" i="151"/>
  <c r="W59" i="151"/>
  <c r="W47" i="151"/>
  <c r="W80" i="151"/>
  <c r="W68" i="151"/>
  <c r="W56" i="151"/>
  <c r="W44" i="151"/>
  <c r="W32" i="151"/>
  <c r="AU81" i="151"/>
  <c r="AU69" i="151"/>
  <c r="AU57" i="151"/>
  <c r="AU45" i="151"/>
  <c r="AU33" i="151"/>
  <c r="AU21" i="151"/>
  <c r="AU76" i="151"/>
  <c r="AU64" i="151"/>
  <c r="AU52" i="151"/>
  <c r="AU40" i="151"/>
  <c r="AU28" i="151"/>
  <c r="AU71" i="151"/>
  <c r="AU59" i="151"/>
  <c r="AU47" i="151"/>
  <c r="AU35" i="151"/>
  <c r="AU23" i="151"/>
  <c r="AU78" i="151"/>
  <c r="AU66" i="151"/>
  <c r="AU54" i="151"/>
  <c r="AU42" i="151"/>
  <c r="AU30" i="151"/>
  <c r="AU73" i="151"/>
  <c r="AU61" i="151"/>
  <c r="AU49" i="151"/>
  <c r="AU37" i="151"/>
  <c r="AU25" i="151"/>
  <c r="AU80" i="151"/>
  <c r="AU68" i="151"/>
  <c r="AU56" i="151"/>
  <c r="AU44" i="151"/>
  <c r="AU32" i="151"/>
  <c r="AU75" i="151"/>
  <c r="AU63" i="151"/>
  <c r="AU51" i="151"/>
  <c r="AU39" i="151"/>
  <c r="AU82" i="151"/>
  <c r="AU70" i="151"/>
  <c r="AU58" i="151"/>
  <c r="AU46" i="151"/>
  <c r="AU34" i="151"/>
  <c r="AU77" i="151"/>
  <c r="AU65" i="151"/>
  <c r="AU53" i="151"/>
  <c r="AU41" i="151"/>
  <c r="AU74" i="151"/>
  <c r="AU62" i="151"/>
  <c r="AU50" i="151"/>
  <c r="AU38" i="151"/>
  <c r="BS75" i="151"/>
  <c r="BS63" i="151"/>
  <c r="BS51" i="151"/>
  <c r="BS39" i="151"/>
  <c r="BS27" i="151"/>
  <c r="BS82" i="151"/>
  <c r="BS70" i="151"/>
  <c r="BS58" i="151"/>
  <c r="BS46" i="151"/>
  <c r="BS34" i="151"/>
  <c r="BS22" i="151"/>
  <c r="BS77" i="151"/>
  <c r="BS65" i="151"/>
  <c r="BS53" i="151"/>
  <c r="BS41" i="151"/>
  <c r="BS29" i="151"/>
  <c r="BS72" i="151"/>
  <c r="BS60" i="151"/>
  <c r="BS48" i="151"/>
  <c r="BS36" i="151"/>
  <c r="BS24" i="151"/>
  <c r="BS79" i="151"/>
  <c r="BS67" i="151"/>
  <c r="BS55" i="151"/>
  <c r="BS43" i="151"/>
  <c r="BS31" i="151"/>
  <c r="BS74" i="151"/>
  <c r="BS62" i="151"/>
  <c r="BS50" i="151"/>
  <c r="BS38" i="151"/>
  <c r="BS81" i="151"/>
  <c r="BS69" i="151"/>
  <c r="BS57" i="151"/>
  <c r="BS45" i="151"/>
  <c r="BS33" i="151"/>
  <c r="BS76" i="151"/>
  <c r="BS64" i="151"/>
  <c r="BS52" i="151"/>
  <c r="BS40" i="151"/>
  <c r="BS28" i="151"/>
  <c r="BS71" i="151"/>
  <c r="BS59" i="151"/>
  <c r="BS47" i="151"/>
  <c r="BS35" i="151"/>
  <c r="BS80" i="151"/>
  <c r="BS68" i="151"/>
  <c r="BS56" i="151"/>
  <c r="BS44" i="151"/>
  <c r="BS32" i="151"/>
  <c r="AB5" i="151"/>
  <c r="AE5" i="151" s="1"/>
  <c r="AZ5" i="151"/>
  <c r="BC5" i="151" s="1"/>
  <c r="L6" i="151"/>
  <c r="AJ6" i="151"/>
  <c r="BH6" i="151"/>
  <c r="W8" i="151"/>
  <c r="BS8" i="151"/>
  <c r="AE10" i="151"/>
  <c r="BG11" i="151"/>
  <c r="AM12" i="151"/>
  <c r="AU14" i="151"/>
  <c r="BC16" i="151"/>
  <c r="AI17" i="151"/>
  <c r="O18" i="151"/>
  <c r="BK18" i="151"/>
  <c r="AI20" i="151"/>
  <c r="AE21" i="151"/>
  <c r="BK23" i="151"/>
  <c r="BK24" i="151"/>
  <c r="AE27" i="151"/>
  <c r="BG28" i="151"/>
  <c r="O30" i="151"/>
  <c r="AU31" i="151"/>
  <c r="BC33" i="151"/>
  <c r="BO35" i="151"/>
  <c r="W42" i="151"/>
  <c r="BG45" i="151"/>
  <c r="O52" i="151"/>
  <c r="AU55" i="151"/>
  <c r="BW61" i="151"/>
  <c r="AM65" i="151"/>
  <c r="AE68" i="151"/>
  <c r="BO71" i="151"/>
  <c r="W78" i="151"/>
  <c r="BG81" i="151"/>
  <c r="AB6" i="151"/>
  <c r="AE18" i="151"/>
  <c r="T4" i="151"/>
  <c r="AR4" i="151"/>
  <c r="BP4" i="151"/>
  <c r="M6" i="151"/>
  <c r="Y6" i="151"/>
  <c r="AK6" i="151"/>
  <c r="AW6" i="151"/>
  <c r="BI6" i="151"/>
  <c r="BU6" i="151"/>
  <c r="AU7" i="151"/>
  <c r="BW8" i="151"/>
  <c r="BC9" i="151"/>
  <c r="AI10" i="151"/>
  <c r="O11" i="151"/>
  <c r="BK11" i="151"/>
  <c r="AQ12" i="151"/>
  <c r="W13" i="151"/>
  <c r="BS13" i="151"/>
  <c r="AY14" i="151"/>
  <c r="AE15" i="151"/>
  <c r="BG16" i="151"/>
  <c r="AM17" i="151"/>
  <c r="S18" i="151"/>
  <c r="BO18" i="151"/>
  <c r="AU19" i="151"/>
  <c r="AM20" i="151"/>
  <c r="AY21" i="151"/>
  <c r="AU22" i="151"/>
  <c r="BO23" i="151"/>
  <c r="O26" i="151"/>
  <c r="AI27" i="151"/>
  <c r="BK28" i="151"/>
  <c r="S30" i="151"/>
  <c r="AY31" i="151"/>
  <c r="BG33" i="151"/>
  <c r="AE39" i="151"/>
  <c r="BO42" i="151"/>
  <c r="W49" i="151"/>
  <c r="BG52" i="151"/>
  <c r="O59" i="151"/>
  <c r="AQ65" i="151"/>
  <c r="AE75" i="151"/>
  <c r="BO78" i="151"/>
  <c r="AA82" i="151"/>
  <c r="AA70" i="151"/>
  <c r="AA58" i="151"/>
  <c r="AA46" i="151"/>
  <c r="AA34" i="151"/>
  <c r="AA22" i="151"/>
  <c r="AA77" i="151"/>
  <c r="AA65" i="151"/>
  <c r="AA53" i="151"/>
  <c r="AA41" i="151"/>
  <c r="AA29" i="151"/>
  <c r="AA72" i="151"/>
  <c r="AA60" i="151"/>
  <c r="AA48" i="151"/>
  <c r="AA36" i="151"/>
  <c r="AA24" i="151"/>
  <c r="AA79" i="151"/>
  <c r="AA67" i="151"/>
  <c r="AA55" i="151"/>
  <c r="AA43" i="151"/>
  <c r="AA31" i="151"/>
  <c r="AA74" i="151"/>
  <c r="AA62" i="151"/>
  <c r="AA50" i="151"/>
  <c r="AA38" i="151"/>
  <c r="AA26" i="151"/>
  <c r="AA81" i="151"/>
  <c r="AA69" i="151"/>
  <c r="AA57" i="151"/>
  <c r="AA45" i="151"/>
  <c r="AA33" i="151"/>
  <c r="AA76" i="151"/>
  <c r="AA64" i="151"/>
  <c r="AA52" i="151"/>
  <c r="AA40" i="151"/>
  <c r="AA71" i="151"/>
  <c r="AA59" i="151"/>
  <c r="AA47" i="151"/>
  <c r="AA35" i="151"/>
  <c r="AA78" i="151"/>
  <c r="AA66" i="151"/>
  <c r="AA54" i="151"/>
  <c r="AA42" i="151"/>
  <c r="AA75" i="151"/>
  <c r="AA63" i="151"/>
  <c r="AA51" i="151"/>
  <c r="AA39" i="151"/>
  <c r="AY76" i="151"/>
  <c r="AY64" i="151"/>
  <c r="AY52" i="151"/>
  <c r="AY40" i="151"/>
  <c r="AY28" i="151"/>
  <c r="AY71" i="151"/>
  <c r="AY59" i="151"/>
  <c r="AY47" i="151"/>
  <c r="AY35" i="151"/>
  <c r="AY23" i="151"/>
  <c r="AY78" i="151"/>
  <c r="AY66" i="151"/>
  <c r="AY54" i="151"/>
  <c r="AY42" i="151"/>
  <c r="AY30" i="151"/>
  <c r="AY73" i="151"/>
  <c r="AY61" i="151"/>
  <c r="AY49" i="151"/>
  <c r="AY37" i="151"/>
  <c r="AY25" i="151"/>
  <c r="AY80" i="151"/>
  <c r="AY68" i="151"/>
  <c r="AY56" i="151"/>
  <c r="AY44" i="151"/>
  <c r="AY32" i="151"/>
  <c r="AY75" i="151"/>
  <c r="AY63" i="151"/>
  <c r="AY51" i="151"/>
  <c r="AY39" i="151"/>
  <c r="AY82" i="151"/>
  <c r="AY70" i="151"/>
  <c r="AY58" i="151"/>
  <c r="AY46" i="151"/>
  <c r="AY34" i="151"/>
  <c r="AY77" i="151"/>
  <c r="AY65" i="151"/>
  <c r="AY53" i="151"/>
  <c r="AY41" i="151"/>
  <c r="AY29" i="151"/>
  <c r="AY72" i="151"/>
  <c r="AY60" i="151"/>
  <c r="AY48" i="151"/>
  <c r="AY36" i="151"/>
  <c r="AY81" i="151"/>
  <c r="AY69" i="151"/>
  <c r="AY57" i="151"/>
  <c r="AY45" i="151"/>
  <c r="AY33" i="151"/>
  <c r="BW82" i="151"/>
  <c r="BW70" i="151"/>
  <c r="BW58" i="151"/>
  <c r="BW46" i="151"/>
  <c r="BW34" i="151"/>
  <c r="BW22" i="151"/>
  <c r="BW77" i="151"/>
  <c r="BW65" i="151"/>
  <c r="BW53" i="151"/>
  <c r="BW41" i="151"/>
  <c r="BW29" i="151"/>
  <c r="BW72" i="151"/>
  <c r="BW60" i="151"/>
  <c r="BW48" i="151"/>
  <c r="BW36" i="151"/>
  <c r="BW24" i="151"/>
  <c r="BW79" i="151"/>
  <c r="BW67" i="151"/>
  <c r="BW55" i="151"/>
  <c r="BW43" i="151"/>
  <c r="BW31" i="151"/>
  <c r="BW19" i="151"/>
  <c r="BW74" i="151"/>
  <c r="BW62" i="151"/>
  <c r="BW50" i="151"/>
  <c r="BW38" i="151"/>
  <c r="BW26" i="151"/>
  <c r="BW81" i="151"/>
  <c r="BW69" i="151"/>
  <c r="BW57" i="151"/>
  <c r="BW45" i="151"/>
  <c r="BW33" i="151"/>
  <c r="BW76" i="151"/>
  <c r="BW64" i="151"/>
  <c r="BW52" i="151"/>
  <c r="BW40" i="151"/>
  <c r="BW71" i="151"/>
  <c r="BW59" i="151"/>
  <c r="BW47" i="151"/>
  <c r="BW35" i="151"/>
  <c r="BW78" i="151"/>
  <c r="BW66" i="151"/>
  <c r="BW54" i="151"/>
  <c r="BW42" i="151"/>
  <c r="BW75" i="151"/>
  <c r="BW63" i="151"/>
  <c r="BW51" i="151"/>
  <c r="BW39" i="151"/>
  <c r="AF5" i="151"/>
  <c r="AI5" i="151" s="1"/>
  <c r="BD5" i="151"/>
  <c r="BG5" i="151" s="1"/>
  <c r="N6" i="151"/>
  <c r="O6" i="151" s="1"/>
  <c r="Z6" i="151"/>
  <c r="AA6" i="151" s="1"/>
  <c r="AL6" i="151"/>
  <c r="AM6" i="151" s="1"/>
  <c r="AX6" i="151"/>
  <c r="AY6" i="151" s="1"/>
  <c r="BJ6" i="151"/>
  <c r="BK6" i="151" s="1"/>
  <c r="BV6" i="151"/>
  <c r="BW6" i="151" s="1"/>
  <c r="AY7" i="151"/>
  <c r="AE8" i="151"/>
  <c r="BG9" i="151"/>
  <c r="AM10" i="151"/>
  <c r="S11" i="151"/>
  <c r="BO11" i="151"/>
  <c r="AU12" i="151"/>
  <c r="AA13" i="151"/>
  <c r="BW13" i="151"/>
  <c r="BC14" i="151"/>
  <c r="AI15" i="151"/>
  <c r="O16" i="151"/>
  <c r="BK16" i="151"/>
  <c r="AQ17" i="151"/>
  <c r="W18" i="151"/>
  <c r="BS18" i="151"/>
  <c r="AY19" i="151"/>
  <c r="AQ20" i="151"/>
  <c r="BC21" i="151"/>
  <c r="AY22" i="151"/>
  <c r="BS23" i="151"/>
  <c r="S25" i="151"/>
  <c r="S26" i="151"/>
  <c r="AM27" i="151"/>
  <c r="BO28" i="151"/>
  <c r="W30" i="151"/>
  <c r="BC31" i="151"/>
  <c r="BK33" i="151"/>
  <c r="AQ36" i="151"/>
  <c r="AI39" i="151"/>
  <c r="BS42" i="151"/>
  <c r="AI46" i="151"/>
  <c r="AA49" i="151"/>
  <c r="BK52" i="151"/>
  <c r="S59" i="151"/>
  <c r="AY62" i="151"/>
  <c r="AQ72" i="151"/>
  <c r="AI75" i="151"/>
  <c r="BS78" i="151"/>
  <c r="AI82" i="151"/>
  <c r="X4" i="150"/>
  <c r="AV4" i="150"/>
  <c r="BT4" i="150"/>
  <c r="AI8" i="150"/>
  <c r="O9" i="150"/>
  <c r="BK9" i="150"/>
  <c r="AY12" i="150"/>
  <c r="BG14" i="150"/>
  <c r="AM15" i="150"/>
  <c r="S16" i="150"/>
  <c r="AU17" i="150"/>
  <c r="AA18" i="150"/>
  <c r="BW18" i="150"/>
  <c r="BG19" i="150"/>
  <c r="AM20" i="150"/>
  <c r="W21" i="150"/>
  <c r="BW21" i="150"/>
  <c r="BG22" i="150"/>
  <c r="AQ23" i="150"/>
  <c r="AE24" i="150"/>
  <c r="O25" i="150"/>
  <c r="BO25" i="150"/>
  <c r="AU27" i="150"/>
  <c r="AU28" i="150"/>
  <c r="AM29" i="150"/>
  <c r="AA30" i="150"/>
  <c r="W31" i="150"/>
  <c r="BS33" i="150"/>
  <c r="BS34" i="150"/>
  <c r="BO35" i="150"/>
  <c r="BG36" i="150"/>
  <c r="BS37" i="150"/>
  <c r="BO38" i="150"/>
  <c r="W42" i="150"/>
  <c r="AI43" i="150"/>
  <c r="AM44" i="150"/>
  <c r="BG45" i="150"/>
  <c r="BK46" i="150"/>
  <c r="BW47" i="150"/>
  <c r="AA51" i="150"/>
  <c r="AQ53" i="150"/>
  <c r="AU62" i="150"/>
  <c r="AQ67" i="150"/>
  <c r="O73" i="150"/>
  <c r="O61" i="150"/>
  <c r="O49" i="150"/>
  <c r="O37" i="150"/>
  <c r="O80" i="150"/>
  <c r="O68" i="150"/>
  <c r="O56" i="150"/>
  <c r="O75" i="150"/>
  <c r="O63" i="150"/>
  <c r="O51" i="150"/>
  <c r="O39" i="150"/>
  <c r="O27" i="150"/>
  <c r="O82" i="150"/>
  <c r="O70" i="150"/>
  <c r="O58" i="150"/>
  <c r="O77" i="150"/>
  <c r="O65" i="150"/>
  <c r="O53" i="150"/>
  <c r="O41" i="150"/>
  <c r="O72" i="150"/>
  <c r="O60" i="150"/>
  <c r="O48" i="150"/>
  <c r="O36" i="150"/>
  <c r="O79" i="150"/>
  <c r="O67" i="150"/>
  <c r="O55" i="150"/>
  <c r="O74" i="150"/>
  <c r="O62" i="150"/>
  <c r="O81" i="150"/>
  <c r="O69" i="150"/>
  <c r="O57" i="150"/>
  <c r="O76" i="150"/>
  <c r="O64" i="150"/>
  <c r="O71" i="150"/>
  <c r="O59" i="150"/>
  <c r="O47" i="150"/>
  <c r="AE77" i="150"/>
  <c r="AE65" i="150"/>
  <c r="AE53" i="150"/>
  <c r="AE41" i="150"/>
  <c r="AE29" i="150"/>
  <c r="AE72" i="150"/>
  <c r="AE60" i="150"/>
  <c r="AE79" i="150"/>
  <c r="AE67" i="150"/>
  <c r="AE55" i="150"/>
  <c r="AE43" i="150"/>
  <c r="AE31" i="150"/>
  <c r="AE19" i="150"/>
  <c r="AE74" i="150"/>
  <c r="AE62" i="150"/>
  <c r="AE81" i="150"/>
  <c r="AE69" i="150"/>
  <c r="AE57" i="150"/>
  <c r="AE45" i="150"/>
  <c r="AE76" i="150"/>
  <c r="AE64" i="150"/>
  <c r="AE52" i="150"/>
  <c r="AE40" i="150"/>
  <c r="AE28" i="150"/>
  <c r="AE71" i="150"/>
  <c r="AE59" i="150"/>
  <c r="AE78" i="150"/>
  <c r="AE66" i="150"/>
  <c r="AE54" i="150"/>
  <c r="AE73" i="150"/>
  <c r="AE61" i="150"/>
  <c r="AE80" i="150"/>
  <c r="AE68" i="150"/>
  <c r="AE56" i="150"/>
  <c r="AE75" i="150"/>
  <c r="AE63" i="150"/>
  <c r="AE51" i="150"/>
  <c r="BC71" i="150"/>
  <c r="BC59" i="150"/>
  <c r="BC47" i="150"/>
  <c r="BC35" i="150"/>
  <c r="BC78" i="150"/>
  <c r="BC66" i="150"/>
  <c r="BC54" i="150"/>
  <c r="BC73" i="150"/>
  <c r="BC61" i="150"/>
  <c r="BC49" i="150"/>
  <c r="BC37" i="150"/>
  <c r="BC25" i="150"/>
  <c r="BC80" i="150"/>
  <c r="BC68" i="150"/>
  <c r="BC56" i="150"/>
  <c r="BC75" i="150"/>
  <c r="BC63" i="150"/>
  <c r="BC51" i="150"/>
  <c r="BC39" i="150"/>
  <c r="BC82" i="150"/>
  <c r="BC70" i="150"/>
  <c r="BC58" i="150"/>
  <c r="BC46" i="150"/>
  <c r="BC34" i="150"/>
  <c r="BC77" i="150"/>
  <c r="BC65" i="150"/>
  <c r="BC53" i="150"/>
  <c r="BC72" i="150"/>
  <c r="BC60" i="150"/>
  <c r="BC79" i="150"/>
  <c r="BC67" i="150"/>
  <c r="BC55" i="150"/>
  <c r="BC74" i="150"/>
  <c r="BC62" i="150"/>
  <c r="BC81" i="150"/>
  <c r="BC69" i="150"/>
  <c r="BC57" i="150"/>
  <c r="BC45" i="150"/>
  <c r="L5" i="150"/>
  <c r="O5" i="150" s="1"/>
  <c r="AJ5" i="150"/>
  <c r="AM5" i="150" s="1"/>
  <c r="BH5" i="150"/>
  <c r="BK5" i="150" s="1"/>
  <c r="P6" i="150"/>
  <c r="AB6" i="150"/>
  <c r="AN6" i="150"/>
  <c r="AZ6" i="150"/>
  <c r="BL6" i="150"/>
  <c r="BG7" i="150"/>
  <c r="AM8" i="150"/>
  <c r="S9" i="150"/>
  <c r="BO9" i="150"/>
  <c r="AU10" i="150"/>
  <c r="AA11" i="150"/>
  <c r="BW11" i="150"/>
  <c r="BC12" i="150"/>
  <c r="AI13" i="150"/>
  <c r="O14" i="150"/>
  <c r="BK14" i="150"/>
  <c r="AQ15" i="150"/>
  <c r="W16" i="150"/>
  <c r="BS16" i="150"/>
  <c r="AY17" i="150"/>
  <c r="AE18" i="150"/>
  <c r="BK19" i="150"/>
  <c r="AQ20" i="150"/>
  <c r="AA21" i="150"/>
  <c r="BK22" i="150"/>
  <c r="AY23" i="150"/>
  <c r="AI24" i="150"/>
  <c r="S25" i="150"/>
  <c r="BS25" i="150"/>
  <c r="BG26" i="150"/>
  <c r="BC27" i="150"/>
  <c r="BC28" i="150"/>
  <c r="AQ29" i="150"/>
  <c r="AE30" i="150"/>
  <c r="AA31" i="150"/>
  <c r="W32" i="150"/>
  <c r="O33" i="150"/>
  <c r="BS35" i="150"/>
  <c r="BS36" i="150"/>
  <c r="BW37" i="150"/>
  <c r="O40" i="150"/>
  <c r="S41" i="150"/>
  <c r="AA42" i="150"/>
  <c r="AQ43" i="150"/>
  <c r="AQ44" i="150"/>
  <c r="BK45" i="150"/>
  <c r="BS46" i="150"/>
  <c r="AI49" i="150"/>
  <c r="AI51" i="150"/>
  <c r="AY57" i="150"/>
  <c r="S73" i="150"/>
  <c r="O78" i="150"/>
  <c r="O7" i="150"/>
  <c r="BK7" i="150"/>
  <c r="AY10" i="150"/>
  <c r="BG12" i="150"/>
  <c r="AM13" i="150"/>
  <c r="AA16" i="150"/>
  <c r="BW16" i="150"/>
  <c r="AI18" i="150"/>
  <c r="O19" i="150"/>
  <c r="O22" i="150"/>
  <c r="AM24" i="150"/>
  <c r="W25" i="150"/>
  <c r="BW25" i="150"/>
  <c r="BK26" i="150"/>
  <c r="BG27" i="150"/>
  <c r="AU29" i="150"/>
  <c r="AI30" i="150"/>
  <c r="AA32" i="150"/>
  <c r="S33" i="150"/>
  <c r="O34" i="150"/>
  <c r="O35" i="150"/>
  <c r="BW35" i="150"/>
  <c r="S39" i="150"/>
  <c r="S40" i="150"/>
  <c r="AA41" i="150"/>
  <c r="AE42" i="150"/>
  <c r="AY43" i="150"/>
  <c r="BC44" i="150"/>
  <c r="BO45" i="150"/>
  <c r="W48" i="150"/>
  <c r="AY49" i="150"/>
  <c r="AQ51" i="150"/>
  <c r="O54" i="150"/>
  <c r="AA63" i="150"/>
  <c r="W68" i="150"/>
  <c r="BO73" i="150"/>
  <c r="BK78" i="150"/>
  <c r="AI72" i="150"/>
  <c r="AI60" i="150"/>
  <c r="AI48" i="150"/>
  <c r="AI36" i="150"/>
  <c r="AI79" i="150"/>
  <c r="AI67" i="150"/>
  <c r="AI55" i="150"/>
  <c r="AI74" i="150"/>
  <c r="AI62" i="150"/>
  <c r="AI50" i="150"/>
  <c r="AI38" i="150"/>
  <c r="AI26" i="150"/>
  <c r="AI81" i="150"/>
  <c r="AI69" i="150"/>
  <c r="AI57" i="150"/>
  <c r="AI76" i="150"/>
  <c r="AI64" i="150"/>
  <c r="AI52" i="150"/>
  <c r="AI40" i="150"/>
  <c r="AI71" i="150"/>
  <c r="AI59" i="150"/>
  <c r="AI47" i="150"/>
  <c r="AI35" i="150"/>
  <c r="AI78" i="150"/>
  <c r="AI66" i="150"/>
  <c r="AI54" i="150"/>
  <c r="AI73" i="150"/>
  <c r="AI61" i="150"/>
  <c r="AI80" i="150"/>
  <c r="AI68" i="150"/>
  <c r="AI56" i="150"/>
  <c r="AI75" i="150"/>
  <c r="AI63" i="150"/>
  <c r="AI82" i="150"/>
  <c r="AI70" i="150"/>
  <c r="AI58" i="150"/>
  <c r="AI46" i="150"/>
  <c r="BG78" i="150"/>
  <c r="BG66" i="150"/>
  <c r="BG54" i="150"/>
  <c r="BG42" i="150"/>
  <c r="BG30" i="150"/>
  <c r="BG73" i="150"/>
  <c r="BG61" i="150"/>
  <c r="BG49" i="150"/>
  <c r="BG80" i="150"/>
  <c r="BG68" i="150"/>
  <c r="BG56" i="150"/>
  <c r="BG44" i="150"/>
  <c r="BG32" i="150"/>
  <c r="BG20" i="150"/>
  <c r="BG75" i="150"/>
  <c r="BG63" i="150"/>
  <c r="BG51" i="150"/>
  <c r="BG82" i="150"/>
  <c r="BG70" i="150"/>
  <c r="BG58" i="150"/>
  <c r="BG46" i="150"/>
  <c r="BG77" i="150"/>
  <c r="BG65" i="150"/>
  <c r="BG53" i="150"/>
  <c r="BG41" i="150"/>
  <c r="BG29" i="150"/>
  <c r="BG72" i="150"/>
  <c r="BG60" i="150"/>
  <c r="BG48" i="150"/>
  <c r="BG79" i="150"/>
  <c r="BG67" i="150"/>
  <c r="BG55" i="150"/>
  <c r="BG74" i="150"/>
  <c r="BG62" i="150"/>
  <c r="BG50" i="150"/>
  <c r="BG81" i="150"/>
  <c r="BG69" i="150"/>
  <c r="BG57" i="150"/>
  <c r="BG76" i="150"/>
  <c r="BG64" i="150"/>
  <c r="BG52" i="150"/>
  <c r="BG40" i="150"/>
  <c r="AI11" i="150"/>
  <c r="O12" i="150"/>
  <c r="BK12" i="150"/>
  <c r="AY15" i="150"/>
  <c r="BG17" i="150"/>
  <c r="AM18" i="150"/>
  <c r="AY20" i="150"/>
  <c r="AI21" i="150"/>
  <c r="BW22" i="150"/>
  <c r="BG23" i="150"/>
  <c r="AA25" i="150"/>
  <c r="BK28" i="150"/>
  <c r="AY29" i="150"/>
  <c r="S37" i="150"/>
  <c r="O38" i="150"/>
  <c r="AA39" i="150"/>
  <c r="W40" i="150"/>
  <c r="AI41" i="150"/>
  <c r="AI42" i="150"/>
  <c r="BC43" i="150"/>
  <c r="BK44" i="150"/>
  <c r="BS45" i="150"/>
  <c r="S47" i="150"/>
  <c r="AE48" i="150"/>
  <c r="BW51" i="150"/>
  <c r="W54" i="150"/>
  <c r="AE58" i="150"/>
  <c r="BW63" i="150"/>
  <c r="BS68" i="150"/>
  <c r="AF4" i="150"/>
  <c r="BD4" i="150"/>
  <c r="AY8" i="150"/>
  <c r="BG10" i="150"/>
  <c r="AM11" i="150"/>
  <c r="AA14" i="150"/>
  <c r="BW14" i="150"/>
  <c r="AI16" i="150"/>
  <c r="O17" i="150"/>
  <c r="BK17" i="150"/>
  <c r="BW19" i="150"/>
  <c r="AA22" i="150"/>
  <c r="BK23" i="150"/>
  <c r="O26" i="150"/>
  <c r="BW26" i="150"/>
  <c r="BW27" i="150"/>
  <c r="AI32" i="150"/>
  <c r="AE34" i="150"/>
  <c r="W35" i="150"/>
  <c r="S36" i="150"/>
  <c r="W37" i="150"/>
  <c r="AE39" i="150"/>
  <c r="AA40" i="150"/>
  <c r="AQ41" i="150"/>
  <c r="AU42" i="150"/>
  <c r="BG43" i="150"/>
  <c r="BS44" i="150"/>
  <c r="W47" i="150"/>
  <c r="BW49" i="150"/>
  <c r="AU74" i="150"/>
  <c r="AQ79" i="150"/>
  <c r="AM79" i="150"/>
  <c r="AM67" i="150"/>
  <c r="AM55" i="150"/>
  <c r="AM43" i="150"/>
  <c r="AM31" i="150"/>
  <c r="AM74" i="150"/>
  <c r="AM62" i="150"/>
  <c r="AM50" i="150"/>
  <c r="AM81" i="150"/>
  <c r="AM69" i="150"/>
  <c r="AM57" i="150"/>
  <c r="AM45" i="150"/>
  <c r="AM33" i="150"/>
  <c r="AM21" i="150"/>
  <c r="AM76" i="150"/>
  <c r="AM64" i="150"/>
  <c r="AM52" i="150"/>
  <c r="AM71" i="150"/>
  <c r="AM59" i="150"/>
  <c r="AM47" i="150"/>
  <c r="AM78" i="150"/>
  <c r="AM66" i="150"/>
  <c r="AM54" i="150"/>
  <c r="AM42" i="150"/>
  <c r="AM30" i="150"/>
  <c r="AM73" i="150"/>
  <c r="AM61" i="150"/>
  <c r="AM49" i="150"/>
  <c r="AM80" i="150"/>
  <c r="AM68" i="150"/>
  <c r="AM56" i="150"/>
  <c r="AM75" i="150"/>
  <c r="AM63" i="150"/>
  <c r="AM51" i="150"/>
  <c r="AM82" i="150"/>
  <c r="AM70" i="150"/>
  <c r="AM58" i="150"/>
  <c r="AM77" i="150"/>
  <c r="AM65" i="150"/>
  <c r="AM53" i="150"/>
  <c r="AM41" i="150"/>
  <c r="BK73" i="150"/>
  <c r="BK61" i="150"/>
  <c r="BK49" i="150"/>
  <c r="BK37" i="150"/>
  <c r="BK80" i="150"/>
  <c r="BK68" i="150"/>
  <c r="BK56" i="150"/>
  <c r="BK75" i="150"/>
  <c r="BK63" i="150"/>
  <c r="BK51" i="150"/>
  <c r="BK39" i="150"/>
  <c r="BK27" i="150"/>
  <c r="BK82" i="150"/>
  <c r="BK70" i="150"/>
  <c r="BK58" i="150"/>
  <c r="BK77" i="150"/>
  <c r="BK65" i="150"/>
  <c r="BK53" i="150"/>
  <c r="BK41" i="150"/>
  <c r="BK72" i="150"/>
  <c r="BK60" i="150"/>
  <c r="BK48" i="150"/>
  <c r="BK36" i="150"/>
  <c r="BK79" i="150"/>
  <c r="BK67" i="150"/>
  <c r="BK55" i="150"/>
  <c r="BK74" i="150"/>
  <c r="BK62" i="150"/>
  <c r="BK81" i="150"/>
  <c r="BK69" i="150"/>
  <c r="BK57" i="150"/>
  <c r="BK76" i="150"/>
  <c r="BK64" i="150"/>
  <c r="BK71" i="150"/>
  <c r="BK59" i="150"/>
  <c r="BK47" i="150"/>
  <c r="AF6" i="150"/>
  <c r="BD6" i="150"/>
  <c r="AI9" i="150"/>
  <c r="O10" i="150"/>
  <c r="BK10" i="150"/>
  <c r="AY13" i="150"/>
  <c r="BG15" i="150"/>
  <c r="AM16" i="150"/>
  <c r="AA19" i="150"/>
  <c r="BK20" i="150"/>
  <c r="O23" i="150"/>
  <c r="AY24" i="150"/>
  <c r="AI25" i="150"/>
  <c r="BK29" i="150"/>
  <c r="AY31" i="150"/>
  <c r="AM32" i="150"/>
  <c r="AI33" i="150"/>
  <c r="AI34" i="150"/>
  <c r="AA35" i="150"/>
  <c r="AA37" i="150"/>
  <c r="AI39" i="150"/>
  <c r="AM40" i="150"/>
  <c r="AU41" i="150"/>
  <c r="BK43" i="150"/>
  <c r="O46" i="150"/>
  <c r="AA47" i="150"/>
  <c r="AU48" i="150"/>
  <c r="O52" i="150"/>
  <c r="BS54" i="150"/>
  <c r="BG59" i="150"/>
  <c r="BC64" i="150"/>
  <c r="AY69" i="150"/>
  <c r="L4" i="150"/>
  <c r="AJ4" i="150"/>
  <c r="BH4" i="150"/>
  <c r="AG6" i="150"/>
  <c r="BE6" i="150"/>
  <c r="BG8" i="150"/>
  <c r="AM9" i="150"/>
  <c r="AA12" i="150"/>
  <c r="BW12" i="150"/>
  <c r="AI14" i="150"/>
  <c r="O15" i="150"/>
  <c r="BK15" i="150"/>
  <c r="AY18" i="150"/>
  <c r="AI19" i="150"/>
  <c r="O20" i="150"/>
  <c r="AY21" i="150"/>
  <c r="AI22" i="150"/>
  <c r="AM25" i="150"/>
  <c r="O28" i="150"/>
  <c r="BW28" i="150"/>
  <c r="BK30" i="150"/>
  <c r="AM34" i="150"/>
  <c r="AE35" i="150"/>
  <c r="AE36" i="150"/>
  <c r="AE37" i="150"/>
  <c r="AM38" i="150"/>
  <c r="AM39" i="150"/>
  <c r="AU40" i="150"/>
  <c r="AY41" i="150"/>
  <c r="BK42" i="150"/>
  <c r="BW43" i="150"/>
  <c r="O45" i="150"/>
  <c r="W46" i="150"/>
  <c r="AE47" i="150"/>
  <c r="AY48" i="150"/>
  <c r="O50" i="150"/>
  <c r="W52" i="150"/>
  <c r="AA75" i="150"/>
  <c r="W80" i="150"/>
  <c r="S80" i="150"/>
  <c r="S68" i="150"/>
  <c r="S56" i="150"/>
  <c r="S44" i="150"/>
  <c r="S32" i="150"/>
  <c r="S75" i="150"/>
  <c r="S63" i="150"/>
  <c r="S51" i="150"/>
  <c r="S82" i="150"/>
  <c r="S70" i="150"/>
  <c r="S58" i="150"/>
  <c r="S46" i="150"/>
  <c r="S34" i="150"/>
  <c r="S22" i="150"/>
  <c r="S77" i="150"/>
  <c r="S65" i="150"/>
  <c r="S53" i="150"/>
  <c r="S72" i="150"/>
  <c r="S60" i="150"/>
  <c r="S48" i="150"/>
  <c r="S79" i="150"/>
  <c r="S67" i="150"/>
  <c r="S55" i="150"/>
  <c r="S43" i="150"/>
  <c r="S31" i="150"/>
  <c r="S74" i="150"/>
  <c r="S62" i="150"/>
  <c r="S50" i="150"/>
  <c r="S81" i="150"/>
  <c r="S69" i="150"/>
  <c r="S57" i="150"/>
  <c r="S76" i="150"/>
  <c r="S64" i="150"/>
  <c r="S52" i="150"/>
  <c r="S71" i="150"/>
  <c r="S59" i="150"/>
  <c r="S78" i="150"/>
  <c r="S66" i="150"/>
  <c r="S54" i="150"/>
  <c r="S42" i="150"/>
  <c r="AQ74" i="150"/>
  <c r="AQ62" i="150"/>
  <c r="AQ50" i="150"/>
  <c r="AQ38" i="150"/>
  <c r="AQ26" i="150"/>
  <c r="AQ81" i="150"/>
  <c r="AQ69" i="150"/>
  <c r="AQ57" i="150"/>
  <c r="AQ76" i="150"/>
  <c r="AQ64" i="150"/>
  <c r="AQ52" i="150"/>
  <c r="AQ40" i="150"/>
  <c r="AQ28" i="150"/>
  <c r="AQ71" i="150"/>
  <c r="AQ59" i="150"/>
  <c r="AQ78" i="150"/>
  <c r="AQ66" i="150"/>
  <c r="AQ54" i="150"/>
  <c r="AQ42" i="150"/>
  <c r="AQ73" i="150"/>
  <c r="AQ61" i="150"/>
  <c r="AQ49" i="150"/>
  <c r="AQ37" i="150"/>
  <c r="AQ80" i="150"/>
  <c r="AQ68" i="150"/>
  <c r="AQ56" i="150"/>
  <c r="AQ75" i="150"/>
  <c r="AQ63" i="150"/>
  <c r="AQ82" i="150"/>
  <c r="AQ70" i="150"/>
  <c r="AQ58" i="150"/>
  <c r="AQ77" i="150"/>
  <c r="AQ65" i="150"/>
  <c r="AQ72" i="150"/>
  <c r="AQ60" i="150"/>
  <c r="AQ48" i="150"/>
  <c r="BO80" i="150"/>
  <c r="BO68" i="150"/>
  <c r="BO56" i="150"/>
  <c r="BO44" i="150"/>
  <c r="BO32" i="150"/>
  <c r="BO75" i="150"/>
  <c r="BO63" i="150"/>
  <c r="BO51" i="150"/>
  <c r="BO82" i="150"/>
  <c r="BO70" i="150"/>
  <c r="BO58" i="150"/>
  <c r="BO46" i="150"/>
  <c r="BO34" i="150"/>
  <c r="BO22" i="150"/>
  <c r="BO77" i="150"/>
  <c r="BO65" i="150"/>
  <c r="BO53" i="150"/>
  <c r="BO72" i="150"/>
  <c r="BO60" i="150"/>
  <c r="BO48" i="150"/>
  <c r="BO36" i="150"/>
  <c r="BO79" i="150"/>
  <c r="BO67" i="150"/>
  <c r="BO55" i="150"/>
  <c r="BO43" i="150"/>
  <c r="BO31" i="150"/>
  <c r="BO74" i="150"/>
  <c r="BO62" i="150"/>
  <c r="BO50" i="150"/>
  <c r="BO81" i="150"/>
  <c r="BO69" i="150"/>
  <c r="BO57" i="150"/>
  <c r="BO76" i="150"/>
  <c r="BO64" i="150"/>
  <c r="BO52" i="150"/>
  <c r="BO71" i="150"/>
  <c r="BO59" i="150"/>
  <c r="BO78" i="150"/>
  <c r="BO66" i="150"/>
  <c r="BO54" i="150"/>
  <c r="BO42" i="150"/>
  <c r="X5" i="150"/>
  <c r="AA5" i="150" s="1"/>
  <c r="AV5" i="150"/>
  <c r="AY5" i="150" s="1"/>
  <c r="BT5" i="150"/>
  <c r="BW5" i="150" s="1"/>
  <c r="V6" i="150"/>
  <c r="W6" i="150" s="1"/>
  <c r="AH6" i="150"/>
  <c r="AI6" i="150" s="1"/>
  <c r="AT6" i="150"/>
  <c r="AU6" i="150" s="1"/>
  <c r="BF6" i="150"/>
  <c r="BG6" i="150" s="1"/>
  <c r="BR6" i="150"/>
  <c r="BS6" i="150" s="1"/>
  <c r="AI7" i="150"/>
  <c r="O8" i="150"/>
  <c r="BK8" i="150"/>
  <c r="AQ9" i="150"/>
  <c r="W10" i="150"/>
  <c r="BS10" i="150"/>
  <c r="AY11" i="150"/>
  <c r="AE12" i="150"/>
  <c r="BG13" i="150"/>
  <c r="AM14" i="150"/>
  <c r="S15" i="150"/>
  <c r="BO15" i="150"/>
  <c r="AU16" i="150"/>
  <c r="AA17" i="150"/>
  <c r="BW17" i="150"/>
  <c r="BC18" i="150"/>
  <c r="AM19" i="150"/>
  <c r="S20" i="150"/>
  <c r="BS20" i="150"/>
  <c r="BC21" i="150"/>
  <c r="AM22" i="150"/>
  <c r="W23" i="150"/>
  <c r="BW23" i="150"/>
  <c r="BG24" i="150"/>
  <c r="AQ25" i="150"/>
  <c r="AA26" i="150"/>
  <c r="AA27" i="150"/>
  <c r="S28" i="150"/>
  <c r="BW29" i="150"/>
  <c r="BO30" i="150"/>
  <c r="BG31" i="150"/>
  <c r="AY32" i="150"/>
  <c r="AY33" i="150"/>
  <c r="AQ34" i="150"/>
  <c r="AM35" i="150"/>
  <c r="AM36" i="150"/>
  <c r="AI37" i="150"/>
  <c r="AU38" i="150"/>
  <c r="AQ39" i="150"/>
  <c r="BC40" i="150"/>
  <c r="BC41" i="150"/>
  <c r="BS42" i="150"/>
  <c r="S45" i="150"/>
  <c r="AE46" i="150"/>
  <c r="AQ47" i="150"/>
  <c r="BC48" i="150"/>
  <c r="AE50" i="150"/>
  <c r="BC52" i="150"/>
  <c r="AQ55" i="150"/>
  <c r="AM60" i="150"/>
  <c r="AI65" i="150"/>
  <c r="AE70" i="150"/>
  <c r="BW75" i="150"/>
  <c r="BS80" i="150"/>
  <c r="P4" i="150"/>
  <c r="AN4" i="150"/>
  <c r="BL4" i="150"/>
  <c r="AM7" i="150"/>
  <c r="S8" i="150"/>
  <c r="BO8" i="150"/>
  <c r="AU9" i="150"/>
  <c r="AA10" i="150"/>
  <c r="BW10" i="150"/>
  <c r="BC11" i="150"/>
  <c r="AI12" i="150"/>
  <c r="O13" i="150"/>
  <c r="BK13" i="150"/>
  <c r="AQ14" i="150"/>
  <c r="W15" i="150"/>
  <c r="BS15" i="150"/>
  <c r="AY16" i="150"/>
  <c r="AE17" i="150"/>
  <c r="BG18" i="150"/>
  <c r="AQ19" i="150"/>
  <c r="W20" i="150"/>
  <c r="BW20" i="150"/>
  <c r="BG21" i="150"/>
  <c r="AQ22" i="150"/>
  <c r="AA23" i="150"/>
  <c r="BK24" i="150"/>
  <c r="AU25" i="150"/>
  <c r="AE26" i="150"/>
  <c r="AE27" i="150"/>
  <c r="W28" i="150"/>
  <c r="O29" i="150"/>
  <c r="BS30" i="150"/>
  <c r="BK31" i="150"/>
  <c r="BC32" i="150"/>
  <c r="BC33" i="150"/>
  <c r="AU34" i="150"/>
  <c r="AQ35" i="150"/>
  <c r="AQ36" i="150"/>
  <c r="AM37" i="150"/>
  <c r="AY38" i="150"/>
  <c r="AU39" i="150"/>
  <c r="BK40" i="150"/>
  <c r="BO41" i="150"/>
  <c r="BW42" i="150"/>
  <c r="O44" i="150"/>
  <c r="AM46" i="150"/>
  <c r="AY47" i="150"/>
  <c r="BK52" i="150"/>
  <c r="AY55" i="150"/>
  <c r="W75" i="150"/>
  <c r="W63" i="150"/>
  <c r="W51" i="150"/>
  <c r="W39" i="150"/>
  <c r="W27" i="150"/>
  <c r="W82" i="150"/>
  <c r="W70" i="150"/>
  <c r="W58" i="150"/>
  <c r="W77" i="150"/>
  <c r="W65" i="150"/>
  <c r="W53" i="150"/>
  <c r="W41" i="150"/>
  <c r="W29" i="150"/>
  <c r="W72" i="150"/>
  <c r="W60" i="150"/>
  <c r="W79" i="150"/>
  <c r="W67" i="150"/>
  <c r="W55" i="150"/>
  <c r="W43" i="150"/>
  <c r="W74" i="150"/>
  <c r="W62" i="150"/>
  <c r="W50" i="150"/>
  <c r="W38" i="150"/>
  <c r="W81" i="150"/>
  <c r="W69" i="150"/>
  <c r="W57" i="150"/>
  <c r="W76" i="150"/>
  <c r="W64" i="150"/>
  <c r="W71" i="150"/>
  <c r="W59" i="150"/>
  <c r="W78" i="150"/>
  <c r="W66" i="150"/>
  <c r="W73" i="150"/>
  <c r="W61" i="150"/>
  <c r="W49" i="150"/>
  <c r="AU81" i="150"/>
  <c r="AU69" i="150"/>
  <c r="AU57" i="150"/>
  <c r="AU45" i="150"/>
  <c r="AU33" i="150"/>
  <c r="AU76" i="150"/>
  <c r="AU64" i="150"/>
  <c r="AU52" i="150"/>
  <c r="AU71" i="150"/>
  <c r="AU59" i="150"/>
  <c r="AU47" i="150"/>
  <c r="AU35" i="150"/>
  <c r="AU23" i="150"/>
  <c r="AU78" i="150"/>
  <c r="AU66" i="150"/>
  <c r="AU54" i="150"/>
  <c r="AU73" i="150"/>
  <c r="AU61" i="150"/>
  <c r="AU49" i="150"/>
  <c r="AU37" i="150"/>
  <c r="AU80" i="150"/>
  <c r="AU68" i="150"/>
  <c r="AU56" i="150"/>
  <c r="AU44" i="150"/>
  <c r="AU32" i="150"/>
  <c r="AU75" i="150"/>
  <c r="AU63" i="150"/>
  <c r="AU51" i="150"/>
  <c r="AU82" i="150"/>
  <c r="AU70" i="150"/>
  <c r="AU58" i="150"/>
  <c r="AU77" i="150"/>
  <c r="AU65" i="150"/>
  <c r="AU53" i="150"/>
  <c r="AU72" i="150"/>
  <c r="AU60" i="150"/>
  <c r="AU79" i="150"/>
  <c r="AU67" i="150"/>
  <c r="AU55" i="150"/>
  <c r="AU43" i="150"/>
  <c r="BS75" i="150"/>
  <c r="BS63" i="150"/>
  <c r="BS51" i="150"/>
  <c r="BS39" i="150"/>
  <c r="BS27" i="150"/>
  <c r="BS82" i="150"/>
  <c r="BS70" i="150"/>
  <c r="BS58" i="150"/>
  <c r="BS77" i="150"/>
  <c r="BS65" i="150"/>
  <c r="BS53" i="150"/>
  <c r="BS41" i="150"/>
  <c r="BS29" i="150"/>
  <c r="BS72" i="150"/>
  <c r="BS60" i="150"/>
  <c r="BS79" i="150"/>
  <c r="BS67" i="150"/>
  <c r="BS55" i="150"/>
  <c r="BS43" i="150"/>
  <c r="BS74" i="150"/>
  <c r="BS62" i="150"/>
  <c r="BS50" i="150"/>
  <c r="BS38" i="150"/>
  <c r="BS26" i="150"/>
  <c r="BS81" i="150"/>
  <c r="BS69" i="150"/>
  <c r="BS57" i="150"/>
  <c r="BS76" i="150"/>
  <c r="BS64" i="150"/>
  <c r="BS71" i="150"/>
  <c r="BS59" i="150"/>
  <c r="BS78" i="150"/>
  <c r="BS66" i="150"/>
  <c r="BS73" i="150"/>
  <c r="BS61" i="150"/>
  <c r="BS49" i="150"/>
  <c r="AB5" i="150"/>
  <c r="AE5" i="150" s="1"/>
  <c r="AZ5" i="150"/>
  <c r="BC5" i="150" s="1"/>
  <c r="L6" i="150"/>
  <c r="X6" i="150"/>
  <c r="AJ6" i="150"/>
  <c r="AV6" i="150"/>
  <c r="BH6" i="150"/>
  <c r="BT6" i="150"/>
  <c r="AQ7" i="150"/>
  <c r="W8" i="150"/>
  <c r="BS8" i="150"/>
  <c r="AY9" i="150"/>
  <c r="AE10" i="150"/>
  <c r="BG11" i="150"/>
  <c r="AM12" i="150"/>
  <c r="S13" i="150"/>
  <c r="BO13" i="150"/>
  <c r="AU14" i="150"/>
  <c r="AA15" i="150"/>
  <c r="BW15" i="150"/>
  <c r="BC16" i="150"/>
  <c r="AI17" i="150"/>
  <c r="O18" i="150"/>
  <c r="BK18" i="150"/>
  <c r="AU19" i="150"/>
  <c r="AA20" i="150"/>
  <c r="BK21" i="150"/>
  <c r="AU22" i="150"/>
  <c r="AE23" i="150"/>
  <c r="O24" i="150"/>
  <c r="BO24" i="150"/>
  <c r="AY25" i="150"/>
  <c r="AM26" i="150"/>
  <c r="AI27" i="150"/>
  <c r="AA28" i="150"/>
  <c r="S29" i="150"/>
  <c r="O30" i="150"/>
  <c r="BW30" i="150"/>
  <c r="BS31" i="150"/>
  <c r="BK32" i="150"/>
  <c r="BG33" i="150"/>
  <c r="AY34" i="150"/>
  <c r="AY35" i="150"/>
  <c r="AU36" i="150"/>
  <c r="AY37" i="150"/>
  <c r="BC38" i="150"/>
  <c r="BG39" i="150"/>
  <c r="BO40" i="150"/>
  <c r="BW41" i="150"/>
  <c r="W44" i="150"/>
  <c r="AI45" i="150"/>
  <c r="AQ46" i="150"/>
  <c r="BG47" i="150"/>
  <c r="BC50" i="150"/>
  <c r="BS52" i="150"/>
  <c r="S61" i="150"/>
  <c r="O66" i="150"/>
  <c r="BG71" i="150"/>
  <c r="BC76" i="150"/>
  <c r="AY81" i="150"/>
  <c r="M6" i="150"/>
  <c r="Y6" i="150"/>
  <c r="AK6" i="150"/>
  <c r="AW6" i="150"/>
  <c r="BI6" i="150"/>
  <c r="BU6" i="150"/>
  <c r="AA8" i="150"/>
  <c r="BW8" i="150"/>
  <c r="AI10" i="150"/>
  <c r="O11" i="150"/>
  <c r="BK11" i="150"/>
  <c r="AY14" i="150"/>
  <c r="BG16" i="150"/>
  <c r="AM17" i="150"/>
  <c r="AY19" i="150"/>
  <c r="O21" i="150"/>
  <c r="AY22" i="150"/>
  <c r="AI23" i="150"/>
  <c r="BG25" i="150"/>
  <c r="AM27" i="150"/>
  <c r="AI28" i="150"/>
  <c r="BS32" i="150"/>
  <c r="BK33" i="150"/>
  <c r="BG34" i="150"/>
  <c r="BG35" i="150"/>
  <c r="BG37" i="150"/>
  <c r="BG38" i="150"/>
  <c r="BO39" i="150"/>
  <c r="BS40" i="150"/>
  <c r="O43" i="150"/>
  <c r="AE44" i="150"/>
  <c r="AQ45" i="150"/>
  <c r="AU46" i="150"/>
  <c r="BO47" i="150"/>
  <c r="S49" i="150"/>
  <c r="BK50" i="150"/>
  <c r="W56" i="150"/>
  <c r="BO61" i="150"/>
  <c r="BK66" i="150"/>
  <c r="AA82" i="150"/>
  <c r="AA70" i="150"/>
  <c r="AA58" i="150"/>
  <c r="AA46" i="150"/>
  <c r="AA34" i="150"/>
  <c r="AA77" i="150"/>
  <c r="AA65" i="150"/>
  <c r="AA53" i="150"/>
  <c r="AA72" i="150"/>
  <c r="AA60" i="150"/>
  <c r="AA48" i="150"/>
  <c r="AA36" i="150"/>
  <c r="AA24" i="150"/>
  <c r="AA79" i="150"/>
  <c r="AA67" i="150"/>
  <c r="AA55" i="150"/>
  <c r="AA74" i="150"/>
  <c r="AA62" i="150"/>
  <c r="AA50" i="150"/>
  <c r="AA38" i="150"/>
  <c r="AA81" i="150"/>
  <c r="AA69" i="150"/>
  <c r="AA57" i="150"/>
  <c r="AA45" i="150"/>
  <c r="AA33" i="150"/>
  <c r="AA76" i="150"/>
  <c r="AA64" i="150"/>
  <c r="AA52" i="150"/>
  <c r="AA71" i="150"/>
  <c r="AA59" i="150"/>
  <c r="AA78" i="150"/>
  <c r="AA66" i="150"/>
  <c r="AA54" i="150"/>
  <c r="AA73" i="150"/>
  <c r="AA61" i="150"/>
  <c r="AA80" i="150"/>
  <c r="AA68" i="150"/>
  <c r="AA56" i="150"/>
  <c r="AA44" i="150"/>
  <c r="AY76" i="150"/>
  <c r="AY64" i="150"/>
  <c r="AY52" i="150"/>
  <c r="AY40" i="150"/>
  <c r="AY28" i="150"/>
  <c r="AY71" i="150"/>
  <c r="AY59" i="150"/>
  <c r="AY78" i="150"/>
  <c r="AY66" i="150"/>
  <c r="AY54" i="150"/>
  <c r="AY42" i="150"/>
  <c r="AY30" i="150"/>
  <c r="AY73" i="150"/>
  <c r="AY61" i="150"/>
  <c r="AY80" i="150"/>
  <c r="AY68" i="150"/>
  <c r="AY56" i="150"/>
  <c r="AY44" i="150"/>
  <c r="AY75" i="150"/>
  <c r="AY63" i="150"/>
  <c r="AY51" i="150"/>
  <c r="AY39" i="150"/>
  <c r="AY27" i="150"/>
  <c r="AY82" i="150"/>
  <c r="AY70" i="150"/>
  <c r="AY58" i="150"/>
  <c r="AY77" i="150"/>
  <c r="AY65" i="150"/>
  <c r="AY53" i="150"/>
  <c r="AY72" i="150"/>
  <c r="AY60" i="150"/>
  <c r="AY79" i="150"/>
  <c r="AY67" i="150"/>
  <c r="AY74" i="150"/>
  <c r="AY62" i="150"/>
  <c r="AY50" i="150"/>
  <c r="BW82" i="150"/>
  <c r="BW70" i="150"/>
  <c r="BW58" i="150"/>
  <c r="BW46" i="150"/>
  <c r="BW34" i="150"/>
  <c r="BW77" i="150"/>
  <c r="BW65" i="150"/>
  <c r="BW53" i="150"/>
  <c r="BW72" i="150"/>
  <c r="BW60" i="150"/>
  <c r="BW48" i="150"/>
  <c r="BW36" i="150"/>
  <c r="BW24" i="150"/>
  <c r="BW79" i="150"/>
  <c r="BW67" i="150"/>
  <c r="BW55" i="150"/>
  <c r="BW74" i="150"/>
  <c r="BW62" i="150"/>
  <c r="BW50" i="150"/>
  <c r="BW38" i="150"/>
  <c r="BW81" i="150"/>
  <c r="BW69" i="150"/>
  <c r="BW57" i="150"/>
  <c r="BW45" i="150"/>
  <c r="BW33" i="150"/>
  <c r="BW76" i="150"/>
  <c r="BW64" i="150"/>
  <c r="BW52" i="150"/>
  <c r="BW71" i="150"/>
  <c r="BW59" i="150"/>
  <c r="BW78" i="150"/>
  <c r="BW66" i="150"/>
  <c r="BW54" i="150"/>
  <c r="BW73" i="150"/>
  <c r="BW61" i="150"/>
  <c r="BW80" i="150"/>
  <c r="BW68" i="150"/>
  <c r="BW56" i="150"/>
  <c r="BW44" i="150"/>
  <c r="AF5" i="150"/>
  <c r="AI5" i="150" s="1"/>
  <c r="BD5" i="150"/>
  <c r="BG5" i="150" s="1"/>
  <c r="N6" i="150"/>
  <c r="O6" i="150" s="1"/>
  <c r="Z6" i="150"/>
  <c r="AA6" i="150" s="1"/>
  <c r="AL6" i="150"/>
  <c r="AM6" i="150" s="1"/>
  <c r="AX6" i="150"/>
  <c r="AY6" i="150" s="1"/>
  <c r="BJ6" i="150"/>
  <c r="BK6" i="150" s="1"/>
  <c r="BV6" i="150"/>
  <c r="BW6" i="150" s="1"/>
  <c r="AY7" i="150"/>
  <c r="BG9" i="150"/>
  <c r="AM10" i="150"/>
  <c r="AA13" i="150"/>
  <c r="BW13" i="150"/>
  <c r="AI15" i="150"/>
  <c r="O16" i="150"/>
  <c r="BK16" i="150"/>
  <c r="AI20" i="150"/>
  <c r="AM23" i="150"/>
  <c r="W24" i="150"/>
  <c r="BK25" i="150"/>
  <c r="AY26" i="150"/>
  <c r="AQ27" i="150"/>
  <c r="AM28" i="150"/>
  <c r="AI29" i="150"/>
  <c r="W30" i="150"/>
  <c r="O31" i="150"/>
  <c r="BW32" i="150"/>
  <c r="BO33" i="150"/>
  <c r="BK34" i="150"/>
  <c r="BK35" i="150"/>
  <c r="BC36" i="150"/>
  <c r="BO37" i="150"/>
  <c r="BK38" i="150"/>
  <c r="BW39" i="150"/>
  <c r="BW40" i="150"/>
  <c r="O42" i="150"/>
  <c r="AA43" i="150"/>
  <c r="AI44" i="150"/>
  <c r="AY45" i="150"/>
  <c r="AY46" i="150"/>
  <c r="BS47" i="150"/>
  <c r="AA49" i="150"/>
  <c r="AI53" i="150"/>
  <c r="BS56" i="150"/>
  <c r="AM72" i="150"/>
  <c r="AI77" i="150"/>
  <c r="AE82" i="150"/>
  <c r="BO15" i="149"/>
  <c r="S20" i="149"/>
  <c r="AQ28" i="149"/>
  <c r="O73" i="149"/>
  <c r="O61" i="149"/>
  <c r="O80" i="149"/>
  <c r="O68" i="149"/>
  <c r="O56" i="149"/>
  <c r="O44" i="149"/>
  <c r="O32" i="149"/>
  <c r="O20" i="149"/>
  <c r="O75" i="149"/>
  <c r="O63" i="149"/>
  <c r="O51" i="149"/>
  <c r="O82" i="149"/>
  <c r="O70" i="149"/>
  <c r="O58" i="149"/>
  <c r="O46" i="149"/>
  <c r="O77" i="149"/>
  <c r="O65" i="149"/>
  <c r="O53" i="149"/>
  <c r="O72" i="149"/>
  <c r="O60" i="149"/>
  <c r="O48" i="149"/>
  <c r="O79" i="149"/>
  <c r="O67" i="149"/>
  <c r="O55" i="149"/>
  <c r="O74" i="149"/>
  <c r="O62" i="149"/>
  <c r="O50" i="149"/>
  <c r="O38" i="149"/>
  <c r="O81" i="149"/>
  <c r="O69" i="149"/>
  <c r="O57" i="149"/>
  <c r="O45" i="149"/>
  <c r="AM79" i="149"/>
  <c r="AM67" i="149"/>
  <c r="AM55" i="149"/>
  <c r="AM74" i="149"/>
  <c r="AM62" i="149"/>
  <c r="AM50" i="149"/>
  <c r="AM38" i="149"/>
  <c r="AM26" i="149"/>
  <c r="AM81" i="149"/>
  <c r="AM69" i="149"/>
  <c r="AM57" i="149"/>
  <c r="AM45" i="149"/>
  <c r="AM76" i="149"/>
  <c r="AM64" i="149"/>
  <c r="AM52" i="149"/>
  <c r="AM40" i="149"/>
  <c r="AM71" i="149"/>
  <c r="AM59" i="149"/>
  <c r="AM47" i="149"/>
  <c r="AM78" i="149"/>
  <c r="AM66" i="149"/>
  <c r="AM54" i="149"/>
  <c r="AM73" i="149"/>
  <c r="AM61" i="149"/>
  <c r="AM49" i="149"/>
  <c r="AM80" i="149"/>
  <c r="AM68" i="149"/>
  <c r="AM56" i="149"/>
  <c r="AM44" i="149"/>
  <c r="AM75" i="149"/>
  <c r="AM63" i="149"/>
  <c r="AM51" i="149"/>
  <c r="AM39" i="149"/>
  <c r="BK73" i="149"/>
  <c r="BK61" i="149"/>
  <c r="BK49" i="149"/>
  <c r="BK80" i="149"/>
  <c r="BK68" i="149"/>
  <c r="BK56" i="149"/>
  <c r="BK44" i="149"/>
  <c r="BK32" i="149"/>
  <c r="BK20" i="149"/>
  <c r="BK75" i="149"/>
  <c r="BK63" i="149"/>
  <c r="BK51" i="149"/>
  <c r="BK39" i="149"/>
  <c r="BK82" i="149"/>
  <c r="BK70" i="149"/>
  <c r="BK58" i="149"/>
  <c r="BK46" i="149"/>
  <c r="BK77" i="149"/>
  <c r="BK65" i="149"/>
  <c r="BK53" i="149"/>
  <c r="BK72" i="149"/>
  <c r="BK60" i="149"/>
  <c r="BK48" i="149"/>
  <c r="BK79" i="149"/>
  <c r="BK67" i="149"/>
  <c r="BK55" i="149"/>
  <c r="BK74" i="149"/>
  <c r="BK62" i="149"/>
  <c r="BK50" i="149"/>
  <c r="BK38" i="149"/>
  <c r="BK81" i="149"/>
  <c r="BK69" i="149"/>
  <c r="BK57" i="149"/>
  <c r="BK45" i="149"/>
  <c r="T5" i="149"/>
  <c r="W5" i="149" s="1"/>
  <c r="AR5" i="149"/>
  <c r="AU5" i="149" s="1"/>
  <c r="BP5" i="149"/>
  <c r="BS5" i="149" s="1"/>
  <c r="T6" i="149"/>
  <c r="AF6" i="149"/>
  <c r="AR6" i="149"/>
  <c r="BD6" i="149"/>
  <c r="BP6" i="149"/>
  <c r="AA7" i="149"/>
  <c r="BW7" i="149"/>
  <c r="BC8" i="149"/>
  <c r="AI9" i="149"/>
  <c r="O10" i="149"/>
  <c r="BK10" i="149"/>
  <c r="AQ11" i="149"/>
  <c r="W12" i="149"/>
  <c r="BS12" i="149"/>
  <c r="AY13" i="149"/>
  <c r="AE14" i="149"/>
  <c r="BG15" i="149"/>
  <c r="AM16" i="149"/>
  <c r="S17" i="149"/>
  <c r="BO17" i="149"/>
  <c r="AU18" i="149"/>
  <c r="AA19" i="149"/>
  <c r="BW19" i="149"/>
  <c r="BG20" i="149"/>
  <c r="AU21" i="149"/>
  <c r="AE22" i="149"/>
  <c r="O23" i="149"/>
  <c r="BO23" i="149"/>
  <c r="AY24" i="149"/>
  <c r="AE25" i="149"/>
  <c r="O26" i="149"/>
  <c r="BO26" i="149"/>
  <c r="AY27" i="149"/>
  <c r="AI28" i="149"/>
  <c r="S29" i="149"/>
  <c r="BS29" i="149"/>
  <c r="BG30" i="149"/>
  <c r="AQ31" i="149"/>
  <c r="AA32" i="149"/>
  <c r="BK33" i="149"/>
  <c r="BC34" i="149"/>
  <c r="AQ35" i="149"/>
  <c r="AI36" i="149"/>
  <c r="S37" i="149"/>
  <c r="BW38" i="149"/>
  <c r="AE41" i="149"/>
  <c r="AM42" i="149"/>
  <c r="AU43" i="149"/>
  <c r="BO44" i="149"/>
  <c r="BC47" i="149"/>
  <c r="W49" i="149"/>
  <c r="AI51" i="149"/>
  <c r="O54" i="149"/>
  <c r="AA56" i="149"/>
  <c r="W61" i="149"/>
  <c r="AI63" i="149"/>
  <c r="O66" i="149"/>
  <c r="AA68" i="149"/>
  <c r="W73" i="149"/>
  <c r="AI75" i="149"/>
  <c r="O78" i="149"/>
  <c r="AA80" i="149"/>
  <c r="S59" i="149"/>
  <c r="BO61" i="149"/>
  <c r="S71" i="149"/>
  <c r="BO73" i="149"/>
  <c r="AQ74" i="149"/>
  <c r="AQ62" i="149"/>
  <c r="AQ50" i="149"/>
  <c r="AQ81" i="149"/>
  <c r="AQ69" i="149"/>
  <c r="AQ57" i="149"/>
  <c r="AQ45" i="149"/>
  <c r="AQ33" i="149"/>
  <c r="AQ21" i="149"/>
  <c r="AQ76" i="149"/>
  <c r="AQ64" i="149"/>
  <c r="AQ52" i="149"/>
  <c r="AQ40" i="149"/>
  <c r="AQ71" i="149"/>
  <c r="AQ59" i="149"/>
  <c r="AQ47" i="149"/>
  <c r="AQ78" i="149"/>
  <c r="AQ66" i="149"/>
  <c r="AQ54" i="149"/>
  <c r="AQ73" i="149"/>
  <c r="AQ61" i="149"/>
  <c r="AQ49" i="149"/>
  <c r="AQ80" i="149"/>
  <c r="AQ68" i="149"/>
  <c r="AQ56" i="149"/>
  <c r="AQ75" i="149"/>
  <c r="AQ63" i="149"/>
  <c r="AQ51" i="149"/>
  <c r="AQ39" i="149"/>
  <c r="AQ82" i="149"/>
  <c r="AQ70" i="149"/>
  <c r="AQ58" i="149"/>
  <c r="AQ46" i="149"/>
  <c r="AQ9" i="149"/>
  <c r="S15" i="149"/>
  <c r="P4" i="149"/>
  <c r="AN4" i="149"/>
  <c r="BL4" i="149"/>
  <c r="S8" i="149"/>
  <c r="BO8" i="149"/>
  <c r="AQ14" i="149"/>
  <c r="AY16" i="149"/>
  <c r="AE17" i="149"/>
  <c r="BW20" i="149"/>
  <c r="AQ22" i="149"/>
  <c r="AA23" i="149"/>
  <c r="AQ25" i="149"/>
  <c r="AA26" i="149"/>
  <c r="BK27" i="149"/>
  <c r="AY28" i="149"/>
  <c r="AI29" i="149"/>
  <c r="BS30" i="149"/>
  <c r="BC31" i="149"/>
  <c r="AM32" i="149"/>
  <c r="W33" i="149"/>
  <c r="BO34" i="149"/>
  <c r="BG35" i="149"/>
  <c r="AM37" i="149"/>
  <c r="AA38" i="149"/>
  <c r="AE40" i="149"/>
  <c r="AQ41" i="149"/>
  <c r="BK42" i="149"/>
  <c r="BO43" i="149"/>
  <c r="AI46" i="149"/>
  <c r="BS49" i="149"/>
  <c r="O52" i="149"/>
  <c r="BK54" i="149"/>
  <c r="BW56" i="149"/>
  <c r="BG59" i="149"/>
  <c r="BS61" i="149"/>
  <c r="O64" i="149"/>
  <c r="BK66" i="149"/>
  <c r="BW68" i="149"/>
  <c r="BG71" i="149"/>
  <c r="O76" i="149"/>
  <c r="BK78" i="149"/>
  <c r="BW80" i="149"/>
  <c r="S80" i="149"/>
  <c r="S68" i="149"/>
  <c r="S56" i="149"/>
  <c r="S75" i="149"/>
  <c r="S63" i="149"/>
  <c r="S51" i="149"/>
  <c r="S39" i="149"/>
  <c r="S27" i="149"/>
  <c r="S82" i="149"/>
  <c r="S70" i="149"/>
  <c r="S58" i="149"/>
  <c r="S46" i="149"/>
  <c r="S77" i="149"/>
  <c r="S65" i="149"/>
  <c r="S53" i="149"/>
  <c r="S41" i="149"/>
  <c r="S72" i="149"/>
  <c r="S60" i="149"/>
  <c r="S48" i="149"/>
  <c r="S79" i="149"/>
  <c r="S67" i="149"/>
  <c r="S55" i="149"/>
  <c r="S74" i="149"/>
  <c r="S62" i="149"/>
  <c r="S50" i="149"/>
  <c r="S81" i="149"/>
  <c r="S69" i="149"/>
  <c r="S57" i="149"/>
  <c r="S45" i="149"/>
  <c r="S76" i="149"/>
  <c r="S64" i="149"/>
  <c r="S52" i="149"/>
  <c r="S40" i="149"/>
  <c r="BO80" i="149"/>
  <c r="BO68" i="149"/>
  <c r="BO56" i="149"/>
  <c r="BO75" i="149"/>
  <c r="BO63" i="149"/>
  <c r="BO51" i="149"/>
  <c r="BO39" i="149"/>
  <c r="BO27" i="149"/>
  <c r="BO82" i="149"/>
  <c r="BO70" i="149"/>
  <c r="BO58" i="149"/>
  <c r="BO46" i="149"/>
  <c r="BO77" i="149"/>
  <c r="BO65" i="149"/>
  <c r="BO53" i="149"/>
  <c r="BO41" i="149"/>
  <c r="BO72" i="149"/>
  <c r="BO60" i="149"/>
  <c r="BO48" i="149"/>
  <c r="BO79" i="149"/>
  <c r="BO67" i="149"/>
  <c r="BO55" i="149"/>
  <c r="BO74" i="149"/>
  <c r="BO62" i="149"/>
  <c r="BO50" i="149"/>
  <c r="BO81" i="149"/>
  <c r="BO69" i="149"/>
  <c r="BO57" i="149"/>
  <c r="BO45" i="149"/>
  <c r="BO33" i="149"/>
  <c r="BO76" i="149"/>
  <c r="BO64" i="149"/>
  <c r="BO52" i="149"/>
  <c r="BO40" i="149"/>
  <c r="BO30" i="149"/>
  <c r="W75" i="149"/>
  <c r="W63" i="149"/>
  <c r="W51" i="149"/>
  <c r="W82" i="149"/>
  <c r="W70" i="149"/>
  <c r="W58" i="149"/>
  <c r="W46" i="149"/>
  <c r="W34" i="149"/>
  <c r="W22" i="149"/>
  <c r="W77" i="149"/>
  <c r="W65" i="149"/>
  <c r="W53" i="149"/>
  <c r="W41" i="149"/>
  <c r="W72" i="149"/>
  <c r="W60" i="149"/>
  <c r="W48" i="149"/>
  <c r="W79" i="149"/>
  <c r="W67" i="149"/>
  <c r="W55" i="149"/>
  <c r="W74" i="149"/>
  <c r="W62" i="149"/>
  <c r="W50" i="149"/>
  <c r="W81" i="149"/>
  <c r="W69" i="149"/>
  <c r="W57" i="149"/>
  <c r="W76" i="149"/>
  <c r="W64" i="149"/>
  <c r="W52" i="149"/>
  <c r="W40" i="149"/>
  <c r="W71" i="149"/>
  <c r="W59" i="149"/>
  <c r="W47" i="149"/>
  <c r="AU81" i="149"/>
  <c r="AU69" i="149"/>
  <c r="AU57" i="149"/>
  <c r="AU76" i="149"/>
  <c r="AU64" i="149"/>
  <c r="AU52" i="149"/>
  <c r="AU40" i="149"/>
  <c r="AU28" i="149"/>
  <c r="AU71" i="149"/>
  <c r="AU59" i="149"/>
  <c r="AU47" i="149"/>
  <c r="AU78" i="149"/>
  <c r="AU66" i="149"/>
  <c r="AU54" i="149"/>
  <c r="AU42" i="149"/>
  <c r="AU73" i="149"/>
  <c r="AU61" i="149"/>
  <c r="AU49" i="149"/>
  <c r="AU80" i="149"/>
  <c r="AU68" i="149"/>
  <c r="AU56" i="149"/>
  <c r="AU75" i="149"/>
  <c r="AU63" i="149"/>
  <c r="AU51" i="149"/>
  <c r="AU82" i="149"/>
  <c r="AU70" i="149"/>
  <c r="AU58" i="149"/>
  <c r="AU46" i="149"/>
  <c r="AU34" i="149"/>
  <c r="AU77" i="149"/>
  <c r="AU65" i="149"/>
  <c r="AU53" i="149"/>
  <c r="AU41" i="149"/>
  <c r="BS75" i="149"/>
  <c r="BS63" i="149"/>
  <c r="BS51" i="149"/>
  <c r="BS82" i="149"/>
  <c r="BS70" i="149"/>
  <c r="BS58" i="149"/>
  <c r="BS46" i="149"/>
  <c r="BS34" i="149"/>
  <c r="BS22" i="149"/>
  <c r="BS77" i="149"/>
  <c r="BS65" i="149"/>
  <c r="BS53" i="149"/>
  <c r="BS41" i="149"/>
  <c r="BS72" i="149"/>
  <c r="BS60" i="149"/>
  <c r="BS48" i="149"/>
  <c r="BS79" i="149"/>
  <c r="BS67" i="149"/>
  <c r="BS55" i="149"/>
  <c r="BS74" i="149"/>
  <c r="BS62" i="149"/>
  <c r="BS50" i="149"/>
  <c r="BS81" i="149"/>
  <c r="BS69" i="149"/>
  <c r="BS57" i="149"/>
  <c r="BS76" i="149"/>
  <c r="BS64" i="149"/>
  <c r="BS52" i="149"/>
  <c r="BS40" i="149"/>
  <c r="BS71" i="149"/>
  <c r="BS59" i="149"/>
  <c r="BS47" i="149"/>
  <c r="AB5" i="149"/>
  <c r="AE5" i="149" s="1"/>
  <c r="AZ5" i="149"/>
  <c r="BC5" i="149" s="1"/>
  <c r="L6" i="149"/>
  <c r="X6" i="149"/>
  <c r="AJ6" i="149"/>
  <c r="AV6" i="149"/>
  <c r="BH6" i="149"/>
  <c r="BT6" i="149"/>
  <c r="AQ7" i="149"/>
  <c r="W8" i="149"/>
  <c r="BS8" i="149"/>
  <c r="AY9" i="149"/>
  <c r="AE10" i="149"/>
  <c r="BG11" i="149"/>
  <c r="AM12" i="149"/>
  <c r="S13" i="149"/>
  <c r="BO13" i="149"/>
  <c r="AU14" i="149"/>
  <c r="AA15" i="149"/>
  <c r="BW15" i="149"/>
  <c r="BC16" i="149"/>
  <c r="AI17" i="149"/>
  <c r="O18" i="149"/>
  <c r="BK18" i="149"/>
  <c r="AQ19" i="149"/>
  <c r="AA20" i="149"/>
  <c r="BK21" i="149"/>
  <c r="AU22" i="149"/>
  <c r="AE23" i="149"/>
  <c r="O24" i="149"/>
  <c r="BO24" i="149"/>
  <c r="AU25" i="149"/>
  <c r="AE26" i="149"/>
  <c r="O27" i="149"/>
  <c r="BS27" i="149"/>
  <c r="BC28" i="149"/>
  <c r="AM29" i="149"/>
  <c r="W30" i="149"/>
  <c r="BW30" i="149"/>
  <c r="BG31" i="149"/>
  <c r="AQ32" i="149"/>
  <c r="AA33" i="149"/>
  <c r="O34" i="149"/>
  <c r="BW34" i="149"/>
  <c r="BK35" i="149"/>
  <c r="AY36" i="149"/>
  <c r="AQ37" i="149"/>
  <c r="AE38" i="149"/>
  <c r="AA39" i="149"/>
  <c r="AI40" i="149"/>
  <c r="BC41" i="149"/>
  <c r="BO42" i="149"/>
  <c r="BS43" i="149"/>
  <c r="W45" i="149"/>
  <c r="AM46" i="149"/>
  <c r="BW49" i="149"/>
  <c r="BC52" i="149"/>
  <c r="BO54" i="149"/>
  <c r="BK59" i="149"/>
  <c r="BW61" i="149"/>
  <c r="BC64" i="149"/>
  <c r="BO66" i="149"/>
  <c r="BK71" i="149"/>
  <c r="BW73" i="149"/>
  <c r="BC76" i="149"/>
  <c r="BO78" i="149"/>
  <c r="T4" i="149"/>
  <c r="AR4" i="149"/>
  <c r="BP4" i="149"/>
  <c r="M6" i="149"/>
  <c r="Y6" i="149"/>
  <c r="AK6" i="149"/>
  <c r="AW6" i="149"/>
  <c r="BI6" i="149"/>
  <c r="BU6" i="149"/>
  <c r="AU7" i="149"/>
  <c r="AA8" i="149"/>
  <c r="BW8" i="149"/>
  <c r="BC9" i="149"/>
  <c r="AI10" i="149"/>
  <c r="O11" i="149"/>
  <c r="BK11" i="149"/>
  <c r="AQ12" i="149"/>
  <c r="W13" i="149"/>
  <c r="BS13" i="149"/>
  <c r="AY14" i="149"/>
  <c r="AE15" i="149"/>
  <c r="BG16" i="149"/>
  <c r="AM17" i="149"/>
  <c r="S18" i="149"/>
  <c r="BO18" i="149"/>
  <c r="AU19" i="149"/>
  <c r="AE20" i="149"/>
  <c r="O21" i="149"/>
  <c r="BO21" i="149"/>
  <c r="AY22" i="149"/>
  <c r="AI23" i="149"/>
  <c r="S24" i="149"/>
  <c r="BS24" i="149"/>
  <c r="AY25" i="149"/>
  <c r="AI26" i="149"/>
  <c r="W27" i="149"/>
  <c r="BG28" i="149"/>
  <c r="AQ29" i="149"/>
  <c r="AA30" i="149"/>
  <c r="BK31" i="149"/>
  <c r="AU32" i="149"/>
  <c r="AE33" i="149"/>
  <c r="S34" i="149"/>
  <c r="BO35" i="149"/>
  <c r="BG36" i="149"/>
  <c r="AU37" i="149"/>
  <c r="AI38" i="149"/>
  <c r="AE39" i="149"/>
  <c r="AY40" i="149"/>
  <c r="BG41" i="149"/>
  <c r="BS42" i="149"/>
  <c r="AY46" i="149"/>
  <c r="AI48" i="149"/>
  <c r="BG52" i="149"/>
  <c r="BS54" i="149"/>
  <c r="AY57" i="149"/>
  <c r="BO59" i="149"/>
  <c r="BG64" i="149"/>
  <c r="BS66" i="149"/>
  <c r="AY69" i="149"/>
  <c r="BO71" i="149"/>
  <c r="BG76" i="149"/>
  <c r="BS78" i="149"/>
  <c r="AA82" i="149"/>
  <c r="AA70" i="149"/>
  <c r="AA58" i="149"/>
  <c r="AA77" i="149"/>
  <c r="AA65" i="149"/>
  <c r="AA53" i="149"/>
  <c r="AA41" i="149"/>
  <c r="AA29" i="149"/>
  <c r="AA72" i="149"/>
  <c r="AA60" i="149"/>
  <c r="AA48" i="149"/>
  <c r="AA79" i="149"/>
  <c r="AA67" i="149"/>
  <c r="AA55" i="149"/>
  <c r="AA43" i="149"/>
  <c r="AA74" i="149"/>
  <c r="AA62" i="149"/>
  <c r="AA50" i="149"/>
  <c r="AA81" i="149"/>
  <c r="AA69" i="149"/>
  <c r="AA57" i="149"/>
  <c r="AA76" i="149"/>
  <c r="AA64" i="149"/>
  <c r="AA52" i="149"/>
  <c r="AA71" i="149"/>
  <c r="AA59" i="149"/>
  <c r="AA47" i="149"/>
  <c r="AA35" i="149"/>
  <c r="AA78" i="149"/>
  <c r="AA66" i="149"/>
  <c r="AA54" i="149"/>
  <c r="AA42" i="149"/>
  <c r="AY76" i="149"/>
  <c r="AY64" i="149"/>
  <c r="AY52" i="149"/>
  <c r="AY71" i="149"/>
  <c r="AY59" i="149"/>
  <c r="AY47" i="149"/>
  <c r="AY35" i="149"/>
  <c r="AY23" i="149"/>
  <c r="AY78" i="149"/>
  <c r="AY66" i="149"/>
  <c r="AY54" i="149"/>
  <c r="AY42" i="149"/>
  <c r="AY73" i="149"/>
  <c r="AY61" i="149"/>
  <c r="AY49" i="149"/>
  <c r="AY80" i="149"/>
  <c r="AY68" i="149"/>
  <c r="AY56" i="149"/>
  <c r="AY44" i="149"/>
  <c r="AY75" i="149"/>
  <c r="AY63" i="149"/>
  <c r="AY51" i="149"/>
  <c r="AY82" i="149"/>
  <c r="AY70" i="149"/>
  <c r="AY58" i="149"/>
  <c r="AY77" i="149"/>
  <c r="AY65" i="149"/>
  <c r="AY53" i="149"/>
  <c r="AY41" i="149"/>
  <c r="AY72" i="149"/>
  <c r="AY60" i="149"/>
  <c r="AY48" i="149"/>
  <c r="BW82" i="149"/>
  <c r="BW70" i="149"/>
  <c r="BW58" i="149"/>
  <c r="BW77" i="149"/>
  <c r="BW65" i="149"/>
  <c r="BW53" i="149"/>
  <c r="BW41" i="149"/>
  <c r="BW29" i="149"/>
  <c r="BW72" i="149"/>
  <c r="BW60" i="149"/>
  <c r="BW48" i="149"/>
  <c r="BW79" i="149"/>
  <c r="BW67" i="149"/>
  <c r="BW55" i="149"/>
  <c r="BW43" i="149"/>
  <c r="BW74" i="149"/>
  <c r="BW62" i="149"/>
  <c r="BW50" i="149"/>
  <c r="BW81" i="149"/>
  <c r="BW69" i="149"/>
  <c r="BW57" i="149"/>
  <c r="BW76" i="149"/>
  <c r="BW64" i="149"/>
  <c r="BW52" i="149"/>
  <c r="BW71" i="149"/>
  <c r="BW59" i="149"/>
  <c r="BW47" i="149"/>
  <c r="BW35" i="149"/>
  <c r="BW78" i="149"/>
  <c r="BW66" i="149"/>
  <c r="BW54" i="149"/>
  <c r="BW42" i="149"/>
  <c r="Z6" i="149"/>
  <c r="AA6" i="149" s="1"/>
  <c r="AX6" i="149"/>
  <c r="AY6" i="149" s="1"/>
  <c r="BV6" i="149"/>
  <c r="BW6" i="149" s="1"/>
  <c r="AY7" i="149"/>
  <c r="AE8" i="149"/>
  <c r="S11" i="149"/>
  <c r="BO11" i="149"/>
  <c r="AU12" i="149"/>
  <c r="AA13" i="149"/>
  <c r="BW13" i="149"/>
  <c r="BC14" i="149"/>
  <c r="AI15" i="149"/>
  <c r="O16" i="149"/>
  <c r="BK16" i="149"/>
  <c r="AQ17" i="149"/>
  <c r="W18" i="149"/>
  <c r="BS18" i="149"/>
  <c r="AY19" i="149"/>
  <c r="AI20" i="149"/>
  <c r="S21" i="149"/>
  <c r="BS21" i="149"/>
  <c r="BC22" i="149"/>
  <c r="AM23" i="149"/>
  <c r="W24" i="149"/>
  <c r="BW24" i="149"/>
  <c r="BC25" i="149"/>
  <c r="AQ26" i="149"/>
  <c r="AA27" i="149"/>
  <c r="BK28" i="149"/>
  <c r="AU29" i="149"/>
  <c r="AE30" i="149"/>
  <c r="O31" i="149"/>
  <c r="BO31" i="149"/>
  <c r="AY32" i="149"/>
  <c r="AI33" i="149"/>
  <c r="AA34" i="149"/>
  <c r="O35" i="149"/>
  <c r="BS35" i="149"/>
  <c r="BK36" i="149"/>
  <c r="AY37" i="149"/>
  <c r="AQ38" i="149"/>
  <c r="AI39" i="149"/>
  <c r="BC40" i="149"/>
  <c r="BK41" i="149"/>
  <c r="S44" i="149"/>
  <c r="AU45" i="149"/>
  <c r="BC46" i="149"/>
  <c r="AM48" i="149"/>
  <c r="AU50" i="149"/>
  <c r="BK52" i="149"/>
  <c r="BC57" i="149"/>
  <c r="AU62" i="149"/>
  <c r="BK64" i="149"/>
  <c r="BC69" i="149"/>
  <c r="AU74" i="149"/>
  <c r="BK76" i="149"/>
  <c r="BC81" i="149"/>
  <c r="X4" i="149"/>
  <c r="AV4" i="149"/>
  <c r="BT4" i="149"/>
  <c r="BC7" i="149"/>
  <c r="AI8" i="149"/>
  <c r="O9" i="149"/>
  <c r="BK9" i="149"/>
  <c r="AQ10" i="149"/>
  <c r="W11" i="149"/>
  <c r="BS11" i="149"/>
  <c r="AY12" i="149"/>
  <c r="AE13" i="149"/>
  <c r="BG14" i="149"/>
  <c r="AM15" i="149"/>
  <c r="S16" i="149"/>
  <c r="BO16" i="149"/>
  <c r="AU17" i="149"/>
  <c r="AA18" i="149"/>
  <c r="BW18" i="149"/>
  <c r="BC19" i="149"/>
  <c r="AM20" i="149"/>
  <c r="W21" i="149"/>
  <c r="BW21" i="149"/>
  <c r="BG22" i="149"/>
  <c r="AQ23" i="149"/>
  <c r="AA24" i="149"/>
  <c r="BK25" i="149"/>
  <c r="AU26" i="149"/>
  <c r="AE27" i="149"/>
  <c r="O28" i="149"/>
  <c r="BO28" i="149"/>
  <c r="AY29" i="149"/>
  <c r="AI30" i="149"/>
  <c r="S31" i="149"/>
  <c r="BS31" i="149"/>
  <c r="BC32" i="149"/>
  <c r="AM33" i="149"/>
  <c r="S35" i="149"/>
  <c r="BO36" i="149"/>
  <c r="AU38" i="149"/>
  <c r="AU39" i="149"/>
  <c r="BG40" i="149"/>
  <c r="O43" i="149"/>
  <c r="W44" i="149"/>
  <c r="AY45" i="149"/>
  <c r="BW46" i="149"/>
  <c r="AQ48" i="149"/>
  <c r="AY50" i="149"/>
  <c r="AQ55" i="149"/>
  <c r="BG57" i="149"/>
  <c r="AM60" i="149"/>
  <c r="AY62" i="149"/>
  <c r="AQ67" i="149"/>
  <c r="BG69" i="149"/>
  <c r="AM72" i="149"/>
  <c r="AY74" i="149"/>
  <c r="AQ79" i="149"/>
  <c r="BG81" i="149"/>
  <c r="AE77" i="149"/>
  <c r="AE65" i="149"/>
  <c r="AE53" i="149"/>
  <c r="AE72" i="149"/>
  <c r="AE60" i="149"/>
  <c r="AE48" i="149"/>
  <c r="AE36" i="149"/>
  <c r="AE24" i="149"/>
  <c r="AE79" i="149"/>
  <c r="AE67" i="149"/>
  <c r="AE55" i="149"/>
  <c r="AE43" i="149"/>
  <c r="AE74" i="149"/>
  <c r="AE62" i="149"/>
  <c r="AE50" i="149"/>
  <c r="AE81" i="149"/>
  <c r="AE69" i="149"/>
  <c r="AE57" i="149"/>
  <c r="AE45" i="149"/>
  <c r="AE76" i="149"/>
  <c r="AE64" i="149"/>
  <c r="AE52" i="149"/>
  <c r="AE71" i="149"/>
  <c r="AE59" i="149"/>
  <c r="AE78" i="149"/>
  <c r="AE66" i="149"/>
  <c r="AE54" i="149"/>
  <c r="AE42" i="149"/>
  <c r="AE73" i="149"/>
  <c r="AE61" i="149"/>
  <c r="AE49" i="149"/>
  <c r="AE37" i="149"/>
  <c r="BC71" i="149"/>
  <c r="BC59" i="149"/>
  <c r="BC78" i="149"/>
  <c r="BC66" i="149"/>
  <c r="BC54" i="149"/>
  <c r="BC42" i="149"/>
  <c r="BC30" i="149"/>
  <c r="BC73" i="149"/>
  <c r="BC61" i="149"/>
  <c r="BC49" i="149"/>
  <c r="BC80" i="149"/>
  <c r="BC68" i="149"/>
  <c r="BC56" i="149"/>
  <c r="BC44" i="149"/>
  <c r="BC75" i="149"/>
  <c r="BC63" i="149"/>
  <c r="BC51" i="149"/>
  <c r="BC82" i="149"/>
  <c r="BC70" i="149"/>
  <c r="BC58" i="149"/>
  <c r="BC77" i="149"/>
  <c r="BC65" i="149"/>
  <c r="BC53" i="149"/>
  <c r="BC72" i="149"/>
  <c r="BC60" i="149"/>
  <c r="BC48" i="149"/>
  <c r="BC36" i="149"/>
  <c r="BC79" i="149"/>
  <c r="BC67" i="149"/>
  <c r="BC55" i="149"/>
  <c r="BC43" i="149"/>
  <c r="P6" i="149"/>
  <c r="AB6" i="149"/>
  <c r="AN6" i="149"/>
  <c r="AZ6" i="149"/>
  <c r="BL6" i="149"/>
  <c r="AM8" i="149"/>
  <c r="S9" i="149"/>
  <c r="BO9" i="149"/>
  <c r="AU10" i="149"/>
  <c r="AA11" i="149"/>
  <c r="BW11" i="149"/>
  <c r="BC12" i="149"/>
  <c r="AI13" i="149"/>
  <c r="O14" i="149"/>
  <c r="BK14" i="149"/>
  <c r="AQ15" i="149"/>
  <c r="W16" i="149"/>
  <c r="BS16" i="149"/>
  <c r="AY17" i="149"/>
  <c r="AE18" i="149"/>
  <c r="BG19" i="149"/>
  <c r="AQ20" i="149"/>
  <c r="AA21" i="149"/>
  <c r="BK22" i="149"/>
  <c r="AU23" i="149"/>
  <c r="AI24" i="149"/>
  <c r="O25" i="149"/>
  <c r="BO25" i="149"/>
  <c r="AY26" i="149"/>
  <c r="AI27" i="149"/>
  <c r="S28" i="149"/>
  <c r="BS28" i="149"/>
  <c r="BC29" i="149"/>
  <c r="AM30" i="149"/>
  <c r="W31" i="149"/>
  <c r="BW31" i="149"/>
  <c r="BG32" i="149"/>
  <c r="AU33" i="149"/>
  <c r="AI34" i="149"/>
  <c r="W35" i="149"/>
  <c r="O36" i="149"/>
  <c r="BS36" i="149"/>
  <c r="BK37" i="149"/>
  <c r="AY38" i="149"/>
  <c r="AY39" i="149"/>
  <c r="BK40" i="149"/>
  <c r="O42" i="149"/>
  <c r="S43" i="149"/>
  <c r="AA44" i="149"/>
  <c r="BC45" i="149"/>
  <c r="AU48" i="149"/>
  <c r="BC50" i="149"/>
  <c r="AI53" i="149"/>
  <c r="AU55" i="149"/>
  <c r="AQ60" i="149"/>
  <c r="BC62" i="149"/>
  <c r="AI65" i="149"/>
  <c r="AU67" i="149"/>
  <c r="AQ72" i="149"/>
  <c r="BC74" i="149"/>
  <c r="AU79" i="149"/>
  <c r="Q6" i="149"/>
  <c r="AO6" i="149"/>
  <c r="BM6" i="149"/>
  <c r="AQ8" i="149"/>
  <c r="AY10" i="149"/>
  <c r="AE11" i="149"/>
  <c r="S14" i="149"/>
  <c r="BO14" i="149"/>
  <c r="AA16" i="149"/>
  <c r="BW16" i="149"/>
  <c r="BC17" i="149"/>
  <c r="AE21" i="149"/>
  <c r="O22" i="149"/>
  <c r="BO22" i="149"/>
  <c r="BC23" i="149"/>
  <c r="AM24" i="149"/>
  <c r="S25" i="149"/>
  <c r="BS25" i="149"/>
  <c r="BC26" i="149"/>
  <c r="AM27" i="149"/>
  <c r="W28" i="149"/>
  <c r="BW28" i="149"/>
  <c r="BG29" i="149"/>
  <c r="AQ30" i="149"/>
  <c r="AA31" i="149"/>
  <c r="BO32" i="149"/>
  <c r="AY33" i="149"/>
  <c r="AM34" i="149"/>
  <c r="AE35" i="149"/>
  <c r="S36" i="149"/>
  <c r="BW36" i="149"/>
  <c r="BO37" i="149"/>
  <c r="BC38" i="149"/>
  <c r="BC39" i="149"/>
  <c r="BW40" i="149"/>
  <c r="S42" i="149"/>
  <c r="W43" i="149"/>
  <c r="AE44" i="149"/>
  <c r="O47" i="149"/>
  <c r="AM53" i="149"/>
  <c r="AY55" i="149"/>
  <c r="AE58" i="149"/>
  <c r="AU60" i="149"/>
  <c r="AM65" i="149"/>
  <c r="AY67" i="149"/>
  <c r="AE70" i="149"/>
  <c r="AU72" i="149"/>
  <c r="AM77" i="149"/>
  <c r="AY79" i="149"/>
  <c r="AE82" i="149"/>
  <c r="AI72" i="149"/>
  <c r="AI60" i="149"/>
  <c r="AI79" i="149"/>
  <c r="AI67" i="149"/>
  <c r="AI55" i="149"/>
  <c r="AI43" i="149"/>
  <c r="AI31" i="149"/>
  <c r="AI74" i="149"/>
  <c r="AI62" i="149"/>
  <c r="AI50" i="149"/>
  <c r="AI81" i="149"/>
  <c r="AI69" i="149"/>
  <c r="AI57" i="149"/>
  <c r="AI45" i="149"/>
  <c r="AI76" i="149"/>
  <c r="AI64" i="149"/>
  <c r="AI52" i="149"/>
  <c r="AI71" i="149"/>
  <c r="AI59" i="149"/>
  <c r="AI47" i="149"/>
  <c r="AI78" i="149"/>
  <c r="AI66" i="149"/>
  <c r="AI54" i="149"/>
  <c r="AI73" i="149"/>
  <c r="AI61" i="149"/>
  <c r="AI49" i="149"/>
  <c r="AI37" i="149"/>
  <c r="AI80" i="149"/>
  <c r="AI68" i="149"/>
  <c r="AI56" i="149"/>
  <c r="AI44" i="149"/>
  <c r="BG78" i="149"/>
  <c r="BG66" i="149"/>
  <c r="BG54" i="149"/>
  <c r="BG73" i="149"/>
  <c r="BG61" i="149"/>
  <c r="BG49" i="149"/>
  <c r="BG37" i="149"/>
  <c r="BG25" i="149"/>
  <c r="BG80" i="149"/>
  <c r="BG68" i="149"/>
  <c r="BG56" i="149"/>
  <c r="BG44" i="149"/>
  <c r="BG75" i="149"/>
  <c r="BG63" i="149"/>
  <c r="BG51" i="149"/>
  <c r="BG39" i="149"/>
  <c r="BG82" i="149"/>
  <c r="BG70" i="149"/>
  <c r="BG58" i="149"/>
  <c r="BG46" i="149"/>
  <c r="BG77" i="149"/>
  <c r="BG65" i="149"/>
  <c r="BG53" i="149"/>
  <c r="BG72" i="149"/>
  <c r="BG60" i="149"/>
  <c r="BG48" i="149"/>
  <c r="BG79" i="149"/>
  <c r="BG67" i="149"/>
  <c r="BG55" i="149"/>
  <c r="BG43" i="149"/>
  <c r="BG74" i="149"/>
  <c r="BG62" i="149"/>
  <c r="BG50" i="149"/>
  <c r="BG38" i="149"/>
  <c r="P5" i="149"/>
  <c r="S5" i="149" s="1"/>
  <c r="AN5" i="149"/>
  <c r="AQ5" i="149" s="1"/>
  <c r="BL5" i="149"/>
  <c r="BO5" i="149" s="1"/>
  <c r="R6" i="149"/>
  <c r="S6" i="149" s="1"/>
  <c r="AD6" i="149"/>
  <c r="AE6" i="149" s="1"/>
  <c r="AP6" i="149"/>
  <c r="AQ6" i="149" s="1"/>
  <c r="BB6" i="149"/>
  <c r="BC6" i="149" s="1"/>
  <c r="BN6" i="149"/>
  <c r="BO6" i="149" s="1"/>
  <c r="S7" i="149"/>
  <c r="BO7" i="149"/>
  <c r="AU8" i="149"/>
  <c r="AA9" i="149"/>
  <c r="BW9" i="149"/>
  <c r="BC10" i="149"/>
  <c r="AI11" i="149"/>
  <c r="O12" i="149"/>
  <c r="BK12" i="149"/>
  <c r="AQ13" i="149"/>
  <c r="W14" i="149"/>
  <c r="BS14" i="149"/>
  <c r="AY15" i="149"/>
  <c r="AE16" i="149"/>
  <c r="BG17" i="149"/>
  <c r="AM18" i="149"/>
  <c r="S19" i="149"/>
  <c r="BO19" i="149"/>
  <c r="AY20" i="149"/>
  <c r="AI21" i="149"/>
  <c r="S22" i="149"/>
  <c r="BW22" i="149"/>
  <c r="BG23" i="149"/>
  <c r="AQ24" i="149"/>
  <c r="W25" i="149"/>
  <c r="BW25" i="149"/>
  <c r="BG26" i="149"/>
  <c r="AQ27" i="149"/>
  <c r="AA28" i="149"/>
  <c r="BK29" i="149"/>
  <c r="AU30" i="149"/>
  <c r="AE31" i="149"/>
  <c r="S32" i="149"/>
  <c r="BS32" i="149"/>
  <c r="BC33" i="149"/>
  <c r="AQ34" i="149"/>
  <c r="AI35" i="149"/>
  <c r="W36" i="149"/>
  <c r="BS37" i="149"/>
  <c r="BO38" i="149"/>
  <c r="BS39" i="149"/>
  <c r="W42" i="149"/>
  <c r="AM43" i="149"/>
  <c r="AQ44" i="149"/>
  <c r="BS45" i="149"/>
  <c r="S47" i="149"/>
  <c r="O49" i="149"/>
  <c r="AA51" i="149"/>
  <c r="AQ53" i="149"/>
  <c r="AI58" i="149"/>
  <c r="AA63" i="149"/>
  <c r="AQ65" i="149"/>
  <c r="AI70" i="149"/>
  <c r="AA75" i="149"/>
  <c r="AQ77" i="149"/>
  <c r="AI82" i="149"/>
  <c r="S33" i="149"/>
  <c r="BO49" i="149"/>
  <c r="W7" i="149"/>
  <c r="BS7" i="149"/>
  <c r="AY8" i="149"/>
  <c r="AE9" i="149"/>
  <c r="BG10" i="149"/>
  <c r="AM11" i="149"/>
  <c r="S12" i="149"/>
  <c r="BO12" i="149"/>
  <c r="AU13" i="149"/>
  <c r="AA14" i="149"/>
  <c r="BW14" i="149"/>
  <c r="BC15" i="149"/>
  <c r="AI16" i="149"/>
  <c r="O17" i="149"/>
  <c r="BK17" i="149"/>
  <c r="AQ18" i="149"/>
  <c r="W19" i="149"/>
  <c r="BS19" i="149"/>
  <c r="BC20" i="149"/>
  <c r="AM21" i="149"/>
  <c r="AA22" i="149"/>
  <c r="BK23" i="149"/>
  <c r="AU24" i="149"/>
  <c r="AA25" i="149"/>
  <c r="BK26" i="149"/>
  <c r="AU27" i="149"/>
  <c r="AE28" i="149"/>
  <c r="O29" i="149"/>
  <c r="BO29" i="149"/>
  <c r="AY30" i="149"/>
  <c r="AM31" i="149"/>
  <c r="W32" i="149"/>
  <c r="BW32" i="149"/>
  <c r="BG33" i="149"/>
  <c r="AY34" i="149"/>
  <c r="AM35" i="149"/>
  <c r="AA36" i="149"/>
  <c r="O37" i="149"/>
  <c r="BW37" i="149"/>
  <c r="BS38" i="149"/>
  <c r="BW39" i="149"/>
  <c r="O41" i="149"/>
  <c r="AI42" i="149"/>
  <c r="AQ43" i="149"/>
  <c r="AU44" i="149"/>
  <c r="BW45" i="149"/>
  <c r="AE47" i="149"/>
  <c r="S49" i="149"/>
  <c r="AE51" i="149"/>
  <c r="W56" i="149"/>
  <c r="AM58" i="149"/>
  <c r="S61" i="149"/>
  <c r="AE63" i="149"/>
  <c r="W68" i="149"/>
  <c r="AM70" i="149"/>
  <c r="S73" i="149"/>
  <c r="AE75" i="149"/>
  <c r="W80" i="149"/>
  <c r="AM82" i="149"/>
  <c r="U6" i="148"/>
  <c r="AS6" i="148"/>
  <c r="BQ6" i="148"/>
  <c r="AE7" i="148"/>
  <c r="BG8" i="148"/>
  <c r="AM9" i="148"/>
  <c r="BO10" i="148"/>
  <c r="AU11" i="148"/>
  <c r="AA12" i="148"/>
  <c r="BW12" i="148"/>
  <c r="BC13" i="148"/>
  <c r="AI14" i="148"/>
  <c r="O15" i="148"/>
  <c r="BK15" i="148"/>
  <c r="AQ16" i="148"/>
  <c r="W17" i="148"/>
  <c r="BS17" i="148"/>
  <c r="AY18" i="148"/>
  <c r="AE19" i="148"/>
  <c r="W20" i="148"/>
  <c r="O21" i="148"/>
  <c r="O22" i="148"/>
  <c r="BS23" i="148"/>
  <c r="BO24" i="148"/>
  <c r="BG25" i="148"/>
  <c r="BC26" i="148"/>
  <c r="BC27" i="148"/>
  <c r="AU28" i="148"/>
  <c r="AM29" i="148"/>
  <c r="AA30" i="148"/>
  <c r="AA31" i="148"/>
  <c r="W32" i="148"/>
  <c r="O33" i="148"/>
  <c r="O34" i="148"/>
  <c r="BW35" i="148"/>
  <c r="AM38" i="148"/>
  <c r="BC39" i="148"/>
  <c r="O41" i="148"/>
  <c r="BK42" i="148"/>
  <c r="AI44" i="148"/>
  <c r="AQ46" i="148"/>
  <c r="AE49" i="148"/>
  <c r="AU62" i="148"/>
  <c r="S80" i="148"/>
  <c r="S68" i="148"/>
  <c r="S56" i="148"/>
  <c r="S44" i="148"/>
  <c r="S32" i="148"/>
  <c r="S20" i="148"/>
  <c r="S75" i="148"/>
  <c r="S63" i="148"/>
  <c r="S51" i="148"/>
  <c r="S82" i="148"/>
  <c r="S70" i="148"/>
  <c r="S58" i="148"/>
  <c r="S46" i="148"/>
  <c r="S77" i="148"/>
  <c r="S65" i="148"/>
  <c r="S53" i="148"/>
  <c r="S41" i="148"/>
  <c r="S72" i="148"/>
  <c r="S60" i="148"/>
  <c r="S48" i="148"/>
  <c r="S79" i="148"/>
  <c r="S67" i="148"/>
  <c r="S55" i="148"/>
  <c r="S43" i="148"/>
  <c r="S31" i="148"/>
  <c r="S74" i="148"/>
  <c r="S62" i="148"/>
  <c r="S50" i="148"/>
  <c r="S38" i="148"/>
  <c r="S26" i="148"/>
  <c r="S81" i="148"/>
  <c r="S69" i="148"/>
  <c r="S57" i="148"/>
  <c r="S45" i="148"/>
  <c r="S76" i="148"/>
  <c r="S64" i="148"/>
  <c r="S71" i="148"/>
  <c r="S59" i="148"/>
  <c r="S78" i="148"/>
  <c r="S66" i="148"/>
  <c r="S54" i="148"/>
  <c r="S42" i="148"/>
  <c r="AQ74" i="148"/>
  <c r="AQ62" i="148"/>
  <c r="AQ50" i="148"/>
  <c r="AQ38" i="148"/>
  <c r="AQ26" i="148"/>
  <c r="AQ81" i="148"/>
  <c r="AQ69" i="148"/>
  <c r="AQ57" i="148"/>
  <c r="AQ76" i="148"/>
  <c r="AQ64" i="148"/>
  <c r="AQ52" i="148"/>
  <c r="AQ40" i="148"/>
  <c r="AQ71" i="148"/>
  <c r="AQ59" i="148"/>
  <c r="AQ47" i="148"/>
  <c r="AQ78" i="148"/>
  <c r="AQ66" i="148"/>
  <c r="AQ54" i="148"/>
  <c r="AQ42" i="148"/>
  <c r="AQ73" i="148"/>
  <c r="AQ61" i="148"/>
  <c r="AQ49" i="148"/>
  <c r="AQ37" i="148"/>
  <c r="AQ25" i="148"/>
  <c r="AQ80" i="148"/>
  <c r="AQ68" i="148"/>
  <c r="AQ56" i="148"/>
  <c r="AQ44" i="148"/>
  <c r="AQ32" i="148"/>
  <c r="AQ20" i="148"/>
  <c r="AQ75" i="148"/>
  <c r="AQ63" i="148"/>
  <c r="AQ51" i="148"/>
  <c r="AQ39" i="148"/>
  <c r="AQ82" i="148"/>
  <c r="AQ70" i="148"/>
  <c r="AQ58" i="148"/>
  <c r="AQ77" i="148"/>
  <c r="AQ65" i="148"/>
  <c r="AQ53" i="148"/>
  <c r="AQ72" i="148"/>
  <c r="AQ60" i="148"/>
  <c r="AQ48" i="148"/>
  <c r="BO80" i="148"/>
  <c r="BO68" i="148"/>
  <c r="BO56" i="148"/>
  <c r="BO44" i="148"/>
  <c r="BO32" i="148"/>
  <c r="BO20" i="148"/>
  <c r="BO75" i="148"/>
  <c r="BO63" i="148"/>
  <c r="BO51" i="148"/>
  <c r="BO82" i="148"/>
  <c r="BO70" i="148"/>
  <c r="BO58" i="148"/>
  <c r="BO46" i="148"/>
  <c r="BO77" i="148"/>
  <c r="BO65" i="148"/>
  <c r="BO53" i="148"/>
  <c r="BO41" i="148"/>
  <c r="BO72" i="148"/>
  <c r="BO60" i="148"/>
  <c r="BO48" i="148"/>
  <c r="BO79" i="148"/>
  <c r="BO67" i="148"/>
  <c r="BO55" i="148"/>
  <c r="BO43" i="148"/>
  <c r="BO31" i="148"/>
  <c r="BO19" i="148"/>
  <c r="BO74" i="148"/>
  <c r="BO62" i="148"/>
  <c r="BO50" i="148"/>
  <c r="BO38" i="148"/>
  <c r="BO26" i="148"/>
  <c r="BO81" i="148"/>
  <c r="BO69" i="148"/>
  <c r="BO57" i="148"/>
  <c r="BO45" i="148"/>
  <c r="BO76" i="148"/>
  <c r="BO64" i="148"/>
  <c r="BO71" i="148"/>
  <c r="BO59" i="148"/>
  <c r="BO78" i="148"/>
  <c r="BO66" i="148"/>
  <c r="BO54" i="148"/>
  <c r="BO42" i="148"/>
  <c r="V6" i="148"/>
  <c r="W6" i="148" s="1"/>
  <c r="AT6" i="148"/>
  <c r="AU6" i="148" s="1"/>
  <c r="BR6" i="148"/>
  <c r="BS6" i="148" s="1"/>
  <c r="AQ9" i="148"/>
  <c r="W10" i="148"/>
  <c r="BS10" i="148"/>
  <c r="S15" i="148"/>
  <c r="BO15" i="148"/>
  <c r="AU16" i="148"/>
  <c r="S21" i="148"/>
  <c r="S22" i="148"/>
  <c r="BW23" i="148"/>
  <c r="BS24" i="148"/>
  <c r="BO25" i="148"/>
  <c r="BC28" i="148"/>
  <c r="AQ29" i="148"/>
  <c r="AE30" i="148"/>
  <c r="AE31" i="148"/>
  <c r="AA32" i="148"/>
  <c r="S33" i="148"/>
  <c r="S34" i="148"/>
  <c r="O35" i="148"/>
  <c r="S37" i="148"/>
  <c r="AU38" i="148"/>
  <c r="BO39" i="148"/>
  <c r="AA41" i="148"/>
  <c r="BS42" i="148"/>
  <c r="BK44" i="148"/>
  <c r="BO49" i="148"/>
  <c r="AY57" i="148"/>
  <c r="S73" i="148"/>
  <c r="O78" i="148"/>
  <c r="P4" i="148"/>
  <c r="AN4" i="148"/>
  <c r="BL4" i="148"/>
  <c r="S8" i="148"/>
  <c r="BO8" i="148"/>
  <c r="AU9" i="148"/>
  <c r="AA10" i="148"/>
  <c r="BW10" i="148"/>
  <c r="BC11" i="148"/>
  <c r="AI12" i="148"/>
  <c r="O13" i="148"/>
  <c r="BK13" i="148"/>
  <c r="AQ14" i="148"/>
  <c r="W15" i="148"/>
  <c r="BS15" i="148"/>
  <c r="AY16" i="148"/>
  <c r="AE17" i="148"/>
  <c r="BG18" i="148"/>
  <c r="AM19" i="148"/>
  <c r="AE20" i="148"/>
  <c r="AE21" i="148"/>
  <c r="W22" i="148"/>
  <c r="S23" i="148"/>
  <c r="BW24" i="148"/>
  <c r="BS25" i="148"/>
  <c r="BK26" i="148"/>
  <c r="BK27" i="148"/>
  <c r="BG28" i="148"/>
  <c r="AQ30" i="148"/>
  <c r="AI31" i="148"/>
  <c r="AE32" i="148"/>
  <c r="AE33" i="148"/>
  <c r="W34" i="148"/>
  <c r="S35" i="148"/>
  <c r="S36" i="148"/>
  <c r="W37" i="148"/>
  <c r="AY38" i="148"/>
  <c r="BW39" i="148"/>
  <c r="AI41" i="148"/>
  <c r="BW42" i="148"/>
  <c r="S47" i="148"/>
  <c r="AI53" i="148"/>
  <c r="AA63" i="148"/>
  <c r="BO73" i="148"/>
  <c r="BK78" i="148"/>
  <c r="W75" i="148"/>
  <c r="W63" i="148"/>
  <c r="W51" i="148"/>
  <c r="W39" i="148"/>
  <c r="W27" i="148"/>
  <c r="W82" i="148"/>
  <c r="W70" i="148"/>
  <c r="W58" i="148"/>
  <c r="W46" i="148"/>
  <c r="W77" i="148"/>
  <c r="W65" i="148"/>
  <c r="W53" i="148"/>
  <c r="W41" i="148"/>
  <c r="W72" i="148"/>
  <c r="W60" i="148"/>
  <c r="W48" i="148"/>
  <c r="W79" i="148"/>
  <c r="W67" i="148"/>
  <c r="W55" i="148"/>
  <c r="W43" i="148"/>
  <c r="W74" i="148"/>
  <c r="W62" i="148"/>
  <c r="W50" i="148"/>
  <c r="W38" i="148"/>
  <c r="W26" i="148"/>
  <c r="W81" i="148"/>
  <c r="W69" i="148"/>
  <c r="W57" i="148"/>
  <c r="W45" i="148"/>
  <c r="W33" i="148"/>
  <c r="W21" i="148"/>
  <c r="W76" i="148"/>
  <c r="W64" i="148"/>
  <c r="W52" i="148"/>
  <c r="W40" i="148"/>
  <c r="W71" i="148"/>
  <c r="W59" i="148"/>
  <c r="W78" i="148"/>
  <c r="W66" i="148"/>
  <c r="W54" i="148"/>
  <c r="W73" i="148"/>
  <c r="W61" i="148"/>
  <c r="W49" i="148"/>
  <c r="AU81" i="148"/>
  <c r="AU69" i="148"/>
  <c r="AU57" i="148"/>
  <c r="AU45" i="148"/>
  <c r="AU33" i="148"/>
  <c r="AU21" i="148"/>
  <c r="AU76" i="148"/>
  <c r="AU64" i="148"/>
  <c r="AU52" i="148"/>
  <c r="AU71" i="148"/>
  <c r="AU59" i="148"/>
  <c r="AU47" i="148"/>
  <c r="AU35" i="148"/>
  <c r="AU78" i="148"/>
  <c r="AU66" i="148"/>
  <c r="AU54" i="148"/>
  <c r="AU42" i="148"/>
  <c r="AU73" i="148"/>
  <c r="AU61" i="148"/>
  <c r="AU49" i="148"/>
  <c r="AU80" i="148"/>
  <c r="AU68" i="148"/>
  <c r="AU56" i="148"/>
  <c r="AU44" i="148"/>
  <c r="AU32" i="148"/>
  <c r="AU20" i="148"/>
  <c r="AU75" i="148"/>
  <c r="AU63" i="148"/>
  <c r="AU51" i="148"/>
  <c r="AU39" i="148"/>
  <c r="AU27" i="148"/>
  <c r="AU82" i="148"/>
  <c r="AU70" i="148"/>
  <c r="AU58" i="148"/>
  <c r="AU46" i="148"/>
  <c r="AU77" i="148"/>
  <c r="AU65" i="148"/>
  <c r="AU72" i="148"/>
  <c r="AU60" i="148"/>
  <c r="AU48" i="148"/>
  <c r="AU79" i="148"/>
  <c r="AU67" i="148"/>
  <c r="AU55" i="148"/>
  <c r="AU43" i="148"/>
  <c r="BS75" i="148"/>
  <c r="BS63" i="148"/>
  <c r="BS51" i="148"/>
  <c r="BS39" i="148"/>
  <c r="BS27" i="148"/>
  <c r="BS82" i="148"/>
  <c r="BS70" i="148"/>
  <c r="BS58" i="148"/>
  <c r="BS46" i="148"/>
  <c r="BS77" i="148"/>
  <c r="BS65" i="148"/>
  <c r="BS53" i="148"/>
  <c r="BS41" i="148"/>
  <c r="BS72" i="148"/>
  <c r="BS60" i="148"/>
  <c r="BS48" i="148"/>
  <c r="BS79" i="148"/>
  <c r="BS67" i="148"/>
  <c r="BS55" i="148"/>
  <c r="BS43" i="148"/>
  <c r="BS74" i="148"/>
  <c r="BS62" i="148"/>
  <c r="BS50" i="148"/>
  <c r="BS38" i="148"/>
  <c r="BS26" i="148"/>
  <c r="BS81" i="148"/>
  <c r="BS69" i="148"/>
  <c r="BS57" i="148"/>
  <c r="BS45" i="148"/>
  <c r="BS33" i="148"/>
  <c r="BS21" i="148"/>
  <c r="BS76" i="148"/>
  <c r="BS64" i="148"/>
  <c r="BS52" i="148"/>
  <c r="BS40" i="148"/>
  <c r="BS71" i="148"/>
  <c r="BS59" i="148"/>
  <c r="BS78" i="148"/>
  <c r="BS66" i="148"/>
  <c r="BS54" i="148"/>
  <c r="BS73" i="148"/>
  <c r="BS61" i="148"/>
  <c r="BS49" i="148"/>
  <c r="AQ7" i="148"/>
  <c r="W8" i="148"/>
  <c r="BS8" i="148"/>
  <c r="S13" i="148"/>
  <c r="BO13" i="148"/>
  <c r="AU14" i="148"/>
  <c r="AQ19" i="148"/>
  <c r="AE22" i="148"/>
  <c r="W23" i="148"/>
  <c r="S24" i="148"/>
  <c r="BW25" i="148"/>
  <c r="BW26" i="148"/>
  <c r="BO27" i="148"/>
  <c r="BK28" i="148"/>
  <c r="AY29" i="148"/>
  <c r="AU30" i="148"/>
  <c r="AQ31" i="148"/>
  <c r="AI32" i="148"/>
  <c r="AI33" i="148"/>
  <c r="AE34" i="148"/>
  <c r="W35" i="148"/>
  <c r="W36" i="148"/>
  <c r="AA37" i="148"/>
  <c r="BC38" i="148"/>
  <c r="AQ41" i="148"/>
  <c r="W47" i="148"/>
  <c r="AU50" i="148"/>
  <c r="AU53" i="148"/>
  <c r="AE58" i="148"/>
  <c r="BW63" i="148"/>
  <c r="BS68" i="148"/>
  <c r="T4" i="148"/>
  <c r="AR4" i="148"/>
  <c r="BP4" i="148"/>
  <c r="Y6" i="148"/>
  <c r="AW6" i="148"/>
  <c r="BU6" i="148"/>
  <c r="AU7" i="148"/>
  <c r="AA8" i="148"/>
  <c r="BW8" i="148"/>
  <c r="BC9" i="148"/>
  <c r="AI10" i="148"/>
  <c r="O11" i="148"/>
  <c r="BK11" i="148"/>
  <c r="AQ12" i="148"/>
  <c r="W13" i="148"/>
  <c r="BS13" i="148"/>
  <c r="AY14" i="148"/>
  <c r="AE15" i="148"/>
  <c r="BG16" i="148"/>
  <c r="AM17" i="148"/>
  <c r="S18" i="148"/>
  <c r="BO18" i="148"/>
  <c r="AU19" i="148"/>
  <c r="AM20" i="148"/>
  <c r="AM21" i="148"/>
  <c r="AI22" i="148"/>
  <c r="AA23" i="148"/>
  <c r="W24" i="148"/>
  <c r="S25" i="148"/>
  <c r="BO28" i="148"/>
  <c r="BK29" i="148"/>
  <c r="AU31" i="148"/>
  <c r="AM32" i="148"/>
  <c r="AM33" i="148"/>
  <c r="AI34" i="148"/>
  <c r="AE36" i="148"/>
  <c r="AE37" i="148"/>
  <c r="BG38" i="148"/>
  <c r="O40" i="148"/>
  <c r="AU41" i="148"/>
  <c r="AI43" i="148"/>
  <c r="O45" i="148"/>
  <c r="BG47" i="148"/>
  <c r="BG50" i="148"/>
  <c r="AU74" i="148"/>
  <c r="AQ79" i="148"/>
  <c r="AA82" i="148"/>
  <c r="AA70" i="148"/>
  <c r="AA58" i="148"/>
  <c r="AA46" i="148"/>
  <c r="AA34" i="148"/>
  <c r="AA22" i="148"/>
  <c r="AA77" i="148"/>
  <c r="AA65" i="148"/>
  <c r="AA53" i="148"/>
  <c r="AA72" i="148"/>
  <c r="AA60" i="148"/>
  <c r="AA48" i="148"/>
  <c r="AA36" i="148"/>
  <c r="AA79" i="148"/>
  <c r="AA67" i="148"/>
  <c r="AA55" i="148"/>
  <c r="AA43" i="148"/>
  <c r="AA74" i="148"/>
  <c r="AA62" i="148"/>
  <c r="AA50" i="148"/>
  <c r="AA81" i="148"/>
  <c r="AA69" i="148"/>
  <c r="AA57" i="148"/>
  <c r="AA45" i="148"/>
  <c r="AA33" i="148"/>
  <c r="AA21" i="148"/>
  <c r="AA76" i="148"/>
  <c r="AA64" i="148"/>
  <c r="AA52" i="148"/>
  <c r="AA40" i="148"/>
  <c r="AA28" i="148"/>
  <c r="AA71" i="148"/>
  <c r="AA59" i="148"/>
  <c r="AA47" i="148"/>
  <c r="AA78" i="148"/>
  <c r="AA66" i="148"/>
  <c r="AA54" i="148"/>
  <c r="AA73" i="148"/>
  <c r="AA61" i="148"/>
  <c r="AA49" i="148"/>
  <c r="AA80" i="148"/>
  <c r="AA68" i="148"/>
  <c r="AA56" i="148"/>
  <c r="AA44" i="148"/>
  <c r="AY76" i="148"/>
  <c r="AY64" i="148"/>
  <c r="AY52" i="148"/>
  <c r="AY40" i="148"/>
  <c r="AY28" i="148"/>
  <c r="AY71" i="148"/>
  <c r="AY59" i="148"/>
  <c r="AY47" i="148"/>
  <c r="AY78" i="148"/>
  <c r="AY66" i="148"/>
  <c r="AY54" i="148"/>
  <c r="AY42" i="148"/>
  <c r="AY73" i="148"/>
  <c r="AY61" i="148"/>
  <c r="AY49" i="148"/>
  <c r="AY37" i="148"/>
  <c r="AY80" i="148"/>
  <c r="AY68" i="148"/>
  <c r="AY56" i="148"/>
  <c r="AY44" i="148"/>
  <c r="AY75" i="148"/>
  <c r="AY63" i="148"/>
  <c r="AY51" i="148"/>
  <c r="AY39" i="148"/>
  <c r="AY27" i="148"/>
  <c r="AY82" i="148"/>
  <c r="AY70" i="148"/>
  <c r="AY58" i="148"/>
  <c r="AY46" i="148"/>
  <c r="AY34" i="148"/>
  <c r="AY22" i="148"/>
  <c r="AY77" i="148"/>
  <c r="AY65" i="148"/>
  <c r="AY53" i="148"/>
  <c r="AY41" i="148"/>
  <c r="AY72" i="148"/>
  <c r="AY60" i="148"/>
  <c r="AY79" i="148"/>
  <c r="AY67" i="148"/>
  <c r="AY55" i="148"/>
  <c r="AY74" i="148"/>
  <c r="AY62" i="148"/>
  <c r="AY50" i="148"/>
  <c r="BW82" i="148"/>
  <c r="BW70" i="148"/>
  <c r="BW58" i="148"/>
  <c r="BW46" i="148"/>
  <c r="BW34" i="148"/>
  <c r="BW22" i="148"/>
  <c r="BW77" i="148"/>
  <c r="BW65" i="148"/>
  <c r="BW53" i="148"/>
  <c r="BW72" i="148"/>
  <c r="BW60" i="148"/>
  <c r="BW48" i="148"/>
  <c r="BW36" i="148"/>
  <c r="BW79" i="148"/>
  <c r="BW67" i="148"/>
  <c r="BW55" i="148"/>
  <c r="BW43" i="148"/>
  <c r="BW74" i="148"/>
  <c r="BW62" i="148"/>
  <c r="BW50" i="148"/>
  <c r="BW81" i="148"/>
  <c r="BW69" i="148"/>
  <c r="BW57" i="148"/>
  <c r="BW45" i="148"/>
  <c r="BW33" i="148"/>
  <c r="BW21" i="148"/>
  <c r="BW76" i="148"/>
  <c r="BW64" i="148"/>
  <c r="BW52" i="148"/>
  <c r="BW40" i="148"/>
  <c r="BW28" i="148"/>
  <c r="BW71" i="148"/>
  <c r="BW59" i="148"/>
  <c r="BW47" i="148"/>
  <c r="BW78" i="148"/>
  <c r="BW66" i="148"/>
  <c r="BW54" i="148"/>
  <c r="BW73" i="148"/>
  <c r="BW61" i="148"/>
  <c r="BW49" i="148"/>
  <c r="BW80" i="148"/>
  <c r="BW68" i="148"/>
  <c r="BW56" i="148"/>
  <c r="BW44" i="148"/>
  <c r="N6" i="148"/>
  <c r="O6" i="148" s="1"/>
  <c r="Z6" i="148"/>
  <c r="AA6" i="148" s="1"/>
  <c r="AL6" i="148"/>
  <c r="AM6" i="148" s="1"/>
  <c r="AX6" i="148"/>
  <c r="AY6" i="148" s="1"/>
  <c r="BJ6" i="148"/>
  <c r="BK6" i="148" s="1"/>
  <c r="BV6" i="148"/>
  <c r="BW6" i="148" s="1"/>
  <c r="AY7" i="148"/>
  <c r="AE8" i="148"/>
  <c r="BG9" i="148"/>
  <c r="AM10" i="148"/>
  <c r="S11" i="148"/>
  <c r="BO11" i="148"/>
  <c r="AU12" i="148"/>
  <c r="AA13" i="148"/>
  <c r="BW13" i="148"/>
  <c r="BC14" i="148"/>
  <c r="AI15" i="148"/>
  <c r="O16" i="148"/>
  <c r="BK16" i="148"/>
  <c r="AQ17" i="148"/>
  <c r="W18" i="148"/>
  <c r="BS18" i="148"/>
  <c r="AY19" i="148"/>
  <c r="AY20" i="148"/>
  <c r="AQ21" i="148"/>
  <c r="AM22" i="148"/>
  <c r="AM23" i="148"/>
  <c r="AA24" i="148"/>
  <c r="W25" i="148"/>
  <c r="O26" i="148"/>
  <c r="O27" i="148"/>
  <c r="BS28" i="148"/>
  <c r="BO29" i="148"/>
  <c r="BC30" i="148"/>
  <c r="AY31" i="148"/>
  <c r="AY32" i="148"/>
  <c r="AQ33" i="148"/>
  <c r="AM34" i="148"/>
  <c r="AM35" i="148"/>
  <c r="AM36" i="148"/>
  <c r="AU37" i="148"/>
  <c r="BW38" i="148"/>
  <c r="S40" i="148"/>
  <c r="BK41" i="148"/>
  <c r="AQ43" i="148"/>
  <c r="AQ45" i="148"/>
  <c r="BO47" i="148"/>
  <c r="O54" i="148"/>
  <c r="BG59" i="148"/>
  <c r="BC64" i="148"/>
  <c r="AY69" i="148"/>
  <c r="X4" i="148"/>
  <c r="AV4" i="148"/>
  <c r="BT4" i="148"/>
  <c r="BC7" i="148"/>
  <c r="AI8" i="148"/>
  <c r="O9" i="148"/>
  <c r="BK9" i="148"/>
  <c r="AQ10" i="148"/>
  <c r="W11" i="148"/>
  <c r="BS11" i="148"/>
  <c r="AY12" i="148"/>
  <c r="AE13" i="148"/>
  <c r="BG14" i="148"/>
  <c r="AM15" i="148"/>
  <c r="S16" i="148"/>
  <c r="BO16" i="148"/>
  <c r="AU17" i="148"/>
  <c r="AA18" i="148"/>
  <c r="BW18" i="148"/>
  <c r="BC19" i="148"/>
  <c r="BC20" i="148"/>
  <c r="AY21" i="148"/>
  <c r="AQ22" i="148"/>
  <c r="AQ23" i="148"/>
  <c r="AA25" i="148"/>
  <c r="AA26" i="148"/>
  <c r="S27" i="148"/>
  <c r="O28" i="148"/>
  <c r="BS29" i="148"/>
  <c r="BK30" i="148"/>
  <c r="BC31" i="148"/>
  <c r="AY33" i="148"/>
  <c r="AQ34" i="148"/>
  <c r="AQ35" i="148"/>
  <c r="AQ36" i="148"/>
  <c r="BG37" i="148"/>
  <c r="AI40" i="148"/>
  <c r="BW41" i="148"/>
  <c r="AY43" i="148"/>
  <c r="AY45" i="148"/>
  <c r="BS47" i="148"/>
  <c r="AA51" i="148"/>
  <c r="BK54" i="148"/>
  <c r="AA75" i="148"/>
  <c r="W80" i="148"/>
  <c r="AE77" i="148"/>
  <c r="AE65" i="148"/>
  <c r="AE53" i="148"/>
  <c r="AE41" i="148"/>
  <c r="AE29" i="148"/>
  <c r="AE72" i="148"/>
  <c r="AE60" i="148"/>
  <c r="AE48" i="148"/>
  <c r="AE79" i="148"/>
  <c r="AE67" i="148"/>
  <c r="AE55" i="148"/>
  <c r="AE43" i="148"/>
  <c r="AE74" i="148"/>
  <c r="AE62" i="148"/>
  <c r="AE50" i="148"/>
  <c r="AE38" i="148"/>
  <c r="AE81" i="148"/>
  <c r="AE69" i="148"/>
  <c r="AE57" i="148"/>
  <c r="AE45" i="148"/>
  <c r="AE76" i="148"/>
  <c r="AE64" i="148"/>
  <c r="AE52" i="148"/>
  <c r="AE40" i="148"/>
  <c r="AE28" i="148"/>
  <c r="AE71" i="148"/>
  <c r="AE59" i="148"/>
  <c r="AE47" i="148"/>
  <c r="AE35" i="148"/>
  <c r="AE23" i="148"/>
  <c r="AE78" i="148"/>
  <c r="AE66" i="148"/>
  <c r="AE54" i="148"/>
  <c r="AE42" i="148"/>
  <c r="AE73" i="148"/>
  <c r="AE61" i="148"/>
  <c r="AE80" i="148"/>
  <c r="AE68" i="148"/>
  <c r="AE56" i="148"/>
  <c r="AE75" i="148"/>
  <c r="AE63" i="148"/>
  <c r="AE51" i="148"/>
  <c r="BC71" i="148"/>
  <c r="BC59" i="148"/>
  <c r="BC47" i="148"/>
  <c r="BC35" i="148"/>
  <c r="BC23" i="148"/>
  <c r="BC78" i="148"/>
  <c r="BC66" i="148"/>
  <c r="BC54" i="148"/>
  <c r="BC73" i="148"/>
  <c r="BC61" i="148"/>
  <c r="BC49" i="148"/>
  <c r="BC37" i="148"/>
  <c r="BC80" i="148"/>
  <c r="BC68" i="148"/>
  <c r="BC56" i="148"/>
  <c r="BC44" i="148"/>
  <c r="BC75" i="148"/>
  <c r="BC63" i="148"/>
  <c r="BC51" i="148"/>
  <c r="BC82" i="148"/>
  <c r="BC70" i="148"/>
  <c r="BC58" i="148"/>
  <c r="BC46" i="148"/>
  <c r="BC34" i="148"/>
  <c r="BC22" i="148"/>
  <c r="BC77" i="148"/>
  <c r="BC65" i="148"/>
  <c r="BC53" i="148"/>
  <c r="BC41" i="148"/>
  <c r="BC29" i="148"/>
  <c r="BC72" i="148"/>
  <c r="BC60" i="148"/>
  <c r="BC48" i="148"/>
  <c r="BC79" i="148"/>
  <c r="BC67" i="148"/>
  <c r="BC55" i="148"/>
  <c r="BC74" i="148"/>
  <c r="BC62" i="148"/>
  <c r="BC50" i="148"/>
  <c r="BC81" i="148"/>
  <c r="BC69" i="148"/>
  <c r="BC57" i="148"/>
  <c r="BC45" i="148"/>
  <c r="L5" i="148"/>
  <c r="O5" i="148" s="1"/>
  <c r="AJ5" i="148"/>
  <c r="AM5" i="148" s="1"/>
  <c r="BH5" i="148"/>
  <c r="BK5" i="148" s="1"/>
  <c r="P6" i="148"/>
  <c r="AB6" i="148"/>
  <c r="AN6" i="148"/>
  <c r="AZ6" i="148"/>
  <c r="BL6" i="148"/>
  <c r="BG7" i="148"/>
  <c r="AM8" i="148"/>
  <c r="S9" i="148"/>
  <c r="BO9" i="148"/>
  <c r="AU10" i="148"/>
  <c r="AA11" i="148"/>
  <c r="BW11" i="148"/>
  <c r="BC12" i="148"/>
  <c r="AI13" i="148"/>
  <c r="O14" i="148"/>
  <c r="BK14" i="148"/>
  <c r="AQ15" i="148"/>
  <c r="W16" i="148"/>
  <c r="BS16" i="148"/>
  <c r="AY17" i="148"/>
  <c r="AE18" i="148"/>
  <c r="BG19" i="148"/>
  <c r="BG20" i="148"/>
  <c r="BC21" i="148"/>
  <c r="AU22" i="148"/>
  <c r="AU23" i="148"/>
  <c r="AM24" i="148"/>
  <c r="AE25" i="148"/>
  <c r="AE26" i="148"/>
  <c r="AA27" i="148"/>
  <c r="S28" i="148"/>
  <c r="O29" i="148"/>
  <c r="BW29" i="148"/>
  <c r="BO30" i="148"/>
  <c r="BG31" i="148"/>
  <c r="BG32" i="148"/>
  <c r="BC33" i="148"/>
  <c r="AU34" i="148"/>
  <c r="AY35" i="148"/>
  <c r="AU36" i="148"/>
  <c r="BO37" i="148"/>
  <c r="S39" i="148"/>
  <c r="AU40" i="148"/>
  <c r="BC43" i="148"/>
  <c r="BG45" i="148"/>
  <c r="AM51" i="148"/>
  <c r="AM60" i="148"/>
  <c r="AI65" i="148"/>
  <c r="AE70" i="148"/>
  <c r="BW75" i="148"/>
  <c r="BS80" i="148"/>
  <c r="Q6" i="148"/>
  <c r="AO6" i="148"/>
  <c r="BM6" i="148"/>
  <c r="AQ8" i="148"/>
  <c r="W9" i="148"/>
  <c r="BS9" i="148"/>
  <c r="AY10" i="148"/>
  <c r="AE11" i="148"/>
  <c r="BG12" i="148"/>
  <c r="AM13" i="148"/>
  <c r="S14" i="148"/>
  <c r="BO14" i="148"/>
  <c r="AU15" i="148"/>
  <c r="AA16" i="148"/>
  <c r="BW16" i="148"/>
  <c r="BC17" i="148"/>
  <c r="AI18" i="148"/>
  <c r="O19" i="148"/>
  <c r="BS19" i="148"/>
  <c r="BK20" i="148"/>
  <c r="BG21" i="148"/>
  <c r="BG22" i="148"/>
  <c r="AY23" i="148"/>
  <c r="AQ24" i="148"/>
  <c r="AI25" i="148"/>
  <c r="AE27" i="148"/>
  <c r="W28" i="148"/>
  <c r="S29" i="148"/>
  <c r="BS30" i="148"/>
  <c r="BS31" i="148"/>
  <c r="BK32" i="148"/>
  <c r="BG33" i="148"/>
  <c r="BG34" i="148"/>
  <c r="AY36" i="148"/>
  <c r="BS37" i="148"/>
  <c r="AA39" i="148"/>
  <c r="BC40" i="148"/>
  <c r="O42" i="148"/>
  <c r="BK45" i="148"/>
  <c r="AM48" i="148"/>
  <c r="BW51" i="148"/>
  <c r="AQ55" i="148"/>
  <c r="AI72" i="148"/>
  <c r="AI60" i="148"/>
  <c r="AI48" i="148"/>
  <c r="AI36" i="148"/>
  <c r="AI24" i="148"/>
  <c r="AI79" i="148"/>
  <c r="AI67" i="148"/>
  <c r="AI55" i="148"/>
  <c r="AI74" i="148"/>
  <c r="AI62" i="148"/>
  <c r="AI50" i="148"/>
  <c r="AI38" i="148"/>
  <c r="AI81" i="148"/>
  <c r="AI69" i="148"/>
  <c r="AI57" i="148"/>
  <c r="AI45" i="148"/>
  <c r="AI76" i="148"/>
  <c r="AI64" i="148"/>
  <c r="AI52" i="148"/>
  <c r="AI71" i="148"/>
  <c r="AI59" i="148"/>
  <c r="AI47" i="148"/>
  <c r="AI35" i="148"/>
  <c r="AI23" i="148"/>
  <c r="AI78" i="148"/>
  <c r="AI66" i="148"/>
  <c r="AI54" i="148"/>
  <c r="AI42" i="148"/>
  <c r="AI30" i="148"/>
  <c r="AI73" i="148"/>
  <c r="AI61" i="148"/>
  <c r="AI49" i="148"/>
  <c r="AI37" i="148"/>
  <c r="AI80" i="148"/>
  <c r="AI68" i="148"/>
  <c r="AI56" i="148"/>
  <c r="AI75" i="148"/>
  <c r="AI63" i="148"/>
  <c r="AI51" i="148"/>
  <c r="AI82" i="148"/>
  <c r="AI70" i="148"/>
  <c r="AI58" i="148"/>
  <c r="AI46" i="148"/>
  <c r="BG78" i="148"/>
  <c r="BG66" i="148"/>
  <c r="BG54" i="148"/>
  <c r="BG42" i="148"/>
  <c r="BG30" i="148"/>
  <c r="BG73" i="148"/>
  <c r="BG61" i="148"/>
  <c r="BG49" i="148"/>
  <c r="BG80" i="148"/>
  <c r="BG68" i="148"/>
  <c r="BG56" i="148"/>
  <c r="BG44" i="148"/>
  <c r="BG75" i="148"/>
  <c r="BG63" i="148"/>
  <c r="BG51" i="148"/>
  <c r="BG39" i="148"/>
  <c r="BG82" i="148"/>
  <c r="BG70" i="148"/>
  <c r="BG58" i="148"/>
  <c r="BG46" i="148"/>
  <c r="BG77" i="148"/>
  <c r="BG65" i="148"/>
  <c r="BG53" i="148"/>
  <c r="BG41" i="148"/>
  <c r="BG29" i="148"/>
  <c r="BG72" i="148"/>
  <c r="BG60" i="148"/>
  <c r="BG48" i="148"/>
  <c r="BG36" i="148"/>
  <c r="BG24" i="148"/>
  <c r="BG79" i="148"/>
  <c r="BG67" i="148"/>
  <c r="BG55" i="148"/>
  <c r="BG43" i="148"/>
  <c r="BG74" i="148"/>
  <c r="BG62" i="148"/>
  <c r="BG81" i="148"/>
  <c r="BG69" i="148"/>
  <c r="BG57" i="148"/>
  <c r="BG76" i="148"/>
  <c r="BG64" i="148"/>
  <c r="BG52" i="148"/>
  <c r="BG40" i="148"/>
  <c r="P5" i="148"/>
  <c r="S5" i="148" s="1"/>
  <c r="AN5" i="148"/>
  <c r="AQ5" i="148" s="1"/>
  <c r="BL5" i="148"/>
  <c r="BO5" i="148" s="1"/>
  <c r="R6" i="148"/>
  <c r="S6" i="148" s="1"/>
  <c r="AD6" i="148"/>
  <c r="AE6" i="148" s="1"/>
  <c r="AP6" i="148"/>
  <c r="AQ6" i="148" s="1"/>
  <c r="BB6" i="148"/>
  <c r="BC6" i="148" s="1"/>
  <c r="BN6" i="148"/>
  <c r="BO6" i="148" s="1"/>
  <c r="S7" i="148"/>
  <c r="BO7" i="148"/>
  <c r="AU8" i="148"/>
  <c r="AA9" i="148"/>
  <c r="BW9" i="148"/>
  <c r="BC10" i="148"/>
  <c r="AI11" i="148"/>
  <c r="O12" i="148"/>
  <c r="BK12" i="148"/>
  <c r="AQ13" i="148"/>
  <c r="W14" i="148"/>
  <c r="BS14" i="148"/>
  <c r="AY15" i="148"/>
  <c r="AE16" i="148"/>
  <c r="BG17" i="148"/>
  <c r="AM18" i="148"/>
  <c r="S19" i="148"/>
  <c r="BW19" i="148"/>
  <c r="BS20" i="148"/>
  <c r="BK21" i="148"/>
  <c r="BK22" i="148"/>
  <c r="BG23" i="148"/>
  <c r="AU24" i="148"/>
  <c r="AU25" i="148"/>
  <c r="AM26" i="148"/>
  <c r="AI27" i="148"/>
  <c r="AI28" i="148"/>
  <c r="W29" i="148"/>
  <c r="O30" i="148"/>
  <c r="BW30" i="148"/>
  <c r="BW31" i="148"/>
  <c r="BS32" i="148"/>
  <c r="BK33" i="148"/>
  <c r="BK34" i="148"/>
  <c r="BK35" i="148"/>
  <c r="BC36" i="148"/>
  <c r="BW37" i="148"/>
  <c r="AE39" i="148"/>
  <c r="BK40" i="148"/>
  <c r="W42" i="148"/>
  <c r="O44" i="148"/>
  <c r="AY48" i="148"/>
  <c r="S61" i="148"/>
  <c r="BG71" i="148"/>
  <c r="BC76" i="148"/>
  <c r="AY81" i="148"/>
  <c r="W7" i="148"/>
  <c r="BS7" i="148"/>
  <c r="S12" i="148"/>
  <c r="BO12" i="148"/>
  <c r="AU13" i="148"/>
  <c r="AQ18" i="148"/>
  <c r="W19" i="148"/>
  <c r="BW20" i="148"/>
  <c r="BO21" i="148"/>
  <c r="BO22" i="148"/>
  <c r="AY24" i="148"/>
  <c r="AY25" i="148"/>
  <c r="AU26" i="148"/>
  <c r="AM27" i="148"/>
  <c r="AA29" i="148"/>
  <c r="S30" i="148"/>
  <c r="BW32" i="148"/>
  <c r="BO33" i="148"/>
  <c r="BO34" i="148"/>
  <c r="BO35" i="148"/>
  <c r="BO36" i="148"/>
  <c r="AI39" i="148"/>
  <c r="BO40" i="148"/>
  <c r="AA42" i="148"/>
  <c r="W44" i="148"/>
  <c r="AE46" i="148"/>
  <c r="S52" i="148"/>
  <c r="W56" i="148"/>
  <c r="BO61" i="148"/>
  <c r="O73" i="148"/>
  <c r="O61" i="148"/>
  <c r="O49" i="148"/>
  <c r="O37" i="148"/>
  <c r="O25" i="148"/>
  <c r="O80" i="148"/>
  <c r="O68" i="148"/>
  <c r="O56" i="148"/>
  <c r="O75" i="148"/>
  <c r="O63" i="148"/>
  <c r="O51" i="148"/>
  <c r="O39" i="148"/>
  <c r="O82" i="148"/>
  <c r="O70" i="148"/>
  <c r="O58" i="148"/>
  <c r="O46" i="148"/>
  <c r="O77" i="148"/>
  <c r="O65" i="148"/>
  <c r="O53" i="148"/>
  <c r="O72" i="148"/>
  <c r="O60" i="148"/>
  <c r="O48" i="148"/>
  <c r="O36" i="148"/>
  <c r="O24" i="148"/>
  <c r="O79" i="148"/>
  <c r="O67" i="148"/>
  <c r="O55" i="148"/>
  <c r="O43" i="148"/>
  <c r="O31" i="148"/>
  <c r="O74" i="148"/>
  <c r="O62" i="148"/>
  <c r="O50" i="148"/>
  <c r="O38" i="148"/>
  <c r="O81" i="148"/>
  <c r="O69" i="148"/>
  <c r="O57" i="148"/>
  <c r="O76" i="148"/>
  <c r="O64" i="148"/>
  <c r="O52" i="148"/>
  <c r="O71" i="148"/>
  <c r="O59" i="148"/>
  <c r="O47" i="148"/>
  <c r="AM79" i="148"/>
  <c r="AM67" i="148"/>
  <c r="AM55" i="148"/>
  <c r="AM43" i="148"/>
  <c r="AM31" i="148"/>
  <c r="AM74" i="148"/>
  <c r="AM62" i="148"/>
  <c r="AM50" i="148"/>
  <c r="AM81" i="148"/>
  <c r="AM69" i="148"/>
  <c r="AM57" i="148"/>
  <c r="AM45" i="148"/>
  <c r="AM76" i="148"/>
  <c r="AM64" i="148"/>
  <c r="AM52" i="148"/>
  <c r="AM40" i="148"/>
  <c r="AM71" i="148"/>
  <c r="AM59" i="148"/>
  <c r="AM47" i="148"/>
  <c r="AM78" i="148"/>
  <c r="AM66" i="148"/>
  <c r="AM54" i="148"/>
  <c r="AM42" i="148"/>
  <c r="AM30" i="148"/>
  <c r="AM73" i="148"/>
  <c r="AM61" i="148"/>
  <c r="AM49" i="148"/>
  <c r="AM37" i="148"/>
  <c r="AM25" i="148"/>
  <c r="AM80" i="148"/>
  <c r="AM68" i="148"/>
  <c r="AM56" i="148"/>
  <c r="AM44" i="148"/>
  <c r="AM75" i="148"/>
  <c r="AM63" i="148"/>
  <c r="AM82" i="148"/>
  <c r="AM70" i="148"/>
  <c r="AM58" i="148"/>
  <c r="AM77" i="148"/>
  <c r="AM65" i="148"/>
  <c r="AM53" i="148"/>
  <c r="AM41" i="148"/>
  <c r="BK73" i="148"/>
  <c r="BK61" i="148"/>
  <c r="BK49" i="148"/>
  <c r="BK37" i="148"/>
  <c r="BK25" i="148"/>
  <c r="BK80" i="148"/>
  <c r="BK68" i="148"/>
  <c r="BK56" i="148"/>
  <c r="BK75" i="148"/>
  <c r="BK63" i="148"/>
  <c r="BK51" i="148"/>
  <c r="BK39" i="148"/>
  <c r="BK82" i="148"/>
  <c r="BK70" i="148"/>
  <c r="BK58" i="148"/>
  <c r="BK46" i="148"/>
  <c r="BK77" i="148"/>
  <c r="BK65" i="148"/>
  <c r="BK53" i="148"/>
  <c r="BK72" i="148"/>
  <c r="BK60" i="148"/>
  <c r="BK48" i="148"/>
  <c r="BK36" i="148"/>
  <c r="BK24" i="148"/>
  <c r="BK79" i="148"/>
  <c r="BK67" i="148"/>
  <c r="BK55" i="148"/>
  <c r="BK43" i="148"/>
  <c r="BK31" i="148"/>
  <c r="BK19" i="148"/>
  <c r="BK74" i="148"/>
  <c r="BK62" i="148"/>
  <c r="BK50" i="148"/>
  <c r="BK38" i="148"/>
  <c r="BK81" i="148"/>
  <c r="BK69" i="148"/>
  <c r="BK57" i="148"/>
  <c r="BK76" i="148"/>
  <c r="BK64" i="148"/>
  <c r="BK52" i="148"/>
  <c r="BK71" i="148"/>
  <c r="BK59" i="148"/>
  <c r="BK47" i="148"/>
  <c r="T5" i="148"/>
  <c r="W5" i="148" s="1"/>
  <c r="AR5" i="148"/>
  <c r="AU5" i="148" s="1"/>
  <c r="BP5" i="148"/>
  <c r="BS5" i="148" s="1"/>
  <c r="T6" i="148"/>
  <c r="AF6" i="148"/>
  <c r="AR6" i="148"/>
  <c r="BD6" i="148"/>
  <c r="BP6" i="148"/>
  <c r="AA7" i="148"/>
  <c r="BW7" i="148"/>
  <c r="BC8" i="148"/>
  <c r="AI9" i="148"/>
  <c r="O10" i="148"/>
  <c r="BK10" i="148"/>
  <c r="AQ11" i="148"/>
  <c r="W12" i="148"/>
  <c r="BS12" i="148"/>
  <c r="AY13" i="148"/>
  <c r="AE14" i="148"/>
  <c r="BG15" i="148"/>
  <c r="AM16" i="148"/>
  <c r="S17" i="148"/>
  <c r="BO17" i="148"/>
  <c r="AU18" i="148"/>
  <c r="AA19" i="148"/>
  <c r="O20" i="148"/>
  <c r="BS22" i="148"/>
  <c r="BO23" i="148"/>
  <c r="BC24" i="148"/>
  <c r="BC25" i="148"/>
  <c r="AY26" i="148"/>
  <c r="AQ27" i="148"/>
  <c r="AQ28" i="148"/>
  <c r="AI29" i="148"/>
  <c r="W30" i="148"/>
  <c r="W31" i="148"/>
  <c r="O32" i="148"/>
  <c r="BS34" i="148"/>
  <c r="BS35" i="148"/>
  <c r="BS36" i="148"/>
  <c r="AA38" i="148"/>
  <c r="AM39" i="148"/>
  <c r="BC42" i="148"/>
  <c r="AE44" i="148"/>
  <c r="AM46" i="148"/>
  <c r="S49" i="148"/>
  <c r="BC52" i="148"/>
  <c r="BS56" i="148"/>
  <c r="AM72" i="148"/>
  <c r="AI77" i="148"/>
  <c r="AE82" i="148"/>
  <c r="AU81" i="147"/>
  <c r="AU69" i="147"/>
  <c r="AU57" i="147"/>
  <c r="AU45" i="147"/>
  <c r="AU33" i="147"/>
  <c r="AU21" i="147"/>
  <c r="AU76" i="147"/>
  <c r="AU71" i="147"/>
  <c r="AU78" i="147"/>
  <c r="AU73" i="147"/>
  <c r="AU61" i="147"/>
  <c r="AU80" i="147"/>
  <c r="AU68" i="147"/>
  <c r="AU56" i="147"/>
  <c r="AU44" i="147"/>
  <c r="AU75" i="147"/>
  <c r="AU63" i="147"/>
  <c r="AU51" i="147"/>
  <c r="AU39" i="147"/>
  <c r="AU27" i="147"/>
  <c r="AU82" i="147"/>
  <c r="AU70" i="147"/>
  <c r="AU77" i="147"/>
  <c r="AU79" i="147"/>
  <c r="AU67" i="147"/>
  <c r="AU55" i="147"/>
  <c r="AU72" i="147"/>
  <c r="AU28" i="147"/>
  <c r="AU23" i="147"/>
  <c r="AU16" i="147"/>
  <c r="AT6" i="147"/>
  <c r="AU6" i="147" s="1"/>
  <c r="AU46" i="147"/>
  <c r="AU11" i="147"/>
  <c r="AU62" i="147"/>
  <c r="AU38" i="147"/>
  <c r="AS6" i="147"/>
  <c r="AU48" i="147"/>
  <c r="AU47" i="147"/>
  <c r="AU22" i="147"/>
  <c r="AU54" i="147"/>
  <c r="AU53" i="147"/>
  <c r="AU52" i="147"/>
  <c r="AU50" i="147"/>
  <c r="AU49" i="147"/>
  <c r="AU37" i="147"/>
  <c r="AU32" i="147"/>
  <c r="AU64" i="147"/>
  <c r="AU43" i="147"/>
  <c r="AU8" i="147"/>
  <c r="AU30" i="147"/>
  <c r="AU25" i="147"/>
  <c r="AU65" i="147"/>
  <c r="AU58" i="147"/>
  <c r="AU42" i="147"/>
  <c r="AU36" i="147"/>
  <c r="AU31" i="147"/>
  <c r="AU26" i="147"/>
  <c r="AU15" i="147"/>
  <c r="AU41" i="147"/>
  <c r="AU10" i="147"/>
  <c r="AU74" i="147"/>
  <c r="AU66" i="147"/>
  <c r="AU20" i="147"/>
  <c r="AU59" i="147"/>
  <c r="AU40" i="147"/>
  <c r="AU35" i="147"/>
  <c r="AU60" i="147"/>
  <c r="AU34" i="147"/>
  <c r="AU29" i="147"/>
  <c r="AU14" i="147"/>
  <c r="AY76" i="147"/>
  <c r="AY64" i="147"/>
  <c r="AY52" i="147"/>
  <c r="AY40" i="147"/>
  <c r="AY28" i="147"/>
  <c r="AY71" i="147"/>
  <c r="AY78" i="147"/>
  <c r="AY73" i="147"/>
  <c r="AY80" i="147"/>
  <c r="AY68" i="147"/>
  <c r="AY75" i="147"/>
  <c r="AY63" i="147"/>
  <c r="AY51" i="147"/>
  <c r="AY82" i="147"/>
  <c r="AY70" i="147"/>
  <c r="AY58" i="147"/>
  <c r="AY46" i="147"/>
  <c r="AY34" i="147"/>
  <c r="AY22" i="147"/>
  <c r="AY77" i="147"/>
  <c r="AY72" i="147"/>
  <c r="AY79" i="147"/>
  <c r="AY74" i="147"/>
  <c r="AY62" i="147"/>
  <c r="AY50" i="147"/>
  <c r="AY38" i="147"/>
  <c r="AY33" i="147"/>
  <c r="AY11" i="147"/>
  <c r="AV5" i="147"/>
  <c r="AY5" i="147" s="1"/>
  <c r="AY48" i="147"/>
  <c r="AY47" i="147"/>
  <c r="AY18" i="147"/>
  <c r="AY81" i="147"/>
  <c r="AY69" i="147"/>
  <c r="AY54" i="147"/>
  <c r="AY53" i="147"/>
  <c r="AY49" i="147"/>
  <c r="AY45" i="147"/>
  <c r="AY37" i="147"/>
  <c r="AY32" i="147"/>
  <c r="AY27" i="147"/>
  <c r="AY55" i="147"/>
  <c r="AY44" i="147"/>
  <c r="AY43" i="147"/>
  <c r="AY65" i="147"/>
  <c r="AY57" i="147"/>
  <c r="AY56" i="147"/>
  <c r="AY42" i="147"/>
  <c r="AY36" i="147"/>
  <c r="AY31" i="147"/>
  <c r="AY26" i="147"/>
  <c r="AY21" i="147"/>
  <c r="AY15" i="147"/>
  <c r="AY41" i="147"/>
  <c r="AY10" i="147"/>
  <c r="AY66" i="147"/>
  <c r="AY30" i="147"/>
  <c r="AY25" i="147"/>
  <c r="AY20" i="147"/>
  <c r="AY17" i="147"/>
  <c r="AY59" i="147"/>
  <c r="AY35" i="147"/>
  <c r="AY67" i="147"/>
  <c r="AY60" i="147"/>
  <c r="AY29" i="147"/>
  <c r="AY39" i="147"/>
  <c r="AY9" i="147"/>
  <c r="AV6" i="147"/>
  <c r="BT4" i="147"/>
  <c r="AK6" i="147"/>
  <c r="BV6" i="147"/>
  <c r="BW6" i="147" s="1"/>
  <c r="BK17" i="147"/>
  <c r="AA82" i="147"/>
  <c r="AA70" i="147"/>
  <c r="AA58" i="147"/>
  <c r="AA46" i="147"/>
  <c r="AA34" i="147"/>
  <c r="AA22" i="147"/>
  <c r="AA77" i="147"/>
  <c r="AA72" i="147"/>
  <c r="AA79" i="147"/>
  <c r="AA74" i="147"/>
  <c r="AA62" i="147"/>
  <c r="AA81" i="147"/>
  <c r="AA69" i="147"/>
  <c r="AA57" i="147"/>
  <c r="AA45" i="147"/>
  <c r="AA76" i="147"/>
  <c r="AA64" i="147"/>
  <c r="AA52" i="147"/>
  <c r="AA40" i="147"/>
  <c r="AA28" i="147"/>
  <c r="AA71" i="147"/>
  <c r="AA78" i="147"/>
  <c r="AA73" i="147"/>
  <c r="AA80" i="147"/>
  <c r="AA68" i="147"/>
  <c r="AA56" i="147"/>
  <c r="AA67" i="147"/>
  <c r="AA60" i="147"/>
  <c r="AA35" i="147"/>
  <c r="AA17" i="147"/>
  <c r="X5" i="147"/>
  <c r="AA5" i="147" s="1"/>
  <c r="AA24" i="147"/>
  <c r="AA12" i="147"/>
  <c r="AA61" i="147"/>
  <c r="AA29" i="147"/>
  <c r="AA39" i="147"/>
  <c r="AA23" i="147"/>
  <c r="AA9" i="147"/>
  <c r="AA27" i="147"/>
  <c r="AA75" i="147"/>
  <c r="AA48" i="147"/>
  <c r="AA47" i="147"/>
  <c r="AA38" i="147"/>
  <c r="AA33" i="147"/>
  <c r="AA16" i="147"/>
  <c r="AA63" i="147"/>
  <c r="AA54" i="147"/>
  <c r="AA53" i="147"/>
  <c r="AA49" i="147"/>
  <c r="AA11" i="147"/>
  <c r="AA55" i="147"/>
  <c r="AA51" i="147"/>
  <c r="AA50" i="147"/>
  <c r="AA44" i="147"/>
  <c r="AA37" i="147"/>
  <c r="AA32" i="147"/>
  <c r="AA65" i="147"/>
  <c r="AA43" i="147"/>
  <c r="AA42" i="147"/>
  <c r="AA66" i="147"/>
  <c r="AA36" i="147"/>
  <c r="AA31" i="147"/>
  <c r="AA26" i="147"/>
  <c r="AA59" i="147"/>
  <c r="AA41" i="147"/>
  <c r="AA15" i="147"/>
  <c r="X6" i="147"/>
  <c r="AL6" i="147"/>
  <c r="AM6" i="147" s="1"/>
  <c r="BW7" i="147"/>
  <c r="X4" i="147"/>
  <c r="T5" i="147"/>
  <c r="W5" i="147" s="1"/>
  <c r="O9" i="147"/>
  <c r="AA10" i="147"/>
  <c r="W11" i="147"/>
  <c r="BK16" i="147"/>
  <c r="AA19" i="147"/>
  <c r="BK32" i="147"/>
  <c r="BW36" i="147"/>
  <c r="O42" i="147"/>
  <c r="BW55" i="147"/>
  <c r="W59" i="147"/>
  <c r="AR4" i="147"/>
  <c r="BW8" i="147"/>
  <c r="W12" i="147"/>
  <c r="AY16" i="147"/>
  <c r="BW31" i="147"/>
  <c r="T6" i="147"/>
  <c r="BI6" i="147"/>
  <c r="W7" i="147"/>
  <c r="AM11" i="147"/>
  <c r="AU12" i="147"/>
  <c r="AU13" i="147"/>
  <c r="AM20" i="147"/>
  <c r="BW21" i="147"/>
  <c r="BW24" i="147"/>
  <c r="BW51" i="147"/>
  <c r="W18" i="147"/>
  <c r="AM19" i="147"/>
  <c r="BK20" i="147"/>
  <c r="AY23" i="147"/>
  <c r="BW26" i="147"/>
  <c r="BK45" i="147"/>
  <c r="BK13" i="147"/>
  <c r="AU19" i="147"/>
  <c r="W29" i="147"/>
  <c r="BW42" i="147"/>
  <c r="BW63" i="147"/>
  <c r="BK73" i="147"/>
  <c r="BK61" i="147"/>
  <c r="BK49" i="147"/>
  <c r="BK37" i="147"/>
  <c r="BK25" i="147"/>
  <c r="BK80" i="147"/>
  <c r="BK68" i="147"/>
  <c r="BK75" i="147"/>
  <c r="BK82" i="147"/>
  <c r="BK77" i="147"/>
  <c r="BK65" i="147"/>
  <c r="BK72" i="147"/>
  <c r="BK60" i="147"/>
  <c r="BK48" i="147"/>
  <c r="BK79" i="147"/>
  <c r="BK67" i="147"/>
  <c r="BK55" i="147"/>
  <c r="BK43" i="147"/>
  <c r="BK31" i="147"/>
  <c r="BK19" i="147"/>
  <c r="BK74" i="147"/>
  <c r="BK81" i="147"/>
  <c r="BK76" i="147"/>
  <c r="BK71" i="147"/>
  <c r="BK59" i="147"/>
  <c r="BK47" i="147"/>
  <c r="BK69" i="147"/>
  <c r="BK54" i="147"/>
  <c r="BK50" i="147"/>
  <c r="BK44" i="147"/>
  <c r="BK8" i="147"/>
  <c r="BK56" i="147"/>
  <c r="BK51" i="147"/>
  <c r="BK26" i="147"/>
  <c r="BK21" i="147"/>
  <c r="BK63" i="147"/>
  <c r="BK53" i="147"/>
  <c r="BK52" i="147"/>
  <c r="BK15" i="147"/>
  <c r="BK64" i="147"/>
  <c r="BK57" i="147"/>
  <c r="BK42" i="147"/>
  <c r="BK36" i="147"/>
  <c r="BK66" i="147"/>
  <c r="BK58" i="147"/>
  <c r="BK41" i="147"/>
  <c r="BK30" i="147"/>
  <c r="BK12" i="147"/>
  <c r="BK40" i="147"/>
  <c r="BK35" i="147"/>
  <c r="BK7" i="147"/>
  <c r="BK24" i="147"/>
  <c r="BK14" i="147"/>
  <c r="BH5" i="147"/>
  <c r="BK5" i="147" s="1"/>
  <c r="BK70" i="147"/>
  <c r="BK39" i="147"/>
  <c r="BK34" i="147"/>
  <c r="BK29" i="147"/>
  <c r="BK78" i="147"/>
  <c r="BK38" i="147"/>
  <c r="BK33" i="147"/>
  <c r="BK28" i="147"/>
  <c r="BK62" i="147"/>
  <c r="BK18" i="147"/>
  <c r="BH6" i="147"/>
  <c r="AU9" i="147"/>
  <c r="O73" i="147"/>
  <c r="O61" i="147"/>
  <c r="O49" i="147"/>
  <c r="O37" i="147"/>
  <c r="O25" i="147"/>
  <c r="O80" i="147"/>
  <c r="O75" i="147"/>
  <c r="O82" i="147"/>
  <c r="O77" i="147"/>
  <c r="O65" i="147"/>
  <c r="O72" i="147"/>
  <c r="O60" i="147"/>
  <c r="O48" i="147"/>
  <c r="O79" i="147"/>
  <c r="O67" i="147"/>
  <c r="O55" i="147"/>
  <c r="O43" i="147"/>
  <c r="O31" i="147"/>
  <c r="O74" i="147"/>
  <c r="O81" i="147"/>
  <c r="O76" i="147"/>
  <c r="O71" i="147"/>
  <c r="O59" i="147"/>
  <c r="O47" i="147"/>
  <c r="O36" i="147"/>
  <c r="O8" i="147"/>
  <c r="O20" i="147"/>
  <c r="O41" i="147"/>
  <c r="O15" i="147"/>
  <c r="O30" i="147"/>
  <c r="O68" i="147"/>
  <c r="O40" i="147"/>
  <c r="O35" i="147"/>
  <c r="O24" i="147"/>
  <c r="O12" i="147"/>
  <c r="O62" i="147"/>
  <c r="O39" i="147"/>
  <c r="O34" i="147"/>
  <c r="O29" i="147"/>
  <c r="O19" i="147"/>
  <c r="O7" i="147"/>
  <c r="O69" i="147"/>
  <c r="O14" i="147"/>
  <c r="L5" i="147"/>
  <c r="O5" i="147" s="1"/>
  <c r="O38" i="147"/>
  <c r="O33" i="147"/>
  <c r="O28" i="147"/>
  <c r="O63" i="147"/>
  <c r="O54" i="147"/>
  <c r="O50" i="147"/>
  <c r="O46" i="147"/>
  <c r="O45" i="147"/>
  <c r="O64" i="147"/>
  <c r="O56" i="147"/>
  <c r="O53" i="147"/>
  <c r="O52" i="147"/>
  <c r="O51" i="147"/>
  <c r="O44" i="147"/>
  <c r="O32" i="147"/>
  <c r="O27" i="147"/>
  <c r="O78" i="147"/>
  <c r="O70" i="147"/>
  <c r="O57" i="147"/>
  <c r="O18" i="147"/>
  <c r="L6" i="147"/>
  <c r="BK11" i="147"/>
  <c r="O16" i="147"/>
  <c r="AY19" i="147"/>
  <c r="O21" i="147"/>
  <c r="AM68" i="147"/>
  <c r="AR6" i="147"/>
  <c r="AU7" i="147"/>
  <c r="AY61" i="147"/>
  <c r="AM79" i="147"/>
  <c r="AM67" i="147"/>
  <c r="AM55" i="147"/>
  <c r="AM43" i="147"/>
  <c r="AM31" i="147"/>
  <c r="AM74" i="147"/>
  <c r="AM81" i="147"/>
  <c r="AM76" i="147"/>
  <c r="AM71" i="147"/>
  <c r="AM59" i="147"/>
  <c r="AM78" i="147"/>
  <c r="AM66" i="147"/>
  <c r="AM54" i="147"/>
  <c r="AM42" i="147"/>
  <c r="AM73" i="147"/>
  <c r="AM61" i="147"/>
  <c r="AM49" i="147"/>
  <c r="AM37" i="147"/>
  <c r="AM25" i="147"/>
  <c r="AM80" i="147"/>
  <c r="AM75" i="147"/>
  <c r="AM82" i="147"/>
  <c r="AM77" i="147"/>
  <c r="AM65" i="147"/>
  <c r="AM53" i="147"/>
  <c r="AM39" i="147"/>
  <c r="AM34" i="147"/>
  <c r="AM29" i="147"/>
  <c r="AM14" i="147"/>
  <c r="AM9" i="147"/>
  <c r="AM72" i="147"/>
  <c r="AM62" i="147"/>
  <c r="AM38" i="147"/>
  <c r="AM33" i="147"/>
  <c r="AM28" i="147"/>
  <c r="AM23" i="147"/>
  <c r="AM69" i="147"/>
  <c r="AM48" i="147"/>
  <c r="AM46" i="147"/>
  <c r="AM63" i="147"/>
  <c r="AM50" i="147"/>
  <c r="AM47" i="147"/>
  <c r="AM45" i="147"/>
  <c r="AM44" i="147"/>
  <c r="AM32" i="147"/>
  <c r="AM27" i="147"/>
  <c r="AM22" i="147"/>
  <c r="AM18" i="147"/>
  <c r="AJ5" i="147"/>
  <c r="AM5" i="147" s="1"/>
  <c r="AM56" i="147"/>
  <c r="AM52" i="147"/>
  <c r="AM51" i="147"/>
  <c r="AM13" i="147"/>
  <c r="AM64" i="147"/>
  <c r="AM57" i="147"/>
  <c r="AM26" i="147"/>
  <c r="AM21" i="147"/>
  <c r="AM8" i="147"/>
  <c r="AM58" i="147"/>
  <c r="AM36" i="147"/>
  <c r="AM70" i="147"/>
  <c r="AM41" i="147"/>
  <c r="AM30" i="147"/>
  <c r="AM60" i="147"/>
  <c r="AM40" i="147"/>
  <c r="AM35" i="147"/>
  <c r="AM12" i="147"/>
  <c r="AJ6" i="147"/>
  <c r="BH4" i="147"/>
  <c r="AJ4" i="147"/>
  <c r="L4" i="147"/>
  <c r="AW6" i="147"/>
  <c r="AY8" i="147"/>
  <c r="BK10" i="147"/>
  <c r="BW14" i="147"/>
  <c r="AU18" i="147"/>
  <c r="BK22" i="147"/>
  <c r="BK27" i="147"/>
  <c r="BS75" i="147"/>
  <c r="BS63" i="147"/>
  <c r="BS51" i="147"/>
  <c r="BS39" i="147"/>
  <c r="BS27" i="147"/>
  <c r="BS82" i="147"/>
  <c r="BS70" i="147"/>
  <c r="BS77" i="147"/>
  <c r="BS72" i="147"/>
  <c r="BS79" i="147"/>
  <c r="BS67" i="147"/>
  <c r="BS74" i="147"/>
  <c r="BS62" i="147"/>
  <c r="BS50" i="147"/>
  <c r="BS81" i="147"/>
  <c r="BS69" i="147"/>
  <c r="BS57" i="147"/>
  <c r="BS45" i="147"/>
  <c r="BS33" i="147"/>
  <c r="BS21" i="147"/>
  <c r="BS76" i="147"/>
  <c r="BS71" i="147"/>
  <c r="BS78" i="147"/>
  <c r="BS73" i="147"/>
  <c r="BS61" i="147"/>
  <c r="BS49" i="147"/>
  <c r="BS64" i="147"/>
  <c r="BS56" i="147"/>
  <c r="BS55" i="147"/>
  <c r="BS43" i="147"/>
  <c r="BS42" i="147"/>
  <c r="BS36" i="147"/>
  <c r="BS31" i="147"/>
  <c r="BS26" i="147"/>
  <c r="BS10" i="147"/>
  <c r="BR6" i="147"/>
  <c r="BS6" i="147" s="1"/>
  <c r="BS17" i="147"/>
  <c r="BQ6" i="147"/>
  <c r="BS65" i="147"/>
  <c r="BS58" i="147"/>
  <c r="BS41" i="147"/>
  <c r="BS30" i="147"/>
  <c r="BS25" i="147"/>
  <c r="BS66" i="147"/>
  <c r="BS40" i="147"/>
  <c r="BS35" i="147"/>
  <c r="BS80" i="147"/>
  <c r="BS59" i="147"/>
  <c r="BS24" i="147"/>
  <c r="BS19" i="147"/>
  <c r="BS14" i="147"/>
  <c r="BS34" i="147"/>
  <c r="BS29" i="147"/>
  <c r="BS9" i="147"/>
  <c r="BS60" i="147"/>
  <c r="BS16" i="147"/>
  <c r="BS28" i="147"/>
  <c r="BS23" i="147"/>
  <c r="BS68" i="147"/>
  <c r="BS38" i="147"/>
  <c r="BS46" i="147"/>
  <c r="BS48" i="147"/>
  <c r="BS47" i="147"/>
  <c r="BS37" i="147"/>
  <c r="BS32" i="147"/>
  <c r="BS8" i="147"/>
  <c r="M6" i="147"/>
  <c r="AX6" i="147"/>
  <c r="AY6" i="147" s="1"/>
  <c r="BP6" i="147"/>
  <c r="AY7" i="147"/>
  <c r="BK9" i="147"/>
  <c r="BS11" i="147"/>
  <c r="O13" i="147"/>
  <c r="BW13" i="147"/>
  <c r="AM17" i="147"/>
  <c r="AA21" i="147"/>
  <c r="W41" i="147"/>
  <c r="BW43" i="147"/>
  <c r="BK46" i="147"/>
  <c r="BS53" i="147"/>
  <c r="AM24" i="147"/>
  <c r="W75" i="147"/>
  <c r="W63" i="147"/>
  <c r="W51" i="147"/>
  <c r="W39" i="147"/>
  <c r="W27" i="147"/>
  <c r="W82" i="147"/>
  <c r="W70" i="147"/>
  <c r="W77" i="147"/>
  <c r="W72" i="147"/>
  <c r="W79" i="147"/>
  <c r="W67" i="147"/>
  <c r="W74" i="147"/>
  <c r="W62" i="147"/>
  <c r="W50" i="147"/>
  <c r="W81" i="147"/>
  <c r="W69" i="147"/>
  <c r="W57" i="147"/>
  <c r="W45" i="147"/>
  <c r="W33" i="147"/>
  <c r="W21" i="147"/>
  <c r="W76" i="147"/>
  <c r="W71" i="147"/>
  <c r="W78" i="147"/>
  <c r="W73" i="147"/>
  <c r="W61" i="147"/>
  <c r="W49" i="147"/>
  <c r="W30" i="147"/>
  <c r="W25" i="147"/>
  <c r="W20" i="147"/>
  <c r="W10" i="147"/>
  <c r="V6" i="147"/>
  <c r="W6" i="147" s="1"/>
  <c r="W40" i="147"/>
  <c r="W35" i="147"/>
  <c r="W60" i="147"/>
  <c r="W17" i="147"/>
  <c r="U6" i="147"/>
  <c r="W68" i="147"/>
  <c r="W24" i="147"/>
  <c r="W34" i="147"/>
  <c r="W14" i="147"/>
  <c r="W80" i="147"/>
  <c r="W28" i="147"/>
  <c r="W23" i="147"/>
  <c r="W9" i="147"/>
  <c r="W48" i="147"/>
  <c r="W47" i="147"/>
  <c r="W46" i="147"/>
  <c r="W38" i="147"/>
  <c r="W16" i="147"/>
  <c r="W64" i="147"/>
  <c r="W54" i="147"/>
  <c r="W53" i="147"/>
  <c r="W52" i="147"/>
  <c r="W22" i="147"/>
  <c r="W56" i="147"/>
  <c r="W55" i="147"/>
  <c r="W44" i="147"/>
  <c r="W37" i="147"/>
  <c r="W32" i="147"/>
  <c r="W65" i="147"/>
  <c r="W58" i="147"/>
  <c r="W43" i="147"/>
  <c r="W42" i="147"/>
  <c r="W66" i="147"/>
  <c r="W36" i="147"/>
  <c r="W31" i="147"/>
  <c r="W26" i="147"/>
  <c r="W8" i="147"/>
  <c r="W13" i="147"/>
  <c r="AU17" i="147"/>
  <c r="BW19" i="147"/>
  <c r="O58" i="147"/>
  <c r="AU24" i="147"/>
  <c r="AR5" i="147"/>
  <c r="AU5" i="147" s="1"/>
  <c r="BW82" i="147"/>
  <c r="BW70" i="147"/>
  <c r="BW58" i="147"/>
  <c r="BW46" i="147"/>
  <c r="BW34" i="147"/>
  <c r="BW22" i="147"/>
  <c r="BW77" i="147"/>
  <c r="BW72" i="147"/>
  <c r="BW79" i="147"/>
  <c r="BW74" i="147"/>
  <c r="BW62" i="147"/>
  <c r="BW81" i="147"/>
  <c r="BW69" i="147"/>
  <c r="BW57" i="147"/>
  <c r="BW45" i="147"/>
  <c r="BW76" i="147"/>
  <c r="BW64" i="147"/>
  <c r="BW52" i="147"/>
  <c r="BW40" i="147"/>
  <c r="BW28" i="147"/>
  <c r="BW71" i="147"/>
  <c r="BW78" i="147"/>
  <c r="BW73" i="147"/>
  <c r="BW80" i="147"/>
  <c r="BW68" i="147"/>
  <c r="BW56" i="147"/>
  <c r="BW17" i="147"/>
  <c r="BT5" i="147"/>
  <c r="BW5" i="147" s="1"/>
  <c r="BW41" i="147"/>
  <c r="BW65" i="147"/>
  <c r="BW30" i="147"/>
  <c r="BW25" i="147"/>
  <c r="BW20" i="147"/>
  <c r="BW12" i="147"/>
  <c r="BW66" i="147"/>
  <c r="BW35" i="147"/>
  <c r="BW59" i="147"/>
  <c r="BW75" i="147"/>
  <c r="BW29" i="147"/>
  <c r="BW9" i="147"/>
  <c r="BW18" i="147"/>
  <c r="BW67" i="147"/>
  <c r="BW60" i="147"/>
  <c r="BW39" i="147"/>
  <c r="BW16" i="147"/>
  <c r="BW23" i="147"/>
  <c r="BW11" i="147"/>
  <c r="BW61" i="147"/>
  <c r="BW38" i="147"/>
  <c r="BW33" i="147"/>
  <c r="BW48" i="147"/>
  <c r="BW47" i="147"/>
  <c r="BW37" i="147"/>
  <c r="BW32" i="147"/>
  <c r="BW27" i="147"/>
  <c r="BW54" i="147"/>
  <c r="BW53" i="147"/>
  <c r="BW49" i="147"/>
  <c r="BW44" i="147"/>
  <c r="BW15" i="147"/>
  <c r="BT6" i="147"/>
  <c r="BU6" i="147"/>
  <c r="T4" i="147"/>
  <c r="AV4" i="147"/>
  <c r="AM15" i="147"/>
  <c r="W19" i="147"/>
  <c r="AA20" i="147"/>
  <c r="AY24" i="147"/>
  <c r="AA30" i="147"/>
  <c r="BC16" i="147"/>
  <c r="AE20" i="147"/>
  <c r="AE25" i="147"/>
  <c r="AE30" i="147"/>
  <c r="S58" i="147"/>
  <c r="BC61" i="147"/>
  <c r="S65" i="147"/>
  <c r="AI67" i="147"/>
  <c r="BC68" i="147"/>
  <c r="S73" i="147"/>
  <c r="BC39" i="147"/>
  <c r="AE70" i="147"/>
  <c r="AE36" i="147"/>
  <c r="AE57" i="147"/>
  <c r="AE58" i="147"/>
  <c r="AE66" i="147"/>
  <c r="BC40" i="147"/>
  <c r="AE42" i="147"/>
  <c r="AE43" i="147"/>
  <c r="AE56" i="147"/>
  <c r="BC60" i="147"/>
  <c r="AQ79" i="147"/>
  <c r="BC71" i="147"/>
  <c r="BC59" i="147"/>
  <c r="BC47" i="147"/>
  <c r="BC35" i="147"/>
  <c r="BC23" i="147"/>
  <c r="BC78" i="147"/>
  <c r="BC73" i="147"/>
  <c r="BC80" i="147"/>
  <c r="BC75" i="147"/>
  <c r="BC63" i="147"/>
  <c r="BC82" i="147"/>
  <c r="BC70" i="147"/>
  <c r="BC58" i="147"/>
  <c r="BC46" i="147"/>
  <c r="BC77" i="147"/>
  <c r="BC65" i="147"/>
  <c r="BC53" i="147"/>
  <c r="BC41" i="147"/>
  <c r="BC29" i="147"/>
  <c r="BC72" i="147"/>
  <c r="BC79" i="147"/>
  <c r="BC74" i="147"/>
  <c r="BC81" i="147"/>
  <c r="BC69" i="147"/>
  <c r="BC57" i="147"/>
  <c r="AB6" i="147"/>
  <c r="BC12" i="147"/>
  <c r="AE18" i="147"/>
  <c r="AE22" i="147"/>
  <c r="AE27" i="147"/>
  <c r="AE32" i="147"/>
  <c r="AE37" i="147"/>
  <c r="AI43" i="147"/>
  <c r="AE44" i="147"/>
  <c r="AE45" i="147"/>
  <c r="AE50" i="147"/>
  <c r="AI51" i="147"/>
  <c r="AI52" i="147"/>
  <c r="AE55" i="147"/>
  <c r="AI56" i="147"/>
  <c r="AQ58" i="147"/>
  <c r="BG59" i="147"/>
  <c r="AQ65" i="147"/>
  <c r="AZ6" i="147"/>
  <c r="AZ4" i="147"/>
  <c r="AC6" i="147"/>
  <c r="BA6" i="147"/>
  <c r="AE11" i="147"/>
  <c r="BC17" i="147"/>
  <c r="BC20" i="147"/>
  <c r="AI22" i="147"/>
  <c r="BO24" i="147"/>
  <c r="BC25" i="147"/>
  <c r="AI27" i="147"/>
  <c r="BC30" i="147"/>
  <c r="AI32" i="147"/>
  <c r="AI37" i="147"/>
  <c r="AQ43" i="147"/>
  <c r="AI44" i="147"/>
  <c r="AI45" i="147"/>
  <c r="AE46" i="147"/>
  <c r="AE49" i="147"/>
  <c r="AI50" i="147"/>
  <c r="AI53" i="147"/>
  <c r="AI55" i="147"/>
  <c r="AQ57" i="147"/>
  <c r="BO59" i="147"/>
  <c r="AQ64" i="147"/>
  <c r="BC66" i="147"/>
  <c r="S69" i="147"/>
  <c r="S71" i="147"/>
  <c r="AE77" i="147"/>
  <c r="AE65" i="147"/>
  <c r="AE53" i="147"/>
  <c r="AE41" i="147"/>
  <c r="AE29" i="147"/>
  <c r="AE72" i="147"/>
  <c r="AE79" i="147"/>
  <c r="AE74" i="147"/>
  <c r="AE81" i="147"/>
  <c r="AE69" i="147"/>
  <c r="AE76" i="147"/>
  <c r="AE64" i="147"/>
  <c r="AE52" i="147"/>
  <c r="AE71" i="147"/>
  <c r="AE59" i="147"/>
  <c r="AE47" i="147"/>
  <c r="AE35" i="147"/>
  <c r="AE23" i="147"/>
  <c r="AE78" i="147"/>
  <c r="AE73" i="147"/>
  <c r="AE80" i="147"/>
  <c r="AE75" i="147"/>
  <c r="AE63" i="147"/>
  <c r="AE51" i="147"/>
  <c r="AB4" i="147"/>
  <c r="AI72" i="147"/>
  <c r="AI60" i="147"/>
  <c r="AI48" i="147"/>
  <c r="AI36" i="147"/>
  <c r="AI24" i="147"/>
  <c r="AI79" i="147"/>
  <c r="AI74" i="147"/>
  <c r="AI81" i="147"/>
  <c r="AI76" i="147"/>
  <c r="AI64" i="147"/>
  <c r="AI71" i="147"/>
  <c r="AI59" i="147"/>
  <c r="AI47" i="147"/>
  <c r="AI78" i="147"/>
  <c r="AI66" i="147"/>
  <c r="AI54" i="147"/>
  <c r="AI42" i="147"/>
  <c r="AI30" i="147"/>
  <c r="AI73" i="147"/>
  <c r="AI80" i="147"/>
  <c r="AI75" i="147"/>
  <c r="AI82" i="147"/>
  <c r="AI70" i="147"/>
  <c r="AI58" i="147"/>
  <c r="BG78" i="147"/>
  <c r="BG66" i="147"/>
  <c r="BG54" i="147"/>
  <c r="BG42" i="147"/>
  <c r="BG30" i="147"/>
  <c r="BG73" i="147"/>
  <c r="BG80" i="147"/>
  <c r="BG75" i="147"/>
  <c r="BG82" i="147"/>
  <c r="BG70" i="147"/>
  <c r="BG58" i="147"/>
  <c r="BG77" i="147"/>
  <c r="BG65" i="147"/>
  <c r="BG53" i="147"/>
  <c r="BG41" i="147"/>
  <c r="BG72" i="147"/>
  <c r="BG60" i="147"/>
  <c r="BG48" i="147"/>
  <c r="BG36" i="147"/>
  <c r="BG24" i="147"/>
  <c r="BG79" i="147"/>
  <c r="BG74" i="147"/>
  <c r="BG81" i="147"/>
  <c r="BG76" i="147"/>
  <c r="BG64" i="147"/>
  <c r="BG52" i="147"/>
  <c r="P5" i="147"/>
  <c r="S5" i="147" s="1"/>
  <c r="AN5" i="147"/>
  <c r="AQ5" i="147" s="1"/>
  <c r="BL5" i="147"/>
  <c r="BO5" i="147" s="1"/>
  <c r="R6" i="147"/>
  <c r="S6" i="147" s="1"/>
  <c r="AD6" i="147"/>
  <c r="AE6" i="147" s="1"/>
  <c r="AP6" i="147"/>
  <c r="AQ6" i="147" s="1"/>
  <c r="BB6" i="147"/>
  <c r="BC6" i="147" s="1"/>
  <c r="BN6" i="147"/>
  <c r="BO6" i="147" s="1"/>
  <c r="S7" i="147"/>
  <c r="BO7" i="147"/>
  <c r="BC10" i="147"/>
  <c r="AI11" i="147"/>
  <c r="AQ13" i="147"/>
  <c r="AE16" i="147"/>
  <c r="BG17" i="147"/>
  <c r="S19" i="147"/>
  <c r="BG20" i="147"/>
  <c r="BG25" i="147"/>
  <c r="AE28" i="147"/>
  <c r="S29" i="147"/>
  <c r="AE33" i="147"/>
  <c r="S34" i="147"/>
  <c r="BO35" i="147"/>
  <c r="AQ37" i="147"/>
  <c r="AE38" i="147"/>
  <c r="AI46" i="147"/>
  <c r="AE48" i="147"/>
  <c r="AI49" i="147"/>
  <c r="AQ51" i="147"/>
  <c r="AQ52" i="147"/>
  <c r="AQ53" i="147"/>
  <c r="AQ54" i="147"/>
  <c r="AE62" i="147"/>
  <c r="AI69" i="147"/>
  <c r="BG71" i="147"/>
  <c r="BC42" i="147"/>
  <c r="BC51" i="147"/>
  <c r="BC56" i="147"/>
  <c r="BC64" i="147"/>
  <c r="AE34" i="147"/>
  <c r="AE39" i="147"/>
  <c r="BC43" i="147"/>
  <c r="BC44" i="147"/>
  <c r="BC50" i="147"/>
  <c r="BC52" i="147"/>
  <c r="BC55" i="147"/>
  <c r="BC76" i="147"/>
  <c r="BC27" i="147"/>
  <c r="BC32" i="147"/>
  <c r="BC45" i="147"/>
  <c r="BC54" i="147"/>
  <c r="AE61" i="147"/>
  <c r="AE68" i="147"/>
  <c r="BC22" i="147"/>
  <c r="BC37" i="147"/>
  <c r="BC49" i="147"/>
  <c r="S80" i="147"/>
  <c r="S68" i="147"/>
  <c r="S56" i="147"/>
  <c r="S44" i="147"/>
  <c r="S32" i="147"/>
  <c r="S20" i="147"/>
  <c r="S75" i="147"/>
  <c r="S82" i="147"/>
  <c r="S70" i="147"/>
  <c r="S77" i="147"/>
  <c r="S72" i="147"/>
  <c r="S60" i="147"/>
  <c r="S79" i="147"/>
  <c r="S67" i="147"/>
  <c r="S55" i="147"/>
  <c r="S43" i="147"/>
  <c r="S74" i="147"/>
  <c r="S62" i="147"/>
  <c r="S50" i="147"/>
  <c r="S38" i="147"/>
  <c r="S26" i="147"/>
  <c r="S81" i="147"/>
  <c r="S76" i="147"/>
  <c r="S78" i="147"/>
  <c r="S66" i="147"/>
  <c r="S54" i="147"/>
  <c r="AQ74" i="147"/>
  <c r="AQ62" i="147"/>
  <c r="AQ50" i="147"/>
  <c r="AQ38" i="147"/>
  <c r="AQ26" i="147"/>
  <c r="AQ81" i="147"/>
  <c r="AQ69" i="147"/>
  <c r="AQ76" i="147"/>
  <c r="AQ71" i="147"/>
  <c r="AQ78" i="147"/>
  <c r="AQ66" i="147"/>
  <c r="AQ73" i="147"/>
  <c r="AQ61" i="147"/>
  <c r="AQ49" i="147"/>
  <c r="AQ80" i="147"/>
  <c r="AQ68" i="147"/>
  <c r="AQ56" i="147"/>
  <c r="AQ44" i="147"/>
  <c r="AQ32" i="147"/>
  <c r="AQ20" i="147"/>
  <c r="AQ75" i="147"/>
  <c r="AQ82" i="147"/>
  <c r="AQ70" i="147"/>
  <c r="AQ77" i="147"/>
  <c r="AQ72" i="147"/>
  <c r="AQ60" i="147"/>
  <c r="AQ48" i="147"/>
  <c r="BO80" i="147"/>
  <c r="BO68" i="147"/>
  <c r="BO56" i="147"/>
  <c r="BO44" i="147"/>
  <c r="BO32" i="147"/>
  <c r="BO20" i="147"/>
  <c r="BO75" i="147"/>
  <c r="BO82" i="147"/>
  <c r="BO70" i="147"/>
  <c r="BO77" i="147"/>
  <c r="BO72" i="147"/>
  <c r="BO60" i="147"/>
  <c r="BO79" i="147"/>
  <c r="BO67" i="147"/>
  <c r="BO55" i="147"/>
  <c r="BO43" i="147"/>
  <c r="BO74" i="147"/>
  <c r="BO62" i="147"/>
  <c r="BO50" i="147"/>
  <c r="BO38" i="147"/>
  <c r="BO26" i="147"/>
  <c r="BO81" i="147"/>
  <c r="BO69" i="147"/>
  <c r="BO76" i="147"/>
  <c r="BO78" i="147"/>
  <c r="BO66" i="147"/>
  <c r="BO54" i="147"/>
  <c r="AH6" i="147"/>
  <c r="AI6" i="147" s="1"/>
  <c r="BF6" i="147"/>
  <c r="BG6" i="147" s="1"/>
  <c r="AI7" i="147"/>
  <c r="AQ9" i="147"/>
  <c r="AE12" i="147"/>
  <c r="BG13" i="147"/>
  <c r="S15" i="147"/>
  <c r="BO15" i="147"/>
  <c r="BC18" i="147"/>
  <c r="AI19" i="147"/>
  <c r="BO21" i="147"/>
  <c r="BG22" i="147"/>
  <c r="AE24" i="147"/>
  <c r="BG27" i="147"/>
  <c r="BG32" i="147"/>
  <c r="BG37" i="147"/>
  <c r="AE40" i="147"/>
  <c r="S41" i="147"/>
  <c r="BG45" i="147"/>
  <c r="BG46" i="147"/>
  <c r="BG47" i="147"/>
  <c r="BC48" i="147"/>
  <c r="BG49" i="147"/>
  <c r="BO51" i="147"/>
  <c r="BO52" i="147"/>
  <c r="BO53" i="147"/>
  <c r="S59" i="147"/>
  <c r="AI61" i="147"/>
  <c r="BC62" i="147"/>
  <c r="BO63" i="147"/>
  <c r="AI68" i="147"/>
  <c r="AI77" i="147"/>
  <c r="AE82" i="147"/>
  <c r="BT5" i="146"/>
  <c r="BW5" i="146" s="1"/>
  <c r="O15" i="146"/>
  <c r="AM16" i="146"/>
  <c r="O20" i="146"/>
  <c r="BC24" i="146"/>
  <c r="L4" i="146"/>
  <c r="AN4" i="146"/>
  <c r="AG6" i="146"/>
  <c r="AA7" i="146"/>
  <c r="AM8" i="146"/>
  <c r="BW9" i="146"/>
  <c r="S11" i="146"/>
  <c r="BC12" i="146"/>
  <c r="AQ16" i="146"/>
  <c r="AM18" i="146"/>
  <c r="AI22" i="146"/>
  <c r="BK34" i="146"/>
  <c r="BW13" i="146"/>
  <c r="BW22" i="146"/>
  <c r="AM25" i="146"/>
  <c r="AQ31" i="146"/>
  <c r="N6" i="146"/>
  <c r="O6" i="146" s="1"/>
  <c r="L5" i="146"/>
  <c r="O5" i="146" s="1"/>
  <c r="P6" i="146"/>
  <c r="AQ15" i="146"/>
  <c r="AY76" i="146"/>
  <c r="AY64" i="146"/>
  <c r="AY52" i="146"/>
  <c r="AY40" i="146"/>
  <c r="AY71" i="146"/>
  <c r="AY59" i="146"/>
  <c r="AY47" i="146"/>
  <c r="AY78" i="146"/>
  <c r="AY66" i="146"/>
  <c r="AY54" i="146"/>
  <c r="AY42" i="146"/>
  <c r="AY30" i="146"/>
  <c r="AY73" i="146"/>
  <c r="AY61" i="146"/>
  <c r="AY49" i="146"/>
  <c r="AY80" i="146"/>
  <c r="AY68" i="146"/>
  <c r="AY56" i="146"/>
  <c r="AY75" i="146"/>
  <c r="AY63" i="146"/>
  <c r="AY51" i="146"/>
  <c r="AY82" i="146"/>
  <c r="AY70" i="146"/>
  <c r="AY58" i="146"/>
  <c r="AY46" i="146"/>
  <c r="AY77" i="146"/>
  <c r="AY65" i="146"/>
  <c r="AY72" i="146"/>
  <c r="AY60" i="146"/>
  <c r="AY79" i="146"/>
  <c r="AY67" i="146"/>
  <c r="AY55" i="146"/>
  <c r="AY74" i="146"/>
  <c r="AY62" i="146"/>
  <c r="AY50" i="146"/>
  <c r="AY38" i="146"/>
  <c r="AY44" i="146"/>
  <c r="AY35" i="146"/>
  <c r="AY10" i="146"/>
  <c r="AY23" i="146"/>
  <c r="AY81" i="146"/>
  <c r="AY34" i="146"/>
  <c r="AY26" i="146"/>
  <c r="AY12" i="146"/>
  <c r="AV4" i="146"/>
  <c r="AY29" i="146"/>
  <c r="AY33" i="146"/>
  <c r="AY22" i="146"/>
  <c r="AY19" i="146"/>
  <c r="AY14" i="146"/>
  <c r="AW6" i="146"/>
  <c r="AY45" i="146"/>
  <c r="AY25" i="146"/>
  <c r="AY9" i="146"/>
  <c r="AV6" i="146"/>
  <c r="AY16" i="146"/>
  <c r="AY69" i="146"/>
  <c r="AY39" i="146"/>
  <c r="AY32" i="146"/>
  <c r="AY48" i="146"/>
  <c r="AY41" i="146"/>
  <c r="AY37" i="146"/>
  <c r="AY28" i="146"/>
  <c r="AY11" i="146"/>
  <c r="AY53" i="146"/>
  <c r="AY24" i="146"/>
  <c r="AY57" i="146"/>
  <c r="AY36" i="146"/>
  <c r="AY31" i="146"/>
  <c r="AY27" i="146"/>
  <c r="AY8" i="146"/>
  <c r="P5" i="146"/>
  <c r="S5" i="146" s="1"/>
  <c r="AV5" i="146"/>
  <c r="AY5" i="146" s="1"/>
  <c r="R6" i="146"/>
  <c r="S6" i="146" s="1"/>
  <c r="AN6" i="146"/>
  <c r="BL6" i="146"/>
  <c r="S10" i="146"/>
  <c r="O14" i="146"/>
  <c r="AY15" i="146"/>
  <c r="BO20" i="146"/>
  <c r="S23" i="146"/>
  <c r="AE28" i="146"/>
  <c r="BW82" i="146"/>
  <c r="BW70" i="146"/>
  <c r="BW58" i="146"/>
  <c r="BW46" i="146"/>
  <c r="BW77" i="146"/>
  <c r="BW65" i="146"/>
  <c r="BW53" i="146"/>
  <c r="BW72" i="146"/>
  <c r="BW60" i="146"/>
  <c r="BW48" i="146"/>
  <c r="BW36" i="146"/>
  <c r="BW24" i="146"/>
  <c r="BW79" i="146"/>
  <c r="BW67" i="146"/>
  <c r="BW55" i="146"/>
  <c r="BW43" i="146"/>
  <c r="BW74" i="146"/>
  <c r="BW62" i="146"/>
  <c r="BW50" i="146"/>
  <c r="BW81" i="146"/>
  <c r="BW69" i="146"/>
  <c r="BW57" i="146"/>
  <c r="BW76" i="146"/>
  <c r="BW64" i="146"/>
  <c r="BW52" i="146"/>
  <c r="BW71" i="146"/>
  <c r="BW59" i="146"/>
  <c r="BW78" i="146"/>
  <c r="BW66" i="146"/>
  <c r="BW54" i="146"/>
  <c r="BW73" i="146"/>
  <c r="BW61" i="146"/>
  <c r="BW49" i="146"/>
  <c r="BW80" i="146"/>
  <c r="BW68" i="146"/>
  <c r="BW56" i="146"/>
  <c r="BW44" i="146"/>
  <c r="BW32" i="146"/>
  <c r="BW47" i="146"/>
  <c r="BW25" i="146"/>
  <c r="BW16" i="146"/>
  <c r="BW28" i="146"/>
  <c r="BW45" i="146"/>
  <c r="BW40" i="146"/>
  <c r="BW38" i="146"/>
  <c r="BW21" i="146"/>
  <c r="BW18" i="146"/>
  <c r="BT4" i="146"/>
  <c r="BW41" i="146"/>
  <c r="BW39" i="146"/>
  <c r="BW37" i="146"/>
  <c r="BW75" i="146"/>
  <c r="BW51" i="146"/>
  <c r="BW42" i="146"/>
  <c r="BW31" i="146"/>
  <c r="BW8" i="146"/>
  <c r="BU6" i="146"/>
  <c r="BW27" i="146"/>
  <c r="BW15" i="146"/>
  <c r="BT6" i="146"/>
  <c r="BW20" i="146"/>
  <c r="BW10" i="146"/>
  <c r="BW35" i="146"/>
  <c r="BW30" i="146"/>
  <c r="BW23" i="146"/>
  <c r="BW17" i="146"/>
  <c r="BW63" i="146"/>
  <c r="BW26" i="146"/>
  <c r="BW34" i="146"/>
  <c r="BW29" i="146"/>
  <c r="BW19" i="146"/>
  <c r="BW14" i="146"/>
  <c r="AQ74" i="146"/>
  <c r="AQ62" i="146"/>
  <c r="AQ50" i="146"/>
  <c r="AQ38" i="146"/>
  <c r="AQ81" i="146"/>
  <c r="AQ69" i="146"/>
  <c r="AQ57" i="146"/>
  <c r="AQ45" i="146"/>
  <c r="AQ76" i="146"/>
  <c r="AQ64" i="146"/>
  <c r="AQ52" i="146"/>
  <c r="AQ40" i="146"/>
  <c r="AQ28" i="146"/>
  <c r="AQ71" i="146"/>
  <c r="AQ59" i="146"/>
  <c r="AQ47" i="146"/>
  <c r="AQ78" i="146"/>
  <c r="AQ66" i="146"/>
  <c r="AQ54" i="146"/>
  <c r="AQ73" i="146"/>
  <c r="AQ61" i="146"/>
  <c r="AQ80" i="146"/>
  <c r="AQ68" i="146"/>
  <c r="AQ56" i="146"/>
  <c r="AQ44" i="146"/>
  <c r="AQ75" i="146"/>
  <c r="AQ63" i="146"/>
  <c r="AQ82" i="146"/>
  <c r="AQ70" i="146"/>
  <c r="AQ58" i="146"/>
  <c r="AQ77" i="146"/>
  <c r="AQ65" i="146"/>
  <c r="AQ53" i="146"/>
  <c r="AQ72" i="146"/>
  <c r="AQ60" i="146"/>
  <c r="AQ48" i="146"/>
  <c r="AQ36" i="146"/>
  <c r="AQ43" i="146"/>
  <c r="AQ27" i="146"/>
  <c r="AQ8" i="146"/>
  <c r="AO6" i="146"/>
  <c r="AQ35" i="146"/>
  <c r="AQ30" i="146"/>
  <c r="AQ49" i="146"/>
  <c r="AQ20" i="146"/>
  <c r="AQ23" i="146"/>
  <c r="AQ10" i="146"/>
  <c r="AQ17" i="146"/>
  <c r="AQ55" i="146"/>
  <c r="AQ34" i="146"/>
  <c r="AQ26" i="146"/>
  <c r="AQ12" i="146"/>
  <c r="AQ51" i="146"/>
  <c r="AQ29" i="146"/>
  <c r="AQ7" i="146"/>
  <c r="AQ33" i="146"/>
  <c r="AQ22" i="146"/>
  <c r="AQ19" i="146"/>
  <c r="AQ14" i="146"/>
  <c r="AQ79" i="146"/>
  <c r="AQ25" i="146"/>
  <c r="AQ9" i="146"/>
  <c r="AQ42" i="146"/>
  <c r="AQ39" i="146"/>
  <c r="AQ32" i="146"/>
  <c r="AQ41" i="146"/>
  <c r="AQ37" i="146"/>
  <c r="AQ21" i="146"/>
  <c r="AQ18" i="146"/>
  <c r="AA82" i="146"/>
  <c r="AA70" i="146"/>
  <c r="AA58" i="146"/>
  <c r="AA46" i="146"/>
  <c r="AA77" i="146"/>
  <c r="AA65" i="146"/>
  <c r="AA53" i="146"/>
  <c r="AA72" i="146"/>
  <c r="AA60" i="146"/>
  <c r="AA48" i="146"/>
  <c r="AA36" i="146"/>
  <c r="AA24" i="146"/>
  <c r="AA79" i="146"/>
  <c r="AA67" i="146"/>
  <c r="AA55" i="146"/>
  <c r="AA43" i="146"/>
  <c r="AA74" i="146"/>
  <c r="AA62" i="146"/>
  <c r="AA50" i="146"/>
  <c r="AA81" i="146"/>
  <c r="AA69" i="146"/>
  <c r="AA57" i="146"/>
  <c r="AA76" i="146"/>
  <c r="AA64" i="146"/>
  <c r="AA52" i="146"/>
  <c r="AA71" i="146"/>
  <c r="AA59" i="146"/>
  <c r="AA78" i="146"/>
  <c r="AA66" i="146"/>
  <c r="AA54" i="146"/>
  <c r="AA73" i="146"/>
  <c r="AA61" i="146"/>
  <c r="AA49" i="146"/>
  <c r="AA80" i="146"/>
  <c r="AA68" i="146"/>
  <c r="AA56" i="146"/>
  <c r="AA44" i="146"/>
  <c r="AA32" i="146"/>
  <c r="AA28" i="146"/>
  <c r="AA16" i="146"/>
  <c r="AA37" i="146"/>
  <c r="AA21" i="146"/>
  <c r="AA31" i="146"/>
  <c r="AA18" i="146"/>
  <c r="X4" i="146"/>
  <c r="AA27" i="146"/>
  <c r="AA8" i="146"/>
  <c r="Y6" i="146"/>
  <c r="AA75" i="146"/>
  <c r="AA47" i="146"/>
  <c r="AA35" i="146"/>
  <c r="AA30" i="146"/>
  <c r="AA20" i="146"/>
  <c r="AA15" i="146"/>
  <c r="X6" i="146"/>
  <c r="AA23" i="146"/>
  <c r="AA51" i="146"/>
  <c r="AA10" i="146"/>
  <c r="AA45" i="146"/>
  <c r="AA34" i="146"/>
  <c r="AA26" i="146"/>
  <c r="AA17" i="146"/>
  <c r="AA63" i="146"/>
  <c r="AA33" i="146"/>
  <c r="AA29" i="146"/>
  <c r="AA40" i="146"/>
  <c r="AA38" i="146"/>
  <c r="AA22" i="146"/>
  <c r="AA14" i="146"/>
  <c r="BG78" i="146"/>
  <c r="BG66" i="146"/>
  <c r="BG54" i="146"/>
  <c r="BG42" i="146"/>
  <c r="BG73" i="146"/>
  <c r="BG61" i="146"/>
  <c r="BG49" i="146"/>
  <c r="BG80" i="146"/>
  <c r="BG68" i="146"/>
  <c r="BG56" i="146"/>
  <c r="BG44" i="146"/>
  <c r="BG32" i="146"/>
  <c r="BG20" i="146"/>
  <c r="BG75" i="146"/>
  <c r="BG63" i="146"/>
  <c r="BG51" i="146"/>
  <c r="BG39" i="146"/>
  <c r="BG82" i="146"/>
  <c r="BG70" i="146"/>
  <c r="BG58" i="146"/>
  <c r="BG77" i="146"/>
  <c r="BG65" i="146"/>
  <c r="BG53" i="146"/>
  <c r="BG72" i="146"/>
  <c r="BG60" i="146"/>
  <c r="BG48" i="146"/>
  <c r="BG79" i="146"/>
  <c r="BG67" i="146"/>
  <c r="BG55" i="146"/>
  <c r="BG74" i="146"/>
  <c r="BG62" i="146"/>
  <c r="BG50" i="146"/>
  <c r="BG81" i="146"/>
  <c r="BG69" i="146"/>
  <c r="BG57" i="146"/>
  <c r="BG45" i="146"/>
  <c r="BG76" i="146"/>
  <c r="BG64" i="146"/>
  <c r="BG52" i="146"/>
  <c r="BG40" i="146"/>
  <c r="BG34" i="146"/>
  <c r="BG26" i="146"/>
  <c r="BG12" i="146"/>
  <c r="BG29" i="146"/>
  <c r="BG71" i="146"/>
  <c r="BG47" i="146"/>
  <c r="BG22" i="146"/>
  <c r="BG19" i="146"/>
  <c r="BG14" i="146"/>
  <c r="BG33" i="146"/>
  <c r="BG25" i="146"/>
  <c r="BG16" i="146"/>
  <c r="BG41" i="146"/>
  <c r="BG28" i="146"/>
  <c r="BG11" i="146"/>
  <c r="BG18" i="146"/>
  <c r="BG59" i="146"/>
  <c r="BG38" i="146"/>
  <c r="BG37" i="146"/>
  <c r="BG21" i="146"/>
  <c r="BG24" i="146"/>
  <c r="BG13" i="146"/>
  <c r="BG46" i="146"/>
  <c r="BG36" i="146"/>
  <c r="BG31" i="146"/>
  <c r="BG27" i="146"/>
  <c r="BG43" i="146"/>
  <c r="BG35" i="146"/>
  <c r="BG30" i="146"/>
  <c r="BG10" i="146"/>
  <c r="BD5" i="146"/>
  <c r="BG5" i="146" s="1"/>
  <c r="BG7" i="146"/>
  <c r="S9" i="146"/>
  <c r="AM10" i="146"/>
  <c r="BO11" i="146"/>
  <c r="BK15" i="146"/>
  <c r="S19" i="146"/>
  <c r="BG23" i="146"/>
  <c r="O10" i="146"/>
  <c r="AE77" i="146"/>
  <c r="AE65" i="146"/>
  <c r="AE53" i="146"/>
  <c r="AE41" i="146"/>
  <c r="AE72" i="146"/>
  <c r="AE60" i="146"/>
  <c r="AE48" i="146"/>
  <c r="AE79" i="146"/>
  <c r="AE67" i="146"/>
  <c r="AE55" i="146"/>
  <c r="AE43" i="146"/>
  <c r="AE31" i="146"/>
  <c r="AE19" i="146"/>
  <c r="AE74" i="146"/>
  <c r="AE62" i="146"/>
  <c r="AE50" i="146"/>
  <c r="AE38" i="146"/>
  <c r="AE81" i="146"/>
  <c r="AE69" i="146"/>
  <c r="AE57" i="146"/>
  <c r="AE76" i="146"/>
  <c r="AE64" i="146"/>
  <c r="AE52" i="146"/>
  <c r="AE71" i="146"/>
  <c r="AE59" i="146"/>
  <c r="AE47" i="146"/>
  <c r="AE78" i="146"/>
  <c r="AE66" i="146"/>
  <c r="AE73" i="146"/>
  <c r="AE61" i="146"/>
  <c r="AE49" i="146"/>
  <c r="AE80" i="146"/>
  <c r="AE68" i="146"/>
  <c r="AE56" i="146"/>
  <c r="AE75" i="146"/>
  <c r="AE63" i="146"/>
  <c r="AE51" i="146"/>
  <c r="AE39" i="146"/>
  <c r="AE82" i="146"/>
  <c r="AE46" i="146"/>
  <c r="AE37" i="146"/>
  <c r="AE21" i="146"/>
  <c r="AE11" i="146"/>
  <c r="AC6" i="146"/>
  <c r="AB4" i="146"/>
  <c r="AE18" i="146"/>
  <c r="AE36" i="146"/>
  <c r="AE24" i="146"/>
  <c r="AE13" i="146"/>
  <c r="AE27" i="146"/>
  <c r="AE70" i="146"/>
  <c r="AE44" i="146"/>
  <c r="AE35" i="146"/>
  <c r="AE30" i="146"/>
  <c r="AE20" i="146"/>
  <c r="AE15" i="146"/>
  <c r="AE23" i="146"/>
  <c r="AE10" i="146"/>
  <c r="AB5" i="146"/>
  <c r="AE5" i="146" s="1"/>
  <c r="AE34" i="146"/>
  <c r="AE26" i="146"/>
  <c r="AE17" i="146"/>
  <c r="AE54" i="146"/>
  <c r="AE45" i="146"/>
  <c r="AE12" i="146"/>
  <c r="AE58" i="146"/>
  <c r="AE33" i="146"/>
  <c r="AE29" i="146"/>
  <c r="AE40" i="146"/>
  <c r="AE22" i="146"/>
  <c r="AE42" i="146"/>
  <c r="AE25" i="146"/>
  <c r="AE9" i="146"/>
  <c r="BO7" i="146"/>
  <c r="AA9" i="146"/>
  <c r="BW11" i="146"/>
  <c r="AA13" i="146"/>
  <c r="AI14" i="146"/>
  <c r="AY17" i="146"/>
  <c r="O29" i="146"/>
  <c r="AN5" i="146"/>
  <c r="AQ5" i="146" s="1"/>
  <c r="P4" i="146"/>
  <c r="AL6" i="146"/>
  <c r="AM6" i="146" s="1"/>
  <c r="BC71" i="146"/>
  <c r="BC59" i="146"/>
  <c r="BC47" i="146"/>
  <c r="BC78" i="146"/>
  <c r="BC66" i="146"/>
  <c r="BC54" i="146"/>
  <c r="BC73" i="146"/>
  <c r="BC61" i="146"/>
  <c r="BC49" i="146"/>
  <c r="BC37" i="146"/>
  <c r="BC25" i="146"/>
  <c r="BC80" i="146"/>
  <c r="BC68" i="146"/>
  <c r="BC56" i="146"/>
  <c r="BC44" i="146"/>
  <c r="BC75" i="146"/>
  <c r="BC63" i="146"/>
  <c r="BC51" i="146"/>
  <c r="BC82" i="146"/>
  <c r="BC70" i="146"/>
  <c r="BC58" i="146"/>
  <c r="BC77" i="146"/>
  <c r="BC65" i="146"/>
  <c r="BC53" i="146"/>
  <c r="BC72" i="146"/>
  <c r="BC60" i="146"/>
  <c r="BC79" i="146"/>
  <c r="BC67" i="146"/>
  <c r="BC55" i="146"/>
  <c r="BC74" i="146"/>
  <c r="BC62" i="146"/>
  <c r="BC50" i="146"/>
  <c r="BC81" i="146"/>
  <c r="BC69" i="146"/>
  <c r="BC57" i="146"/>
  <c r="BC45" i="146"/>
  <c r="BC33" i="146"/>
  <c r="BC23" i="146"/>
  <c r="BC17" i="146"/>
  <c r="BA6" i="146"/>
  <c r="AZ4" i="146"/>
  <c r="BC26" i="146"/>
  <c r="BC52" i="146"/>
  <c r="BC34" i="146"/>
  <c r="BC76" i="146"/>
  <c r="BC29" i="146"/>
  <c r="BC7" i="146"/>
  <c r="BC22" i="146"/>
  <c r="BC19" i="146"/>
  <c r="BC9" i="146"/>
  <c r="BC39" i="146"/>
  <c r="BC32" i="146"/>
  <c r="BC16" i="146"/>
  <c r="AZ5" i="146"/>
  <c r="BC5" i="146" s="1"/>
  <c r="BC28" i="146"/>
  <c r="BC11" i="146"/>
  <c r="BC64" i="146"/>
  <c r="BC48" i="146"/>
  <c r="BC41" i="146"/>
  <c r="BC40" i="146"/>
  <c r="BC42" i="146"/>
  <c r="BC38" i="146"/>
  <c r="BC21" i="146"/>
  <c r="BC18" i="146"/>
  <c r="BC46" i="146"/>
  <c r="BC36" i="146"/>
  <c r="BC31" i="146"/>
  <c r="BC27" i="146"/>
  <c r="BC43" i="146"/>
  <c r="BC20" i="146"/>
  <c r="BC15" i="146"/>
  <c r="AP6" i="146"/>
  <c r="AQ6" i="146" s="1"/>
  <c r="BN6" i="146"/>
  <c r="BO6" i="146" s="1"/>
  <c r="S17" i="146"/>
  <c r="AI72" i="146"/>
  <c r="AI60" i="146"/>
  <c r="AI48" i="146"/>
  <c r="AI79" i="146"/>
  <c r="AI67" i="146"/>
  <c r="AI55" i="146"/>
  <c r="AI43" i="146"/>
  <c r="AI74" i="146"/>
  <c r="AI62" i="146"/>
  <c r="AI50" i="146"/>
  <c r="AI38" i="146"/>
  <c r="AI26" i="146"/>
  <c r="AI81" i="146"/>
  <c r="AI69" i="146"/>
  <c r="AI57" i="146"/>
  <c r="AI45" i="146"/>
  <c r="AI76" i="146"/>
  <c r="AI64" i="146"/>
  <c r="AI52" i="146"/>
  <c r="AI71" i="146"/>
  <c r="AI59" i="146"/>
  <c r="AI78" i="146"/>
  <c r="AI66" i="146"/>
  <c r="AI54" i="146"/>
  <c r="AI42" i="146"/>
  <c r="AI73" i="146"/>
  <c r="AI61" i="146"/>
  <c r="AI80" i="146"/>
  <c r="AI68" i="146"/>
  <c r="AI56" i="146"/>
  <c r="AI75" i="146"/>
  <c r="AI63" i="146"/>
  <c r="AI51" i="146"/>
  <c r="AI82" i="146"/>
  <c r="AI70" i="146"/>
  <c r="AI58" i="146"/>
  <c r="AI46" i="146"/>
  <c r="AI34" i="146"/>
  <c r="AI77" i="146"/>
  <c r="AI18" i="146"/>
  <c r="AI31" i="146"/>
  <c r="AI24" i="146"/>
  <c r="AI36" i="146"/>
  <c r="AI49" i="146"/>
  <c r="AI27" i="146"/>
  <c r="AI8" i="146"/>
  <c r="AI44" i="146"/>
  <c r="AI35" i="146"/>
  <c r="AI30" i="146"/>
  <c r="AI20" i="146"/>
  <c r="AI65" i="146"/>
  <c r="AI47" i="146"/>
  <c r="AI23" i="146"/>
  <c r="AI10" i="146"/>
  <c r="AI17" i="146"/>
  <c r="AI12" i="146"/>
  <c r="AI33" i="146"/>
  <c r="AI29" i="146"/>
  <c r="AI40" i="146"/>
  <c r="AI25" i="146"/>
  <c r="AI53" i="146"/>
  <c r="AI41" i="146"/>
  <c r="AI39" i="146"/>
  <c r="AI32" i="146"/>
  <c r="AI28" i="146"/>
  <c r="AI16" i="146"/>
  <c r="BK73" i="146"/>
  <c r="BK61" i="146"/>
  <c r="BK49" i="146"/>
  <c r="BK80" i="146"/>
  <c r="BK68" i="146"/>
  <c r="BK56" i="146"/>
  <c r="BK44" i="146"/>
  <c r="BK75" i="146"/>
  <c r="BK63" i="146"/>
  <c r="BK51" i="146"/>
  <c r="BK39" i="146"/>
  <c r="BK27" i="146"/>
  <c r="BK82" i="146"/>
  <c r="BK70" i="146"/>
  <c r="BK58" i="146"/>
  <c r="BK46" i="146"/>
  <c r="BK77" i="146"/>
  <c r="BK65" i="146"/>
  <c r="BK53" i="146"/>
  <c r="BK72" i="146"/>
  <c r="BK60" i="146"/>
  <c r="BK79" i="146"/>
  <c r="BK67" i="146"/>
  <c r="BK55" i="146"/>
  <c r="BK43" i="146"/>
  <c r="BK74" i="146"/>
  <c r="BK62" i="146"/>
  <c r="BK81" i="146"/>
  <c r="BK69" i="146"/>
  <c r="BK57" i="146"/>
  <c r="BK76" i="146"/>
  <c r="BK64" i="146"/>
  <c r="BK52" i="146"/>
  <c r="BK71" i="146"/>
  <c r="BK59" i="146"/>
  <c r="BK47" i="146"/>
  <c r="BK35" i="146"/>
  <c r="BK29" i="146"/>
  <c r="BK7" i="146"/>
  <c r="BK19" i="146"/>
  <c r="BK66" i="146"/>
  <c r="BK22" i="146"/>
  <c r="BK33" i="146"/>
  <c r="BK9" i="146"/>
  <c r="BK16" i="146"/>
  <c r="BK25" i="146"/>
  <c r="BK45" i="146"/>
  <c r="BK41" i="146"/>
  <c r="BK32" i="146"/>
  <c r="BK28" i="146"/>
  <c r="BK11" i="146"/>
  <c r="BI6" i="146"/>
  <c r="BK54" i="146"/>
  <c r="BK48" i="146"/>
  <c r="BK40" i="146"/>
  <c r="BK38" i="146"/>
  <c r="BK37" i="146"/>
  <c r="BK21" i="146"/>
  <c r="BK18" i="146"/>
  <c r="BH6" i="146"/>
  <c r="BK24" i="146"/>
  <c r="BK13" i="146"/>
  <c r="BK42" i="146"/>
  <c r="BK36" i="146"/>
  <c r="BK31" i="146"/>
  <c r="BK8" i="146"/>
  <c r="BK50" i="146"/>
  <c r="BK78" i="146"/>
  <c r="BK30" i="146"/>
  <c r="BK23" i="146"/>
  <c r="BK17" i="146"/>
  <c r="BL5" i="146"/>
  <c r="BO5" i="146" s="1"/>
  <c r="AI9" i="146"/>
  <c r="BC10" i="146"/>
  <c r="AI13" i="146"/>
  <c r="BC14" i="146"/>
  <c r="BO29" i="146"/>
  <c r="AQ46" i="146"/>
  <c r="AQ67" i="146"/>
  <c r="AF4" i="146"/>
  <c r="BH4" i="146"/>
  <c r="Z6" i="146"/>
  <c r="AA6" i="146" s="1"/>
  <c r="AX6" i="146"/>
  <c r="AY6" i="146" s="1"/>
  <c r="BV6" i="146"/>
  <c r="BW6" i="146" s="1"/>
  <c r="BW7" i="146"/>
  <c r="BK10" i="146"/>
  <c r="O12" i="146"/>
  <c r="AQ13" i="146"/>
  <c r="BK14" i="146"/>
  <c r="AI19" i="146"/>
  <c r="AY21" i="146"/>
  <c r="BK26" i="146"/>
  <c r="BW33" i="146"/>
  <c r="AA41" i="146"/>
  <c r="S80" i="146"/>
  <c r="S68" i="146"/>
  <c r="S56" i="146"/>
  <c r="S44" i="146"/>
  <c r="S75" i="146"/>
  <c r="S63" i="146"/>
  <c r="S51" i="146"/>
  <c r="S82" i="146"/>
  <c r="S70" i="146"/>
  <c r="S58" i="146"/>
  <c r="S46" i="146"/>
  <c r="S34" i="146"/>
  <c r="S22" i="146"/>
  <c r="S77" i="146"/>
  <c r="S65" i="146"/>
  <c r="S53" i="146"/>
  <c r="S41" i="146"/>
  <c r="S72" i="146"/>
  <c r="S60" i="146"/>
  <c r="S79" i="146"/>
  <c r="S67" i="146"/>
  <c r="S55" i="146"/>
  <c r="S74" i="146"/>
  <c r="S62" i="146"/>
  <c r="S50" i="146"/>
  <c r="S81" i="146"/>
  <c r="S69" i="146"/>
  <c r="S57" i="146"/>
  <c r="S76" i="146"/>
  <c r="S64" i="146"/>
  <c r="S52" i="146"/>
  <c r="S71" i="146"/>
  <c r="S59" i="146"/>
  <c r="S47" i="146"/>
  <c r="S78" i="146"/>
  <c r="S66" i="146"/>
  <c r="S54" i="146"/>
  <c r="S42" i="146"/>
  <c r="S40" i="146"/>
  <c r="S39" i="146"/>
  <c r="S38" i="146"/>
  <c r="S14" i="146"/>
  <c r="Q6" i="146"/>
  <c r="S32" i="146"/>
  <c r="S25" i="146"/>
  <c r="S61" i="146"/>
  <c r="S43" i="146"/>
  <c r="S37" i="146"/>
  <c r="S28" i="146"/>
  <c r="S16" i="146"/>
  <c r="S49" i="146"/>
  <c r="S21" i="146"/>
  <c r="S36" i="146"/>
  <c r="S31" i="146"/>
  <c r="S24" i="146"/>
  <c r="S18" i="146"/>
  <c r="S13" i="146"/>
  <c r="S27" i="146"/>
  <c r="S8" i="146"/>
  <c r="S35" i="146"/>
  <c r="S30" i="146"/>
  <c r="S20" i="146"/>
  <c r="S15" i="146"/>
  <c r="S45" i="146"/>
  <c r="S48" i="146"/>
  <c r="S26" i="146"/>
  <c r="S73" i="146"/>
  <c r="S29" i="146"/>
  <c r="S12" i="146"/>
  <c r="BO80" i="146"/>
  <c r="BO68" i="146"/>
  <c r="BO56" i="146"/>
  <c r="BO44" i="146"/>
  <c r="BO75" i="146"/>
  <c r="BO63" i="146"/>
  <c r="BO51" i="146"/>
  <c r="BO82" i="146"/>
  <c r="BO70" i="146"/>
  <c r="BO58" i="146"/>
  <c r="BO46" i="146"/>
  <c r="BO34" i="146"/>
  <c r="BO22" i="146"/>
  <c r="BO77" i="146"/>
  <c r="BO65" i="146"/>
  <c r="BO53" i="146"/>
  <c r="BO41" i="146"/>
  <c r="BO72" i="146"/>
  <c r="BO60" i="146"/>
  <c r="BO48" i="146"/>
  <c r="BO79" i="146"/>
  <c r="BO67" i="146"/>
  <c r="BO55" i="146"/>
  <c r="BO74" i="146"/>
  <c r="BO62" i="146"/>
  <c r="BO50" i="146"/>
  <c r="BO81" i="146"/>
  <c r="BO69" i="146"/>
  <c r="BO57" i="146"/>
  <c r="BO76" i="146"/>
  <c r="BO64" i="146"/>
  <c r="BO52" i="146"/>
  <c r="BO71" i="146"/>
  <c r="BO59" i="146"/>
  <c r="BO47" i="146"/>
  <c r="BO78" i="146"/>
  <c r="BO66" i="146"/>
  <c r="BO54" i="146"/>
  <c r="BO42" i="146"/>
  <c r="BO30" i="146"/>
  <c r="BO49" i="146"/>
  <c r="BO19" i="146"/>
  <c r="BO14" i="146"/>
  <c r="BM6" i="146"/>
  <c r="BO61" i="146"/>
  <c r="BO33" i="146"/>
  <c r="BO25" i="146"/>
  <c r="BO16" i="146"/>
  <c r="BO45" i="146"/>
  <c r="BO32" i="146"/>
  <c r="BO28" i="146"/>
  <c r="BO40" i="146"/>
  <c r="BO39" i="146"/>
  <c r="BO38" i="146"/>
  <c r="BO37" i="146"/>
  <c r="BO21" i="146"/>
  <c r="BO18" i="146"/>
  <c r="BO24" i="146"/>
  <c r="BO13" i="146"/>
  <c r="BO31" i="146"/>
  <c r="BO8" i="146"/>
  <c r="BO36" i="146"/>
  <c r="BO27" i="146"/>
  <c r="BO15" i="146"/>
  <c r="BO43" i="146"/>
  <c r="BO73" i="146"/>
  <c r="BO35" i="146"/>
  <c r="BO23" i="146"/>
  <c r="BO26" i="146"/>
  <c r="BO12" i="146"/>
  <c r="O73" i="146"/>
  <c r="O61" i="146"/>
  <c r="O49" i="146"/>
  <c r="O80" i="146"/>
  <c r="O68" i="146"/>
  <c r="O56" i="146"/>
  <c r="O44" i="146"/>
  <c r="O75" i="146"/>
  <c r="O63" i="146"/>
  <c r="O51" i="146"/>
  <c r="O39" i="146"/>
  <c r="O27" i="146"/>
  <c r="O82" i="146"/>
  <c r="O70" i="146"/>
  <c r="O58" i="146"/>
  <c r="O46" i="146"/>
  <c r="O77" i="146"/>
  <c r="O65" i="146"/>
  <c r="O53" i="146"/>
  <c r="O72" i="146"/>
  <c r="O60" i="146"/>
  <c r="O79" i="146"/>
  <c r="O67" i="146"/>
  <c r="O55" i="146"/>
  <c r="O43" i="146"/>
  <c r="O74" i="146"/>
  <c r="O62" i="146"/>
  <c r="O81" i="146"/>
  <c r="O69" i="146"/>
  <c r="O57" i="146"/>
  <c r="O76" i="146"/>
  <c r="O64" i="146"/>
  <c r="O52" i="146"/>
  <c r="O71" i="146"/>
  <c r="O59" i="146"/>
  <c r="O47" i="146"/>
  <c r="O35" i="146"/>
  <c r="O41" i="146"/>
  <c r="O33" i="146"/>
  <c r="O22" i="146"/>
  <c r="O19" i="146"/>
  <c r="O7" i="146"/>
  <c r="O42" i="146"/>
  <c r="O40" i="146"/>
  <c r="O38" i="146"/>
  <c r="O66" i="146"/>
  <c r="O32" i="146"/>
  <c r="O25" i="146"/>
  <c r="O9" i="146"/>
  <c r="O37" i="146"/>
  <c r="O28" i="146"/>
  <c r="O21" i="146"/>
  <c r="O11" i="146"/>
  <c r="M6" i="146"/>
  <c r="O13" i="146"/>
  <c r="O36" i="146"/>
  <c r="O31" i="146"/>
  <c r="O24" i="146"/>
  <c r="O18" i="146"/>
  <c r="L6" i="146"/>
  <c r="O54" i="146"/>
  <c r="O30" i="146"/>
  <c r="O45" i="146"/>
  <c r="O34" i="146"/>
  <c r="O23" i="146"/>
  <c r="O78" i="146"/>
  <c r="O50" i="146"/>
  <c r="O48" i="146"/>
  <c r="O26" i="146"/>
  <c r="O17" i="146"/>
  <c r="AM79" i="146"/>
  <c r="AM67" i="146"/>
  <c r="AM55" i="146"/>
  <c r="AM43" i="146"/>
  <c r="AM74" i="146"/>
  <c r="AM62" i="146"/>
  <c r="AM50" i="146"/>
  <c r="AM81" i="146"/>
  <c r="AM69" i="146"/>
  <c r="AM57" i="146"/>
  <c r="AM45" i="146"/>
  <c r="AM33" i="146"/>
  <c r="AM21" i="146"/>
  <c r="AM76" i="146"/>
  <c r="AM64" i="146"/>
  <c r="AM52" i="146"/>
  <c r="AM40" i="146"/>
  <c r="AM71" i="146"/>
  <c r="AM59" i="146"/>
  <c r="AM78" i="146"/>
  <c r="AM66" i="146"/>
  <c r="AM54" i="146"/>
  <c r="AM73" i="146"/>
  <c r="AM61" i="146"/>
  <c r="AM49" i="146"/>
  <c r="AM80" i="146"/>
  <c r="AM68" i="146"/>
  <c r="AM56" i="146"/>
  <c r="AM75" i="146"/>
  <c r="AM63" i="146"/>
  <c r="AM51" i="146"/>
  <c r="AM82" i="146"/>
  <c r="AM70" i="146"/>
  <c r="AM58" i="146"/>
  <c r="AM46" i="146"/>
  <c r="AM77" i="146"/>
  <c r="AM65" i="146"/>
  <c r="AM53" i="146"/>
  <c r="AM41" i="146"/>
  <c r="AM72" i="146"/>
  <c r="AM36" i="146"/>
  <c r="AM31" i="146"/>
  <c r="AM24" i="146"/>
  <c r="AM13" i="146"/>
  <c r="AM27" i="146"/>
  <c r="AM44" i="146"/>
  <c r="AM35" i="146"/>
  <c r="AM30" i="146"/>
  <c r="AM20" i="146"/>
  <c r="AM15" i="146"/>
  <c r="AM47" i="146"/>
  <c r="AM23" i="146"/>
  <c r="AM60" i="146"/>
  <c r="AM17" i="146"/>
  <c r="AK6" i="146"/>
  <c r="AM7" i="146"/>
  <c r="AM34" i="146"/>
  <c r="AM26" i="146"/>
  <c r="AM12" i="146"/>
  <c r="AJ6" i="146"/>
  <c r="AM29" i="146"/>
  <c r="AM22" i="146"/>
  <c r="AM19" i="146"/>
  <c r="AM14" i="146"/>
  <c r="AM48" i="146"/>
  <c r="AM42" i="146"/>
  <c r="AM39" i="146"/>
  <c r="AM38" i="146"/>
  <c r="AM32" i="146"/>
  <c r="AM28" i="146"/>
  <c r="AM37" i="146"/>
  <c r="AM11" i="146"/>
  <c r="AZ6" i="146"/>
  <c r="BO10" i="146"/>
  <c r="AQ24" i="146"/>
  <c r="AI37" i="146"/>
  <c r="AJ4" i="146"/>
  <c r="BL4" i="146"/>
  <c r="AJ5" i="146"/>
  <c r="AM5" i="146" s="1"/>
  <c r="AD6" i="146"/>
  <c r="AE6" i="146" s="1"/>
  <c r="BB6" i="146"/>
  <c r="BC6" i="146" s="1"/>
  <c r="S7" i="146"/>
  <c r="O8" i="146"/>
  <c r="BG9" i="146"/>
  <c r="AA12" i="146"/>
  <c r="AY13" i="146"/>
  <c r="AE16" i="146"/>
  <c r="BC30" i="146"/>
  <c r="AA42" i="146"/>
  <c r="W33" i="146"/>
  <c r="BS34" i="146"/>
  <c r="AU46" i="146"/>
  <c r="AU50" i="146"/>
  <c r="W68" i="146"/>
  <c r="AU38" i="146"/>
  <c r="AU41" i="146"/>
  <c r="BS68" i="146"/>
  <c r="AU39" i="146"/>
  <c r="AU40" i="146"/>
  <c r="W75" i="146"/>
  <c r="W63" i="146"/>
  <c r="W51" i="146"/>
  <c r="W39" i="146"/>
  <c r="W82" i="146"/>
  <c r="W70" i="146"/>
  <c r="W58" i="146"/>
  <c r="W46" i="146"/>
  <c r="W77" i="146"/>
  <c r="W65" i="146"/>
  <c r="W53" i="146"/>
  <c r="W41" i="146"/>
  <c r="W29" i="146"/>
  <c r="W72" i="146"/>
  <c r="W60" i="146"/>
  <c r="W48" i="146"/>
  <c r="W79" i="146"/>
  <c r="W67" i="146"/>
  <c r="W55" i="146"/>
  <c r="W74" i="146"/>
  <c r="W62" i="146"/>
  <c r="W50" i="146"/>
  <c r="W81" i="146"/>
  <c r="W69" i="146"/>
  <c r="W57" i="146"/>
  <c r="W45" i="146"/>
  <c r="W76" i="146"/>
  <c r="W64" i="146"/>
  <c r="W71" i="146"/>
  <c r="W59" i="146"/>
  <c r="W78" i="146"/>
  <c r="W66" i="146"/>
  <c r="W54" i="146"/>
  <c r="W73" i="146"/>
  <c r="W61" i="146"/>
  <c r="W49" i="146"/>
  <c r="W37" i="146"/>
  <c r="AU81" i="146"/>
  <c r="AU69" i="146"/>
  <c r="AU57" i="146"/>
  <c r="AU45" i="146"/>
  <c r="AU76" i="146"/>
  <c r="AU64" i="146"/>
  <c r="AU52" i="146"/>
  <c r="AU71" i="146"/>
  <c r="AU59" i="146"/>
  <c r="AU47" i="146"/>
  <c r="AU35" i="146"/>
  <c r="AU23" i="146"/>
  <c r="AU78" i="146"/>
  <c r="AU66" i="146"/>
  <c r="AU54" i="146"/>
  <c r="AU42" i="146"/>
  <c r="AU73" i="146"/>
  <c r="AU61" i="146"/>
  <c r="AU49" i="146"/>
  <c r="AU80" i="146"/>
  <c r="AU68" i="146"/>
  <c r="AU56" i="146"/>
  <c r="AU75" i="146"/>
  <c r="AU63" i="146"/>
  <c r="AU51" i="146"/>
  <c r="AU82" i="146"/>
  <c r="AU70" i="146"/>
  <c r="AU58" i="146"/>
  <c r="AU77" i="146"/>
  <c r="AU65" i="146"/>
  <c r="AU53" i="146"/>
  <c r="AU72" i="146"/>
  <c r="AU60" i="146"/>
  <c r="AU48" i="146"/>
  <c r="AU79" i="146"/>
  <c r="AU67" i="146"/>
  <c r="AU55" i="146"/>
  <c r="AU43" i="146"/>
  <c r="AU31" i="146"/>
  <c r="BS75" i="146"/>
  <c r="BS63" i="146"/>
  <c r="BS51" i="146"/>
  <c r="BS39" i="146"/>
  <c r="BS82" i="146"/>
  <c r="BS70" i="146"/>
  <c r="BS58" i="146"/>
  <c r="BS46" i="146"/>
  <c r="BS77" i="146"/>
  <c r="BS65" i="146"/>
  <c r="BS53" i="146"/>
  <c r="BS41" i="146"/>
  <c r="BS29" i="146"/>
  <c r="BS72" i="146"/>
  <c r="BS60" i="146"/>
  <c r="BS48" i="146"/>
  <c r="BS79" i="146"/>
  <c r="BS67" i="146"/>
  <c r="BS55" i="146"/>
  <c r="BS74" i="146"/>
  <c r="BS62" i="146"/>
  <c r="BS50" i="146"/>
  <c r="BS81" i="146"/>
  <c r="BS69" i="146"/>
  <c r="BS57" i="146"/>
  <c r="BS45" i="146"/>
  <c r="BS76" i="146"/>
  <c r="BS64" i="146"/>
  <c r="BS71" i="146"/>
  <c r="BS59" i="146"/>
  <c r="BS78" i="146"/>
  <c r="BS66" i="146"/>
  <c r="BS54" i="146"/>
  <c r="BS73" i="146"/>
  <c r="BS61" i="146"/>
  <c r="BS49" i="146"/>
  <c r="BS37" i="146"/>
  <c r="W8" i="146"/>
  <c r="BS8" i="146"/>
  <c r="AU14" i="146"/>
  <c r="AU19" i="146"/>
  <c r="AU22" i="146"/>
  <c r="W27" i="146"/>
  <c r="BS31" i="146"/>
  <c r="AU33" i="146"/>
  <c r="BS36" i="146"/>
  <c r="BS42" i="146"/>
  <c r="W44" i="146"/>
  <c r="W80" i="146"/>
  <c r="BS24" i="146"/>
  <c r="AU29" i="146"/>
  <c r="BS80" i="146"/>
  <c r="W11" i="146"/>
  <c r="BS11" i="146"/>
  <c r="AU17" i="146"/>
  <c r="W21" i="146"/>
  <c r="BS28" i="146"/>
  <c r="BS32" i="146"/>
  <c r="W52" i="146"/>
  <c r="W56" i="146"/>
  <c r="W9" i="146"/>
  <c r="BS9" i="146"/>
  <c r="AU15" i="146"/>
  <c r="AU20" i="146"/>
  <c r="BS22" i="146"/>
  <c r="W25" i="146"/>
  <c r="AU30" i="146"/>
  <c r="W32" i="146"/>
  <c r="BS33" i="146"/>
  <c r="W42" i="146"/>
  <c r="BS52" i="146"/>
  <c r="BS56" i="146"/>
  <c r="O78" i="2"/>
  <c r="O76" i="2"/>
  <c r="O56" i="2"/>
  <c r="O15" i="2"/>
  <c r="O75" i="2"/>
  <c r="O54" i="2"/>
  <c r="O33" i="2"/>
  <c r="O14" i="2"/>
  <c r="O74" i="2"/>
  <c r="O52" i="2"/>
  <c r="O32" i="2"/>
  <c r="O10" i="2"/>
  <c r="O51" i="2"/>
  <c r="O30" i="2"/>
  <c r="O69" i="2"/>
  <c r="O50" i="2"/>
  <c r="O28" i="2"/>
  <c r="O8" i="2"/>
  <c r="O27" i="2"/>
  <c r="O45" i="2"/>
  <c r="O19" i="2"/>
  <c r="O31" i="2"/>
  <c r="O43" i="2"/>
  <c r="O55" i="2"/>
  <c r="O67" i="2"/>
  <c r="O79" i="2"/>
  <c r="O11" i="2"/>
  <c r="O23" i="2"/>
  <c r="O35" i="2"/>
  <c r="O47" i="2"/>
  <c r="O59" i="2"/>
  <c r="O71" i="2"/>
  <c r="O12" i="2"/>
  <c r="O36" i="2"/>
  <c r="O48" i="2"/>
  <c r="O60" i="2"/>
  <c r="O24" i="2"/>
  <c r="O72" i="2"/>
  <c r="O13" i="2"/>
  <c r="O25" i="2"/>
  <c r="O37" i="2"/>
  <c r="O49" i="2"/>
  <c r="O61" i="2"/>
  <c r="O73" i="2"/>
  <c r="O17" i="2"/>
  <c r="O29" i="2"/>
  <c r="O41" i="2"/>
  <c r="O53" i="2"/>
  <c r="O65" i="2"/>
  <c r="O77" i="2"/>
  <c r="O70" i="2"/>
  <c r="O9" i="2"/>
  <c r="O68" i="2"/>
  <c r="O46" i="2"/>
  <c r="O66" i="2"/>
  <c r="O64" i="2"/>
  <c r="O44" i="2"/>
  <c r="O22" i="2"/>
  <c r="O82" i="2"/>
  <c r="O63" i="2"/>
  <c r="O42" i="2"/>
  <c r="O21" i="2"/>
  <c r="O81" i="2"/>
  <c r="O62" i="2"/>
  <c r="O40" i="2"/>
  <c r="O20" i="2"/>
  <c r="O80" i="2"/>
  <c r="O58" i="2"/>
  <c r="O39" i="2"/>
  <c r="O18" i="2"/>
  <c r="O57" i="2"/>
  <c r="O38" i="2"/>
  <c r="O16" i="2"/>
  <c r="O34" i="2"/>
  <c r="O7" i="2"/>
  <c r="G37" i="1"/>
  <c r="D26" i="1"/>
  <c r="F26" i="1"/>
  <c r="G26" i="1"/>
  <c r="E26" i="1"/>
  <c r="C30" i="36"/>
  <c r="B86" i="3"/>
  <c r="F6" i="1"/>
  <c r="C26" i="36" l="1"/>
  <c r="C25" i="36"/>
  <c r="K3" i="1" l="1"/>
  <c r="D21" i="1" l="1"/>
  <c r="BS4" i="2" l="1"/>
  <c r="BO4" i="2"/>
  <c r="BK4" i="2"/>
  <c r="BG4" i="2"/>
  <c r="BC4" i="2"/>
  <c r="AY4" i="2"/>
  <c r="AU4" i="2"/>
  <c r="AQ4" i="2"/>
  <c r="AM4" i="2"/>
  <c r="AI4" i="2"/>
  <c r="BT3" i="2"/>
  <c r="BP3" i="2"/>
  <c r="BL3" i="2"/>
  <c r="BH3" i="2"/>
  <c r="BD3" i="2"/>
  <c r="AZ3" i="2"/>
  <c r="AV3" i="2"/>
  <c r="AR3" i="2"/>
  <c r="AN3" i="2"/>
  <c r="AJ3" i="2"/>
  <c r="AF3" i="2"/>
  <c r="AE4" i="2"/>
  <c r="AL6" i="2" l="1"/>
  <c r="AM6" i="2" s="1"/>
  <c r="AM81" i="2"/>
  <c r="AM69" i="2"/>
  <c r="AM57" i="2"/>
  <c r="AM45" i="2"/>
  <c r="AM33" i="2"/>
  <c r="AM21" i="2"/>
  <c r="AM9" i="2"/>
  <c r="AM77" i="2"/>
  <c r="AM65" i="2"/>
  <c r="AM53" i="2"/>
  <c r="AM41" i="2"/>
  <c r="AM29" i="2"/>
  <c r="AM17" i="2"/>
  <c r="AM75" i="2"/>
  <c r="AM63" i="2"/>
  <c r="AM51" i="2"/>
  <c r="AM39" i="2"/>
  <c r="AM27" i="2"/>
  <c r="AM15" i="2"/>
  <c r="AM71" i="2"/>
  <c r="AM59" i="2"/>
  <c r="AM47" i="2"/>
  <c r="AM35" i="2"/>
  <c r="AM23" i="2"/>
  <c r="AM11" i="2"/>
  <c r="AM72" i="2"/>
  <c r="AM54" i="2"/>
  <c r="AM36" i="2"/>
  <c r="AM18" i="2"/>
  <c r="AM66" i="2"/>
  <c r="AM48" i="2"/>
  <c r="AM30" i="2"/>
  <c r="AM12" i="2"/>
  <c r="AM61" i="2"/>
  <c r="AM43" i="2"/>
  <c r="AM25" i="2"/>
  <c r="AM82" i="2"/>
  <c r="AM64" i="2"/>
  <c r="AM46" i="2"/>
  <c r="AM28" i="2"/>
  <c r="AM10" i="2"/>
  <c r="AM80" i="2"/>
  <c r="AM62" i="2"/>
  <c r="AM44" i="2"/>
  <c r="AM26" i="2"/>
  <c r="AM8" i="2"/>
  <c r="AM79" i="2"/>
  <c r="AM74" i="2"/>
  <c r="AM56" i="2"/>
  <c r="AM38" i="2"/>
  <c r="AM20" i="2"/>
  <c r="AM55" i="2"/>
  <c r="AM19" i="2"/>
  <c r="AM52" i="2"/>
  <c r="AM16" i="2"/>
  <c r="AM50" i="2"/>
  <c r="AM14" i="2"/>
  <c r="AM49" i="2"/>
  <c r="AM13" i="2"/>
  <c r="AM78" i="2"/>
  <c r="AM42" i="2"/>
  <c r="AM7" i="2"/>
  <c r="AM76" i="2"/>
  <c r="AM40" i="2"/>
  <c r="AM34" i="2"/>
  <c r="AM73" i="2"/>
  <c r="AM37" i="2"/>
  <c r="AM70" i="2"/>
  <c r="AM68" i="2"/>
  <c r="AM32" i="2"/>
  <c r="AM67" i="2"/>
  <c r="AM31" i="2"/>
  <c r="AM60" i="2"/>
  <c r="AM24" i="2"/>
  <c r="AM58" i="2"/>
  <c r="AM22" i="2"/>
  <c r="AP6" i="2"/>
  <c r="AQ6" i="2" s="1"/>
  <c r="AQ78" i="2"/>
  <c r="AQ66" i="2"/>
  <c r="AQ54" i="2"/>
  <c r="AQ77" i="2"/>
  <c r="AQ65" i="2"/>
  <c r="AQ53" i="2"/>
  <c r="AQ41" i="2"/>
  <c r="AQ29" i="2"/>
  <c r="AQ17" i="2"/>
  <c r="AQ73" i="2"/>
  <c r="AQ61" i="2"/>
  <c r="AQ49" i="2"/>
  <c r="AQ37" i="2"/>
  <c r="AQ25" i="2"/>
  <c r="AQ13" i="2"/>
  <c r="AQ71" i="2"/>
  <c r="AQ59" i="2"/>
  <c r="AQ47" i="2"/>
  <c r="AQ35" i="2"/>
  <c r="AQ23" i="2"/>
  <c r="AQ11" i="2"/>
  <c r="AQ79" i="2"/>
  <c r="AQ67" i="2"/>
  <c r="AQ55" i="2"/>
  <c r="AQ43" i="2"/>
  <c r="AQ31" i="2"/>
  <c r="AQ19" i="2"/>
  <c r="AQ7" i="2"/>
  <c r="AQ70" i="2"/>
  <c r="AQ50" i="2"/>
  <c r="AQ32" i="2"/>
  <c r="AQ14" i="2"/>
  <c r="AQ63" i="2"/>
  <c r="AQ44" i="2"/>
  <c r="AQ26" i="2"/>
  <c r="AQ8" i="2"/>
  <c r="AQ80" i="2"/>
  <c r="AQ58" i="2"/>
  <c r="AQ39" i="2"/>
  <c r="AQ21" i="2"/>
  <c r="AQ82" i="2"/>
  <c r="AQ62" i="2"/>
  <c r="AQ42" i="2"/>
  <c r="AQ24" i="2"/>
  <c r="AQ81" i="2"/>
  <c r="AQ60" i="2"/>
  <c r="AQ40" i="2"/>
  <c r="AQ22" i="2"/>
  <c r="AQ74" i="2"/>
  <c r="AQ52" i="2"/>
  <c r="AQ34" i="2"/>
  <c r="AQ16" i="2"/>
  <c r="AQ51" i="2"/>
  <c r="AQ15" i="2"/>
  <c r="AQ48" i="2"/>
  <c r="AQ12" i="2"/>
  <c r="AQ46" i="2"/>
  <c r="AQ10" i="2"/>
  <c r="AQ45" i="2"/>
  <c r="AQ9" i="2"/>
  <c r="AQ76" i="2"/>
  <c r="AQ38" i="2"/>
  <c r="AQ75" i="2"/>
  <c r="AQ36" i="2"/>
  <c r="AQ72" i="2"/>
  <c r="AQ33" i="2"/>
  <c r="AQ69" i="2"/>
  <c r="AQ30" i="2"/>
  <c r="AQ68" i="2"/>
  <c r="AQ28" i="2"/>
  <c r="AQ64" i="2"/>
  <c r="AQ27" i="2"/>
  <c r="AQ57" i="2"/>
  <c r="AQ20" i="2"/>
  <c r="AQ56" i="2"/>
  <c r="AQ18" i="2"/>
  <c r="AI73" i="2"/>
  <c r="AI61" i="2"/>
  <c r="AI49" i="2"/>
  <c r="AI37" i="2"/>
  <c r="AI25" i="2"/>
  <c r="AI13" i="2"/>
  <c r="AI81" i="2"/>
  <c r="AI69" i="2"/>
  <c r="AI57" i="2"/>
  <c r="AI45" i="2"/>
  <c r="AI33" i="2"/>
  <c r="AI21" i="2"/>
  <c r="AI9" i="2"/>
  <c r="AI79" i="2"/>
  <c r="AI67" i="2"/>
  <c r="AI55" i="2"/>
  <c r="AI43" i="2"/>
  <c r="AI31" i="2"/>
  <c r="AI19" i="2"/>
  <c r="AI7" i="2"/>
  <c r="AI75" i="2"/>
  <c r="AI63" i="2"/>
  <c r="AI51" i="2"/>
  <c r="AI39" i="2"/>
  <c r="AI27" i="2"/>
  <c r="AI15" i="2"/>
  <c r="AI76" i="2"/>
  <c r="AI58" i="2"/>
  <c r="AI40" i="2"/>
  <c r="AI22" i="2"/>
  <c r="AI70" i="2"/>
  <c r="AI52" i="2"/>
  <c r="AI34" i="2"/>
  <c r="AI16" i="2"/>
  <c r="AI68" i="2"/>
  <c r="AI50" i="2"/>
  <c r="AI32" i="2"/>
  <c r="AI14" i="2"/>
  <c r="AI66" i="2"/>
  <c r="AI48" i="2"/>
  <c r="AI30" i="2"/>
  <c r="AI12" i="2"/>
  <c r="AI78" i="2"/>
  <c r="AI60" i="2"/>
  <c r="AI42" i="2"/>
  <c r="AI24" i="2"/>
  <c r="AI64" i="2"/>
  <c r="AI35" i="2"/>
  <c r="AI62" i="2"/>
  <c r="AI29" i="2"/>
  <c r="AI59" i="2"/>
  <c r="AI28" i="2"/>
  <c r="AI56" i="2"/>
  <c r="AI26" i="2"/>
  <c r="AI54" i="2"/>
  <c r="AI23" i="2"/>
  <c r="AI82" i="2"/>
  <c r="AI53" i="2"/>
  <c r="AI20" i="2"/>
  <c r="AI80" i="2"/>
  <c r="AI47" i="2"/>
  <c r="AI18" i="2"/>
  <c r="AI77" i="2"/>
  <c r="AI46" i="2"/>
  <c r="AI17" i="2"/>
  <c r="AI74" i="2"/>
  <c r="AI44" i="2"/>
  <c r="AI11" i="2"/>
  <c r="AI72" i="2"/>
  <c r="AI41" i="2"/>
  <c r="AI10" i="2"/>
  <c r="AI71" i="2"/>
  <c r="AI38" i="2"/>
  <c r="AI8" i="2"/>
  <c r="AI65" i="2"/>
  <c r="AI36" i="2"/>
  <c r="AT6" i="2"/>
  <c r="AU6" i="2" s="1"/>
  <c r="AU74" i="2"/>
  <c r="AU62" i="2"/>
  <c r="AU50" i="2"/>
  <c r="AU38" i="2"/>
  <c r="AU26" i="2"/>
  <c r="AU14" i="2"/>
  <c r="AU73" i="2"/>
  <c r="AU61" i="2"/>
  <c r="AU49" i="2"/>
  <c r="AU37" i="2"/>
  <c r="AU25" i="2"/>
  <c r="AU13" i="2"/>
  <c r="AU81" i="2"/>
  <c r="AU69" i="2"/>
  <c r="AU57" i="2"/>
  <c r="AU45" i="2"/>
  <c r="AU33" i="2"/>
  <c r="AU21" i="2"/>
  <c r="AU9" i="2"/>
  <c r="AU80" i="2"/>
  <c r="AU68" i="2"/>
  <c r="AU56" i="2"/>
  <c r="AU44" i="2"/>
  <c r="AU32" i="2"/>
  <c r="AU20" i="2"/>
  <c r="AU79" i="2"/>
  <c r="AU67" i="2"/>
  <c r="AU55" i="2"/>
  <c r="AU43" i="2"/>
  <c r="AU31" i="2"/>
  <c r="AU19" i="2"/>
  <c r="AU7" i="2"/>
  <c r="AU75" i="2"/>
  <c r="AU63" i="2"/>
  <c r="AU51" i="2"/>
  <c r="AU39" i="2"/>
  <c r="AU27" i="2"/>
  <c r="AU15" i="2"/>
  <c r="AU64" i="2"/>
  <c r="AU40" i="2"/>
  <c r="AU16" i="2"/>
  <c r="AU59" i="2"/>
  <c r="AU78" i="2"/>
  <c r="AU54" i="2"/>
  <c r="AU30" i="2"/>
  <c r="AU8" i="2"/>
  <c r="AU72" i="2"/>
  <c r="AU48" i="2"/>
  <c r="AU77" i="2"/>
  <c r="AU53" i="2"/>
  <c r="AU29" i="2"/>
  <c r="AU76" i="2"/>
  <c r="AU52" i="2"/>
  <c r="AU28" i="2"/>
  <c r="AU24" i="2"/>
  <c r="AU66" i="2"/>
  <c r="AU42" i="2"/>
  <c r="AU18" i="2"/>
  <c r="AU65" i="2"/>
  <c r="AU41" i="2"/>
  <c r="AU17" i="2"/>
  <c r="AU22" i="2"/>
  <c r="AU82" i="2"/>
  <c r="AU12" i="2"/>
  <c r="AU71" i="2"/>
  <c r="AU11" i="2"/>
  <c r="AU70" i="2"/>
  <c r="AU10" i="2"/>
  <c r="AU60" i="2"/>
  <c r="AU58" i="2"/>
  <c r="AU47" i="2"/>
  <c r="AU46" i="2"/>
  <c r="AU36" i="2"/>
  <c r="AU35" i="2"/>
  <c r="AU34" i="2"/>
  <c r="AU23" i="2"/>
  <c r="AX6" i="2"/>
  <c r="AY6" i="2" s="1"/>
  <c r="AY82" i="2"/>
  <c r="AY70" i="2"/>
  <c r="AY58" i="2"/>
  <c r="AY46" i="2"/>
  <c r="AY34" i="2"/>
  <c r="AY22" i="2"/>
  <c r="AY10" i="2"/>
  <c r="AY81" i="2"/>
  <c r="AY69" i="2"/>
  <c r="AY57" i="2"/>
  <c r="AY45" i="2"/>
  <c r="AY33" i="2"/>
  <c r="AY21" i="2"/>
  <c r="AY9" i="2"/>
  <c r="AY77" i="2"/>
  <c r="AY65" i="2"/>
  <c r="AY53" i="2"/>
  <c r="AY41" i="2"/>
  <c r="AY29" i="2"/>
  <c r="AY17" i="2"/>
  <c r="AY76" i="2"/>
  <c r="AY64" i="2"/>
  <c r="AY52" i="2"/>
  <c r="AY40" i="2"/>
  <c r="AY28" i="2"/>
  <c r="AY16" i="2"/>
  <c r="AY75" i="2"/>
  <c r="AY63" i="2"/>
  <c r="AY51" i="2"/>
  <c r="AY39" i="2"/>
  <c r="AY27" i="2"/>
  <c r="AY15" i="2"/>
  <c r="AY71" i="2"/>
  <c r="AY59" i="2"/>
  <c r="AY47" i="2"/>
  <c r="AY35" i="2"/>
  <c r="AY23" i="2"/>
  <c r="AY11" i="2"/>
  <c r="AY60" i="2"/>
  <c r="AY36" i="2"/>
  <c r="AY12" i="2"/>
  <c r="AY80" i="2"/>
  <c r="AY56" i="2"/>
  <c r="AY32" i="2"/>
  <c r="AY8" i="2"/>
  <c r="AY79" i="2"/>
  <c r="AY55" i="2"/>
  <c r="AY31" i="2"/>
  <c r="AY7" i="2"/>
  <c r="AY78" i="2"/>
  <c r="AY54" i="2"/>
  <c r="AY30" i="2"/>
  <c r="AY74" i="2"/>
  <c r="AY50" i="2"/>
  <c r="AY26" i="2"/>
  <c r="AY44" i="2"/>
  <c r="AY73" i="2"/>
  <c r="AY49" i="2"/>
  <c r="AY25" i="2"/>
  <c r="AY72" i="2"/>
  <c r="AY48" i="2"/>
  <c r="AY24" i="2"/>
  <c r="AY68" i="2"/>
  <c r="AY67" i="2"/>
  <c r="AY43" i="2"/>
  <c r="AY19" i="2"/>
  <c r="AY66" i="2"/>
  <c r="AY42" i="2"/>
  <c r="AY18" i="2"/>
  <c r="AY62" i="2"/>
  <c r="AY38" i="2"/>
  <c r="AY14" i="2"/>
  <c r="AY61" i="2"/>
  <c r="AY37" i="2"/>
  <c r="AY13" i="2"/>
  <c r="AY20" i="2"/>
  <c r="BB6" i="2"/>
  <c r="BC6" i="2" s="1"/>
  <c r="BC78" i="2"/>
  <c r="BC66" i="2"/>
  <c r="BC54" i="2"/>
  <c r="BC42" i="2"/>
  <c r="BC30" i="2"/>
  <c r="BC18" i="2"/>
  <c r="BC77" i="2"/>
  <c r="BC65" i="2"/>
  <c r="BC53" i="2"/>
  <c r="BC41" i="2"/>
  <c r="BC29" i="2"/>
  <c r="BC17" i="2"/>
  <c r="BC73" i="2"/>
  <c r="BC61" i="2"/>
  <c r="BC49" i="2"/>
  <c r="BC37" i="2"/>
  <c r="BC25" i="2"/>
  <c r="BC13" i="2"/>
  <c r="BC72" i="2"/>
  <c r="BC60" i="2"/>
  <c r="BC48" i="2"/>
  <c r="BC36" i="2"/>
  <c r="BC24" i="2"/>
  <c r="BC12" i="2"/>
  <c r="BC71" i="2"/>
  <c r="BC59" i="2"/>
  <c r="BC47" i="2"/>
  <c r="BC35" i="2"/>
  <c r="BC23" i="2"/>
  <c r="BC11" i="2"/>
  <c r="BC79" i="2"/>
  <c r="BC67" i="2"/>
  <c r="BC55" i="2"/>
  <c r="BC43" i="2"/>
  <c r="BC31" i="2"/>
  <c r="BC19" i="2"/>
  <c r="BC7" i="2"/>
  <c r="BC80" i="2"/>
  <c r="BC56" i="2"/>
  <c r="BC32" i="2"/>
  <c r="BC8" i="2"/>
  <c r="BC76" i="2"/>
  <c r="BC52" i="2"/>
  <c r="BC28" i="2"/>
  <c r="BC75" i="2"/>
  <c r="BC51" i="2"/>
  <c r="BC27" i="2"/>
  <c r="BC74" i="2"/>
  <c r="BC50" i="2"/>
  <c r="BC26" i="2"/>
  <c r="BC70" i="2"/>
  <c r="BC46" i="2"/>
  <c r="BC22" i="2"/>
  <c r="BC64" i="2"/>
  <c r="BC69" i="2"/>
  <c r="BC45" i="2"/>
  <c r="BC21" i="2"/>
  <c r="BC16" i="2"/>
  <c r="BC68" i="2"/>
  <c r="BC44" i="2"/>
  <c r="BC20" i="2"/>
  <c r="BC40" i="2"/>
  <c r="BC63" i="2"/>
  <c r="BC39" i="2"/>
  <c r="BC15" i="2"/>
  <c r="BC62" i="2"/>
  <c r="BC38" i="2"/>
  <c r="BC14" i="2"/>
  <c r="BC82" i="2"/>
  <c r="BC58" i="2"/>
  <c r="BC34" i="2"/>
  <c r="BC10" i="2"/>
  <c r="BC81" i="2"/>
  <c r="BC57" i="2"/>
  <c r="BC33" i="2"/>
  <c r="BC9" i="2"/>
  <c r="BF6" i="2"/>
  <c r="BG6" i="2" s="1"/>
  <c r="BG74" i="2"/>
  <c r="BG62" i="2"/>
  <c r="BG50" i="2"/>
  <c r="BG38" i="2"/>
  <c r="BG26" i="2"/>
  <c r="BG14" i="2"/>
  <c r="BG73" i="2"/>
  <c r="BG61" i="2"/>
  <c r="BG49" i="2"/>
  <c r="BG37" i="2"/>
  <c r="BG25" i="2"/>
  <c r="BG13" i="2"/>
  <c r="BG81" i="2"/>
  <c r="BG69" i="2"/>
  <c r="BG57" i="2"/>
  <c r="BG45" i="2"/>
  <c r="BG33" i="2"/>
  <c r="BG21" i="2"/>
  <c r="BG9" i="2"/>
  <c r="BG80" i="2"/>
  <c r="BG68" i="2"/>
  <c r="BG56" i="2"/>
  <c r="BG44" i="2"/>
  <c r="BG32" i="2"/>
  <c r="BG20" i="2"/>
  <c r="BG8" i="2"/>
  <c r="BG79" i="2"/>
  <c r="BG67" i="2"/>
  <c r="BG55" i="2"/>
  <c r="BG43" i="2"/>
  <c r="BG31" i="2"/>
  <c r="BG19" i="2"/>
  <c r="BG7" i="2"/>
  <c r="BG75" i="2"/>
  <c r="BG63" i="2"/>
  <c r="BG51" i="2"/>
  <c r="BG39" i="2"/>
  <c r="BG27" i="2"/>
  <c r="BG15" i="2"/>
  <c r="BG76" i="2"/>
  <c r="BG52" i="2"/>
  <c r="BG28" i="2"/>
  <c r="BG72" i="2"/>
  <c r="BG48" i="2"/>
  <c r="BG24" i="2"/>
  <c r="BG71" i="2"/>
  <c r="BG47" i="2"/>
  <c r="BG23" i="2"/>
  <c r="BG70" i="2"/>
  <c r="BG46" i="2"/>
  <c r="BG22" i="2"/>
  <c r="BG66" i="2"/>
  <c r="BG42" i="2"/>
  <c r="BG18" i="2"/>
  <c r="BG65" i="2"/>
  <c r="BG41" i="2"/>
  <c r="BG17" i="2"/>
  <c r="BG64" i="2"/>
  <c r="BG40" i="2"/>
  <c r="BG16" i="2"/>
  <c r="BG60" i="2"/>
  <c r="BG36" i="2"/>
  <c r="BG12" i="2"/>
  <c r="BG59" i="2"/>
  <c r="BG35" i="2"/>
  <c r="BG11" i="2"/>
  <c r="BG82" i="2"/>
  <c r="BG58" i="2"/>
  <c r="BG34" i="2"/>
  <c r="BG10" i="2"/>
  <c r="BG78" i="2"/>
  <c r="BG54" i="2"/>
  <c r="BG30" i="2"/>
  <c r="BG77" i="2"/>
  <c r="BG53" i="2"/>
  <c r="BG29" i="2"/>
  <c r="BH4" i="2"/>
  <c r="BK82" i="2"/>
  <c r="BK70" i="2"/>
  <c r="BK58" i="2"/>
  <c r="BK46" i="2"/>
  <c r="BK34" i="2"/>
  <c r="BK22" i="2"/>
  <c r="BK10" i="2"/>
  <c r="BK81" i="2"/>
  <c r="BK69" i="2"/>
  <c r="BK57" i="2"/>
  <c r="BK45" i="2"/>
  <c r="BK33" i="2"/>
  <c r="BK21" i="2"/>
  <c r="BK9" i="2"/>
  <c r="BK77" i="2"/>
  <c r="BK65" i="2"/>
  <c r="BK53" i="2"/>
  <c r="BK41" i="2"/>
  <c r="BK29" i="2"/>
  <c r="BK17" i="2"/>
  <c r="BK76" i="2"/>
  <c r="BK64" i="2"/>
  <c r="BK52" i="2"/>
  <c r="BK40" i="2"/>
  <c r="BK28" i="2"/>
  <c r="BK16" i="2"/>
  <c r="BK75" i="2"/>
  <c r="BK63" i="2"/>
  <c r="BK51" i="2"/>
  <c r="BK39" i="2"/>
  <c r="BK27" i="2"/>
  <c r="BK15" i="2"/>
  <c r="BK71" i="2"/>
  <c r="BK59" i="2"/>
  <c r="BK47" i="2"/>
  <c r="BK35" i="2"/>
  <c r="BK23" i="2"/>
  <c r="BK11" i="2"/>
  <c r="BK72" i="2"/>
  <c r="BK48" i="2"/>
  <c r="BK24" i="2"/>
  <c r="BK68" i="2"/>
  <c r="BK44" i="2"/>
  <c r="BK20" i="2"/>
  <c r="BK67" i="2"/>
  <c r="BK43" i="2"/>
  <c r="BK19" i="2"/>
  <c r="BK66" i="2"/>
  <c r="BK42" i="2"/>
  <c r="BK18" i="2"/>
  <c r="BK62" i="2"/>
  <c r="BK38" i="2"/>
  <c r="BK14" i="2"/>
  <c r="BK61" i="2"/>
  <c r="BK37" i="2"/>
  <c r="BK13" i="2"/>
  <c r="BK60" i="2"/>
  <c r="BK36" i="2"/>
  <c r="BK12" i="2"/>
  <c r="BK80" i="2"/>
  <c r="BK56" i="2"/>
  <c r="BK32" i="2"/>
  <c r="BK8" i="2"/>
  <c r="BK79" i="2"/>
  <c r="BK55" i="2"/>
  <c r="BK31" i="2"/>
  <c r="BK7" i="2"/>
  <c r="BK78" i="2"/>
  <c r="BK54" i="2"/>
  <c r="BK30" i="2"/>
  <c r="BK74" i="2"/>
  <c r="BK50" i="2"/>
  <c r="BK26" i="2"/>
  <c r="BK73" i="2"/>
  <c r="BK49" i="2"/>
  <c r="BK25" i="2"/>
  <c r="BR6" i="2"/>
  <c r="BS6" i="2" s="1"/>
  <c r="BS74" i="2"/>
  <c r="BS62" i="2"/>
  <c r="BS50" i="2"/>
  <c r="BS38" i="2"/>
  <c r="BS26" i="2"/>
  <c r="BS14" i="2"/>
  <c r="BS73" i="2"/>
  <c r="BS61" i="2"/>
  <c r="BS49" i="2"/>
  <c r="BS37" i="2"/>
  <c r="BS25" i="2"/>
  <c r="BS13" i="2"/>
  <c r="BS81" i="2"/>
  <c r="BS69" i="2"/>
  <c r="BS57" i="2"/>
  <c r="BS45" i="2"/>
  <c r="BS33" i="2"/>
  <c r="BS21" i="2"/>
  <c r="BS9" i="2"/>
  <c r="BS80" i="2"/>
  <c r="BS68" i="2"/>
  <c r="BS56" i="2"/>
  <c r="BS44" i="2"/>
  <c r="BS32" i="2"/>
  <c r="BS20" i="2"/>
  <c r="BS8" i="2"/>
  <c r="BS79" i="2"/>
  <c r="BS67" i="2"/>
  <c r="BS55" i="2"/>
  <c r="BS43" i="2"/>
  <c r="BS31" i="2"/>
  <c r="BS19" i="2"/>
  <c r="BS7" i="2"/>
  <c r="BS75" i="2"/>
  <c r="BS63" i="2"/>
  <c r="BS51" i="2"/>
  <c r="BS39" i="2"/>
  <c r="BS27" i="2"/>
  <c r="BS15" i="2"/>
  <c r="BS64" i="2"/>
  <c r="BS40" i="2"/>
  <c r="BS16" i="2"/>
  <c r="BS60" i="2"/>
  <c r="BS36" i="2"/>
  <c r="BS12" i="2"/>
  <c r="BS59" i="2"/>
  <c r="BS35" i="2"/>
  <c r="BS11" i="2"/>
  <c r="BS82" i="2"/>
  <c r="BS58" i="2"/>
  <c r="BS34" i="2"/>
  <c r="BS10" i="2"/>
  <c r="BS78" i="2"/>
  <c r="BS54" i="2"/>
  <c r="BS30" i="2"/>
  <c r="BS77" i="2"/>
  <c r="BS53" i="2"/>
  <c r="BS29" i="2"/>
  <c r="BS76" i="2"/>
  <c r="BS52" i="2"/>
  <c r="BS28" i="2"/>
  <c r="BS72" i="2"/>
  <c r="BS48" i="2"/>
  <c r="BS24" i="2"/>
  <c r="BS71" i="2"/>
  <c r="BS47" i="2"/>
  <c r="BS23" i="2"/>
  <c r="BS70" i="2"/>
  <c r="BS46" i="2"/>
  <c r="BS22" i="2"/>
  <c r="BS66" i="2"/>
  <c r="BS42" i="2"/>
  <c r="BS18" i="2"/>
  <c r="BS65" i="2"/>
  <c r="BS41" i="2"/>
  <c r="BS17" i="2"/>
  <c r="BN6" i="2"/>
  <c r="BO6" i="2" s="1"/>
  <c r="BO78" i="2"/>
  <c r="BO66" i="2"/>
  <c r="BO54" i="2"/>
  <c r="BO42" i="2"/>
  <c r="BO30" i="2"/>
  <c r="BO18" i="2"/>
  <c r="BO77" i="2"/>
  <c r="BO65" i="2"/>
  <c r="BO53" i="2"/>
  <c r="BO41" i="2"/>
  <c r="BO29" i="2"/>
  <c r="BO17" i="2"/>
  <c r="BO73" i="2"/>
  <c r="BO61" i="2"/>
  <c r="BO49" i="2"/>
  <c r="BO37" i="2"/>
  <c r="BO25" i="2"/>
  <c r="BO13" i="2"/>
  <c r="BO72" i="2"/>
  <c r="BO60" i="2"/>
  <c r="BO48" i="2"/>
  <c r="BO36" i="2"/>
  <c r="BO24" i="2"/>
  <c r="BO12" i="2"/>
  <c r="BO71" i="2"/>
  <c r="BO59" i="2"/>
  <c r="BO47" i="2"/>
  <c r="BO35" i="2"/>
  <c r="BO23" i="2"/>
  <c r="BO11" i="2"/>
  <c r="BO79" i="2"/>
  <c r="BO67" i="2"/>
  <c r="BO55" i="2"/>
  <c r="BO43" i="2"/>
  <c r="BO31" i="2"/>
  <c r="BO19" i="2"/>
  <c r="BO7" i="2"/>
  <c r="BO68" i="2"/>
  <c r="BO44" i="2"/>
  <c r="BO20" i="2"/>
  <c r="BO64" i="2"/>
  <c r="BO40" i="2"/>
  <c r="BO16" i="2"/>
  <c r="BO63" i="2"/>
  <c r="BO39" i="2"/>
  <c r="BO15" i="2"/>
  <c r="BO62" i="2"/>
  <c r="BO38" i="2"/>
  <c r="BO14" i="2"/>
  <c r="BO82" i="2"/>
  <c r="BO58" i="2"/>
  <c r="BO34" i="2"/>
  <c r="BO10" i="2"/>
  <c r="BO81" i="2"/>
  <c r="BO57" i="2"/>
  <c r="BO33" i="2"/>
  <c r="BO9" i="2"/>
  <c r="BO80" i="2"/>
  <c r="BO56" i="2"/>
  <c r="BO32" i="2"/>
  <c r="BO8" i="2"/>
  <c r="BO76" i="2"/>
  <c r="BO52" i="2"/>
  <c r="BO28" i="2"/>
  <c r="BO75" i="2"/>
  <c r="BO51" i="2"/>
  <c r="BO27" i="2"/>
  <c r="BO74" i="2"/>
  <c r="BO50" i="2"/>
  <c r="BO26" i="2"/>
  <c r="BO70" i="2"/>
  <c r="BO46" i="2"/>
  <c r="BO22" i="2"/>
  <c r="BO69" i="2"/>
  <c r="BO45" i="2"/>
  <c r="BO21" i="2"/>
  <c r="BV6" i="2"/>
  <c r="BW6" i="2" s="1"/>
  <c r="BW82" i="2"/>
  <c r="BW70" i="2"/>
  <c r="BW58" i="2"/>
  <c r="BW46" i="2"/>
  <c r="BW34" i="2"/>
  <c r="BW22" i="2"/>
  <c r="BW10" i="2"/>
  <c r="BW81" i="2"/>
  <c r="BW69" i="2"/>
  <c r="BW57" i="2"/>
  <c r="BW45" i="2"/>
  <c r="BW33" i="2"/>
  <c r="BW21" i="2"/>
  <c r="BW9" i="2"/>
  <c r="BW80" i="2"/>
  <c r="BW68" i="2"/>
  <c r="BW56" i="2"/>
  <c r="BW44" i="2"/>
  <c r="BW32" i="2"/>
  <c r="BW79" i="2"/>
  <c r="BW67" i="2"/>
  <c r="BW55" i="2"/>
  <c r="BW43" i="2"/>
  <c r="BW31" i="2"/>
  <c r="BW78" i="2"/>
  <c r="BW66" i="2"/>
  <c r="BW77" i="2"/>
  <c r="BW65" i="2"/>
  <c r="BW53" i="2"/>
  <c r="BW41" i="2"/>
  <c r="BW29" i="2"/>
  <c r="BW17" i="2"/>
  <c r="BW76" i="2"/>
  <c r="BW64" i="2"/>
  <c r="BW52" i="2"/>
  <c r="BW40" i="2"/>
  <c r="BW28" i="2"/>
  <c r="BW16" i="2"/>
  <c r="BW75" i="2"/>
  <c r="BW63" i="2"/>
  <c r="BW51" i="2"/>
  <c r="BW39" i="2"/>
  <c r="BW27" i="2"/>
  <c r="BW15" i="2"/>
  <c r="BW74" i="2"/>
  <c r="BW62" i="2"/>
  <c r="BW50" i="2"/>
  <c r="BW38" i="2"/>
  <c r="BW26" i="2"/>
  <c r="BW73" i="2"/>
  <c r="BW61" i="2"/>
  <c r="BW49" i="2"/>
  <c r="BW37" i="2"/>
  <c r="BW72" i="2"/>
  <c r="BW60" i="2"/>
  <c r="BW71" i="2"/>
  <c r="BW59" i="2"/>
  <c r="BW47" i="2"/>
  <c r="BW35" i="2"/>
  <c r="BW23" i="2"/>
  <c r="BW11" i="2"/>
  <c r="BW54" i="2"/>
  <c r="BW12" i="2"/>
  <c r="BW48" i="2"/>
  <c r="BW8" i="2"/>
  <c r="BW42" i="2"/>
  <c r="BW7" i="2"/>
  <c r="BW36" i="2"/>
  <c r="BW30" i="2"/>
  <c r="BW25" i="2"/>
  <c r="BW24" i="2"/>
  <c r="BW20" i="2"/>
  <c r="BW19" i="2"/>
  <c r="BW18" i="2"/>
  <c r="BW14" i="2"/>
  <c r="BW13" i="2"/>
  <c r="AJ6" i="2"/>
  <c r="AN5" i="2"/>
  <c r="AQ5" i="2" s="1"/>
  <c r="BD6" i="2"/>
  <c r="AN6" i="2"/>
  <c r="AO6" i="2"/>
  <c r="BD5" i="2"/>
  <c r="BG5" i="2" s="1"/>
  <c r="BE6" i="2"/>
  <c r="BP5" i="2"/>
  <c r="BS5" i="2" s="1"/>
  <c r="BP6" i="2"/>
  <c r="BQ6" i="2"/>
  <c r="AR5" i="2"/>
  <c r="AU5" i="2" s="1"/>
  <c r="BH5" i="2"/>
  <c r="BK5" i="2" s="1"/>
  <c r="BT5" i="2"/>
  <c r="BW5" i="2" s="1"/>
  <c r="AR6" i="2"/>
  <c r="BH6" i="2"/>
  <c r="BT6" i="2"/>
  <c r="AS6" i="2"/>
  <c r="BI6" i="2"/>
  <c r="BU6" i="2"/>
  <c r="BJ6" i="2"/>
  <c r="BK6" i="2" s="1"/>
  <c r="AJ5" i="2"/>
  <c r="AM5" i="2" s="1"/>
  <c r="AZ5" i="2"/>
  <c r="BC5" i="2" s="1"/>
  <c r="BL5" i="2"/>
  <c r="BO5" i="2" s="1"/>
  <c r="AV5" i="2"/>
  <c r="AY5" i="2" s="1"/>
  <c r="AZ6" i="2"/>
  <c r="BL6" i="2"/>
  <c r="AV6" i="2"/>
  <c r="AK6" i="2"/>
  <c r="BA6" i="2"/>
  <c r="BM6" i="2"/>
  <c r="AW6" i="2"/>
  <c r="BT4" i="2"/>
  <c r="BL4" i="2"/>
  <c r="AR4" i="2"/>
  <c r="BP4" i="2"/>
  <c r="BD4" i="2"/>
  <c r="AZ4" i="2"/>
  <c r="AV4" i="2"/>
  <c r="AN4" i="2"/>
  <c r="AJ4" i="2"/>
  <c r="C12" i="36"/>
  <c r="A1" i="36" s="1"/>
  <c r="F8" i="1"/>
  <c r="N6" i="2"/>
  <c r="O6" i="2" s="1"/>
  <c r="AB3" i="2"/>
  <c r="X3" i="2"/>
  <c r="T3" i="2"/>
  <c r="P3" i="2"/>
  <c r="L3" i="2"/>
  <c r="J4" i="2"/>
  <c r="J3" i="2"/>
  <c r="J2" i="2"/>
  <c r="AA4" i="2"/>
  <c r="W4" i="2"/>
  <c r="S4" i="2"/>
  <c r="O4" i="2"/>
  <c r="H6" i="4"/>
  <c r="AA7" i="4"/>
  <c r="AA8" i="4"/>
  <c r="AA9" i="4"/>
  <c r="H10" i="4"/>
  <c r="H11" i="4"/>
  <c r="H12" i="4"/>
  <c r="H13" i="4"/>
  <c r="AA14" i="4"/>
  <c r="AA15" i="4"/>
  <c r="H16" i="4"/>
  <c r="AA17" i="4"/>
  <c r="AA18" i="4"/>
  <c r="AA19" i="4"/>
  <c r="AA20" i="4"/>
  <c r="AA21" i="4"/>
  <c r="H22" i="4"/>
  <c r="H23" i="4"/>
  <c r="H24" i="4"/>
  <c r="H25" i="4"/>
  <c r="AA26" i="4"/>
  <c r="AA27" i="4"/>
  <c r="H28" i="4"/>
  <c r="AA29" i="4"/>
  <c r="H30" i="4"/>
  <c r="H31" i="4"/>
  <c r="AA32" i="4"/>
  <c r="AA33" i="4"/>
  <c r="H34" i="4"/>
  <c r="H35" i="4"/>
  <c r="H36" i="4"/>
  <c r="H37" i="4"/>
  <c r="AA38" i="4"/>
  <c r="H39" i="4"/>
  <c r="H40" i="4"/>
  <c r="AA41" i="4"/>
  <c r="H42" i="4"/>
  <c r="H43" i="4"/>
  <c r="AA44" i="4"/>
  <c r="AA45" i="4"/>
  <c r="H46" i="4"/>
  <c r="H47" i="4"/>
  <c r="AA48" i="4"/>
  <c r="AA49" i="4"/>
  <c r="AA50" i="4"/>
  <c r="AA51" i="4"/>
  <c r="H52" i="4"/>
  <c r="H53" i="4"/>
  <c r="H54" i="4"/>
  <c r="AA5" i="4"/>
  <c r="R6" i="2" l="1"/>
  <c r="S6" i="2" s="1"/>
  <c r="S79" i="2"/>
  <c r="S67" i="2"/>
  <c r="S55" i="2"/>
  <c r="S43" i="2"/>
  <c r="S31" i="2"/>
  <c r="S19" i="2"/>
  <c r="S7" i="2"/>
  <c r="S75" i="2"/>
  <c r="S63" i="2"/>
  <c r="S51" i="2"/>
  <c r="S39" i="2"/>
  <c r="S27" i="2"/>
  <c r="S15" i="2"/>
  <c r="S62" i="2"/>
  <c r="S38" i="2"/>
  <c r="S14" i="2"/>
  <c r="S74" i="2"/>
  <c r="S50" i="2"/>
  <c r="S26" i="2"/>
  <c r="S73" i="2"/>
  <c r="S61" i="2"/>
  <c r="S49" i="2"/>
  <c r="S37" i="2"/>
  <c r="S25" i="2"/>
  <c r="S13" i="2"/>
  <c r="S81" i="2"/>
  <c r="S69" i="2"/>
  <c r="S57" i="2"/>
  <c r="S45" i="2"/>
  <c r="S33" i="2"/>
  <c r="S21" i="2"/>
  <c r="S9" i="2"/>
  <c r="S60" i="2"/>
  <c r="S20" i="2"/>
  <c r="S80" i="2"/>
  <c r="S59" i="2"/>
  <c r="S40" i="2"/>
  <c r="S78" i="2"/>
  <c r="S58" i="2"/>
  <c r="S36" i="2"/>
  <c r="S17" i="2"/>
  <c r="S77" i="2"/>
  <c r="S56" i="2"/>
  <c r="S35" i="2"/>
  <c r="S16" i="2"/>
  <c r="S76" i="2"/>
  <c r="S54" i="2"/>
  <c r="S34" i="2"/>
  <c r="S12" i="2"/>
  <c r="S72" i="2"/>
  <c r="S53" i="2"/>
  <c r="S32" i="2"/>
  <c r="S11" i="2"/>
  <c r="S10" i="2"/>
  <c r="S70" i="2"/>
  <c r="S29" i="2"/>
  <c r="S8" i="2"/>
  <c r="S71" i="2"/>
  <c r="S52" i="2"/>
  <c r="S30" i="2"/>
  <c r="S48" i="2"/>
  <c r="S68" i="2"/>
  <c r="S47" i="2"/>
  <c r="S28" i="2"/>
  <c r="S24" i="2"/>
  <c r="S66" i="2"/>
  <c r="S46" i="2"/>
  <c r="S65" i="2"/>
  <c r="S44" i="2"/>
  <c r="S23" i="2"/>
  <c r="S64" i="2"/>
  <c r="S42" i="2"/>
  <c r="S22" i="2"/>
  <c r="S82" i="2"/>
  <c r="S41" i="2"/>
  <c r="S18" i="2"/>
  <c r="Z6" i="2"/>
  <c r="AA6" i="2" s="1"/>
  <c r="AA81" i="2"/>
  <c r="AA69" i="2"/>
  <c r="AA57" i="2"/>
  <c r="AA45" i="2"/>
  <c r="AA33" i="2"/>
  <c r="AA21" i="2"/>
  <c r="AA9" i="2"/>
  <c r="AA77" i="2"/>
  <c r="AA65" i="2"/>
  <c r="AA53" i="2"/>
  <c r="AA41" i="2"/>
  <c r="AA29" i="2"/>
  <c r="AA17" i="2"/>
  <c r="AA75" i="2"/>
  <c r="AA63" i="2"/>
  <c r="AA51" i="2"/>
  <c r="AA39" i="2"/>
  <c r="AA27" i="2"/>
  <c r="AA15" i="2"/>
  <c r="AA71" i="2"/>
  <c r="AA59" i="2"/>
  <c r="AA47" i="2"/>
  <c r="AA35" i="2"/>
  <c r="AA23" i="2"/>
  <c r="AA11" i="2"/>
  <c r="AA66" i="2"/>
  <c r="AA48" i="2"/>
  <c r="AA30" i="2"/>
  <c r="AA12" i="2"/>
  <c r="AA78" i="2"/>
  <c r="AA60" i="2"/>
  <c r="AA42" i="2"/>
  <c r="AA24" i="2"/>
  <c r="AA76" i="2"/>
  <c r="AA58" i="2"/>
  <c r="AA40" i="2"/>
  <c r="AA22" i="2"/>
  <c r="AA74" i="2"/>
  <c r="AA56" i="2"/>
  <c r="AA38" i="2"/>
  <c r="AA20" i="2"/>
  <c r="AA68" i="2"/>
  <c r="AA50" i="2"/>
  <c r="AA32" i="2"/>
  <c r="AA14" i="2"/>
  <c r="AA62" i="2"/>
  <c r="AA61" i="2"/>
  <c r="AA28" i="2"/>
  <c r="AA55" i="2"/>
  <c r="AA26" i="2"/>
  <c r="AA54" i="2"/>
  <c r="AA25" i="2"/>
  <c r="AA82" i="2"/>
  <c r="AA52" i="2"/>
  <c r="AA19" i="2"/>
  <c r="AA80" i="2"/>
  <c r="AA49" i="2"/>
  <c r="AA18" i="2"/>
  <c r="AA13" i="2"/>
  <c r="AA79" i="2"/>
  <c r="AA46" i="2"/>
  <c r="AA16" i="2"/>
  <c r="AA73" i="2"/>
  <c r="AA44" i="2"/>
  <c r="AA72" i="2"/>
  <c r="AA43" i="2"/>
  <c r="AA10" i="2"/>
  <c r="AA70" i="2"/>
  <c r="AA37" i="2"/>
  <c r="AA8" i="2"/>
  <c r="AA67" i="2"/>
  <c r="AA36" i="2"/>
  <c r="AA7" i="2"/>
  <c r="AA64" i="2"/>
  <c r="AA34" i="2"/>
  <c r="AA31" i="2"/>
  <c r="V6" i="2"/>
  <c r="W6" i="2" s="1"/>
  <c r="W73" i="2"/>
  <c r="W61" i="2"/>
  <c r="W81" i="2"/>
  <c r="W69" i="2"/>
  <c r="W57" i="2"/>
  <c r="W79" i="2"/>
  <c r="W67" i="2"/>
  <c r="W55" i="2"/>
  <c r="W75" i="2"/>
  <c r="W63" i="2"/>
  <c r="W51" i="2"/>
  <c r="W70" i="2"/>
  <c r="W52" i="2"/>
  <c r="W39" i="2"/>
  <c r="W27" i="2"/>
  <c r="W15" i="2"/>
  <c r="W82" i="2"/>
  <c r="W64" i="2"/>
  <c r="W47" i="2"/>
  <c r="W35" i="2"/>
  <c r="W23" i="2"/>
  <c r="W11" i="2"/>
  <c r="W34" i="2"/>
  <c r="W80" i="2"/>
  <c r="W62" i="2"/>
  <c r="W46" i="2"/>
  <c r="W22" i="2"/>
  <c r="W10" i="2"/>
  <c r="W78" i="2"/>
  <c r="W60" i="2"/>
  <c r="W45" i="2"/>
  <c r="W33" i="2"/>
  <c r="W21" i="2"/>
  <c r="W9" i="2"/>
  <c r="W72" i="2"/>
  <c r="W54" i="2"/>
  <c r="W41" i="2"/>
  <c r="W29" i="2"/>
  <c r="W17" i="2"/>
  <c r="W76" i="2"/>
  <c r="W48" i="2"/>
  <c r="W26" i="2"/>
  <c r="W74" i="2"/>
  <c r="W44" i="2"/>
  <c r="W25" i="2"/>
  <c r="W71" i="2"/>
  <c r="W43" i="2"/>
  <c r="W24" i="2"/>
  <c r="W68" i="2"/>
  <c r="W42" i="2"/>
  <c r="W20" i="2"/>
  <c r="W66" i="2"/>
  <c r="W40" i="2"/>
  <c r="W19" i="2"/>
  <c r="W65" i="2"/>
  <c r="W38" i="2"/>
  <c r="W58" i="2"/>
  <c r="W14" i="2"/>
  <c r="W18" i="2"/>
  <c r="W59" i="2"/>
  <c r="W37" i="2"/>
  <c r="W16" i="2"/>
  <c r="W36" i="2"/>
  <c r="W56" i="2"/>
  <c r="W32" i="2"/>
  <c r="W13" i="2"/>
  <c r="W53" i="2"/>
  <c r="W31" i="2"/>
  <c r="W12" i="2"/>
  <c r="W50" i="2"/>
  <c r="W30" i="2"/>
  <c r="W8" i="2"/>
  <c r="W77" i="2"/>
  <c r="W49" i="2"/>
  <c r="W28" i="2"/>
  <c r="W7" i="2"/>
  <c r="AD6" i="2"/>
  <c r="AE6" i="2" s="1"/>
  <c r="AE77" i="2"/>
  <c r="AE65" i="2"/>
  <c r="AE53" i="2"/>
  <c r="AE41" i="2"/>
  <c r="AE29" i="2"/>
  <c r="AE17" i="2"/>
  <c r="AE73" i="2"/>
  <c r="AE61" i="2"/>
  <c r="AE49" i="2"/>
  <c r="AE37" i="2"/>
  <c r="AE25" i="2"/>
  <c r="AE13" i="2"/>
  <c r="AE71" i="2"/>
  <c r="AE59" i="2"/>
  <c r="AE47" i="2"/>
  <c r="AE35" i="2"/>
  <c r="AE23" i="2"/>
  <c r="AE11" i="2"/>
  <c r="AE79" i="2"/>
  <c r="AE67" i="2"/>
  <c r="AE55" i="2"/>
  <c r="AE43" i="2"/>
  <c r="AE31" i="2"/>
  <c r="AE19" i="2"/>
  <c r="AE7" i="2"/>
  <c r="AE80" i="2"/>
  <c r="AE62" i="2"/>
  <c r="AE44" i="2"/>
  <c r="AE26" i="2"/>
  <c r="AE8" i="2"/>
  <c r="AE74" i="2"/>
  <c r="AE56" i="2"/>
  <c r="AE38" i="2"/>
  <c r="AE20" i="2"/>
  <c r="AE72" i="2"/>
  <c r="AE54" i="2"/>
  <c r="AE36" i="2"/>
  <c r="AE18" i="2"/>
  <c r="AE70" i="2"/>
  <c r="AE52" i="2"/>
  <c r="AE34" i="2"/>
  <c r="AE16" i="2"/>
  <c r="AE82" i="2"/>
  <c r="AE64" i="2"/>
  <c r="AE46" i="2"/>
  <c r="AE28" i="2"/>
  <c r="AE10" i="2"/>
  <c r="AE78" i="2"/>
  <c r="AE48" i="2"/>
  <c r="AE15" i="2"/>
  <c r="AE76" i="2"/>
  <c r="AE45" i="2"/>
  <c r="AE14" i="2"/>
  <c r="AE75" i="2"/>
  <c r="AE42" i="2"/>
  <c r="AE12" i="2"/>
  <c r="AE69" i="2"/>
  <c r="AE40" i="2"/>
  <c r="AE9" i="2"/>
  <c r="AE68" i="2"/>
  <c r="AE39" i="2"/>
  <c r="AE66" i="2"/>
  <c r="AE33" i="2"/>
  <c r="AE60" i="2"/>
  <c r="AE30" i="2"/>
  <c r="AE63" i="2"/>
  <c r="AE32" i="2"/>
  <c r="AE58" i="2"/>
  <c r="AE27" i="2"/>
  <c r="AE57" i="2"/>
  <c r="AE24" i="2"/>
  <c r="AE51" i="2"/>
  <c r="AE22" i="2"/>
  <c r="AE81" i="2"/>
  <c r="AE50" i="2"/>
  <c r="AE21" i="2"/>
  <c r="AA47" i="4"/>
  <c r="H44" i="4"/>
  <c r="AA46" i="4"/>
  <c r="H45" i="4"/>
  <c r="AA43" i="4"/>
  <c r="H48" i="4"/>
  <c r="AA54" i="4"/>
  <c r="AA34" i="4"/>
  <c r="H49" i="4"/>
  <c r="AA53" i="4"/>
  <c r="AA31" i="4"/>
  <c r="H50" i="4"/>
  <c r="AA52" i="4"/>
  <c r="H51" i="4"/>
  <c r="H32" i="4"/>
  <c r="H38" i="4"/>
  <c r="H41" i="4"/>
  <c r="L5" i="2"/>
  <c r="O5" i="2" s="1"/>
  <c r="M6" i="2"/>
  <c r="Q6" i="2"/>
  <c r="U6" i="2"/>
  <c r="Y6" i="2"/>
  <c r="AC6" i="2"/>
  <c r="H5" i="4"/>
  <c r="H8" i="4"/>
  <c r="H14" i="4"/>
  <c r="H15" i="4"/>
  <c r="H19" i="4"/>
  <c r="H20" i="4"/>
  <c r="AA22" i="4"/>
  <c r="H26" i="4"/>
  <c r="H27" i="4"/>
  <c r="AA10" i="4"/>
  <c r="AA42" i="4"/>
  <c r="AA30" i="4"/>
  <c r="AA6" i="4"/>
  <c r="AA40" i="4"/>
  <c r="AA16" i="4"/>
  <c r="H29" i="4"/>
  <c r="AA39" i="4"/>
  <c r="AA37" i="4"/>
  <c r="AA13" i="4"/>
  <c r="AA36" i="4"/>
  <c r="AA24" i="4"/>
  <c r="AA12" i="4"/>
  <c r="H9" i="4"/>
  <c r="H21" i="4"/>
  <c r="H33" i="4"/>
  <c r="AA35" i="4"/>
  <c r="AA23" i="4"/>
  <c r="AA11" i="4"/>
  <c r="H17" i="4"/>
  <c r="H18" i="4"/>
  <c r="AA25" i="4"/>
  <c r="AA28" i="4"/>
  <c r="F1" i="2"/>
  <c r="AH6" i="2" l="1"/>
  <c r="AI6" i="2" s="1"/>
  <c r="AF4" i="2"/>
  <c r="AF5" i="2"/>
  <c r="AI5" i="2" s="1"/>
  <c r="AF6" i="2"/>
  <c r="AG6" i="2"/>
  <c r="D29" i="1"/>
  <c r="D30" i="1" s="1"/>
  <c r="G29" i="1"/>
  <c r="G28" i="1"/>
  <c r="L4" i="2" l="1"/>
  <c r="P4" i="2"/>
  <c r="T4" i="2"/>
  <c r="X4" i="2"/>
  <c r="AB4" i="2"/>
  <c r="L6" i="2"/>
  <c r="X5" i="2"/>
  <c r="AA5" i="2" s="1"/>
  <c r="X6" i="2"/>
  <c r="AB5" i="2"/>
  <c r="AE5" i="2" s="1"/>
  <c r="AB6" i="2"/>
  <c r="T5" i="2"/>
  <c r="W5" i="2" s="1"/>
  <c r="T6" i="2"/>
  <c r="P5" i="2"/>
  <c r="S5" i="2" s="1"/>
  <c r="P6" i="2"/>
  <c r="G23" i="1" l="1"/>
  <c r="G21" i="1"/>
  <c r="G22" i="1"/>
  <c r="C28" i="1"/>
  <c r="D23" i="1"/>
  <c r="E23" i="1"/>
  <c r="F23" i="1"/>
  <c r="C23" i="1"/>
  <c r="C22" i="1"/>
  <c r="C21" i="1"/>
  <c r="E22" i="1"/>
  <c r="F22" i="1"/>
  <c r="D22" i="1"/>
  <c r="E21" i="1"/>
  <c r="F21" i="1"/>
  <c r="C26" i="1"/>
  <c r="C37" i="1"/>
  <c r="C24" i="1"/>
  <c r="C36" i="1"/>
</calcChain>
</file>

<file path=xl/sharedStrings.xml><?xml version="1.0" encoding="utf-8"?>
<sst xmlns="http://schemas.openxmlformats.org/spreadsheetml/2006/main" count="1304" uniqueCount="783">
  <si>
    <t>Tonnes (air)</t>
    <phoneticPr fontId="1" type="noConversion"/>
  </si>
  <si>
    <t>Tonnes (vac)</t>
    <phoneticPr fontId="1" type="noConversion"/>
  </si>
  <si>
    <t>Long Tons</t>
    <phoneticPr fontId="1" type="noConversion"/>
  </si>
  <si>
    <t>Bbls @ 60°F</t>
    <phoneticPr fontId="1" type="noConversion"/>
  </si>
  <si>
    <t>No</t>
  </si>
  <si>
    <t>Description/Tank Number:</t>
    <phoneticPr fontId="1" type="noConversion"/>
  </si>
  <si>
    <t>Vessel Data (for Load)</t>
    <phoneticPr fontId="1" type="noConversion"/>
  </si>
  <si>
    <t>SAMPLE LOCATION</t>
    <phoneticPr fontId="1" type="noConversion"/>
  </si>
  <si>
    <t>Sample Location:</t>
    <phoneticPr fontId="1" type="noConversion"/>
  </si>
  <si>
    <t>Comment</t>
    <phoneticPr fontId="1" type="noConversion"/>
  </si>
  <si>
    <t>Method Used</t>
    <phoneticPr fontId="1" type="noConversion"/>
  </si>
  <si>
    <t>Date</t>
    <phoneticPr fontId="1" type="noConversion"/>
  </si>
  <si>
    <t>Time</t>
    <phoneticPr fontId="1" type="noConversion"/>
  </si>
  <si>
    <t>2. DELAY</t>
    <phoneticPr fontId="1" type="noConversion"/>
  </si>
  <si>
    <t>Symbol</t>
  </si>
  <si>
    <t>Result</t>
  </si>
  <si>
    <t>UOM</t>
    <phoneticPr fontId="1" type="noConversion"/>
  </si>
  <si>
    <t>(RPA)</t>
    <phoneticPr fontId="1" type="noConversion"/>
  </si>
  <si>
    <t>(검사원)</t>
    <phoneticPr fontId="1" type="noConversion"/>
  </si>
  <si>
    <t>Grade</t>
    <phoneticPr fontId="1" type="noConversion"/>
  </si>
  <si>
    <t>%</t>
    <phoneticPr fontId="1" type="noConversion"/>
  </si>
  <si>
    <t>최영삼</t>
  </si>
  <si>
    <t>yongsam.choe@sgs.com</t>
  </si>
  <si>
    <t>울산</t>
  </si>
  <si>
    <t>윤현호</t>
  </si>
  <si>
    <t>andrew.yun@sgs.com</t>
  </si>
  <si>
    <t>김명수</t>
  </si>
  <si>
    <t>rooney.kim@sgs.com</t>
  </si>
  <si>
    <t>김현진</t>
  </si>
  <si>
    <t>hyunjin.kim@sgs.com</t>
  </si>
  <si>
    <t>장세현</t>
  </si>
  <si>
    <t>sehyun.jang@sgs.com</t>
  </si>
  <si>
    <t>박은영</t>
  </si>
  <si>
    <t>sophia.park@sgs.com</t>
  </si>
  <si>
    <t>김향미</t>
  </si>
  <si>
    <t>kelly.kim@sgs.com</t>
  </si>
  <si>
    <t>이지현</t>
  </si>
  <si>
    <t>lizzy.lee@sgs.com</t>
  </si>
  <si>
    <t>서언실</t>
  </si>
  <si>
    <t>sarah.seo@sgs.com</t>
  </si>
  <si>
    <t>곽세은</t>
  </si>
  <si>
    <t>evelyn.kwak@sgs.com</t>
  </si>
  <si>
    <t>이보람</t>
  </si>
  <si>
    <t>jenny.lee@sgs.com</t>
  </si>
  <si>
    <t>강도희</t>
  </si>
  <si>
    <t>peter.kang@sgs.com</t>
  </si>
  <si>
    <t>박만원</t>
  </si>
  <si>
    <t>manwon.park@sgs.com</t>
  </si>
  <si>
    <t>김상목</t>
  </si>
  <si>
    <t>gary.kim@sgs.com</t>
  </si>
  <si>
    <t>김동원</t>
  </si>
  <si>
    <t>steven.kim@sgs.com</t>
  </si>
  <si>
    <t>김성현</t>
  </si>
  <si>
    <t>seonghyeon.kim@sgs.com</t>
  </si>
  <si>
    <t>김형태</t>
  </si>
  <si>
    <t>hyungtae.kim@sgs.com</t>
  </si>
  <si>
    <t>박민제</t>
  </si>
  <si>
    <t>oscar.park@sgs.com</t>
  </si>
  <si>
    <t>박진헌</t>
  </si>
  <si>
    <t>jinheon.park@sgs.com</t>
  </si>
  <si>
    <t>백태웅</t>
  </si>
  <si>
    <t>taewoong.baek@sgs.com</t>
  </si>
  <si>
    <t>송대영</t>
  </si>
  <si>
    <t>michael.song@sgs.com</t>
  </si>
  <si>
    <t>양정필</t>
  </si>
  <si>
    <t>jungpil.yang@sgs.com</t>
  </si>
  <si>
    <t>이상학</t>
  </si>
  <si>
    <t>denny.lee@sgs.com</t>
  </si>
  <si>
    <t>정진오</t>
  </si>
  <si>
    <t>jino.jeong@sgs.com</t>
  </si>
  <si>
    <t>차홍민</t>
  </si>
  <si>
    <t>benjamin.cha@sgs.com</t>
  </si>
  <si>
    <t>황종원</t>
  </si>
  <si>
    <t>jongwon.hwang@sgs.com</t>
  </si>
  <si>
    <t>강병주</t>
  </si>
  <si>
    <t>robin.kang@sgs.com</t>
  </si>
  <si>
    <t>공덕희</t>
  </si>
  <si>
    <t>tyler.gong@sgs.com</t>
  </si>
  <si>
    <t>김민재</t>
  </si>
  <si>
    <t>minjae.kim@sgs.com</t>
  </si>
  <si>
    <t>김종엽</t>
  </si>
  <si>
    <t>jongyeob.kim@sgs.com</t>
  </si>
  <si>
    <t>김주호</t>
  </si>
  <si>
    <t>jooho.kim@sgs.com</t>
  </si>
  <si>
    <t>박정웅</t>
  </si>
  <si>
    <t>oliver.park@sgs.com</t>
  </si>
  <si>
    <t>안권수</t>
  </si>
  <si>
    <t>toni.ahn@sgs.com</t>
  </si>
  <si>
    <t>이근열</t>
  </si>
  <si>
    <t>geunyeol.lee@sgs.com</t>
  </si>
  <si>
    <t>이찬재</t>
  </si>
  <si>
    <t>adrian.lee@sgs.com</t>
  </si>
  <si>
    <t>조동민</t>
  </si>
  <si>
    <t>dongmin.jo@sgs.com</t>
  </si>
  <si>
    <t>강대경</t>
  </si>
  <si>
    <t>buster.kang@sgs.com</t>
  </si>
  <si>
    <t>강봉주</t>
  </si>
  <si>
    <t>luka.kang@sgs.com</t>
  </si>
  <si>
    <t>김동욱</t>
  </si>
  <si>
    <t>danny.kim@sgs.com</t>
  </si>
  <si>
    <t>김명겸</t>
  </si>
  <si>
    <t>dennis.kim@sgs.com</t>
  </si>
  <si>
    <t>김정민</t>
  </si>
  <si>
    <t>jeongmin.kim@sgs.com</t>
  </si>
  <si>
    <t>김태윤</t>
  </si>
  <si>
    <t>taeyoon.kim@sgs.com</t>
  </si>
  <si>
    <t>박현석</t>
  </si>
  <si>
    <t>tom.park@sgs.com</t>
  </si>
  <si>
    <t>백종환</t>
  </si>
  <si>
    <t>grayson.baek@sgs.com</t>
  </si>
  <si>
    <t>장영빈</t>
  </si>
  <si>
    <t>yeongbin.jang@sgs.com</t>
  </si>
  <si>
    <t>최원영</t>
  </si>
  <si>
    <t>wonyoung.choi@sgs.com</t>
  </si>
  <si>
    <t>정  철</t>
  </si>
  <si>
    <t>cheol.jung@sgs.com</t>
  </si>
  <si>
    <t>여수</t>
  </si>
  <si>
    <t>최지현</t>
  </si>
  <si>
    <t>nicky.choi@sgs.com</t>
  </si>
  <si>
    <t>박후진</t>
  </si>
  <si>
    <t>sally.park@sgs.com</t>
  </si>
  <si>
    <t>정수정</t>
  </si>
  <si>
    <t>crystal.jeong@sgs.com</t>
  </si>
  <si>
    <t>정양훈</t>
  </si>
  <si>
    <t>gabriel.jeong@sgs.com</t>
  </si>
  <si>
    <t>김종석</t>
  </si>
  <si>
    <t>alan.kim@sgs.com</t>
  </si>
  <si>
    <t>김성수</t>
  </si>
  <si>
    <t>tony.kim@sgs.com</t>
  </si>
  <si>
    <t>여규태</t>
  </si>
  <si>
    <t>soda.yeo@sgs.com</t>
  </si>
  <si>
    <t>이용운</t>
  </si>
  <si>
    <t>oscar.lee@sgs.com</t>
  </si>
  <si>
    <t>추미로</t>
  </si>
  <si>
    <t>chris.choo@sgs.com</t>
  </si>
  <si>
    <t>장경열</t>
  </si>
  <si>
    <t>daniel.jang@sgs.com</t>
  </si>
  <si>
    <t>박현준</t>
  </si>
  <si>
    <t>justin.park@sgs.com</t>
  </si>
  <si>
    <t>김지은</t>
  </si>
  <si>
    <t>kai.kim@sgs.com</t>
  </si>
  <si>
    <t>송재환</t>
  </si>
  <si>
    <t>brian.song@sgs.com</t>
  </si>
  <si>
    <t>조재훈</t>
  </si>
  <si>
    <t>jason.cho@sgs.com</t>
  </si>
  <si>
    <t>임태우</t>
  </si>
  <si>
    <t>harry.lim@sgs.com</t>
  </si>
  <si>
    <t>김명관</t>
  </si>
  <si>
    <t>myunggwan.kim@sgs.com</t>
  </si>
  <si>
    <t>김도영</t>
  </si>
  <si>
    <t>kyle.kim@sgs.com</t>
  </si>
  <si>
    <t>정영환</t>
  </si>
  <si>
    <t>younghwan.jeong@sgs.com</t>
  </si>
  <si>
    <t>김연수</t>
  </si>
  <si>
    <t>holland.kim@sgs.com</t>
  </si>
  <si>
    <t>한정수</t>
  </si>
  <si>
    <t>james.han@sgs.com</t>
  </si>
  <si>
    <t>김민환</t>
  </si>
  <si>
    <t>minhwan.kim@sgs.com</t>
  </si>
  <si>
    <t>대산</t>
  </si>
  <si>
    <t>한지은</t>
  </si>
  <si>
    <t>jieun.han@sgs.com</t>
  </si>
  <si>
    <t>유승준</t>
  </si>
  <si>
    <t>seungjun.yoo@sgs.com</t>
  </si>
  <si>
    <t>이만영</t>
  </si>
  <si>
    <t>aiden.lee@sgs.com</t>
  </si>
  <si>
    <t>박선웅</t>
  </si>
  <si>
    <t>parker.park@sgs.com</t>
  </si>
  <si>
    <t>강원일</t>
  </si>
  <si>
    <t>william.kang@sgs.com</t>
  </si>
  <si>
    <t>문정태</t>
  </si>
  <si>
    <t>jungtae.moon@sgs.com</t>
  </si>
  <si>
    <t>김초빈</t>
  </si>
  <si>
    <t>chobin.kim@sgs.com</t>
  </si>
  <si>
    <t>정승현</t>
  </si>
  <si>
    <t>seunghyeon.jung@sgs.com</t>
  </si>
  <si>
    <t>김태현</t>
  </si>
  <si>
    <t>taehyun.kim@sgs.com</t>
  </si>
  <si>
    <t>평택</t>
  </si>
  <si>
    <t>문남철</t>
  </si>
  <si>
    <t>namcheol.moon@sgs.com</t>
  </si>
  <si>
    <t>박재한</t>
  </si>
  <si>
    <t>rex.park@sgs.com</t>
  </si>
  <si>
    <t>이정학</t>
  </si>
  <si>
    <t>jeonghak.lee@sgs.com</t>
  </si>
  <si>
    <t>남궁진</t>
  </si>
  <si>
    <t>jin.namgung@sgs.com</t>
  </si>
  <si>
    <t>부산</t>
  </si>
  <si>
    <t>김규백</t>
  </si>
  <si>
    <t>gilbert.kim@sgs.com</t>
  </si>
  <si>
    <t>장두윤</t>
  </si>
  <si>
    <t>alfie.jang@sgs.com</t>
  </si>
  <si>
    <t>성명준</t>
  </si>
  <si>
    <t>johnny.sung@sgs.com</t>
  </si>
  <si>
    <t>Number of Tank(s):</t>
    <phoneticPr fontId="1" type="noConversion"/>
  </si>
  <si>
    <t>(RPA &amp; 검사원)</t>
    <phoneticPr fontId="1" type="noConversion"/>
  </si>
  <si>
    <t>Spec</t>
    <phoneticPr fontId="1" type="noConversion"/>
  </si>
  <si>
    <t>NP</t>
    <phoneticPr fontId="1" type="noConversion"/>
  </si>
  <si>
    <r>
      <t>M</t>
    </r>
    <r>
      <rPr>
        <vertAlign val="superscript"/>
        <sz val="9"/>
        <color theme="1"/>
        <rFont val="맑은 고딕"/>
        <family val="3"/>
        <charset val="129"/>
        <scheme val="minor"/>
      </rPr>
      <t>3</t>
    </r>
    <r>
      <rPr>
        <sz val="9"/>
        <color theme="1"/>
        <rFont val="맑은 고딕"/>
        <family val="3"/>
        <charset val="129"/>
        <scheme val="minor"/>
      </rPr>
      <t xml:space="preserve"> @ 15°C</t>
    </r>
    <phoneticPr fontId="1" type="noConversion"/>
  </si>
  <si>
    <r>
      <rPr>
        <sz val="9"/>
        <color rgb="FFFF0000"/>
        <rFont val="맑은 고딕"/>
        <family val="3"/>
        <charset val="129"/>
        <scheme val="minor"/>
      </rPr>
      <t>*</t>
    </r>
    <r>
      <rPr>
        <sz val="9"/>
        <color theme="1"/>
        <rFont val="맑은 고딕"/>
        <family val="3"/>
        <charset val="129"/>
        <scheme val="minor"/>
      </rPr>
      <t xml:space="preserve"> Density 15°C:</t>
    </r>
    <phoneticPr fontId="1" type="noConversion"/>
  </si>
  <si>
    <r>
      <rPr>
        <sz val="9"/>
        <color rgb="FFFF0000"/>
        <rFont val="맑은 고딕"/>
        <family val="3"/>
        <charset val="129"/>
        <scheme val="minor"/>
      </rPr>
      <t>*</t>
    </r>
    <r>
      <rPr>
        <sz val="9"/>
        <color theme="1"/>
        <rFont val="맑은 고딕"/>
        <family val="3"/>
        <charset val="129"/>
        <scheme val="minor"/>
      </rPr>
      <t xml:space="preserve"> API Gravity:</t>
    </r>
    <phoneticPr fontId="1" type="noConversion"/>
  </si>
  <si>
    <r>
      <rPr>
        <sz val="9"/>
        <color rgb="FFFF0000"/>
        <rFont val="맑은 고딕"/>
        <family val="3"/>
        <charset val="129"/>
        <scheme val="minor"/>
      </rPr>
      <t>*</t>
    </r>
    <r>
      <rPr>
        <sz val="9"/>
        <color theme="1"/>
        <rFont val="맑은 고딕"/>
        <family val="3"/>
        <charset val="129"/>
        <scheme val="minor"/>
      </rPr>
      <t xml:space="preserve"> VCF Table:</t>
    </r>
    <phoneticPr fontId="1" type="noConversion"/>
  </si>
  <si>
    <r>
      <rPr>
        <sz val="9"/>
        <color rgb="FFFF0000"/>
        <rFont val="맑은 고딕"/>
        <family val="3"/>
        <charset val="129"/>
        <scheme val="minor"/>
      </rPr>
      <t>*</t>
    </r>
    <r>
      <rPr>
        <sz val="9"/>
        <color theme="1"/>
        <rFont val="맑은 고딕"/>
        <family val="3"/>
        <charset val="129"/>
        <scheme val="minor"/>
      </rPr>
      <t xml:space="preserve"> Mean Temp Before Delivery:</t>
    </r>
    <phoneticPr fontId="1" type="noConversion"/>
  </si>
  <si>
    <r>
      <rPr>
        <sz val="9"/>
        <color rgb="FFFF0000"/>
        <rFont val="맑은 고딕"/>
        <family val="3"/>
        <charset val="129"/>
        <scheme val="minor"/>
      </rPr>
      <t>*</t>
    </r>
    <r>
      <rPr>
        <sz val="9"/>
        <color theme="1"/>
        <rFont val="맑은 고딕"/>
        <family val="3"/>
        <charset val="129"/>
        <scheme val="minor"/>
      </rPr>
      <t xml:space="preserve"> Active Shore Tank:</t>
    </r>
    <phoneticPr fontId="1" type="noConversion"/>
  </si>
  <si>
    <r>
      <rPr>
        <sz val="9"/>
        <color rgb="FFFF0000"/>
        <rFont val="맑은 고딕"/>
        <family val="3"/>
        <charset val="129"/>
        <scheme val="minor"/>
      </rPr>
      <t>*</t>
    </r>
    <r>
      <rPr>
        <sz val="9"/>
        <color theme="1"/>
        <rFont val="맑은 고딕"/>
        <family val="3"/>
        <charset val="129"/>
        <scheme val="minor"/>
      </rPr>
      <t xml:space="preserve"> OBQ (Liquid)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</si>
  <si>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(Non-Liquid)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</si>
  <si>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(FW)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</si>
  <si>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Mean Temp After Load:</t>
    </r>
    <phoneticPr fontId="1" type="noConversion"/>
  </si>
  <si>
    <t>Quantity Determined</t>
    <phoneticPr fontId="1" type="noConversion"/>
  </si>
  <si>
    <t>Meters</t>
    <phoneticPr fontId="1" type="noConversion"/>
  </si>
  <si>
    <t>Shore Tank Gauge</t>
    <phoneticPr fontId="1" type="noConversion"/>
  </si>
  <si>
    <t>Vessel Figures - VEF Applied</t>
    <phoneticPr fontId="1" type="noConversion"/>
  </si>
  <si>
    <t>Vessel Figures - VEF Not Applied</t>
    <phoneticPr fontId="1" type="noConversion"/>
  </si>
  <si>
    <t>Lightering/STS</t>
    <phoneticPr fontId="1" type="noConversion"/>
  </si>
  <si>
    <t>Customer Agreement</t>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</si>
  <si>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Mean Temp Before Load: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</si>
  <si>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GSV (Liquid)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</si>
  <si>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Water:</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</si>
  <si>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Sediment:</t>
    </r>
    <phoneticPr fontId="1" type="noConversion"/>
  </si>
  <si>
    <r>
      <rPr>
        <b/>
        <sz val="9"/>
        <color rgb="FFFF0000"/>
        <rFont val="맑은 고딕"/>
        <family val="3"/>
        <charset val="129"/>
        <scheme val="minor"/>
      </rPr>
      <t>*</t>
    </r>
    <r>
      <rPr>
        <sz val="9"/>
        <color theme="1"/>
        <rFont val="맑은 고딕"/>
        <family val="3"/>
        <charset val="129"/>
        <scheme val="minor"/>
      </rPr>
      <t xml:space="preserve"> VCF Table:</t>
    </r>
    <phoneticPr fontId="1" type="noConversion"/>
  </si>
  <si>
    <t>typhoonkang.ext@sgs.com</t>
  </si>
  <si>
    <t>강희건</t>
    <phoneticPr fontId="1" type="noConversion"/>
  </si>
  <si>
    <t>울산</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</si>
  <si>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Date (BL 날짜):</t>
    </r>
    <phoneticPr fontId="1" type="noConversion"/>
  </si>
  <si>
    <r>
      <rPr>
        <sz val="9"/>
        <color rgb="FFFF0000"/>
        <rFont val="맑은 고딕"/>
        <family val="3"/>
        <charset val="129"/>
        <scheme val="minor"/>
      </rPr>
      <t>*</t>
    </r>
    <r>
      <rPr>
        <sz val="9"/>
        <color theme="1"/>
        <rFont val="맑은 고딕"/>
        <family val="3"/>
        <charset val="129"/>
        <scheme val="minor"/>
      </rPr>
      <t xml:space="preserve"> Main Inspector (검사원 이름):</t>
    </r>
    <phoneticPr fontId="1" type="noConversion"/>
  </si>
  <si>
    <t xml:space="preserve">  Loading Berth (부두):</t>
    <phoneticPr fontId="1" type="noConversion"/>
  </si>
  <si>
    <t xml:space="preserve">  Quantity Determined: (BL 기준):</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</si>
  <si>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TCV :</t>
    </r>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</si>
  <si>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NSV:</t>
    </r>
    <phoneticPr fontId="1" type="noConversion"/>
  </si>
  <si>
    <t>[SET 1]</t>
    <phoneticPr fontId="1" type="noConversion"/>
  </si>
  <si>
    <t>[SET 2]</t>
    <phoneticPr fontId="1" type="noConversion"/>
  </si>
  <si>
    <t>NAVARIK 2023_V.1</t>
    <phoneticPr fontId="1" type="noConversion"/>
  </si>
  <si>
    <t>[SET 3]</t>
    <phoneticPr fontId="1" type="noConversion"/>
  </si>
  <si>
    <t>[SET 4]</t>
    <phoneticPr fontId="1" type="noConversion"/>
  </si>
  <si>
    <t>[SET 5]</t>
    <phoneticPr fontId="1" type="noConversion"/>
  </si>
  <si>
    <t>[SET 6]</t>
    <phoneticPr fontId="1" type="noConversion"/>
  </si>
  <si>
    <t>[SET 7]</t>
    <phoneticPr fontId="1" type="noConversion"/>
  </si>
  <si>
    <t>[SET 8]</t>
    <phoneticPr fontId="1" type="noConversion"/>
  </si>
  <si>
    <t>[SET 9]</t>
    <phoneticPr fontId="1" type="noConversion"/>
  </si>
  <si>
    <t>[SET 10]</t>
    <phoneticPr fontId="1" type="noConversion"/>
  </si>
  <si>
    <r>
      <t xml:space="preserve">2. Quantity for </t>
    </r>
    <r>
      <rPr>
        <b/>
        <u/>
        <sz val="12"/>
        <color rgb="FFFF0000"/>
        <rFont val="맑은 고딕"/>
        <family val="3"/>
        <charset val="129"/>
        <scheme val="minor"/>
      </rPr>
      <t>Load</t>
    </r>
    <phoneticPr fontId="1" type="noConversion"/>
  </si>
  <si>
    <r>
      <t xml:space="preserve">1. TIME LOG for </t>
    </r>
    <r>
      <rPr>
        <b/>
        <u/>
        <sz val="12"/>
        <color rgb="FFFF0000"/>
        <rFont val="맑은 고딕"/>
        <family val="3"/>
        <charset val="129"/>
        <scheme val="minor"/>
      </rPr>
      <t>Load</t>
    </r>
    <phoneticPr fontId="1" type="noConversion"/>
  </si>
  <si>
    <t>CLIENT</t>
    <phoneticPr fontId="1" type="noConversion"/>
  </si>
  <si>
    <t>Client</t>
    <phoneticPr fontId="1" type="noConversion"/>
  </si>
  <si>
    <t>CHEVRON</t>
    <phoneticPr fontId="1" type="noConversion"/>
  </si>
  <si>
    <t>EXXONMOBIL</t>
    <phoneticPr fontId="1" type="noConversion"/>
  </si>
  <si>
    <t>MPC</t>
    <phoneticPr fontId="1" type="noConversion"/>
  </si>
  <si>
    <t>TESORO</t>
    <phoneticPr fontId="1" type="noConversion"/>
  </si>
  <si>
    <t>MOTIVA</t>
    <phoneticPr fontId="1" type="noConversion"/>
  </si>
  <si>
    <t>ARAMCO</t>
    <phoneticPr fontId="1" type="noConversion"/>
  </si>
  <si>
    <t>SHELLWONA</t>
    <phoneticPr fontId="1" type="noConversion"/>
  </si>
  <si>
    <t>VERSION</t>
    <phoneticPr fontId="1" type="noConversion"/>
  </si>
  <si>
    <t>STATUS</t>
    <phoneticPr fontId="1" type="noConversion"/>
  </si>
  <si>
    <t>STATUS</t>
    <phoneticPr fontId="1" type="noConversion"/>
  </si>
  <si>
    <t>Discharge</t>
    <phoneticPr fontId="1" type="noConversion"/>
  </si>
  <si>
    <t>Load</t>
  </si>
  <si>
    <t>Load</t>
    <phoneticPr fontId="1" type="noConversion"/>
  </si>
  <si>
    <t>CC</t>
    <phoneticPr fontId="1" type="noConversion"/>
  </si>
  <si>
    <t>WORKSHEET NO.</t>
    <phoneticPr fontId="1" type="noConversion"/>
  </si>
  <si>
    <t>RPA</t>
    <phoneticPr fontId="1" type="noConversion"/>
  </si>
  <si>
    <t>svc_.rpa-ulsan1kr@sgs.com</t>
    <phoneticPr fontId="1" type="noConversion"/>
  </si>
  <si>
    <t>VESSEL</t>
    <phoneticPr fontId="0" type="noConversion"/>
  </si>
  <si>
    <t>Event</t>
    <phoneticPr fontId="1" type="noConversion"/>
  </si>
  <si>
    <t>(0000)</t>
    <phoneticPr fontId="1" type="noConversion"/>
  </si>
  <si>
    <t>Add(+)/Delete(-)</t>
    <phoneticPr fontId="1" type="noConversion"/>
  </si>
  <si>
    <t>Delay</t>
    <phoneticPr fontId="1" type="noConversion"/>
  </si>
  <si>
    <t>(RPA)</t>
    <phoneticPr fontId="1" type="noConversion"/>
  </si>
  <si>
    <t>Test</t>
    <phoneticPr fontId="1" type="noConversion"/>
  </si>
  <si>
    <t>Results (검사원)</t>
    <phoneticPr fontId="1" type="noConversion"/>
  </si>
  <si>
    <t>(dd-mmm-yyyy)</t>
    <phoneticPr fontId="1" type="noConversion"/>
  </si>
  <si>
    <t>Save as Draft</t>
    <phoneticPr fontId="1" type="noConversion"/>
  </si>
  <si>
    <t>Submit</t>
    <phoneticPr fontId="1" type="noConversion"/>
  </si>
  <si>
    <t>CARGO</t>
    <phoneticPr fontId="0" type="noConversion"/>
  </si>
  <si>
    <t xml:space="preserve">  Description (화물명):</t>
    <phoneticPr fontId="1" type="noConversion"/>
  </si>
  <si>
    <t>Vessel's First Foot Sample per Tank</t>
  </si>
  <si>
    <t>Railcar after Loading</t>
  </si>
  <si>
    <t>Railcar Composite</t>
  </si>
  <si>
    <t>Railcar Prior to Discharge</t>
  </si>
  <si>
    <t>Railcar Prior to Landing</t>
  </si>
  <si>
    <t>Ship Tank Composite after Loading per Tank</t>
  </si>
  <si>
    <t>Ship Tank Composite from Individual Tank Running Samples</t>
  </si>
  <si>
    <t>Ship Tank Individual</t>
  </si>
  <si>
    <t>Ship Tank Individual - Running Sample</t>
  </si>
  <si>
    <t>Ship Tanks VolumeMetric Composite</t>
  </si>
  <si>
    <t>Shipboard Automatic Sampler</t>
  </si>
  <si>
    <t>Shore In-Line Sample</t>
  </si>
  <si>
    <t>Shore Line Displacement</t>
  </si>
  <si>
    <t>Shore Line Drip Sample</t>
  </si>
  <si>
    <t>Shore Line Grab Sample</t>
  </si>
  <si>
    <t>Shore Loading Arm at Start of Loading Operations</t>
  </si>
  <si>
    <t>Shore Manifold Sample</t>
  </si>
  <si>
    <t>Shore Tank (U-M-L) Composite</t>
  </si>
  <si>
    <t>Shore Tank Bottom (B)</t>
  </si>
  <si>
    <t>Shore Tank Composite (Running)</t>
  </si>
  <si>
    <t>Shore Tank Dead Bottom (DB)</t>
  </si>
  <si>
    <t>Shore Tank Lateral Line Sample</t>
  </si>
  <si>
    <t>Shore Tank Lower (L)</t>
  </si>
  <si>
    <t>Shore Tank Middle (M)</t>
  </si>
  <si>
    <t>Shore Tank Top (T)</t>
  </si>
  <si>
    <t>Shore Tank Upper (U)</t>
  </si>
  <si>
    <t>Shore Tanks VolumeMetric Composite</t>
  </si>
  <si>
    <t>T-M-B (Top, Middle, Bottom) Individual Sample</t>
  </si>
  <si>
    <t>Truck Composite</t>
  </si>
  <si>
    <t>Truck Sample after Discharge</t>
  </si>
  <si>
    <t>Truck Sample after Loading</t>
  </si>
  <si>
    <t>Truck Sample Prior to Discharge</t>
  </si>
  <si>
    <t>Upper - Top - Middle - Lower - Bottom Composite</t>
  </si>
  <si>
    <t>Vessel First Foot</t>
  </si>
  <si>
    <t>Vessel First In</t>
  </si>
  <si>
    <t>Vessel Upper - Middle - Lower Composite</t>
  </si>
  <si>
    <t>Vessel Upper - Top - Middle - Lower - Bottom Composite</t>
  </si>
  <si>
    <t>Vessel Volumetric Composite after Loading</t>
  </si>
  <si>
    <t>Vessel's Manifold at Start of Load</t>
  </si>
  <si>
    <t>Vessel/Barge Composite</t>
  </si>
  <si>
    <t>Weighted Average</t>
  </si>
  <si>
    <t>Shore Individual Tank Composites</t>
  </si>
  <si>
    <t>As Per Standard Terminal Practice</t>
  </si>
  <si>
    <t>Barge or Vessel Drip Sample</t>
  </si>
  <si>
    <t>Barge or Vessel Line Composite Sample</t>
  </si>
  <si>
    <t>Dead Bottom</t>
  </si>
  <si>
    <t>Each Railcar</t>
  </si>
  <si>
    <t>Hand Blend</t>
  </si>
  <si>
    <t>Symbol</t>
    <phoneticPr fontId="1" type="noConversion"/>
  </si>
  <si>
    <t xml:space="preserve">  Inspector's Reference Number (SGS):</t>
    <phoneticPr fontId="1" type="noConversion"/>
  </si>
  <si>
    <t xml:space="preserve">  Final Destination (양하지 항구):</t>
    <phoneticPr fontId="1" type="noConversion"/>
  </si>
  <si>
    <t xml:space="preserve">  ETA Final Destination (양하지 도착 날짜)</t>
    <phoneticPr fontId="1" type="noConversion"/>
  </si>
  <si>
    <r>
      <rPr>
        <sz val="9"/>
        <color rgb="FFFF0000"/>
        <rFont val="맑은 고딕"/>
        <family val="3"/>
        <charset val="129"/>
        <scheme val="minor"/>
      </rPr>
      <t>*</t>
    </r>
    <r>
      <rPr>
        <sz val="9"/>
        <color theme="1"/>
        <rFont val="맑은 고딕"/>
        <family val="3"/>
        <charset val="129"/>
        <scheme val="minor"/>
      </rPr>
      <t xml:space="preserve"> VEF (필수 입력):</t>
    </r>
    <phoneticPr fontId="1" type="noConversion"/>
  </si>
  <si>
    <r>
      <rPr>
        <sz val="9"/>
        <color rgb="FFFF0000"/>
        <rFont val="맑은 고딕"/>
        <family val="3"/>
        <charset val="129"/>
        <scheme val="minor"/>
      </rPr>
      <t>*</t>
    </r>
    <r>
      <rPr>
        <sz val="9"/>
        <color theme="1"/>
        <rFont val="맑은 고딕"/>
        <family val="3"/>
        <charset val="129"/>
        <scheme val="minor"/>
      </rPr>
      <t xml:space="preserve"> VEF Data (필수):</t>
    </r>
    <phoneticPr fontId="1" type="noConversion"/>
  </si>
  <si>
    <t>from</t>
    <phoneticPr fontId="1" type="noConversion"/>
  </si>
  <si>
    <t>to</t>
    <phoneticPr fontId="1" type="noConversion"/>
  </si>
  <si>
    <t>Date_Start</t>
    <phoneticPr fontId="1" type="noConversion"/>
  </si>
  <si>
    <t>Time_S</t>
    <phoneticPr fontId="1" type="noConversion"/>
  </si>
  <si>
    <t>Date_Finish</t>
    <phoneticPr fontId="1" type="noConversion"/>
  </si>
  <si>
    <t>Time_F</t>
    <phoneticPr fontId="1" type="noConversion"/>
  </si>
  <si>
    <t>BP</t>
    <phoneticPr fontId="1" type="noConversion"/>
  </si>
  <si>
    <t>KYLYSHIPS</t>
    <phoneticPr fontId="1" type="noConversion"/>
  </si>
  <si>
    <t>SHELL</t>
    <phoneticPr fontId="1" type="noConversion"/>
  </si>
  <si>
    <t>PHILLIPS66</t>
    <phoneticPr fontId="1" type="noConversion"/>
  </si>
  <si>
    <t>REPSOL</t>
    <phoneticPr fontId="1" type="noConversion"/>
  </si>
  <si>
    <t xml:space="preserve">   (탱크가 2개 이상이면 탱크 개수를 선택합니다.)</t>
    <phoneticPr fontId="1" type="noConversion"/>
  </si>
  <si>
    <t>DEN 15°C</t>
    <phoneticPr fontId="1" type="noConversion"/>
  </si>
  <si>
    <t>API 60°F</t>
    <phoneticPr fontId="1" type="noConversion"/>
  </si>
  <si>
    <t>API</t>
  </si>
  <si>
    <t>DENSITY 15C</t>
  </si>
  <si>
    <t>DENSITY(VAC)</t>
  </si>
  <si>
    <t xml:space="preserve"> API</t>
  </si>
  <si>
    <t>SG/60'F</t>
  </si>
  <si>
    <t>DENSITY(AIR)</t>
  </si>
  <si>
    <r>
      <rPr>
        <sz val="9"/>
        <color rgb="FFFF0000"/>
        <rFont val="맑은 고딕"/>
        <family val="3"/>
        <charset val="129"/>
        <scheme val="minor"/>
      </rPr>
      <t xml:space="preserve">* </t>
    </r>
    <r>
      <rPr>
        <b/>
        <sz val="9"/>
        <color rgb="FF0000FF"/>
        <rFont val="맑은 고딕"/>
        <family val="3"/>
        <charset val="129"/>
        <scheme val="minor"/>
      </rPr>
      <t>OBQ</t>
    </r>
    <r>
      <rPr>
        <sz val="9"/>
        <rFont val="맑은 고딕"/>
        <family val="3"/>
        <charset val="129"/>
        <scheme val="minor"/>
      </rPr>
      <t xml:space="preserve"> </t>
    </r>
    <r>
      <rPr>
        <sz val="9"/>
        <color theme="1"/>
        <rFont val="맑은 고딕"/>
        <family val="3"/>
        <charset val="129"/>
        <scheme val="minor"/>
      </rPr>
      <t xml:space="preserve">(Total) Tanks to be Loaded </t>
    </r>
    <r>
      <rPr>
        <sz val="9"/>
        <color rgb="FFFF00FF"/>
        <rFont val="맑은 고딕"/>
        <family val="3"/>
        <charset val="129"/>
        <scheme val="minor"/>
      </rPr>
      <t>(OBQ 주의)</t>
    </r>
    <phoneticPr fontId="1" type="noConversion"/>
  </si>
  <si>
    <t>°F</t>
  </si>
  <si>
    <t xml:space="preserve">  Q'ty</t>
    <phoneticPr fontId="1" type="noConversion"/>
  </si>
  <si>
    <t xml:space="preserve">  Pct</t>
    <phoneticPr fontId="1" type="noConversion"/>
  </si>
  <si>
    <t>SET 2</t>
    <phoneticPr fontId="1" type="noConversion"/>
  </si>
  <si>
    <t>SET 2 ~ SET 3</t>
    <phoneticPr fontId="1" type="noConversion"/>
  </si>
  <si>
    <t>SET 2 ~ SET 4</t>
    <phoneticPr fontId="1" type="noConversion"/>
  </si>
  <si>
    <t>SET 2 ~ SET 5</t>
  </si>
  <si>
    <t>SET 2 ~ SET 6</t>
  </si>
  <si>
    <t>SET 2 ~ SET 7</t>
  </si>
  <si>
    <t>SET 2 ~ SET 8</t>
  </si>
  <si>
    <t>SET 2 ~ SET 9</t>
  </si>
  <si>
    <t>SET 2 ~ SET 10</t>
  </si>
  <si>
    <t>SET 3</t>
    <phoneticPr fontId="1" type="noConversion"/>
  </si>
  <si>
    <t>SET 3 ~ SET 4</t>
    <phoneticPr fontId="1" type="noConversion"/>
  </si>
  <si>
    <t>SET 3 ~ SET 5</t>
  </si>
  <si>
    <t>SET 3 ~ SET 6</t>
  </si>
  <si>
    <t>SET 3 ~ SET 7</t>
  </si>
  <si>
    <t>SET 3 ~ SET 8</t>
  </si>
  <si>
    <t>SET 3 ~ SET 9</t>
  </si>
  <si>
    <t>SET 3 ~ SET 10</t>
  </si>
  <si>
    <r>
      <t>3. Time Log Comment:</t>
    </r>
    <r>
      <rPr>
        <b/>
        <u/>
        <sz val="9"/>
        <color rgb="FFFF6600"/>
        <rFont val="맑은 고딕"/>
        <family val="3"/>
        <charset val="129"/>
        <scheme val="minor"/>
      </rPr>
      <t xml:space="preserve"> </t>
    </r>
    <r>
      <rPr>
        <u/>
        <sz val="9"/>
        <color rgb="FFFF6600"/>
        <rFont val="맑은 고딕"/>
        <family val="3"/>
        <charset val="129"/>
        <scheme val="minor"/>
      </rPr>
      <t xml:space="preserve">(문장 줄 바꾸기 단축키 </t>
    </r>
    <r>
      <rPr>
        <b/>
        <u/>
        <sz val="9"/>
        <color rgb="FFFF6600"/>
        <rFont val="맑은 고딕"/>
        <family val="3"/>
        <charset val="129"/>
        <scheme val="minor"/>
      </rPr>
      <t>Alt + Enter</t>
    </r>
    <r>
      <rPr>
        <u/>
        <sz val="9"/>
        <color rgb="FFFF6600"/>
        <rFont val="맑은 고딕"/>
        <family val="3"/>
        <charset val="129"/>
        <scheme val="minor"/>
      </rPr>
      <t>)</t>
    </r>
    <phoneticPr fontId="1" type="noConversion"/>
  </si>
  <si>
    <t>Ulsan Office</t>
    <phoneticPr fontId="1" type="noConversion"/>
  </si>
  <si>
    <t>Yosu Office</t>
    <phoneticPr fontId="1" type="noConversion"/>
  </si>
  <si>
    <t>Daesan Office</t>
    <phoneticPr fontId="1" type="noConversion"/>
  </si>
  <si>
    <t>Pyeongtaek Office</t>
    <phoneticPr fontId="1" type="noConversion"/>
  </si>
  <si>
    <t>Busan Office</t>
    <phoneticPr fontId="1" type="noConversion"/>
  </si>
  <si>
    <t>kr_ogculsan@sgs.com</t>
    <phoneticPr fontId="1" type="noConversion"/>
  </si>
  <si>
    <t>kr_ogcyosu@sgs.com</t>
    <phoneticPr fontId="1" type="noConversion"/>
  </si>
  <si>
    <t>kr_ogcins_pusan@sgs.com</t>
    <phoneticPr fontId="1" type="noConversion"/>
  </si>
  <si>
    <t>kr_ogcwest@sgs.com</t>
    <phoneticPr fontId="1" type="noConversion"/>
  </si>
  <si>
    <t>울산</t>
    <phoneticPr fontId="1" type="noConversion"/>
  </si>
  <si>
    <t>여수</t>
    <phoneticPr fontId="1" type="noConversion"/>
  </si>
  <si>
    <t>대산</t>
    <phoneticPr fontId="1" type="noConversion"/>
  </si>
  <si>
    <t>평택</t>
    <phoneticPr fontId="1" type="noConversion"/>
  </si>
  <si>
    <t>부산</t>
    <phoneticPr fontId="1" type="noConversion"/>
  </si>
  <si>
    <t>RPA</t>
    <phoneticPr fontId="1" type="noConversion"/>
  </si>
  <si>
    <t>NAVARIK ACCOUNT</t>
    <phoneticPr fontId="1" type="noConversion"/>
  </si>
  <si>
    <t>ULSAN</t>
    <phoneticPr fontId="1" type="noConversion"/>
  </si>
  <si>
    <t>YOSU</t>
    <phoneticPr fontId="1" type="noConversion"/>
  </si>
  <si>
    <t>DAESAN</t>
    <phoneticPr fontId="1" type="noConversion"/>
  </si>
  <si>
    <t>PYEONGTAEK</t>
    <phoneticPr fontId="1" type="noConversion"/>
  </si>
  <si>
    <t>BUSAN</t>
    <phoneticPr fontId="1" type="noConversion"/>
  </si>
  <si>
    <t>RAP</t>
    <phoneticPr fontId="1" type="noConversion"/>
  </si>
  <si>
    <t>IDENTIFICATION</t>
    <phoneticPr fontId="1" type="noConversion"/>
  </si>
  <si>
    <t>P/W</t>
    <phoneticPr fontId="1" type="noConversion"/>
  </si>
  <si>
    <t>INSPECTOR</t>
    <phoneticPr fontId="1" type="noConversion"/>
  </si>
  <si>
    <t>hiel.kim@sgs.com</t>
    <phoneticPr fontId="1" type="noConversion"/>
  </si>
  <si>
    <t xml:space="preserve"> </t>
    <phoneticPr fontId="1" type="noConversion"/>
  </si>
  <si>
    <t>(VEF 없으면 1.0000 표기)</t>
    <phoneticPr fontId="1" type="noConversion"/>
  </si>
  <si>
    <t xml:space="preserve"> (온도 단위 선택)</t>
    <phoneticPr fontId="1" type="noConversion"/>
  </si>
  <si>
    <t>LATEST UPDATE</t>
    <phoneticPr fontId="1" type="noConversion"/>
  </si>
  <si>
    <t>Today</t>
    <phoneticPr fontId="1" type="noConversion"/>
  </si>
  <si>
    <t>SET 1</t>
    <phoneticPr fontId="1" type="noConversion"/>
  </si>
  <si>
    <t>SET 1, SET 2</t>
    <phoneticPr fontId="1" type="noConversion"/>
  </si>
  <si>
    <t>SET 1, SET 2, SET 3</t>
    <phoneticPr fontId="1" type="noConversion"/>
  </si>
  <si>
    <t>SET 1</t>
    <phoneticPr fontId="1" type="noConversion"/>
  </si>
  <si>
    <t>SET 1 ~ SET 3</t>
    <phoneticPr fontId="1" type="noConversion"/>
  </si>
  <si>
    <t>SET 1 ~ SET 2</t>
    <phoneticPr fontId="1" type="noConversion"/>
  </si>
  <si>
    <t>ETA (Based on Today)</t>
    <phoneticPr fontId="1" type="noConversion"/>
  </si>
  <si>
    <t>Navarik Search</t>
    <phoneticPr fontId="1" type="noConversion"/>
  </si>
  <si>
    <t>Start (- 6 month)</t>
    <phoneticPr fontId="1" type="noConversion"/>
  </si>
  <si>
    <t>Finish (+ 3 month)</t>
    <phoneticPr fontId="1" type="noConversion"/>
  </si>
  <si>
    <t>Shore Data (for Load)</t>
    <phoneticPr fontId="1" type="noConversion"/>
  </si>
  <si>
    <t>SET 1</t>
    <phoneticPr fontId="1" type="noConversion"/>
  </si>
  <si>
    <t>SET 2</t>
    <phoneticPr fontId="1" type="noConversion"/>
  </si>
  <si>
    <t>SET 3</t>
  </si>
  <si>
    <t>SET 4</t>
  </si>
  <si>
    <t>SET 5</t>
  </si>
  <si>
    <t>SET 6</t>
  </si>
  <si>
    <t>SET 7</t>
  </si>
  <si>
    <t>SET 8</t>
  </si>
  <si>
    <t>SET 9</t>
  </si>
  <si>
    <t>SET 10</t>
  </si>
  <si>
    <t>Commence Waiting for Shore</t>
  </si>
  <si>
    <t>Commenced Analysis</t>
  </si>
  <si>
    <t>Commenced Bunker Survey</t>
  </si>
  <si>
    <t>Commenced Bunkering</t>
  </si>
  <si>
    <t>Commenced Cargo Calcs</t>
  </si>
  <si>
    <t>Commenced Connecting Cargo Arms</t>
  </si>
  <si>
    <t>Commenced Connecting Vapour Line</t>
  </si>
  <si>
    <t>Commenced Cool-down</t>
  </si>
  <si>
    <t>Commenced Cooldown of Shore Lines</t>
  </si>
  <si>
    <t>Commenced Disconnecting Cargo Arms</t>
  </si>
  <si>
    <t>Commenced Disconnecting Vapour Line</t>
  </si>
  <si>
    <t>Commenced Gas Up</t>
  </si>
  <si>
    <t>Commenced Line Flush</t>
  </si>
  <si>
    <t>Commenced Pipeline Transfer</t>
  </si>
  <si>
    <t>Commenced Purging Cargo Arms</t>
  </si>
  <si>
    <t>Commenced ROB Calcs</t>
  </si>
  <si>
    <t>Commenced Sampling</t>
  </si>
  <si>
    <t>Commenced Strike</t>
  </si>
  <si>
    <t>Commenced Survey</t>
  </si>
  <si>
    <t>Commenced Tank Gauging</t>
  </si>
  <si>
    <t>Completed Analysis</t>
  </si>
  <si>
    <t>Completed Bunker Survey</t>
  </si>
  <si>
    <t>Completed Calculations</t>
  </si>
  <si>
    <t>Completed Cool-down</t>
  </si>
  <si>
    <t>Completed Cooldown of Shores Lines</t>
  </si>
  <si>
    <t>Completed Gas Up</t>
  </si>
  <si>
    <t>Completed Pipeline Transfer</t>
  </si>
  <si>
    <t>Completed Purging Cargo Arms</t>
  </si>
  <si>
    <t>Completed Sampling</t>
  </si>
  <si>
    <t>Daylight commenced</t>
  </si>
  <si>
    <t>Discharge Resumed</t>
  </si>
  <si>
    <t>Discharge Suspended</t>
  </si>
  <si>
    <t>Documents On-Board</t>
  </si>
  <si>
    <t>Emergency Shutdown Test</t>
  </si>
  <si>
    <t>End Allowance</t>
  </si>
  <si>
    <t>End of Bad Weather</t>
  </si>
  <si>
    <t>End Of Passage (Arrival)</t>
  </si>
  <si>
    <t>Entered Canal</t>
  </si>
  <si>
    <t>Entered Drydock</t>
  </si>
  <si>
    <t>Entered Locks</t>
  </si>
  <si>
    <t>Excess Loading</t>
  </si>
  <si>
    <t>Excess Pumping</t>
  </si>
  <si>
    <t>Excessive ROB</t>
  </si>
  <si>
    <t>Expiry Notice</t>
  </si>
  <si>
    <t>Fenders Off</t>
  </si>
  <si>
    <t>Final Analysis Completed</t>
  </si>
  <si>
    <t>Finish Ballasting</t>
  </si>
  <si>
    <t>Finish Bunkering</t>
  </si>
  <si>
    <t>Finish Cargo Measure/Tank monitor/02 sampling</t>
  </si>
  <si>
    <t>Finish COW</t>
  </si>
  <si>
    <t>Finish De-Ballasting</t>
  </si>
  <si>
    <t>Finish De-Bunkering</t>
  </si>
  <si>
    <t>Finish De-Slop</t>
  </si>
  <si>
    <t>Finish Discharge</t>
  </si>
  <si>
    <t>Finish Final Inspection</t>
  </si>
  <si>
    <t>Finish Inerting</t>
  </si>
  <si>
    <t>Finish Lightering</t>
  </si>
  <si>
    <t>Finish Lining Up</t>
  </si>
  <si>
    <t>Finish Loading</t>
  </si>
  <si>
    <t>Finish Preliminary Inspection</t>
  </si>
  <si>
    <t>Finish Repairs</t>
  </si>
  <si>
    <t>Finish Stores</t>
  </si>
  <si>
    <t>Finish Storing</t>
  </si>
  <si>
    <t>Finish Stripping</t>
  </si>
  <si>
    <t>Finish Tank Cleaning</t>
  </si>
  <si>
    <t>Finish Tank Inspection - Passed OK</t>
  </si>
  <si>
    <t>Finish Waiting for Shore</t>
  </si>
  <si>
    <t>Finished Cargo Calcs</t>
  </si>
  <si>
    <t>Finished Line Flush</t>
  </si>
  <si>
    <t>Finished ROB Calcs</t>
  </si>
  <si>
    <t>Finished Strike</t>
  </si>
  <si>
    <t>Finished Survey</t>
  </si>
  <si>
    <t>Finished Tank Gauging</t>
  </si>
  <si>
    <t>First In Results Issued</t>
  </si>
  <si>
    <t>First In Sample Taken</t>
  </si>
  <si>
    <t>First Line Ashore</t>
  </si>
  <si>
    <t>Free Pratique Granted</t>
  </si>
  <si>
    <t>Full Away On Passage</t>
  </si>
  <si>
    <t>Gangway Down</t>
  </si>
  <si>
    <t>Gangway Removed</t>
  </si>
  <si>
    <t>Gauged And Sampled Tank</t>
  </si>
  <si>
    <t>Hoses Connected</t>
  </si>
  <si>
    <t>Hoses Disconnected</t>
  </si>
  <si>
    <t>Inert Gas Failure</t>
  </si>
  <si>
    <t>Inspection Commenced</t>
  </si>
  <si>
    <t>Inspection Completed</t>
  </si>
  <si>
    <t>Inspector Arrived At Terminal</t>
  </si>
  <si>
    <t>Inspector Departed Terminal</t>
  </si>
  <si>
    <t>Inspector Disembarked</t>
  </si>
  <si>
    <t>Inspector on-board</t>
  </si>
  <si>
    <t>Inward Harbor Steaming</t>
  </si>
  <si>
    <t>Last Line Let Go</t>
  </si>
  <si>
    <t>Laytime Starts</t>
  </si>
  <si>
    <t>Left Anchorage</t>
  </si>
  <si>
    <t>Left Drydock</t>
  </si>
  <si>
    <t>Left Layby Berth</t>
  </si>
  <si>
    <t>Line Clearance</t>
  </si>
  <si>
    <t>Line Flushing</t>
  </si>
  <si>
    <t>Loading Resumed</t>
  </si>
  <si>
    <t>Loading Suspended</t>
  </si>
  <si>
    <t>Lock Available</t>
  </si>
  <si>
    <t>Miscellaneous</t>
  </si>
  <si>
    <t>Miscellaneous ended</t>
  </si>
  <si>
    <t>NOR Accepted</t>
  </si>
  <si>
    <t>NOR Tendered</t>
  </si>
  <si>
    <t>Opening Custody Transfer</t>
  </si>
  <si>
    <t>Outturn Agreed</t>
  </si>
  <si>
    <t>Pilot Off</t>
  </si>
  <si>
    <t>Pilot On Board</t>
  </si>
  <si>
    <t>Pumping Delays (Discharge Only)</t>
  </si>
  <si>
    <t>Received Instructions</t>
  </si>
  <si>
    <t>Resume Ballasting</t>
  </si>
  <si>
    <t>Shore ESD Tested</t>
  </si>
  <si>
    <t>Short Loaded</t>
  </si>
  <si>
    <t>Start Allowance</t>
  </si>
  <si>
    <t>Start of Bad Weather</t>
  </si>
  <si>
    <t>Stop Ballasting</t>
  </si>
  <si>
    <t>Stop COW</t>
  </si>
  <si>
    <t>Stop De-Ballasting</t>
  </si>
  <si>
    <t>Stop Discharge</t>
  </si>
  <si>
    <t>Stop Lightering</t>
  </si>
  <si>
    <t>Stop Loading</t>
  </si>
  <si>
    <t>Surveyor Arrives</t>
  </si>
  <si>
    <t>Surveyor Departs</t>
  </si>
  <si>
    <t>Tide available</t>
  </si>
  <si>
    <t>Tugs available</t>
  </si>
  <si>
    <t>TVEL Issued</t>
  </si>
  <si>
    <t>Unberthed</t>
  </si>
  <si>
    <t>V/L Lining Up</t>
  </si>
  <si>
    <t>Vapour Line Connected</t>
  </si>
  <si>
    <t>Vapour Line Disconnected</t>
  </si>
  <si>
    <t>Vessel Arrest</t>
  </si>
  <si>
    <t>Vessel Breakdown/ Failure</t>
  </si>
  <si>
    <t>Vessel Commenced Cooldown of Deck Lines</t>
  </si>
  <si>
    <t>Vessel Commenced Discharge of Cargo</t>
  </si>
  <si>
    <t>Vessel Commenced Loading of Cargo</t>
  </si>
  <si>
    <t>Vessel Completed Cooldown of Deck Lines</t>
  </si>
  <si>
    <t>Vessel ESD Reset</t>
  </si>
  <si>
    <t>Vessel ESD Tested</t>
  </si>
  <si>
    <t>Vessel Last Line Ashore</t>
  </si>
  <si>
    <t>Vessel Safety Incident or Spill</t>
  </si>
  <si>
    <t>Vessel Sailed / Last Line</t>
  </si>
  <si>
    <t>Vessel Started Eighth/Last Cargo Pump</t>
  </si>
  <si>
    <t>Vessel Started Fifth Cargo Pump</t>
  </si>
  <si>
    <t>Vessel Started First Cargo Pump</t>
  </si>
  <si>
    <t>Vessel Started Fourth Cargo Pump</t>
  </si>
  <si>
    <t>Vessel Started Second Cargo Pump</t>
  </si>
  <si>
    <t>Vessel Started Seventh Cargo Pump</t>
  </si>
  <si>
    <t>Vessel Started Sixth Cargo Pump</t>
  </si>
  <si>
    <t>Vessel Started Third Cargo Pump</t>
  </si>
  <si>
    <t>Vessel Stop</t>
  </si>
  <si>
    <t>Vessel Stopped Eighth/Last Cargo Pump</t>
  </si>
  <si>
    <t>Vessel Stopped Fifth Cargo Pump</t>
  </si>
  <si>
    <t>Vessel Stopped First Cargo Pump</t>
  </si>
  <si>
    <t>Vessel Stopped Fourth Cargo Pump</t>
  </si>
  <si>
    <t>Vessel Stopped Second Cargo Pump</t>
  </si>
  <si>
    <t>Vessel Stopped Seventh Cargo Pump</t>
  </si>
  <si>
    <t>Vessel Stopped Sixth Cargo Pump</t>
  </si>
  <si>
    <t>Vessel Stopped Third Cargo Pump</t>
  </si>
  <si>
    <t>Vessel Vapour Line Closed</t>
  </si>
  <si>
    <t>Vessel Vapour Line Opened</t>
  </si>
  <si>
    <t>Water Available</t>
  </si>
  <si>
    <t>100% Cargo Discharged Sample Taken</t>
    <phoneticPr fontId="1" type="noConversion"/>
  </si>
  <si>
    <t>25% Cargo Discharged Sample Taken</t>
    <phoneticPr fontId="1" type="noConversion"/>
  </si>
  <si>
    <t>50% Cargo Discharged Sample Taken</t>
    <phoneticPr fontId="1" type="noConversion"/>
  </si>
  <si>
    <t>Act of God</t>
    <phoneticPr fontId="1" type="noConversion"/>
  </si>
  <si>
    <t>Act of War</t>
    <phoneticPr fontId="1" type="noConversion"/>
  </si>
  <si>
    <t>Anchor Down</t>
    <phoneticPr fontId="1" type="noConversion"/>
  </si>
  <si>
    <t>Anchor Up</t>
    <phoneticPr fontId="1" type="noConversion"/>
  </si>
  <si>
    <t>Arrived Customary anchorage</t>
    <phoneticPr fontId="1" type="noConversion"/>
  </si>
  <si>
    <t>Awaiting Berth</t>
    <phoneticPr fontId="1" type="noConversion"/>
  </si>
  <si>
    <t>Awaiting Cargo</t>
    <phoneticPr fontId="1" type="noConversion"/>
  </si>
  <si>
    <t>Awaiting Crew</t>
    <phoneticPr fontId="1" type="noConversion"/>
  </si>
  <si>
    <t>Awaiting Daylight</t>
    <phoneticPr fontId="1" type="noConversion"/>
  </si>
  <si>
    <t>Awaiting Documentation</t>
    <phoneticPr fontId="1" type="noConversion"/>
  </si>
  <si>
    <t>Awaiting Harbor traffic</t>
    <phoneticPr fontId="1" type="noConversion"/>
  </si>
  <si>
    <t>Awaiting ice clearance</t>
    <phoneticPr fontId="1" type="noConversion"/>
  </si>
  <si>
    <t>Awaiting Lightering Vessel</t>
    <phoneticPr fontId="1" type="noConversion"/>
  </si>
  <si>
    <t>Awaiting Lock</t>
    <phoneticPr fontId="1" type="noConversion"/>
  </si>
  <si>
    <t>Awaiting Pilot</t>
    <phoneticPr fontId="1" type="noConversion"/>
  </si>
  <si>
    <t>Awaiting Tank Space/ Ullage</t>
    <phoneticPr fontId="1" type="noConversion"/>
  </si>
  <si>
    <t>Awaiting Terminal Readiness</t>
    <phoneticPr fontId="1" type="noConversion"/>
  </si>
  <si>
    <t>Awaiting Tide</t>
    <phoneticPr fontId="1" type="noConversion"/>
  </si>
  <si>
    <t>Awaiting Tugs</t>
    <phoneticPr fontId="1" type="noConversion"/>
  </si>
  <si>
    <t>Awaiting Vessel Readiness</t>
    <phoneticPr fontId="1" type="noConversion"/>
  </si>
  <si>
    <t>Awaiting Water</t>
    <phoneticPr fontId="1" type="noConversion"/>
  </si>
  <si>
    <t>Barge Berthed, Allfast</t>
    <phoneticPr fontId="1" type="noConversion"/>
  </si>
  <si>
    <t>Barge Unberthed</t>
    <phoneticPr fontId="1" type="noConversion"/>
  </si>
  <si>
    <t>Berth Available</t>
    <phoneticPr fontId="1" type="noConversion"/>
  </si>
  <si>
    <t>Berthed In Lock</t>
    <phoneticPr fontId="1" type="noConversion"/>
  </si>
  <si>
    <t>Berthed Layby</t>
    <phoneticPr fontId="1" type="noConversion"/>
  </si>
  <si>
    <t>Berthed, Allfast</t>
    <phoneticPr fontId="1" type="noConversion"/>
  </si>
  <si>
    <t>Cargo Arms Connected</t>
    <phoneticPr fontId="1" type="noConversion"/>
  </si>
  <si>
    <t>Cargo Arms Disconnected</t>
    <phoneticPr fontId="1" type="noConversion"/>
  </si>
  <si>
    <t>Cargo Contamination (Vessel)</t>
    <phoneticPr fontId="1" type="noConversion"/>
  </si>
  <si>
    <t>Cargo Contamination/Off Spec (Shore)</t>
    <phoneticPr fontId="1" type="noConversion"/>
  </si>
  <si>
    <t>Cargo Samples OK</t>
    <phoneticPr fontId="1" type="noConversion"/>
  </si>
  <si>
    <t>Changing Grade</t>
    <phoneticPr fontId="1" type="noConversion"/>
  </si>
  <si>
    <t>Changing Tank/Grade</t>
    <phoneticPr fontId="1" type="noConversion"/>
  </si>
  <si>
    <t>Cleared Canal</t>
    <phoneticPr fontId="1" type="noConversion"/>
  </si>
  <si>
    <t>Cleared Locks</t>
    <phoneticPr fontId="1" type="noConversion"/>
  </si>
  <si>
    <t>Closing Custody Transfer</t>
    <phoneticPr fontId="1" type="noConversion"/>
  </si>
  <si>
    <t>Commence Ballasting</t>
    <phoneticPr fontId="1" type="noConversion"/>
  </si>
  <si>
    <t>Commence Cargo Measure/Tank monitor/02 sampling</t>
    <phoneticPr fontId="1" type="noConversion"/>
  </si>
  <si>
    <t>Commence COW</t>
    <phoneticPr fontId="1" type="noConversion"/>
  </si>
  <si>
    <t>Commence De-Ballasting</t>
    <phoneticPr fontId="1" type="noConversion"/>
  </si>
  <si>
    <t>Commence De-Bunkering</t>
    <phoneticPr fontId="1" type="noConversion"/>
  </si>
  <si>
    <t>Commence De-Slop</t>
    <phoneticPr fontId="1" type="noConversion"/>
  </si>
  <si>
    <t>Commence Discharge</t>
    <phoneticPr fontId="1" type="noConversion"/>
  </si>
  <si>
    <t>Commence Final Inspection</t>
    <phoneticPr fontId="1" type="noConversion"/>
  </si>
  <si>
    <t>Commence Inerting</t>
    <phoneticPr fontId="1" type="noConversion"/>
  </si>
  <si>
    <t>Commence Lightering</t>
    <phoneticPr fontId="1" type="noConversion"/>
  </si>
  <si>
    <t>Commence Loading</t>
    <phoneticPr fontId="1" type="noConversion"/>
  </si>
  <si>
    <t>Commence Preliminary Inspection</t>
    <phoneticPr fontId="1" type="noConversion"/>
  </si>
  <si>
    <t>Commence Repairs</t>
    <phoneticPr fontId="1" type="noConversion"/>
  </si>
  <si>
    <t>Commence Stores</t>
    <phoneticPr fontId="1" type="noConversion"/>
  </si>
  <si>
    <t>Commence Storing</t>
    <phoneticPr fontId="1" type="noConversion"/>
  </si>
  <si>
    <t>Commence Stripping</t>
    <phoneticPr fontId="1" type="noConversion"/>
  </si>
  <si>
    <t>Commence Tank Cleaning</t>
    <phoneticPr fontId="1" type="noConversion"/>
  </si>
  <si>
    <t>Commence Tank Inspection</t>
    <phoneticPr fontId="1" type="noConversion"/>
  </si>
  <si>
    <t>(RPA&amp;검사원)</t>
    <phoneticPr fontId="1" type="noConversion"/>
  </si>
  <si>
    <r>
      <rPr>
        <sz val="9"/>
        <color theme="0" tint="-0.499984740745262"/>
        <rFont val="맑은 고딕"/>
        <family val="3"/>
        <charset val="129"/>
      </rPr>
      <t>울산</t>
    </r>
    <r>
      <rPr>
        <sz val="9"/>
        <color theme="0" tint="-0.499984740745262"/>
        <rFont val="Arial"/>
        <family val="2"/>
      </rPr>
      <t xml:space="preserve"> (2023-07-03)</t>
    </r>
    <phoneticPr fontId="1" type="noConversion"/>
  </si>
  <si>
    <r>
      <rPr>
        <sz val="9"/>
        <color theme="0" tint="-0.499984740745262"/>
        <rFont val="맑은 고딕"/>
        <family val="3"/>
        <charset val="129"/>
      </rPr>
      <t>여수</t>
    </r>
    <r>
      <rPr>
        <sz val="9"/>
        <color theme="0" tint="-0.499984740745262"/>
        <rFont val="Arial"/>
        <family val="2"/>
      </rPr>
      <t xml:space="preserve"> (2023-07-03)</t>
    </r>
    <phoneticPr fontId="1" type="noConversion"/>
  </si>
  <si>
    <t>비중 변환기는 참고 사항입니다.</t>
    <phoneticPr fontId="1" type="noConversion"/>
  </si>
  <si>
    <t>Difference (GSV) 참고 물량입니다.</t>
    <phoneticPr fontId="1" type="noConversion"/>
  </si>
  <si>
    <t>◀</t>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</si>
  <si>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Bill of Lading GSV:</t>
    </r>
    <phoneticPr fontId="1" type="noConversion"/>
  </si>
  <si>
    <r>
      <rPr>
        <sz val="9"/>
        <color rgb="FFFF0000"/>
        <rFont val="맑은 고딕"/>
        <family val="3"/>
        <charset val="129"/>
        <scheme val="minor"/>
      </rPr>
      <t>*</t>
    </r>
    <r>
      <rPr>
        <sz val="9"/>
        <color theme="1"/>
        <rFont val="맑은 고딕"/>
        <family val="3"/>
        <charset val="129"/>
        <scheme val="minor"/>
      </rPr>
      <t xml:space="preserve"> TCV After Loading </t>
    </r>
    <r>
      <rPr>
        <sz val="8"/>
        <color rgb="FFFF00FF"/>
        <rFont val="맑은 고딕"/>
        <family val="3"/>
        <charset val="129"/>
        <scheme val="minor"/>
      </rPr>
      <t>(TCV = GSV + F/W)</t>
    </r>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</si>
  <si>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GSV After Loading</t>
    </r>
    <phoneticPr fontId="1" type="noConversion"/>
  </si>
  <si>
    <t>Density는 분석 결과를 적용합니다.</t>
    <phoneticPr fontId="1" type="noConversion"/>
  </si>
  <si>
    <r>
      <t xml:space="preserve">( </t>
    </r>
    <r>
      <rPr>
        <b/>
        <sz val="10"/>
        <color rgb="FFFFFF00"/>
        <rFont val="맑은 고딕"/>
        <family val="3"/>
        <charset val="129"/>
        <scheme val="minor"/>
      </rPr>
      <t xml:space="preserve">v </t>
    </r>
    <r>
      <rPr>
        <sz val="9"/>
        <color theme="0"/>
        <rFont val="맑은 고딕"/>
        <family val="3"/>
        <charset val="129"/>
        <scheme val="minor"/>
      </rPr>
      <t>)</t>
    </r>
    <phoneticPr fontId="1" type="noConversion"/>
  </si>
  <si>
    <t>Clear &amp; Bright</t>
  </si>
  <si>
    <t>Light Yellow</t>
  </si>
  <si>
    <t>Maretable</t>
  </si>
  <si>
    <t>Merchantable</t>
  </si>
  <si>
    <t>Nagative</t>
  </si>
  <si>
    <t>Pale Yellow</t>
  </si>
  <si>
    <t>Pass</t>
  </si>
  <si>
    <t>Undyed</t>
  </si>
  <si>
    <t>N/A</t>
  </si>
  <si>
    <t>Not add STADIS</t>
  </si>
  <si>
    <t>Nil</t>
  </si>
  <si>
    <t>Nil addition</t>
  </si>
  <si>
    <t>No addition</t>
  </si>
  <si>
    <t>Not detected</t>
  </si>
  <si>
    <t>1a</t>
    <phoneticPr fontId="1" type="noConversion"/>
  </si>
  <si>
    <t>Password_10</t>
    <phoneticPr fontId="1" type="noConversion"/>
  </si>
  <si>
    <t>Password_00</t>
    <phoneticPr fontId="1" type="noConversion"/>
  </si>
  <si>
    <t xml:space="preserve">  FROM</t>
    <phoneticPr fontId="1" type="noConversion"/>
  </si>
  <si>
    <t xml:space="preserve">  TO</t>
    <phoneticPr fontId="1" type="noConversion"/>
  </si>
  <si>
    <r>
      <t>2</t>
    </r>
    <r>
      <rPr>
        <b/>
        <sz val="10"/>
        <rFont val="Arial Unicode MS"/>
        <family val="2"/>
        <charset val="129"/>
      </rPr>
      <t xml:space="preserve">차 </t>
    </r>
    <r>
      <rPr>
        <b/>
        <sz val="10"/>
        <rFont val="Arial"/>
        <family val="2"/>
        <charset val="129"/>
      </rPr>
      <t>ADDITIONAL TEST</t>
    </r>
    <phoneticPr fontId="1" type="noConversion"/>
  </si>
  <si>
    <r>
      <t>1</t>
    </r>
    <r>
      <rPr>
        <b/>
        <sz val="10"/>
        <rFont val="Arial Unicode MS"/>
        <family val="2"/>
        <charset val="129"/>
      </rPr>
      <t>차</t>
    </r>
    <r>
      <rPr>
        <b/>
        <sz val="10"/>
        <rFont val="Arial"/>
        <family val="2"/>
      </rPr>
      <t xml:space="preserve"> INPUT DATA</t>
    </r>
    <phoneticPr fontId="1" type="noConversion"/>
  </si>
  <si>
    <r>
      <rPr>
        <b/>
        <sz val="9"/>
        <color rgb="FFFF6600"/>
        <rFont val="Arial"/>
        <family val="2"/>
      </rPr>
      <t xml:space="preserve">** </t>
    </r>
    <r>
      <rPr>
        <sz val="9"/>
        <color rgb="FF0000CC"/>
        <rFont val="Arial Unicode MS"/>
        <family val="3"/>
        <charset val="129"/>
      </rPr>
      <t>해당</t>
    </r>
    <r>
      <rPr>
        <sz val="9"/>
        <color rgb="FF0000CC"/>
        <rFont val="Arial"/>
        <family val="3"/>
      </rPr>
      <t xml:space="preserve"> worksheet</t>
    </r>
    <r>
      <rPr>
        <sz val="9"/>
        <color rgb="FF0000CC"/>
        <rFont val="Arial Unicode MS"/>
        <family val="3"/>
        <charset val="129"/>
      </rPr>
      <t>의</t>
    </r>
    <r>
      <rPr>
        <sz val="9"/>
        <color rgb="FF0000CC"/>
        <rFont val="Arial"/>
        <family val="3"/>
      </rPr>
      <t xml:space="preserve"> </t>
    </r>
    <r>
      <rPr>
        <sz val="9"/>
        <color rgb="FF0000CC"/>
        <rFont val="Arial Unicode MS"/>
        <family val="3"/>
        <charset val="129"/>
      </rPr>
      <t>작업을</t>
    </r>
    <r>
      <rPr>
        <sz val="9"/>
        <color rgb="FF0000CC"/>
        <rFont val="Arial"/>
        <family val="3"/>
      </rPr>
      <t xml:space="preserve"> </t>
    </r>
    <r>
      <rPr>
        <sz val="9"/>
        <color rgb="FF0000CC"/>
        <rFont val="Arial Unicode MS"/>
        <family val="3"/>
        <charset val="129"/>
      </rPr>
      <t>선택</t>
    </r>
    <phoneticPr fontId="1" type="noConversion"/>
  </si>
  <si>
    <r>
      <rPr>
        <b/>
        <sz val="9"/>
        <color rgb="FFFF6600"/>
        <rFont val="Arial Unicode MS"/>
        <family val="3"/>
        <charset val="129"/>
      </rPr>
      <t xml:space="preserve">** </t>
    </r>
    <r>
      <rPr>
        <sz val="9"/>
        <color rgb="FF0000CC"/>
        <rFont val="Arial Unicode MS"/>
        <family val="2"/>
        <charset val="129"/>
      </rPr>
      <t>추가 분석 업로드</t>
    </r>
    <r>
      <rPr>
        <sz val="9"/>
        <color rgb="FF0000CC"/>
        <rFont val="Arial"/>
        <family val="2"/>
      </rPr>
      <t xml:space="preserve"> </t>
    </r>
    <r>
      <rPr>
        <sz val="9"/>
        <color rgb="FF0000CC"/>
        <rFont val="Arial Unicode MS"/>
        <family val="2"/>
        <charset val="129"/>
      </rPr>
      <t>필요시</t>
    </r>
    <r>
      <rPr>
        <b/>
        <sz val="9"/>
        <color rgb="FF0000CC"/>
        <rFont val="Arial Unicode MS"/>
        <family val="2"/>
        <charset val="129"/>
      </rPr>
      <t xml:space="preserve"> </t>
    </r>
    <r>
      <rPr>
        <b/>
        <sz val="9"/>
        <color rgb="FFFF6600"/>
        <rFont val="Arial Unicode MS"/>
        <family val="3"/>
        <charset val="129"/>
      </rPr>
      <t>Yes 또는 No 선택</t>
    </r>
    <r>
      <rPr>
        <b/>
        <sz val="9"/>
        <color rgb="FF0000CC"/>
        <rFont val="Arial"/>
        <family val="2"/>
      </rPr>
      <t xml:space="preserve"> </t>
    </r>
    <r>
      <rPr>
        <sz val="9"/>
        <color rgb="FF0000CC"/>
        <rFont val="Arial Unicode MS"/>
        <family val="3"/>
        <charset val="129"/>
      </rPr>
      <t>이후</t>
    </r>
    <r>
      <rPr>
        <b/>
        <sz val="9"/>
        <color rgb="FFFF6600"/>
        <rFont val="Arial Unicode MS"/>
        <family val="2"/>
        <charset val="129"/>
      </rPr>
      <t xml:space="preserve"> </t>
    </r>
    <r>
      <rPr>
        <b/>
        <sz val="9"/>
        <color rgb="FFFF6600"/>
        <rFont val="Arial"/>
        <family val="2"/>
      </rPr>
      <t>From/To</t>
    </r>
    <r>
      <rPr>
        <b/>
        <sz val="9"/>
        <color rgb="FFFF6600"/>
        <rFont val="Arial Unicode MS"/>
        <family val="2"/>
        <charset val="129"/>
      </rPr>
      <t xml:space="preserve"> </t>
    </r>
    <r>
      <rPr>
        <b/>
        <sz val="9"/>
        <color rgb="FFFF6600"/>
        <rFont val="Arial Unicode MS"/>
        <family val="3"/>
        <charset val="129"/>
      </rPr>
      <t>선택</t>
    </r>
    <phoneticPr fontId="1" type="noConversion"/>
  </si>
  <si>
    <t>Inspector 이름을 반드시 입력 또는 선택합니다.</t>
    <phoneticPr fontId="1" type="noConversion"/>
  </si>
  <si>
    <t>[ 1차 나바릭 업로드 ]</t>
    <phoneticPr fontId="1" type="noConversion"/>
  </si>
  <si>
    <t>[ 2차 나바릭 업로드 ]</t>
    <phoneticPr fontId="1" type="noConversion"/>
  </si>
  <si>
    <t>Quantity는 모든 worksheet에 해당하므로 Yes 선택 합니다.</t>
    <phoneticPr fontId="1" type="noConversion"/>
  </si>
  <si>
    <t xml:space="preserve">Time Log는 동 선박일 경우 한번만 등록하면 되므로 첫번째 worksheet에만 "Yes" 체크를 하고 다른 worksheet는 "No" 체크를 합니다. </t>
    <phoneticPr fontId="1" type="noConversion"/>
  </si>
  <si>
    <t>Quality는 1차 육상탱크 분석 결과에 해당 합니다. 만일 육상 분석이 없으면 "No" 체크 합니다.</t>
    <phoneticPr fontId="1" type="noConversion"/>
  </si>
  <si>
    <t>2차 Additional Test는 선박 샘플 추가 분석 요청이 있을 때 "Yes"를 선택합니다. (2차 추가 분석이 없으면 "No"를 유지합니다.)</t>
    <phoneticPr fontId="1" type="noConversion"/>
  </si>
  <si>
    <t>From은 해당 분석이 시작되는 첫 번째 SET를 선택합니다. (만일 추가 분석 SET가 한 개이면 From만 선택하고 To는 선택하지 않습니다.)</t>
    <phoneticPr fontId="1" type="noConversion"/>
  </si>
  <si>
    <t xml:space="preserve">To는 SET가 한 개 이상이면 마지막 SET를 TO 에서 선택합니다. </t>
    <phoneticPr fontId="1" type="noConversion"/>
  </si>
  <si>
    <r>
      <rPr>
        <sz val="9"/>
        <color rgb="FFFF0000"/>
        <rFont val="맑은 고딕"/>
        <family val="3"/>
        <charset val="129"/>
        <scheme val="minor"/>
      </rPr>
      <t>*</t>
    </r>
    <r>
      <rPr>
        <sz val="9"/>
        <color theme="1"/>
        <rFont val="맑은 고딕"/>
        <family val="3"/>
        <charset val="129"/>
        <scheme val="minor"/>
      </rPr>
      <t xml:space="preserve"> Bbls @ 60°F</t>
    </r>
    <phoneticPr fontId="1" type="noConversion"/>
  </si>
  <si>
    <t>울산</t>
    <phoneticPr fontId="1" type="noConversion"/>
  </si>
  <si>
    <t>여수</t>
    <phoneticPr fontId="1" type="noConversion"/>
  </si>
  <si>
    <t>대산</t>
    <phoneticPr fontId="1" type="noConversion"/>
  </si>
  <si>
    <t>평택</t>
    <phoneticPr fontId="1" type="noConversion"/>
  </si>
  <si>
    <t>kr_ogculsan@sgs.com</t>
    <phoneticPr fontId="1" type="noConversion"/>
  </si>
  <si>
    <t>kr_ogcyosu@sgs.com</t>
    <phoneticPr fontId="1" type="noConversion"/>
  </si>
  <si>
    <t>kr_ogcwest@sgs.com</t>
    <phoneticPr fontId="1" type="noConversion"/>
  </si>
  <si>
    <t>부산</t>
    <phoneticPr fontId="1" type="noConversion"/>
  </si>
  <si>
    <t>kr_ogcins_pusan@sgs.com</t>
    <phoneticPr fontId="1" type="noConversion"/>
  </si>
  <si>
    <t>Check</t>
    <phoneticPr fontId="1" type="noConversion"/>
  </si>
  <si>
    <t>Final</t>
    <phoneticPr fontId="1" type="noConversion"/>
  </si>
  <si>
    <t>CHEVRON</t>
  </si>
  <si>
    <t>IKIGAI</t>
    <phoneticPr fontId="1" type="noConversion"/>
  </si>
  <si>
    <t>여수</t>
    <phoneticPr fontId="1" type="noConversion"/>
  </si>
  <si>
    <t>23C767581-03</t>
    <phoneticPr fontId="1" type="noConversion"/>
  </si>
  <si>
    <t>Unleaded Gasoline 91</t>
    <phoneticPr fontId="1" type="noConversion"/>
  </si>
  <si>
    <t>Appearance</t>
  </si>
  <si>
    <t>Aromatics in Gasoline</t>
  </si>
  <si>
    <t>Benzene</t>
  </si>
  <si>
    <t>Color</t>
  </si>
  <si>
    <t>Copper Corrosion, 3hr @ 50C</t>
  </si>
  <si>
    <t>Density @ 15C</t>
  </si>
  <si>
    <t>Distillation Evaporated @ 70C</t>
  </si>
  <si>
    <t>Distillation 10% Evaporated</t>
  </si>
  <si>
    <t>Distillation 50% Evaporated</t>
  </si>
  <si>
    <t>Distillation 90% Evaporated</t>
  </si>
  <si>
    <t>Distillation Final Boiling Point</t>
  </si>
  <si>
    <t>Distillation Loss</t>
  </si>
  <si>
    <t>Distillation Residue</t>
  </si>
  <si>
    <t>Driveability Index (Calculated)</t>
  </si>
  <si>
    <t>Ethanol Content</t>
  </si>
  <si>
    <t>Flexible Volatility Index</t>
  </si>
  <si>
    <t>Gum Content, Existent (unwashed)</t>
  </si>
  <si>
    <t>Gum Content, Existent (washed)</t>
  </si>
  <si>
    <t>Oxidation Stability (Induction Period Method)</t>
  </si>
  <si>
    <t>Lead in Gasoline</t>
  </si>
  <si>
    <t>Octane Number - Motor (MON)</t>
  </si>
  <si>
    <t>Octane Number - Research (RON)</t>
  </si>
  <si>
    <t>Odour</t>
  </si>
  <si>
    <t>Olefins in Gasoline</t>
  </si>
  <si>
    <t>Oxygen Content</t>
  </si>
  <si>
    <t>Oxygenates and Oxygen Content in Gasoline</t>
  </si>
  <si>
    <t>Other Oxygenates</t>
  </si>
  <si>
    <t>Particulate Contamination - Lab Procedure (Filtration and Gravimetric Determination)</t>
  </si>
  <si>
    <t>Phosphorus in Gasoline</t>
  </si>
  <si>
    <t>Silver Strip Corrosion 3Hr@ 50C</t>
  </si>
  <si>
    <t>Sulfur Content</t>
  </si>
  <si>
    <t>Mercaptan Sulfur in Light and Middle Distillates (Potentiometric Method) Gasoline, Kerosine, Aviation Turbine, and Distillate Fuels</t>
  </si>
  <si>
    <t>Doctor Test</t>
  </si>
  <si>
    <t>Vapor Pressure</t>
  </si>
  <si>
    <t>Steam Cracked Naphtha</t>
  </si>
  <si>
    <t>Metal Deactivator</t>
  </si>
  <si>
    <t>Additives (declaration)</t>
  </si>
  <si>
    <t>Additive - Antioxidant (declaration)</t>
  </si>
  <si>
    <t>n/a</t>
  </si>
  <si>
    <t>min = 17 / max = 35 (buy)</t>
  </si>
  <si>
    <t>max = 40 (buy)</t>
  </si>
  <si>
    <t>max = 1.0 (buy)</t>
  </si>
  <si>
    <t>max = 1 (buy)</t>
  </si>
  <si>
    <t>Report only</t>
  </si>
  <si>
    <t>max = 65.0 (buy)</t>
  </si>
  <si>
    <t>max = 115.0 (buy)</t>
  </si>
  <si>
    <t>max = 183.0 (buy)</t>
  </si>
  <si>
    <t>max = 210 (buy)</t>
  </si>
  <si>
    <t>max = 2.0 (buy)</t>
  </si>
  <si>
    <t>max = 0 (buy)</t>
  </si>
  <si>
    <t>max = 90 (buy)</t>
  </si>
  <si>
    <t>max = 30 (buy)</t>
  </si>
  <si>
    <t>max = 5.0 (buy)</t>
  </si>
  <si>
    <t>min = 360 (buy)</t>
  </si>
  <si>
    <t>min = 81.0 (buy)</t>
  </si>
  <si>
    <t>min = 91 (buy)</t>
  </si>
  <si>
    <t>max = 18.0 (buy)</t>
  </si>
  <si>
    <t>max = 2.7 (buy)</t>
  </si>
  <si>
    <t>max = 0.5 (buy)</t>
  </si>
  <si>
    <t>max = 3.0 (buy)</t>
  </si>
  <si>
    <t>max = 1.3 (buy)</t>
  </si>
  <si>
    <t>max = 50 (buy)</t>
  </si>
  <si>
    <t>max = 15 (buy)</t>
  </si>
  <si>
    <t>min = 45.0 (buy)</t>
  </si>
  <si>
    <t>max = 24.0 (buy)</t>
  </si>
  <si>
    <t>max = 6 (buy)</t>
  </si>
  <si>
    <t>pass/fail</t>
  </si>
  <si>
    <t>visual</t>
  </si>
  <si>
    <t>%vol</t>
  </si>
  <si>
    <t>rating</t>
  </si>
  <si>
    <t>kg/l</t>
  </si>
  <si>
    <t>°C</t>
  </si>
  <si>
    <t>calc</t>
  </si>
  <si>
    <t>mg/100ml</t>
  </si>
  <si>
    <t>mins</t>
  </si>
  <si>
    <t>mg/l</t>
  </si>
  <si>
    <t>%m</t>
  </si>
  <si>
    <t>mg P/l</t>
  </si>
  <si>
    <t>mg/kg</t>
  </si>
  <si>
    <t>pos/neg</t>
  </si>
  <si>
    <t>kPa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</si>
</sst>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yyyy/mm/dd;@"/>
    <numFmt numFmtId="177" formatCode="0.0_ "/>
    <numFmt numFmtId="178" formatCode="0.0000_ "/>
    <numFmt numFmtId="179" formatCode="0.0#"/>
    <numFmt numFmtId="180" formatCode="0.000_ "/>
    <numFmt numFmtId="181" formatCode="0000"/>
    <numFmt numFmtId="182" formatCode="#,000.00#"/>
    <numFmt numFmtId="183" formatCode="#,##0.000_ "/>
    <numFmt numFmtId="184" formatCode=";;;"/>
    <numFmt numFmtId="185" formatCode="[$-409]dd&quot; &quot;mmm&quot; &quot;yyyy;@"/>
    <numFmt numFmtId="186" formatCode="0.0000;\-0.0000;"/>
    <numFmt numFmtId="187" formatCode="0.00;\-0.00;"/>
    <numFmt numFmtId="188" formatCode="#,##0.00;\-#,##0.00;"/>
    <numFmt numFmtId="189" formatCode="#,000.00#;\-#,000.00#;"/>
    <numFmt numFmtId="190" formatCode="#,##0.000;\-#,##0.000;"/>
    <numFmt numFmtId="191" formatCode="#,000.00#;#,000.00#;"/>
  </numFmts>
  <fonts count="88">
    <font>
      <sz val="11"/>
      <color theme="1"/>
      <name val="맑은 고딕"/>
      <family val="2"/>
      <charset val="129"/>
      <scheme val="minor"/>
    </font>
    <font>
      <sz val="8"/>
      <name val="맑은 고딕"/>
      <family val="2"/>
      <charset val="129"/>
      <scheme val="minor"/>
    </font>
    <font>
      <sz val="10"/>
      <color theme="1"/>
      <name val="맑은 고딕"/>
      <family val="3"/>
      <charset val="129"/>
      <scheme val="minor"/>
    </font>
    <font>
      <b/>
      <sz val="10"/>
      <color theme="1"/>
      <name val="맑은 고딕"/>
      <family val="3"/>
      <charset val="129"/>
      <scheme val="minor"/>
    </font>
    <font>
      <sz val="10"/>
      <color rgb="FF0000CC"/>
      <name val="맑은 고딕"/>
      <family val="3"/>
      <charset val="129"/>
      <scheme val="minor"/>
    </font>
    <font>
      <sz val="10"/>
      <name val="맑은 고딕"/>
      <family val="3"/>
      <charset val="129"/>
      <scheme val="minor"/>
    </font>
    <font>
      <sz val="10"/>
      <color rgb="FFFF0000"/>
      <name val="맑은 고딕"/>
      <family val="3"/>
      <charset val="129"/>
      <scheme val="minor"/>
    </font>
    <font>
      <b/>
      <sz val="10"/>
      <name val="맑은 고딕"/>
      <family val="3"/>
      <charset val="129"/>
      <scheme val="minor"/>
    </font>
    <font>
      <sz val="8"/>
      <color theme="1"/>
      <name val="맑은 고딕"/>
      <family val="2"/>
      <charset val="129"/>
      <scheme val="minor"/>
    </font>
    <font>
      <b/>
      <sz val="10"/>
      <color rgb="FFFF0000"/>
      <name val="맑은 고딕"/>
      <family val="3"/>
      <charset val="129"/>
      <scheme val="minor"/>
    </font>
    <font>
      <b/>
      <sz val="10"/>
      <color theme="0"/>
      <name val="맑은 고딕"/>
      <family val="3"/>
      <charset val="129"/>
      <scheme val="minor"/>
    </font>
    <font>
      <sz val="10"/>
      <color theme="0"/>
      <name val="맑은 고딕"/>
      <family val="3"/>
      <charset val="129"/>
      <scheme val="minor"/>
    </font>
    <font>
      <sz val="11"/>
      <color theme="0"/>
      <name val="맑은 고딕"/>
      <family val="3"/>
      <charset val="129"/>
      <scheme val="minor"/>
    </font>
    <font>
      <b/>
      <sz val="11"/>
      <color theme="1"/>
      <name val="맑은 고딕"/>
      <family val="3"/>
      <charset val="129"/>
      <scheme val="minor"/>
    </font>
    <font>
      <sz val="9"/>
      <color rgb="FFFF0000"/>
      <name val="맑은 고딕"/>
      <family val="3"/>
      <charset val="129"/>
      <scheme val="minor"/>
    </font>
    <font>
      <sz val="9"/>
      <color theme="1"/>
      <name val="맑은 고딕"/>
      <family val="3"/>
      <charset val="129"/>
      <scheme val="minor"/>
    </font>
    <font>
      <b/>
      <sz val="9"/>
      <color theme="0"/>
      <name val="맑은 고딕"/>
      <family val="3"/>
      <charset val="129"/>
      <scheme val="minor"/>
    </font>
    <font>
      <b/>
      <sz val="9"/>
      <name val="맑은 고딕"/>
      <family val="3"/>
      <charset val="129"/>
      <scheme val="minor"/>
    </font>
    <font>
      <b/>
      <sz val="9"/>
      <color theme="1"/>
      <name val="맑은 고딕"/>
      <family val="3"/>
      <charset val="129"/>
      <scheme val="minor"/>
    </font>
    <font>
      <vertAlign val="superscript"/>
      <sz val="9"/>
      <color theme="1"/>
      <name val="맑은 고딕"/>
      <family val="3"/>
      <charset val="129"/>
      <scheme val="minor"/>
    </font>
    <font>
      <b/>
      <u/>
      <sz val="9"/>
      <color rgb="FF0000CC"/>
      <name val="맑은 고딕"/>
      <family val="3"/>
      <charset val="129"/>
      <scheme val="minor"/>
    </font>
    <font>
      <b/>
      <u/>
      <sz val="12"/>
      <color rgb="FF0000CC"/>
      <name val="맑은 고딕"/>
      <family val="3"/>
      <charset val="129"/>
      <scheme val="minor"/>
    </font>
    <font>
      <sz val="9"/>
      <name val="맑은 고딕"/>
      <family val="3"/>
      <charset val="129"/>
      <scheme val="minor"/>
    </font>
    <font>
      <b/>
      <sz val="9"/>
      <color rgb="FFFF0000"/>
      <name val="맑은 고딕"/>
      <family val="3"/>
      <charset val="129"/>
      <scheme val="minor"/>
    </font>
    <font>
      <sz val="9"/>
      <color theme="0"/>
      <name val="맑은 고딕"/>
      <family val="3"/>
      <charset val="129"/>
      <scheme val="minor"/>
    </font>
    <font>
      <sz val="9"/>
      <color rgb="FF00B050"/>
      <name val="맑은 고딕"/>
      <family val="3"/>
      <charset val="129"/>
      <scheme val="minor"/>
    </font>
    <font>
      <b/>
      <i/>
      <sz val="11"/>
      <color rgb="FFFF00FF"/>
      <name val="맑은 고딕"/>
      <family val="3"/>
      <charset val="129"/>
      <scheme val="minor"/>
    </font>
    <font>
      <b/>
      <sz val="20"/>
      <color rgb="FF0000CC"/>
      <name val="맑은 고딕"/>
      <family val="3"/>
      <charset val="129"/>
      <scheme val="minor"/>
    </font>
    <font>
      <sz val="8"/>
      <color rgb="FFFF00FF"/>
      <name val="맑은 고딕"/>
      <family val="3"/>
      <charset val="129"/>
      <scheme val="minor"/>
    </font>
    <font>
      <b/>
      <u/>
      <sz val="12"/>
      <color rgb="FFFF0000"/>
      <name val="맑은 고딕"/>
      <family val="3"/>
      <charset val="129"/>
      <scheme val="minor"/>
    </font>
    <font>
      <sz val="10"/>
      <color theme="1"/>
      <name val="Arial"/>
      <family val="2"/>
    </font>
    <font>
      <b/>
      <sz val="8"/>
      <color rgb="FFFF00FF"/>
      <name val="맑은 고딕"/>
      <family val="3"/>
      <charset val="129"/>
      <scheme val="minor"/>
    </font>
    <font>
      <b/>
      <sz val="10"/>
      <color theme="0"/>
      <name val="Arial"/>
      <family val="2"/>
    </font>
    <font>
      <sz val="11"/>
      <color rgb="FF000000"/>
      <name val="돋움"/>
      <family val="3"/>
      <charset val="129"/>
    </font>
    <font>
      <sz val="8"/>
      <color theme="0"/>
      <name val="맑은 고딕"/>
      <family val="3"/>
      <charset val="129"/>
      <scheme val="minor"/>
    </font>
    <font>
      <b/>
      <sz val="8"/>
      <color theme="0"/>
      <name val="맑은 고딕"/>
      <family val="3"/>
      <charset val="129"/>
      <scheme val="minor"/>
    </font>
    <font>
      <b/>
      <u/>
      <sz val="11"/>
      <color rgb="FF0000CC"/>
      <name val="맑은 고딕"/>
      <family val="3"/>
      <charset val="129"/>
      <scheme val="minor"/>
    </font>
    <font>
      <sz val="6"/>
      <color theme="1"/>
      <name val="맑은 고딕"/>
      <family val="2"/>
      <charset val="129"/>
      <scheme val="minor"/>
    </font>
    <font>
      <sz val="6"/>
      <color theme="1"/>
      <name val="맑은 고딕"/>
      <family val="3"/>
      <charset val="129"/>
      <scheme val="minor"/>
    </font>
    <font>
      <sz val="9"/>
      <color rgb="FF0000CC"/>
      <name val="맑은 고딕"/>
      <family val="3"/>
      <charset val="129"/>
      <scheme val="minor"/>
    </font>
    <font>
      <b/>
      <sz val="9"/>
      <color rgb="FF0000CC"/>
      <name val="맑은 고딕"/>
      <family val="3"/>
      <charset val="129"/>
      <scheme val="minor"/>
    </font>
    <font>
      <sz val="9"/>
      <color theme="1"/>
      <name val="Arial"/>
      <family val="2"/>
    </font>
    <font>
      <sz val="9"/>
      <color rgb="FFFF6600"/>
      <name val="Arial"/>
      <family val="2"/>
    </font>
    <font>
      <b/>
      <sz val="11"/>
      <color rgb="FFFF6600"/>
      <name val="Arial"/>
      <family val="2"/>
    </font>
    <font>
      <b/>
      <sz val="10"/>
      <color theme="1"/>
      <name val="Arial"/>
      <family val="2"/>
    </font>
    <font>
      <b/>
      <sz val="10"/>
      <color rgb="FF0000FF"/>
      <name val="Arial"/>
      <family val="2"/>
    </font>
    <font>
      <u/>
      <sz val="11"/>
      <color theme="10"/>
      <name val="맑은 고딕"/>
      <family val="2"/>
      <charset val="129"/>
      <scheme val="minor"/>
    </font>
    <font>
      <b/>
      <sz val="9"/>
      <color theme="1"/>
      <name val="Arial"/>
      <family val="2"/>
    </font>
    <font>
      <sz val="9"/>
      <color rgb="FFFF00FF"/>
      <name val="Arial"/>
      <family val="2"/>
    </font>
    <font>
      <sz val="9"/>
      <color rgb="FFFF00FF"/>
      <name val="맑은 고딕"/>
      <family val="3"/>
      <charset val="129"/>
      <scheme val="minor"/>
    </font>
    <font>
      <sz val="10"/>
      <color theme="0" tint="-0.14999847407452621"/>
      <name val="Arial"/>
      <family val="2"/>
    </font>
    <font>
      <sz val="10"/>
      <name val="Arial"/>
      <family val="2"/>
    </font>
    <font>
      <b/>
      <sz val="9"/>
      <color rgb="FF0000FF"/>
      <name val="맑은 고딕"/>
      <family val="3"/>
      <charset val="129"/>
      <scheme val="minor"/>
    </font>
    <font>
      <sz val="9"/>
      <color rgb="FF0000FF"/>
      <name val="맑은 고딕"/>
      <family val="3"/>
      <charset val="129"/>
      <scheme val="minor"/>
    </font>
    <font>
      <b/>
      <sz val="10"/>
      <color rgb="FF0000CC"/>
      <name val="Arial"/>
      <family val="2"/>
    </font>
    <font>
      <b/>
      <sz val="10"/>
      <color rgb="FF0000CC"/>
      <name val="맑은 고딕"/>
      <family val="3"/>
      <charset val="129"/>
    </font>
    <font>
      <sz val="10"/>
      <color theme="1"/>
      <name val="맑은 고딕"/>
      <family val="2"/>
      <charset val="129"/>
      <scheme val="minor"/>
    </font>
    <font>
      <b/>
      <u/>
      <sz val="9"/>
      <color rgb="FFFF6600"/>
      <name val="맑은 고딕"/>
      <family val="3"/>
      <charset val="129"/>
      <scheme val="minor"/>
    </font>
    <font>
      <u/>
      <sz val="9"/>
      <color rgb="FFFF6600"/>
      <name val="맑은 고딕"/>
      <family val="3"/>
      <charset val="129"/>
      <scheme val="minor"/>
    </font>
    <font>
      <sz val="11"/>
      <color theme="10"/>
      <name val="맑은 고딕"/>
      <family val="2"/>
      <charset val="129"/>
      <scheme val="minor"/>
    </font>
    <font>
      <sz val="11"/>
      <color theme="10"/>
      <name val="맑은 고딕"/>
      <family val="3"/>
      <charset val="129"/>
      <scheme val="minor"/>
    </font>
    <font>
      <sz val="9"/>
      <color theme="0" tint="-0.499984740745262"/>
      <name val="Arial"/>
      <family val="2"/>
    </font>
    <font>
      <sz val="9"/>
      <color theme="0" tint="-0.499984740745262"/>
      <name val="Arial"/>
      <family val="3"/>
      <charset val="129"/>
    </font>
    <font>
      <sz val="9"/>
      <color theme="0" tint="-0.499984740745262"/>
      <name val="맑은 고딕"/>
      <family val="3"/>
      <charset val="129"/>
    </font>
    <font>
      <b/>
      <sz val="11"/>
      <color rgb="FF0000CC"/>
      <name val="맑은 고딕"/>
      <family val="3"/>
      <charset val="129"/>
      <scheme val="minor"/>
    </font>
    <font>
      <sz val="9"/>
      <color rgb="FFFFFF99"/>
      <name val="Segoe UI Symbol"/>
      <family val="2"/>
    </font>
    <font>
      <sz val="9"/>
      <color rgb="FFFFFF99"/>
      <name val="Arial"/>
      <family val="2"/>
    </font>
    <font>
      <b/>
      <sz val="10"/>
      <color rgb="FFFFFF00"/>
      <name val="맑은 고딕"/>
      <family val="3"/>
      <charset val="129"/>
      <scheme val="minor"/>
    </font>
    <font>
      <sz val="10"/>
      <color theme="0" tint="-0.14996795556505021"/>
      <name val="Arial"/>
      <family val="2"/>
    </font>
    <font>
      <b/>
      <sz val="9"/>
      <color rgb="FF0000CC"/>
      <name val="Arial"/>
      <family val="2"/>
    </font>
    <font>
      <b/>
      <sz val="9"/>
      <color rgb="FF0000CC"/>
      <name val="Arial Unicode MS"/>
      <family val="2"/>
      <charset val="129"/>
    </font>
    <font>
      <b/>
      <sz val="10"/>
      <name val="Arial"/>
      <family val="2"/>
      <charset val="129"/>
    </font>
    <font>
      <b/>
      <sz val="10"/>
      <name val="Arial Unicode MS"/>
      <family val="2"/>
      <charset val="129"/>
    </font>
    <font>
      <b/>
      <sz val="10"/>
      <name val="Arial"/>
      <family val="2"/>
    </font>
    <font>
      <b/>
      <sz val="9"/>
      <color rgb="FFFF6600"/>
      <name val="Arial Unicode MS"/>
      <family val="3"/>
      <charset val="129"/>
    </font>
    <font>
      <b/>
      <sz val="9"/>
      <color rgb="FFFF6600"/>
      <name val="Arial"/>
      <family val="2"/>
    </font>
    <font>
      <b/>
      <sz val="9"/>
      <color rgb="FFFF6600"/>
      <name val="Arial Unicode MS"/>
      <family val="2"/>
      <charset val="129"/>
    </font>
    <font>
      <b/>
      <sz val="9"/>
      <color rgb="FFFF0000"/>
      <name val="Arial"/>
      <family val="3"/>
      <charset val="129"/>
    </font>
    <font>
      <sz val="9"/>
      <color rgb="FF0000CC"/>
      <name val="Arial Unicode MS"/>
      <family val="3"/>
      <charset val="129"/>
    </font>
    <font>
      <sz val="9"/>
      <color rgb="FF0000CC"/>
      <name val="Arial"/>
      <family val="3"/>
    </font>
    <font>
      <sz val="9"/>
      <color rgb="FF0000CC"/>
      <name val="Arial Unicode MS"/>
      <family val="2"/>
      <charset val="129"/>
    </font>
    <font>
      <sz val="9"/>
      <color rgb="FF0000CC"/>
      <name val="Arial"/>
      <family val="2"/>
    </font>
    <font>
      <sz val="9"/>
      <name val="Arial"/>
      <family val="2"/>
    </font>
    <font>
      <sz val="9"/>
      <color rgb="FFFFFF99"/>
      <name val="굴림체"/>
      <family val="3"/>
      <charset val="129"/>
    </font>
    <font>
      <b/>
      <sz val="9"/>
      <color rgb="FFFF6600"/>
      <name val="굴림체"/>
      <family val="3"/>
      <charset val="129"/>
    </font>
    <font>
      <b/>
      <sz val="9"/>
      <color rgb="FFFFFF99"/>
      <name val="굴림체"/>
      <family val="3"/>
      <charset val="129"/>
    </font>
    <font>
      <b/>
      <sz val="9"/>
      <name val="Arial"/>
      <family val="2"/>
    </font>
    <font>
      <b/>
      <sz val="6"/>
      <color rgb="FFFF0000"/>
      <name val="맑은 고딕"/>
      <family val="3"/>
      <charset val="129"/>
      <scheme val="minor"/>
    </font>
  </fonts>
  <fills count="22">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66FFFF"/>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CCFF"/>
        <bgColor indexed="64"/>
      </patternFill>
    </fill>
    <fill>
      <patternFill patternType="solid">
        <fgColor rgb="FFFFFF99"/>
        <bgColor indexed="64"/>
      </patternFill>
    </fill>
    <fill>
      <patternFill patternType="solid">
        <fgColor rgb="FF006666"/>
        <bgColor indexed="64"/>
      </patternFill>
    </fill>
    <fill>
      <patternFill patternType="solid">
        <fgColor theme="4" tint="0.79998168889431442"/>
        <bgColor indexed="64"/>
      </patternFill>
    </fill>
    <fill>
      <patternFill patternType="solid">
        <fgColor rgb="FFFFC000"/>
        <bgColor indexed="64"/>
      </patternFill>
    </fill>
    <fill>
      <patternFill patternType="solid">
        <fgColor theme="9" tint="0.79998168889431442"/>
        <bgColor indexed="64"/>
      </patternFill>
    </fill>
    <fill>
      <patternFill patternType="solid">
        <fgColor rgb="FFCCFFCC"/>
        <bgColor indexed="64"/>
      </patternFill>
    </fill>
    <fill>
      <patternFill patternType="solid">
        <fgColor rgb="FFCCECFF"/>
        <bgColor indexed="64"/>
      </patternFill>
    </fill>
    <fill>
      <patternFill patternType="solid">
        <fgColor theme="5" tint="0.79998168889431442"/>
        <bgColor indexed="64"/>
      </patternFill>
    </fill>
    <fill>
      <patternFill patternType="solid">
        <fgColor rgb="FFFF66CC"/>
        <bgColor indexed="64"/>
      </patternFill>
    </fill>
    <fill>
      <patternFill patternType="solid">
        <fgColor rgb="FFFF0000"/>
        <bgColor indexed="64"/>
      </patternFill>
    </fill>
    <fill>
      <patternFill patternType="solid">
        <fgColor theme="1"/>
        <bgColor indexed="64"/>
      </patternFill>
    </fill>
    <fill>
      <patternFill patternType="solid">
        <fgColor theme="8" tint="0.79998168889431442"/>
        <bgColor indexed="64"/>
      </patternFill>
    </fill>
  </fills>
  <borders count="55">
    <border>
      <left/>
      <right/>
      <top/>
      <bottom/>
      <diagonal/>
    </border>
    <border>
      <left style="thin">
        <color rgb="FFFF9900"/>
      </left>
      <right style="thin">
        <color rgb="FFFF9900"/>
      </right>
      <top style="thin">
        <color rgb="FFFF9900"/>
      </top>
      <bottom style="thin">
        <color rgb="FFFF9900"/>
      </bottom>
      <diagonal/>
    </border>
    <border>
      <left style="thin">
        <color rgb="FF006666"/>
      </left>
      <right style="thin">
        <color rgb="FF006666"/>
      </right>
      <top style="thin">
        <color rgb="FF006666"/>
      </top>
      <bottom/>
      <diagonal/>
    </border>
    <border>
      <left style="thin">
        <color rgb="FF006666"/>
      </left>
      <right style="thin">
        <color rgb="FF006666"/>
      </right>
      <top/>
      <bottom style="thin">
        <color rgb="FFFF9900"/>
      </bottom>
      <diagonal/>
    </border>
    <border>
      <left style="thin">
        <color rgb="FF006666"/>
      </left>
      <right style="thin">
        <color theme="0"/>
      </right>
      <top style="thin">
        <color rgb="FF006666"/>
      </top>
      <bottom/>
      <diagonal/>
    </border>
    <border>
      <left style="thin">
        <color theme="0"/>
      </left>
      <right style="thin">
        <color rgb="FF006666"/>
      </right>
      <top style="thin">
        <color rgb="FF006666"/>
      </top>
      <bottom/>
      <diagonal/>
    </border>
    <border>
      <left style="thin">
        <color rgb="FF006666"/>
      </left>
      <right style="thin">
        <color theme="0"/>
      </right>
      <top/>
      <bottom style="thin">
        <color rgb="FFFF9900"/>
      </bottom>
      <diagonal/>
    </border>
    <border>
      <left style="thin">
        <color theme="0"/>
      </left>
      <right style="thin">
        <color rgb="FF006666"/>
      </right>
      <top/>
      <bottom style="thin">
        <color rgb="FFFF9900"/>
      </bottom>
      <diagonal/>
    </border>
    <border>
      <left style="thin">
        <color theme="0"/>
      </left>
      <right style="thin">
        <color theme="0"/>
      </right>
      <top style="thin">
        <color rgb="FF006666"/>
      </top>
      <bottom/>
      <diagonal/>
    </border>
    <border>
      <left style="thin">
        <color theme="0"/>
      </left>
      <right style="thin">
        <color theme="0"/>
      </right>
      <top/>
      <bottom style="thin">
        <color rgb="FFFF9900"/>
      </bottom>
      <diagonal/>
    </border>
    <border>
      <left style="thin">
        <color rgb="FFFF9900"/>
      </left>
      <right/>
      <top style="thin">
        <color rgb="FFFF9900"/>
      </top>
      <bottom style="thin">
        <color rgb="FFFF9900"/>
      </bottom>
      <diagonal/>
    </border>
    <border>
      <left/>
      <right style="thin">
        <color rgb="FFFF9900"/>
      </right>
      <top style="thin">
        <color rgb="FFFF9900"/>
      </top>
      <bottom style="thin">
        <color rgb="FFFF9900"/>
      </bottom>
      <diagonal/>
    </border>
    <border>
      <left style="thin">
        <color theme="0"/>
      </left>
      <right style="thin">
        <color theme="0"/>
      </right>
      <top style="thin">
        <color rgb="FF006666"/>
      </top>
      <bottom style="thin">
        <color theme="0"/>
      </bottom>
      <diagonal/>
    </border>
    <border>
      <left style="thin">
        <color theme="0"/>
      </left>
      <right style="thin">
        <color theme="0"/>
      </right>
      <top style="thin">
        <color theme="0"/>
      </top>
      <bottom style="thin">
        <color rgb="FFFF9900"/>
      </bottom>
      <diagonal/>
    </border>
    <border>
      <left/>
      <right/>
      <top style="thin">
        <color rgb="FF006666"/>
      </top>
      <bottom/>
      <diagonal/>
    </border>
    <border>
      <left/>
      <right/>
      <top/>
      <bottom style="thin">
        <color rgb="FFFF9900"/>
      </bottom>
      <diagonal/>
    </border>
    <border>
      <left/>
      <right/>
      <top/>
      <bottom style="thin">
        <color rgb="FF006666"/>
      </bottom>
      <diagonal/>
    </border>
    <border>
      <left style="medium">
        <color rgb="FF0000CC"/>
      </left>
      <right style="medium">
        <color rgb="FF0000CC"/>
      </right>
      <top style="medium">
        <color rgb="FF0000CC"/>
      </top>
      <bottom style="thin">
        <color rgb="FF0000CC"/>
      </bottom>
      <diagonal/>
    </border>
    <border>
      <left style="medium">
        <color rgb="FF0000CC"/>
      </left>
      <right style="medium">
        <color rgb="FF0000CC"/>
      </right>
      <top style="thin">
        <color rgb="FF0000CC"/>
      </top>
      <bottom style="thin">
        <color rgb="FF0000CC"/>
      </bottom>
      <diagonal/>
    </border>
    <border>
      <left style="medium">
        <color rgb="FFFF6600"/>
      </left>
      <right style="medium">
        <color rgb="FFFF6600"/>
      </right>
      <top style="medium">
        <color rgb="FFFF6600"/>
      </top>
      <bottom style="thin">
        <color rgb="FFFF6600"/>
      </bottom>
      <diagonal/>
    </border>
    <border>
      <left style="medium">
        <color rgb="FFFF6600"/>
      </left>
      <right style="medium">
        <color rgb="FFFF6600"/>
      </right>
      <top style="thin">
        <color rgb="FFFF6600"/>
      </top>
      <bottom style="thin">
        <color rgb="FFFF6600"/>
      </bottom>
      <diagonal/>
    </border>
    <border>
      <left style="medium">
        <color rgb="FFFF6600"/>
      </left>
      <right style="medium">
        <color rgb="FFFF6600"/>
      </right>
      <top style="thin">
        <color rgb="FFFF6600"/>
      </top>
      <bottom style="medium">
        <color rgb="FFFF6600"/>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FF9900"/>
      </left>
      <right style="medium">
        <color rgb="FFFF9900"/>
      </right>
      <top style="thin">
        <color rgb="FFFF9900"/>
      </top>
      <bottom style="thin">
        <color rgb="FFFF9900"/>
      </bottom>
      <diagonal/>
    </border>
    <border>
      <left style="medium">
        <color rgb="FFFF9900"/>
      </left>
      <right style="thin">
        <color rgb="FFFF9900"/>
      </right>
      <top style="thin">
        <color rgb="FFFF9900"/>
      </top>
      <bottom style="thin">
        <color rgb="FFFF9900"/>
      </bottom>
      <diagonal/>
    </border>
    <border>
      <left style="thin">
        <color theme="8" tint="0.59996337778862885"/>
      </left>
      <right style="thin">
        <color rgb="FF006666"/>
      </right>
      <top style="thin">
        <color theme="8" tint="0.59996337778862885"/>
      </top>
      <bottom style="thin">
        <color rgb="FF006666"/>
      </bottom>
      <diagonal/>
    </border>
    <border>
      <left style="thin">
        <color rgb="FF006666"/>
      </left>
      <right style="thin">
        <color rgb="FF006666"/>
      </right>
      <top style="thin">
        <color theme="8" tint="0.59996337778862885"/>
      </top>
      <bottom style="thin">
        <color rgb="FF006666"/>
      </bottom>
      <diagonal/>
    </border>
    <border>
      <left style="thin">
        <color rgb="FF006666"/>
      </left>
      <right style="thin">
        <color theme="8" tint="0.59996337778862885"/>
      </right>
      <top style="thin">
        <color theme="8" tint="0.59996337778862885"/>
      </top>
      <bottom style="thin">
        <color rgb="FF006666"/>
      </bottom>
      <diagonal/>
    </border>
    <border>
      <left style="thin">
        <color rgb="FFFF9900"/>
      </left>
      <right style="thin">
        <color rgb="FFFF9900"/>
      </right>
      <top/>
      <bottom style="thin">
        <color rgb="FFFF99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rgb="FF008080"/>
      </left>
      <right style="thin">
        <color rgb="FF008080"/>
      </right>
      <top style="thin">
        <color rgb="FF008080"/>
      </top>
      <bottom style="thin">
        <color rgb="FF008080"/>
      </bottom>
      <diagonal/>
    </border>
    <border>
      <left style="thin">
        <color indexed="64"/>
      </left>
      <right style="thin">
        <color indexed="64"/>
      </right>
      <top/>
      <bottom style="thin">
        <color indexed="64"/>
      </bottom>
      <diagonal/>
    </border>
    <border>
      <left style="medium">
        <color rgb="FF0000CC"/>
      </left>
      <right style="medium">
        <color rgb="FF0000CC"/>
      </right>
      <top style="thin">
        <color rgb="FF0000CC"/>
      </top>
      <bottom style="medium">
        <color rgb="FF0000CC"/>
      </bottom>
      <diagonal/>
    </border>
    <border>
      <left/>
      <right/>
      <top style="thin">
        <color rgb="FFFF9900"/>
      </top>
      <bottom/>
      <diagonal/>
    </border>
    <border>
      <left style="medium">
        <color rgb="FF006666"/>
      </left>
      <right style="thin">
        <color rgb="FF006666"/>
      </right>
      <top style="medium">
        <color rgb="FF006666"/>
      </top>
      <bottom style="medium">
        <color rgb="FF006666"/>
      </bottom>
      <diagonal/>
    </border>
    <border>
      <left style="thin">
        <color rgb="FF006666"/>
      </left>
      <right style="medium">
        <color rgb="FF006666"/>
      </right>
      <top style="medium">
        <color rgb="FF006666"/>
      </top>
      <bottom style="medium">
        <color rgb="FF006666"/>
      </bottom>
      <diagonal/>
    </border>
    <border>
      <left style="hair">
        <color rgb="FF0000CC"/>
      </left>
      <right style="hair">
        <color rgb="FF0000CC"/>
      </right>
      <top style="hair">
        <color rgb="FF0000CC"/>
      </top>
      <bottom style="hair">
        <color rgb="FF0000CC"/>
      </bottom>
      <diagonal/>
    </border>
    <border>
      <left style="thin">
        <color rgb="FFFF9900"/>
      </left>
      <right/>
      <top style="thin">
        <color rgb="FFFF9900"/>
      </top>
      <bottom/>
      <diagonal/>
    </border>
    <border>
      <left/>
      <right style="thin">
        <color rgb="FFFF9900"/>
      </right>
      <top style="thin">
        <color rgb="FFFF9900"/>
      </top>
      <bottom/>
      <diagonal/>
    </border>
    <border>
      <left style="thin">
        <color rgb="FFFF9900"/>
      </left>
      <right/>
      <top/>
      <bottom/>
      <diagonal/>
    </border>
    <border>
      <left/>
      <right style="thin">
        <color rgb="FFFF9900"/>
      </right>
      <top/>
      <bottom/>
      <diagonal/>
    </border>
    <border>
      <left style="thin">
        <color rgb="FFFF9900"/>
      </left>
      <right/>
      <top/>
      <bottom style="thin">
        <color rgb="FFFF9900"/>
      </bottom>
      <diagonal/>
    </border>
    <border>
      <left/>
      <right style="thin">
        <color rgb="FFFF9900"/>
      </right>
      <top/>
      <bottom style="thin">
        <color rgb="FFFF9900"/>
      </bottom>
      <diagonal/>
    </border>
    <border>
      <left style="medium">
        <color rgb="FFFF6600"/>
      </left>
      <right style="medium">
        <color rgb="FFFF6600"/>
      </right>
      <top style="medium">
        <color rgb="FFFF6600"/>
      </top>
      <bottom style="medium">
        <color rgb="FFFF6600"/>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FF9900"/>
      </left>
      <right/>
      <top style="thin">
        <color rgb="FFFF9900"/>
      </top>
      <bottom style="thin">
        <color rgb="FF006666"/>
      </bottom>
      <diagonal/>
    </border>
    <border>
      <left/>
      <right/>
      <top style="thin">
        <color rgb="FFFF9900"/>
      </top>
      <bottom style="thin">
        <color rgb="FF006666"/>
      </bottom>
      <diagonal/>
    </border>
    <border>
      <left/>
      <right style="thin">
        <color rgb="FFFF9900"/>
      </right>
      <top style="thin">
        <color rgb="FFFF9900"/>
      </top>
      <bottom style="thin">
        <color rgb="FF006666"/>
      </bottom>
      <diagonal/>
    </border>
    <border>
      <left/>
      <right/>
      <top style="thin">
        <color rgb="FFFF9900"/>
      </top>
      <bottom style="thin">
        <color rgb="FFFF9900"/>
      </bottom>
      <diagonal/>
    </border>
    <border>
      <left style="thin">
        <color theme="0"/>
      </left>
      <right style="thin">
        <color theme="5"/>
      </right>
      <top style="thin">
        <color rgb="FF006666"/>
      </top>
      <bottom/>
      <diagonal/>
    </border>
    <border>
      <left style="thin">
        <color theme="0"/>
      </left>
      <right style="thin">
        <color theme="5"/>
      </right>
      <top/>
      <bottom style="thin">
        <color rgb="FFFF9900"/>
      </bottom>
      <diagonal/>
    </border>
  </borders>
  <cellStyleXfs count="2">
    <xf numFmtId="0" fontId="0" fillId="0" borderId="0">
      <alignment vertical="center"/>
    </xf>
    <xf numFmtId="0" fontId="46" fillId="0" borderId="0" applyNumberFormat="0" applyFill="0" applyBorder="0" applyAlignment="0" applyProtection="0">
      <alignment vertical="center"/>
    </xf>
  </cellStyleXfs>
  <cellXfs count="304">
    <xf numFmtId="0" fontId="0" fillId="0" borderId="0" xfId="0">
      <alignment vertical="center"/>
    </xf>
    <xf numFmtId="0" fontId="0" fillId="5" borderId="0" xfId="0" applyFill="1" applyProtection="1">
      <alignment vertical="center"/>
      <protection hidden="1"/>
    </xf>
    <xf numFmtId="0" fontId="0" fillId="5" borderId="0" xfId="0" applyFill="1" applyAlignment="1" applyProtection="1">
      <alignment horizontal="center" vertical="center"/>
      <protection hidden="1"/>
    </xf>
    <xf numFmtId="0" fontId="0" fillId="3" borderId="0" xfId="0" applyFill="1" applyAlignment="1" applyProtection="1">
      <alignment horizontal="center" vertical="center"/>
      <protection hidden="1"/>
    </xf>
    <xf numFmtId="0" fontId="0" fillId="3" borderId="0" xfId="0" applyFill="1" applyProtection="1">
      <alignment vertical="center"/>
      <protection hidden="1"/>
    </xf>
    <xf numFmtId="0" fontId="5" fillId="3" borderId="0" xfId="0" applyFont="1" applyFill="1" applyBorder="1" applyAlignment="1" applyProtection="1">
      <alignment horizontal="left" vertical="center"/>
      <protection hidden="1"/>
    </xf>
    <xf numFmtId="0" fontId="5" fillId="3" borderId="0" xfId="0" applyFont="1" applyFill="1" applyAlignment="1" applyProtection="1">
      <alignment horizontal="left" vertical="center"/>
      <protection hidden="1"/>
    </xf>
    <xf numFmtId="0" fontId="2" fillId="3" borderId="0" xfId="0" applyFont="1" applyFill="1" applyProtection="1">
      <alignment vertical="center"/>
      <protection hidden="1"/>
    </xf>
    <xf numFmtId="0" fontId="2" fillId="5" borderId="0" xfId="0" applyFont="1" applyFill="1" applyProtection="1">
      <alignment vertical="center"/>
      <protection hidden="1"/>
    </xf>
    <xf numFmtId="0" fontId="8" fillId="3" borderId="0" xfId="0" applyFont="1" applyFill="1" applyAlignment="1" applyProtection="1">
      <alignment horizontal="center" vertical="center"/>
      <protection hidden="1"/>
    </xf>
    <xf numFmtId="0" fontId="2" fillId="3" borderId="0" xfId="0" applyFont="1" applyFill="1" applyBorder="1" applyProtection="1">
      <alignment vertical="center"/>
      <protection hidden="1"/>
    </xf>
    <xf numFmtId="184" fontId="2" fillId="3" borderId="0" xfId="0" applyNumberFormat="1" applyFont="1" applyFill="1" applyAlignment="1" applyProtection="1">
      <alignment horizontal="left" vertical="center"/>
      <protection hidden="1"/>
    </xf>
    <xf numFmtId="0" fontId="2" fillId="5" borderId="0" xfId="0" applyFont="1" applyFill="1" applyBorder="1" applyProtection="1">
      <alignment vertical="center"/>
      <protection hidden="1"/>
    </xf>
    <xf numFmtId="0" fontId="8" fillId="3" borderId="0" xfId="0" applyFont="1" applyFill="1" applyProtection="1">
      <alignment vertical="center"/>
      <protection hidden="1"/>
    </xf>
    <xf numFmtId="0" fontId="10" fillId="11" borderId="2" xfId="0" applyFont="1" applyFill="1" applyBorder="1" applyAlignment="1" applyProtection="1">
      <alignment horizontal="left" vertical="center"/>
      <protection hidden="1"/>
    </xf>
    <xf numFmtId="0" fontId="11" fillId="11" borderId="3" xfId="0" applyFont="1" applyFill="1" applyBorder="1" applyAlignment="1" applyProtection="1">
      <alignment horizontal="left" vertical="center"/>
      <protection hidden="1"/>
    </xf>
    <xf numFmtId="0" fontId="12" fillId="11" borderId="2" xfId="0" applyFont="1" applyFill="1" applyBorder="1" applyAlignment="1" applyProtection="1">
      <alignment horizontal="center" vertical="center"/>
      <protection hidden="1"/>
    </xf>
    <xf numFmtId="0" fontId="12" fillId="11" borderId="3" xfId="0" applyFont="1" applyFill="1" applyBorder="1" applyAlignment="1" applyProtection="1">
      <alignment horizontal="center" vertical="center"/>
      <protection hidden="1"/>
    </xf>
    <xf numFmtId="0" fontId="10" fillId="11" borderId="4" xfId="0" applyFont="1" applyFill="1" applyBorder="1" applyAlignment="1" applyProtection="1">
      <alignment horizontal="left" vertical="center"/>
      <protection hidden="1"/>
    </xf>
    <xf numFmtId="0" fontId="15" fillId="9" borderId="1" xfId="0" applyFont="1" applyFill="1" applyBorder="1" applyAlignment="1" applyProtection="1">
      <alignment horizontal="left" vertical="center"/>
      <protection locked="0"/>
    </xf>
    <xf numFmtId="49" fontId="15" fillId="10" borderId="1" xfId="0" applyNumberFormat="1" applyFont="1" applyFill="1" applyBorder="1" applyAlignment="1" applyProtection="1">
      <alignment horizontal="left" vertical="center"/>
      <protection locked="0"/>
    </xf>
    <xf numFmtId="0" fontId="16" fillId="11" borderId="13" xfId="0" applyFont="1" applyFill="1" applyBorder="1" applyAlignment="1" applyProtection="1">
      <alignment horizontal="center" vertical="top"/>
      <protection hidden="1"/>
    </xf>
    <xf numFmtId="0" fontId="17" fillId="3"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4" borderId="1" xfId="0" applyFont="1" applyFill="1" applyBorder="1" applyAlignment="1" applyProtection="1">
      <alignment horizontal="center" vertical="center"/>
      <protection locked="0"/>
    </xf>
    <xf numFmtId="0" fontId="15" fillId="3" borderId="0" xfId="0" applyFont="1" applyFill="1" applyAlignment="1" applyProtection="1">
      <alignment horizontal="center" vertical="center"/>
      <protection hidden="1"/>
    </xf>
    <xf numFmtId="178" fontId="15" fillId="2" borderId="1" xfId="0" applyNumberFormat="1" applyFont="1" applyFill="1" applyBorder="1" applyAlignment="1" applyProtection="1">
      <alignment horizontal="center" vertical="center"/>
      <protection locked="0"/>
    </xf>
    <xf numFmtId="182" fontId="15" fillId="2" borderId="1" xfId="0" applyNumberFormat="1" applyFont="1" applyFill="1" applyBorder="1" applyAlignment="1" applyProtection="1">
      <alignment horizontal="center" vertical="center"/>
      <protection locked="0"/>
    </xf>
    <xf numFmtId="183" fontId="15" fillId="2" borderId="1" xfId="0" applyNumberFormat="1" applyFont="1" applyFill="1" applyBorder="1" applyAlignment="1" applyProtection="1">
      <alignment horizontal="center" vertical="center"/>
      <protection locked="0"/>
    </xf>
    <xf numFmtId="183" fontId="15" fillId="6" borderId="1" xfId="0" applyNumberFormat="1" applyFont="1" applyFill="1" applyBorder="1" applyAlignment="1" applyProtection="1">
      <alignment horizontal="center" vertical="center"/>
      <protection locked="0"/>
    </xf>
    <xf numFmtId="182" fontId="15" fillId="7" borderId="1" xfId="0" applyNumberFormat="1" applyFont="1" applyFill="1" applyBorder="1" applyAlignment="1" applyProtection="1">
      <alignment horizontal="center" vertical="center"/>
      <protection locked="0"/>
    </xf>
    <xf numFmtId="183" fontId="15" fillId="7" borderId="1" xfId="0" applyNumberFormat="1" applyFont="1" applyFill="1" applyBorder="1" applyAlignment="1" applyProtection="1">
      <alignment horizontal="center" vertical="center"/>
      <protection locked="0"/>
    </xf>
    <xf numFmtId="183" fontId="15" fillId="8" borderId="1" xfId="0" applyNumberFormat="1" applyFont="1" applyFill="1" applyBorder="1" applyAlignment="1" applyProtection="1">
      <alignment horizontal="center" vertical="center"/>
      <protection locked="0"/>
    </xf>
    <xf numFmtId="179" fontId="15" fillId="2" borderId="1" xfId="0" applyNumberFormat="1" applyFont="1" applyFill="1" applyBorder="1" applyAlignment="1" applyProtection="1">
      <alignment horizontal="center" vertical="center"/>
      <protection locked="0"/>
    </xf>
    <xf numFmtId="177" fontId="15" fillId="2" borderId="1" xfId="0" applyNumberFormat="1" applyFont="1" applyFill="1" applyBorder="1" applyAlignment="1" applyProtection="1">
      <alignment horizontal="center" vertical="center"/>
      <protection locked="0"/>
    </xf>
    <xf numFmtId="0" fontId="15" fillId="7" borderId="1" xfId="0" applyFont="1" applyFill="1" applyBorder="1" applyAlignment="1" applyProtection="1">
      <alignment horizontal="center" vertical="center"/>
      <protection locked="0"/>
    </xf>
    <xf numFmtId="0" fontId="15" fillId="3" borderId="0" xfId="0" applyFont="1" applyFill="1" applyProtection="1">
      <alignment vertical="center"/>
      <protection hidden="1"/>
    </xf>
    <xf numFmtId="0" fontId="15" fillId="3" borderId="0" xfId="0" applyFont="1" applyFill="1" applyAlignment="1" applyProtection="1">
      <alignment horizontal="left" vertical="center" indent="1"/>
      <protection hidden="1"/>
    </xf>
    <xf numFmtId="0" fontId="20" fillId="3" borderId="0" xfId="0" applyFont="1" applyFill="1" applyProtection="1">
      <alignment vertical="center"/>
      <protection hidden="1"/>
    </xf>
    <xf numFmtId="0" fontId="17" fillId="3" borderId="0" xfId="0" applyFont="1" applyFill="1" applyProtection="1">
      <alignment vertical="center"/>
      <protection hidden="1"/>
    </xf>
    <xf numFmtId="0" fontId="18" fillId="3" borderId="0" xfId="0" applyFont="1" applyFill="1" applyProtection="1">
      <alignment vertical="center"/>
      <protection hidden="1"/>
    </xf>
    <xf numFmtId="0" fontId="15" fillId="3" borderId="0" xfId="0" applyFont="1" applyFill="1" applyAlignment="1" applyProtection="1">
      <alignment horizontal="left" vertical="center"/>
      <protection hidden="1"/>
    </xf>
    <xf numFmtId="0" fontId="15" fillId="3" borderId="0" xfId="0" applyFont="1" applyFill="1" applyAlignment="1" applyProtection="1">
      <alignment vertical="center"/>
      <protection hidden="1"/>
    </xf>
    <xf numFmtId="0" fontId="15" fillId="5" borderId="0" xfId="0" applyFont="1" applyFill="1" applyProtection="1">
      <alignment vertical="center"/>
      <protection hidden="1"/>
    </xf>
    <xf numFmtId="0" fontId="15" fillId="3" borderId="0" xfId="0" applyFont="1" applyFill="1" applyBorder="1" applyAlignment="1" applyProtection="1">
      <alignment horizontal="center" vertical="center"/>
      <protection hidden="1"/>
    </xf>
    <xf numFmtId="0" fontId="15" fillId="5" borderId="0" xfId="0" applyFont="1" applyFill="1" applyAlignment="1" applyProtection="1">
      <alignment horizontal="center" vertical="center"/>
      <protection hidden="1"/>
    </xf>
    <xf numFmtId="49" fontId="15" fillId="2" borderId="1"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top"/>
      <protection hidden="1"/>
    </xf>
    <xf numFmtId="0" fontId="17" fillId="5" borderId="0" xfId="0" applyFont="1" applyFill="1" applyBorder="1" applyAlignment="1" applyProtection="1">
      <alignment horizontal="center" vertical="top"/>
      <protection hidden="1"/>
    </xf>
    <xf numFmtId="0" fontId="9" fillId="4" borderId="1" xfId="0" applyFont="1" applyFill="1" applyBorder="1" applyAlignment="1" applyProtection="1">
      <alignment horizontal="center" vertical="center"/>
      <protection locked="0"/>
    </xf>
    <xf numFmtId="0" fontId="15" fillId="3" borderId="0" xfId="0" applyFont="1" applyFill="1" applyBorder="1" applyProtection="1">
      <alignment vertical="center"/>
      <protection hidden="1"/>
    </xf>
    <xf numFmtId="176" fontId="15" fillId="3" borderId="0" xfId="0" applyNumberFormat="1" applyFont="1" applyFill="1" applyBorder="1" applyAlignment="1" applyProtection="1">
      <alignment horizontal="center" vertical="center"/>
      <protection hidden="1"/>
    </xf>
    <xf numFmtId="181" fontId="15" fillId="3" borderId="0" xfId="0" applyNumberFormat="1" applyFont="1" applyFill="1" applyBorder="1" applyAlignment="1" applyProtection="1">
      <alignment horizontal="center" vertical="center"/>
      <protection hidden="1"/>
    </xf>
    <xf numFmtId="0" fontId="16" fillId="11" borderId="6" xfId="0" applyFont="1" applyFill="1" applyBorder="1" applyAlignment="1" applyProtection="1">
      <alignment horizontal="center" vertical="center"/>
      <protection hidden="1"/>
    </xf>
    <xf numFmtId="184" fontId="15" fillId="3" borderId="0" xfId="0" applyNumberFormat="1" applyFont="1" applyFill="1" applyAlignment="1" applyProtection="1">
      <alignment horizontal="left" vertical="center"/>
      <protection hidden="1"/>
    </xf>
    <xf numFmtId="184" fontId="15" fillId="3" borderId="0" xfId="0" applyNumberFormat="1" applyFont="1" applyFill="1" applyProtection="1">
      <alignment vertical="center"/>
      <protection hidden="1"/>
    </xf>
    <xf numFmtId="180" fontId="4" fillId="13" borderId="10" xfId="0" applyNumberFormat="1" applyFont="1" applyFill="1" applyBorder="1" applyAlignment="1" applyProtection="1">
      <alignment vertical="center"/>
      <protection locked="0"/>
    </xf>
    <xf numFmtId="0" fontId="4" fillId="13" borderId="10" xfId="0" applyFont="1" applyFill="1" applyBorder="1" applyAlignment="1" applyProtection="1">
      <alignment vertical="center"/>
      <protection locked="0"/>
    </xf>
    <xf numFmtId="181" fontId="5" fillId="2" borderId="1" xfId="0" applyNumberFormat="1" applyFont="1" applyFill="1" applyBorder="1" applyAlignment="1" applyProtection="1">
      <alignment horizontal="center" vertical="center"/>
      <protection locked="0"/>
    </xf>
    <xf numFmtId="49" fontId="5" fillId="2" borderId="1" xfId="0" applyNumberFormat="1" applyFont="1" applyFill="1" applyBorder="1" applyAlignment="1" applyProtection="1">
      <alignment horizontal="left" vertical="center"/>
      <protection locked="0"/>
    </xf>
    <xf numFmtId="178" fontId="22" fillId="2" borderId="1" xfId="0" applyNumberFormat="1" applyFont="1" applyFill="1" applyBorder="1" applyAlignment="1" applyProtection="1">
      <alignment horizontal="left" vertical="center"/>
      <protection locked="0"/>
    </xf>
    <xf numFmtId="0" fontId="15" fillId="13" borderId="10" xfId="0" applyFont="1" applyFill="1" applyBorder="1" applyAlignment="1" applyProtection="1">
      <alignment horizontal="left" vertical="center"/>
      <protection locked="0"/>
    </xf>
    <xf numFmtId="0" fontId="18" fillId="3" borderId="0" xfId="0" applyFont="1" applyFill="1" applyBorder="1" applyProtection="1">
      <alignment vertical="center"/>
      <protection hidden="1"/>
    </xf>
    <xf numFmtId="0" fontId="22" fillId="8" borderId="10" xfId="0" applyFont="1" applyFill="1" applyBorder="1" applyAlignment="1" applyProtection="1">
      <alignment horizontal="left" vertical="center"/>
      <protection locked="0"/>
    </xf>
    <xf numFmtId="0" fontId="28" fillId="8" borderId="11" xfId="0" applyFont="1" applyFill="1" applyBorder="1" applyAlignment="1" applyProtection="1">
      <alignment horizontal="center" vertical="center"/>
      <protection hidden="1"/>
    </xf>
    <xf numFmtId="0" fontId="2"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center"/>
      <protection hidden="1"/>
    </xf>
    <xf numFmtId="0" fontId="18" fillId="3" borderId="0" xfId="0" applyFont="1" applyFill="1" applyBorder="1" applyAlignment="1" applyProtection="1">
      <alignment horizontal="center" vertical="top"/>
      <protection hidden="1"/>
    </xf>
    <xf numFmtId="0" fontId="13" fillId="3" borderId="0" xfId="0" applyFont="1" applyFill="1" applyBorder="1" applyAlignment="1" applyProtection="1">
      <alignment vertical="center"/>
      <protection hidden="1"/>
    </xf>
    <xf numFmtId="0" fontId="10" fillId="11" borderId="9" xfId="0" applyFont="1" applyFill="1" applyBorder="1" applyAlignment="1" applyProtection="1">
      <alignment horizontal="center" vertical="center"/>
      <protection hidden="1"/>
    </xf>
    <xf numFmtId="0" fontId="10" fillId="11" borderId="9" xfId="0" quotePrefix="1" applyFont="1" applyFill="1" applyBorder="1" applyAlignment="1" applyProtection="1">
      <alignment horizontal="center" vertical="center"/>
      <protection hidden="1"/>
    </xf>
    <xf numFmtId="0" fontId="10" fillId="11" borderId="9" xfId="0" applyFont="1" applyFill="1" applyBorder="1" applyAlignment="1" applyProtection="1">
      <alignment horizontal="left" vertical="center"/>
      <protection hidden="1"/>
    </xf>
    <xf numFmtId="0" fontId="2" fillId="2" borderId="1" xfId="0" applyFont="1" applyFill="1" applyBorder="1" applyAlignment="1" applyProtection="1">
      <alignment vertical="center"/>
      <protection locked="0"/>
    </xf>
    <xf numFmtId="0" fontId="34" fillId="11" borderId="8" xfId="0" applyFont="1" applyFill="1" applyBorder="1" applyAlignment="1" applyProtection="1">
      <alignment horizontal="center" vertical="center"/>
      <protection hidden="1"/>
    </xf>
    <xf numFmtId="0" fontId="34" fillId="11" borderId="8" xfId="0" quotePrefix="1" applyFont="1" applyFill="1" applyBorder="1" applyAlignment="1" applyProtection="1">
      <alignment horizontal="center" vertical="center"/>
      <protection hidden="1"/>
    </xf>
    <xf numFmtId="0" fontId="10" fillId="11" borderId="8" xfId="0" applyFont="1" applyFill="1" applyBorder="1" applyAlignment="1" applyProtection="1">
      <alignment horizontal="left" vertical="center"/>
      <protection hidden="1"/>
    </xf>
    <xf numFmtId="49" fontId="10" fillId="11" borderId="6" xfId="0" applyNumberFormat="1" applyFont="1" applyFill="1" applyBorder="1" applyAlignment="1" applyProtection="1">
      <alignment horizontal="left" vertical="center"/>
      <protection hidden="1"/>
    </xf>
    <xf numFmtId="0" fontId="35" fillId="11" borderId="7" xfId="0" applyFont="1" applyFill="1" applyBorder="1" applyAlignment="1" applyProtection="1">
      <alignment horizontal="center" vertical="center"/>
      <protection hidden="1"/>
    </xf>
    <xf numFmtId="0" fontId="37" fillId="3" borderId="0" xfId="0" applyFont="1" applyFill="1" applyProtection="1">
      <alignment vertical="center"/>
      <protection hidden="1"/>
    </xf>
    <xf numFmtId="0" fontId="37" fillId="3" borderId="0" xfId="0" applyFont="1" applyFill="1" applyAlignment="1" applyProtection="1">
      <alignment horizontal="center" vertical="center"/>
      <protection hidden="1"/>
    </xf>
    <xf numFmtId="0" fontId="37" fillId="5" borderId="0" xfId="0" applyFont="1" applyFill="1" applyProtection="1">
      <alignment vertical="center"/>
      <protection hidden="1"/>
    </xf>
    <xf numFmtId="0" fontId="38" fillId="3" borderId="1" xfId="0" applyFont="1" applyFill="1" applyBorder="1" applyAlignment="1" applyProtection="1">
      <alignment horizontal="center" vertical="center"/>
      <protection hidden="1"/>
    </xf>
    <xf numFmtId="0" fontId="16" fillId="11" borderId="15" xfId="0" applyFont="1" applyFill="1" applyBorder="1" applyAlignment="1" applyProtection="1">
      <alignment vertical="center"/>
      <protection hidden="1"/>
    </xf>
    <xf numFmtId="0" fontId="24" fillId="11" borderId="8" xfId="0" applyFont="1" applyFill="1" applyBorder="1" applyAlignment="1" applyProtection="1">
      <alignment horizontal="center" vertical="top"/>
      <protection hidden="1"/>
    </xf>
    <xf numFmtId="0" fontId="16" fillId="11" borderId="9" xfId="0" applyFont="1" applyFill="1" applyBorder="1" applyAlignment="1" applyProtection="1">
      <alignment horizontal="center" vertical="top"/>
      <protection hidden="1"/>
    </xf>
    <xf numFmtId="0" fontId="24" fillId="11" borderId="14" xfId="0" applyFont="1" applyFill="1" applyBorder="1" applyAlignment="1" applyProtection="1">
      <alignment vertical="top"/>
      <protection hidden="1"/>
    </xf>
    <xf numFmtId="0" fontId="38" fillId="3" borderId="0" xfId="0" applyFont="1" applyFill="1" applyProtection="1">
      <alignment vertical="center"/>
      <protection hidden="1"/>
    </xf>
    <xf numFmtId="0" fontId="38" fillId="3" borderId="0" xfId="0" applyFont="1" applyFill="1" applyAlignment="1" applyProtection="1">
      <alignment horizontal="center" vertical="center"/>
      <protection hidden="1"/>
    </xf>
    <xf numFmtId="0" fontId="38" fillId="5" borderId="0" xfId="0" applyFont="1" applyFill="1" applyBorder="1" applyProtection="1">
      <alignment vertical="center"/>
      <protection hidden="1"/>
    </xf>
    <xf numFmtId="0" fontId="38" fillId="5" borderId="0" xfId="0" applyFont="1" applyFill="1" applyBorder="1" applyAlignment="1" applyProtection="1">
      <alignment horizontal="center" vertical="center"/>
      <protection hidden="1"/>
    </xf>
    <xf numFmtId="0" fontId="38" fillId="5" borderId="0" xfId="0" applyFont="1" applyFill="1" applyProtection="1">
      <alignment vertical="center"/>
      <protection hidden="1"/>
    </xf>
    <xf numFmtId="0" fontId="30" fillId="3" borderId="0" xfId="0" applyFont="1" applyFill="1" applyProtection="1">
      <alignment vertical="center"/>
      <protection hidden="1"/>
    </xf>
    <xf numFmtId="0" fontId="30" fillId="3" borderId="0" xfId="0" applyFont="1" applyFill="1" applyAlignment="1" applyProtection="1">
      <alignment horizontal="left" vertical="center"/>
      <protection hidden="1"/>
    </xf>
    <xf numFmtId="185" fontId="5" fillId="2" borderId="1" xfId="0" applyNumberFormat="1" applyFont="1" applyFill="1" applyBorder="1" applyAlignment="1" applyProtection="1">
      <alignment horizontal="center" vertical="center"/>
      <protection locked="0"/>
    </xf>
    <xf numFmtId="185" fontId="15" fillId="2" borderId="1" xfId="0" applyNumberFormat="1" applyFont="1" applyFill="1" applyBorder="1" applyAlignment="1" applyProtection="1">
      <alignment horizontal="left" vertical="center"/>
      <protection locked="0"/>
    </xf>
    <xf numFmtId="0" fontId="10" fillId="11" borderId="6" xfId="0" applyFont="1" applyFill="1" applyBorder="1" applyAlignment="1" applyProtection="1">
      <alignment horizontal="left" vertical="center"/>
      <protection hidden="1"/>
    </xf>
    <xf numFmtId="0" fontId="15" fillId="3" borderId="0" xfId="0"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178" fontId="15" fillId="7" borderId="1" xfId="0" applyNumberFormat="1" applyFont="1" applyFill="1" applyBorder="1" applyAlignment="1" applyProtection="1">
      <alignment horizontal="center" vertical="center"/>
      <protection locked="0"/>
    </xf>
    <xf numFmtId="179" fontId="15" fillId="7" borderId="1" xfId="0" applyNumberFormat="1" applyFon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hidden="1"/>
    </xf>
    <xf numFmtId="0" fontId="41" fillId="3" borderId="0" xfId="0" applyFont="1" applyFill="1" applyProtection="1">
      <alignment vertical="center"/>
      <protection hidden="1"/>
    </xf>
    <xf numFmtId="0" fontId="30" fillId="3" borderId="21" xfId="0" applyFont="1" applyFill="1" applyBorder="1" applyProtection="1">
      <alignment vertical="center"/>
      <protection hidden="1"/>
    </xf>
    <xf numFmtId="0" fontId="41" fillId="6" borderId="0" xfId="0" applyFont="1" applyFill="1" applyProtection="1">
      <alignment vertical="center"/>
      <protection hidden="1"/>
    </xf>
    <xf numFmtId="0" fontId="30" fillId="6" borderId="0" xfId="0" applyFont="1" applyFill="1" applyProtection="1">
      <alignment vertical="center"/>
      <protection hidden="1"/>
    </xf>
    <xf numFmtId="0" fontId="11" fillId="11" borderId="5" xfId="0" applyFont="1" applyFill="1" applyBorder="1" applyAlignment="1" applyProtection="1">
      <alignment horizontal="center" vertical="center"/>
      <protection hidden="1"/>
    </xf>
    <xf numFmtId="0" fontId="37" fillId="5" borderId="0" xfId="0" applyFont="1" applyFill="1" applyAlignment="1" applyProtection="1">
      <alignment horizontal="center" vertical="center"/>
      <protection hidden="1"/>
    </xf>
    <xf numFmtId="0" fontId="8" fillId="5" borderId="0" xfId="0" applyFont="1" applyFill="1" applyAlignment="1" applyProtection="1">
      <alignment horizontal="center" vertical="center"/>
      <protection hidden="1"/>
    </xf>
    <xf numFmtId="0" fontId="50" fillId="6" borderId="0" xfId="0" applyFont="1" applyFill="1" applyAlignment="1" applyProtection="1">
      <alignment horizontal="left" vertical="center"/>
      <protection locked="0"/>
    </xf>
    <xf numFmtId="0" fontId="50" fillId="6" borderId="25" xfId="0" applyFont="1" applyFill="1" applyBorder="1" applyAlignment="1" applyProtection="1">
      <alignment horizontal="left" vertical="center"/>
      <protection locked="0"/>
    </xf>
    <xf numFmtId="0" fontId="2" fillId="3" borderId="0" xfId="0" applyFont="1" applyFill="1" applyAlignment="1" applyProtection="1">
      <alignment vertical="center" shrinkToFit="1"/>
      <protection hidden="1"/>
    </xf>
    <xf numFmtId="0" fontId="20" fillId="3" borderId="0" xfId="0" applyFont="1" applyFill="1" applyAlignment="1" applyProtection="1">
      <alignment horizontal="center" vertical="center" shrinkToFit="1"/>
      <protection hidden="1"/>
    </xf>
    <xf numFmtId="0" fontId="15" fillId="3" borderId="0" xfId="0" applyFont="1" applyFill="1" applyBorder="1" applyAlignment="1" applyProtection="1">
      <alignment vertical="center" shrinkToFit="1"/>
      <protection hidden="1"/>
    </xf>
    <xf numFmtId="0" fontId="15" fillId="3" borderId="16" xfId="0" applyFont="1" applyFill="1" applyBorder="1" applyAlignment="1" applyProtection="1">
      <alignment vertical="center" shrinkToFit="1"/>
      <protection hidden="1"/>
    </xf>
    <xf numFmtId="0" fontId="24" fillId="11" borderId="8" xfId="0" applyFont="1" applyFill="1" applyBorder="1" applyAlignment="1" applyProtection="1">
      <alignment horizontal="center" vertical="top" shrinkToFit="1"/>
      <protection hidden="1"/>
    </xf>
    <xf numFmtId="0" fontId="16" fillId="11" borderId="9" xfId="0" applyFont="1" applyFill="1" applyBorder="1" applyAlignment="1" applyProtection="1">
      <alignment horizontal="center" vertical="center" shrinkToFit="1"/>
      <protection hidden="1"/>
    </xf>
    <xf numFmtId="0" fontId="15" fillId="9" borderId="1" xfId="0" applyFont="1" applyFill="1" applyBorder="1" applyAlignment="1" applyProtection="1">
      <alignment horizontal="left" vertical="center" shrinkToFit="1"/>
      <protection locked="0"/>
    </xf>
    <xf numFmtId="0" fontId="2" fillId="5" borderId="0" xfId="0" applyFont="1" applyFill="1" applyBorder="1" applyAlignment="1" applyProtection="1">
      <alignment vertical="center" shrinkToFit="1"/>
      <protection hidden="1"/>
    </xf>
    <xf numFmtId="0" fontId="7" fillId="5" borderId="0" xfId="0" applyFont="1" applyFill="1" applyBorder="1" applyAlignment="1" applyProtection="1">
      <alignment horizontal="center" vertical="top" shrinkToFit="1"/>
      <protection hidden="1"/>
    </xf>
    <xf numFmtId="0" fontId="5" fillId="5" borderId="0" xfId="0" applyFont="1" applyFill="1" applyBorder="1" applyAlignment="1" applyProtection="1">
      <alignment horizontal="center" vertical="center" shrinkToFit="1"/>
      <protection hidden="1"/>
    </xf>
    <xf numFmtId="0" fontId="2" fillId="5" borderId="0" xfId="0" applyFont="1" applyFill="1" applyAlignment="1" applyProtection="1">
      <alignment vertical="center" shrinkToFit="1"/>
      <protection hidden="1"/>
    </xf>
    <xf numFmtId="0" fontId="6" fillId="13" borderId="26" xfId="0" applyFont="1" applyFill="1" applyBorder="1" applyAlignment="1" applyProtection="1">
      <alignment horizontal="center" vertical="center"/>
      <protection locked="0"/>
    </xf>
    <xf numFmtId="0" fontId="5" fillId="13" borderId="27" xfId="0" applyFont="1" applyFill="1" applyBorder="1" applyAlignment="1" applyProtection="1">
      <alignment vertical="center"/>
      <protection locked="0"/>
    </xf>
    <xf numFmtId="0" fontId="18" fillId="3" borderId="1" xfId="0" applyFont="1" applyFill="1" applyBorder="1" applyAlignment="1" applyProtection="1">
      <alignment vertical="center" shrinkToFit="1"/>
      <protection hidden="1"/>
    </xf>
    <xf numFmtId="0" fontId="16" fillId="11" borderId="9" xfId="0" applyFont="1" applyFill="1" applyBorder="1" applyAlignment="1" applyProtection="1">
      <alignment horizontal="center" vertical="top" shrinkToFit="1"/>
      <protection hidden="1"/>
    </xf>
    <xf numFmtId="49" fontId="15" fillId="13" borderId="1" xfId="0" applyNumberFormat="1" applyFont="1" applyFill="1" applyBorder="1" applyAlignment="1" applyProtection="1">
      <alignment horizontal="left" vertical="center" shrinkToFit="1"/>
      <protection locked="0"/>
    </xf>
    <xf numFmtId="0" fontId="5" fillId="5" borderId="0" xfId="0" applyFont="1" applyFill="1" applyBorder="1" applyAlignment="1" applyProtection="1">
      <alignment horizontal="center" vertical="top" shrinkToFit="1"/>
      <protection hidden="1"/>
    </xf>
    <xf numFmtId="0" fontId="18" fillId="3" borderId="31" xfId="0" applyFont="1" applyFill="1" applyBorder="1" applyAlignment="1" applyProtection="1">
      <alignment vertical="center" shrinkToFit="1"/>
      <protection hidden="1"/>
    </xf>
    <xf numFmtId="0" fontId="18" fillId="3" borderId="1" xfId="0" applyFont="1" applyFill="1" applyBorder="1" applyAlignment="1" applyProtection="1">
      <alignment horizontal="left" vertical="center" shrinkToFit="1"/>
      <protection hidden="1"/>
    </xf>
    <xf numFmtId="0" fontId="23" fillId="4" borderId="1" xfId="0" applyFont="1" applyFill="1" applyBorder="1" applyAlignment="1" applyProtection="1">
      <alignment horizontal="center" vertical="center"/>
      <protection locked="0"/>
    </xf>
    <xf numFmtId="0" fontId="44" fillId="3" borderId="0" xfId="0" applyFont="1" applyFill="1" applyBorder="1" applyProtection="1">
      <alignment vertical="center"/>
      <protection hidden="1"/>
    </xf>
    <xf numFmtId="0" fontId="30" fillId="3" borderId="0" xfId="0" applyFont="1" applyFill="1" applyBorder="1" applyProtection="1">
      <alignment vertical="center"/>
      <protection hidden="1"/>
    </xf>
    <xf numFmtId="0" fontId="15" fillId="15" borderId="34" xfId="0" applyFont="1" applyFill="1" applyBorder="1" applyAlignment="1" applyProtection="1">
      <alignment horizontal="center" vertical="center"/>
      <protection hidden="1"/>
    </xf>
    <xf numFmtId="180" fontId="15" fillId="15" borderId="34" xfId="0" applyNumberFormat="1" applyFont="1" applyFill="1" applyBorder="1" applyAlignment="1" applyProtection="1">
      <alignment horizontal="center" vertical="center"/>
      <protection hidden="1"/>
    </xf>
    <xf numFmtId="0" fontId="15" fillId="5" borderId="0" xfId="0" applyFont="1" applyFill="1" applyBorder="1" applyProtection="1">
      <alignment vertical="center"/>
      <protection hidden="1"/>
    </xf>
    <xf numFmtId="0" fontId="15" fillId="5" borderId="0" xfId="0" applyFont="1" applyFill="1" applyBorder="1" applyAlignment="1" applyProtection="1">
      <alignment horizontal="center" vertical="center"/>
      <protection hidden="1"/>
    </xf>
    <xf numFmtId="0" fontId="15" fillId="16" borderId="0" xfId="0" applyFont="1" applyFill="1" applyBorder="1" applyProtection="1">
      <alignment vertical="center"/>
      <protection hidden="1"/>
    </xf>
    <xf numFmtId="0" fontId="52" fillId="16" borderId="0" xfId="0" applyFont="1" applyFill="1" applyBorder="1" applyProtection="1">
      <alignment vertical="center"/>
      <protection hidden="1"/>
    </xf>
    <xf numFmtId="176" fontId="15" fillId="16" borderId="0" xfId="0" applyNumberFormat="1" applyFont="1" applyFill="1" applyBorder="1" applyAlignment="1" applyProtection="1">
      <alignment horizontal="center" vertical="center"/>
      <protection hidden="1"/>
    </xf>
    <xf numFmtId="181" fontId="15" fillId="16" borderId="0" xfId="0" applyNumberFormat="1" applyFont="1" applyFill="1" applyBorder="1" applyAlignment="1" applyProtection="1">
      <alignment horizontal="center" vertical="center"/>
      <protection hidden="1"/>
    </xf>
    <xf numFmtId="0" fontId="15" fillId="16" borderId="0" xfId="0" applyFont="1" applyFill="1" applyBorder="1" applyAlignment="1" applyProtection="1">
      <alignment horizontal="center" vertical="center"/>
      <protection hidden="1"/>
    </xf>
    <xf numFmtId="184" fontId="30" fillId="3" borderId="0" xfId="0" applyNumberFormat="1" applyFont="1" applyFill="1" applyProtection="1">
      <alignment vertical="center"/>
      <protection locked="0"/>
    </xf>
    <xf numFmtId="188" fontId="30" fillId="3" borderId="20" xfId="0" applyNumberFormat="1" applyFont="1" applyFill="1" applyBorder="1" applyProtection="1">
      <alignment vertical="center"/>
      <protection hidden="1"/>
    </xf>
    <xf numFmtId="0" fontId="30" fillId="4" borderId="19" xfId="0" applyFont="1" applyFill="1" applyBorder="1" applyProtection="1">
      <alignment vertical="center"/>
      <protection hidden="1"/>
    </xf>
    <xf numFmtId="0" fontId="30" fillId="4" borderId="21" xfId="0" applyFont="1" applyFill="1" applyBorder="1" applyProtection="1">
      <alignment vertical="center"/>
      <protection hidden="1"/>
    </xf>
    <xf numFmtId="0" fontId="46" fillId="0" borderId="0" xfId="1">
      <alignment vertical="center"/>
    </xf>
    <xf numFmtId="0" fontId="30" fillId="3" borderId="36" xfId="0" applyFont="1" applyFill="1" applyBorder="1" applyProtection="1">
      <alignment vertical="center"/>
      <protection hidden="1"/>
    </xf>
    <xf numFmtId="0" fontId="55" fillId="18" borderId="19" xfId="0" applyFont="1" applyFill="1" applyBorder="1" applyAlignment="1" applyProtection="1">
      <alignment horizontal="center" vertical="center"/>
      <protection locked="0"/>
    </xf>
    <xf numFmtId="0" fontId="30" fillId="3" borderId="20" xfId="0" applyFont="1" applyFill="1" applyBorder="1" applyAlignment="1" applyProtection="1">
      <alignment horizontal="center" vertical="center"/>
      <protection hidden="1"/>
    </xf>
    <xf numFmtId="0" fontId="59" fillId="0" borderId="0" xfId="1" applyFont="1">
      <alignment vertical="center"/>
    </xf>
    <xf numFmtId="0" fontId="60" fillId="0" borderId="0" xfId="1" applyFont="1">
      <alignment vertical="center"/>
    </xf>
    <xf numFmtId="0" fontId="0" fillId="0" borderId="0" xfId="0" applyProtection="1">
      <alignment vertical="center"/>
      <protection locked="0"/>
    </xf>
    <xf numFmtId="0" fontId="30" fillId="3" borderId="21" xfId="0" applyFont="1" applyFill="1" applyBorder="1" applyAlignment="1" applyProtection="1">
      <alignment horizontal="center" vertical="center" shrinkToFit="1"/>
      <protection hidden="1"/>
    </xf>
    <xf numFmtId="14" fontId="0" fillId="0" borderId="0" xfId="0" applyNumberFormat="1">
      <alignment vertical="center"/>
    </xf>
    <xf numFmtId="0" fontId="0" fillId="19" borderId="0" xfId="0" applyFill="1" applyAlignment="1">
      <alignment horizontal="left" vertical="center"/>
    </xf>
    <xf numFmtId="189" fontId="15" fillId="2" borderId="1" xfId="0" applyNumberFormat="1" applyFont="1" applyFill="1" applyBorder="1" applyAlignment="1" applyProtection="1">
      <alignment horizontal="center" vertical="center"/>
      <protection locked="0"/>
    </xf>
    <xf numFmtId="190" fontId="15" fillId="2" borderId="1" xfId="0" applyNumberFormat="1" applyFont="1" applyFill="1" applyBorder="1" applyAlignment="1" applyProtection="1">
      <alignment horizontal="center" vertical="center"/>
      <protection locked="0"/>
    </xf>
    <xf numFmtId="191" fontId="15" fillId="2" borderId="1" xfId="0" applyNumberFormat="1" applyFont="1" applyFill="1" applyBorder="1" applyAlignment="1" applyProtection="1">
      <alignment horizontal="center" vertical="center"/>
      <protection locked="0"/>
    </xf>
    <xf numFmtId="189" fontId="15" fillId="7" borderId="1" xfId="0" applyNumberFormat="1" applyFont="1" applyFill="1" applyBorder="1" applyAlignment="1" applyProtection="1">
      <alignment horizontal="center" vertical="center"/>
      <protection locked="0"/>
    </xf>
    <xf numFmtId="190" fontId="15" fillId="7" borderId="1" xfId="0" applyNumberFormat="1" applyFont="1" applyFill="1" applyBorder="1" applyAlignment="1" applyProtection="1">
      <alignment horizontal="center" vertical="center"/>
      <protection locked="0"/>
    </xf>
    <xf numFmtId="191" fontId="15" fillId="7" borderId="1" xfId="0" applyNumberFormat="1" applyFont="1" applyFill="1" applyBorder="1" applyAlignment="1" applyProtection="1">
      <alignment horizontal="center" vertical="center"/>
      <protection locked="0"/>
    </xf>
    <xf numFmtId="190" fontId="15" fillId="6" borderId="1" xfId="0" applyNumberFormat="1" applyFont="1" applyFill="1" applyBorder="1" applyAlignment="1" applyProtection="1">
      <alignment horizontal="center" vertical="center"/>
      <protection locked="0"/>
    </xf>
    <xf numFmtId="190" fontId="15" fillId="8" borderId="1" xfId="0" applyNumberFormat="1" applyFont="1" applyFill="1" applyBorder="1" applyAlignment="1" applyProtection="1">
      <alignment horizontal="center" vertical="center"/>
      <protection locked="0"/>
    </xf>
    <xf numFmtId="0" fontId="40" fillId="3" borderId="0" xfId="0" quotePrefix="1" applyFont="1" applyFill="1" applyAlignment="1" applyProtection="1">
      <alignment horizontal="right" vertical="center"/>
      <protection hidden="1"/>
    </xf>
    <xf numFmtId="0" fontId="15" fillId="5" borderId="0" xfId="0" applyFont="1" applyFill="1" applyProtection="1">
      <alignment vertical="center"/>
      <protection locked="0"/>
    </xf>
    <xf numFmtId="0" fontId="15" fillId="5" borderId="0" xfId="0" applyNumberFormat="1" applyFont="1" applyFill="1" applyBorder="1" applyAlignment="1" applyProtection="1">
      <alignment vertical="center"/>
      <protection locked="0"/>
    </xf>
    <xf numFmtId="0" fontId="23" fillId="5" borderId="0" xfId="0" applyNumberFormat="1" applyFont="1" applyFill="1" applyBorder="1" applyAlignment="1" applyProtection="1">
      <alignment vertical="center"/>
      <protection locked="0"/>
    </xf>
    <xf numFmtId="0" fontId="15" fillId="3" borderId="0" xfId="0" applyFont="1" applyFill="1" applyAlignment="1" applyProtection="1">
      <alignment horizontal="left" vertical="center" indent="3"/>
      <protection hidden="1"/>
    </xf>
    <xf numFmtId="0" fontId="54" fillId="3" borderId="21" xfId="0" applyFont="1" applyFill="1" applyBorder="1" applyAlignment="1" applyProtection="1">
      <alignment horizontal="center" vertical="center"/>
      <protection locked="0"/>
    </xf>
    <xf numFmtId="0" fontId="32" fillId="11" borderId="38" xfId="0" applyFont="1" applyFill="1" applyBorder="1" applyAlignment="1" applyProtection="1">
      <alignment horizontal="left" vertical="center"/>
      <protection hidden="1"/>
    </xf>
    <xf numFmtId="0" fontId="32" fillId="11" borderId="39" xfId="0" applyFont="1" applyFill="1" applyBorder="1" applyAlignment="1" applyProtection="1">
      <alignment horizontal="center" vertical="center"/>
      <protection hidden="1"/>
    </xf>
    <xf numFmtId="0" fontId="41" fillId="3" borderId="40" xfId="0" applyFont="1" applyFill="1" applyBorder="1" applyProtection="1">
      <alignment vertical="center"/>
      <protection hidden="1"/>
    </xf>
    <xf numFmtId="185" fontId="15" fillId="3" borderId="40" xfId="0" applyNumberFormat="1" applyFont="1" applyFill="1" applyBorder="1" applyAlignment="1" applyProtection="1">
      <alignment horizontal="center" vertical="center"/>
      <protection hidden="1"/>
    </xf>
    <xf numFmtId="0" fontId="30" fillId="3" borderId="40" xfId="0" applyFont="1" applyFill="1" applyBorder="1" applyAlignment="1" applyProtection="1">
      <alignment horizontal="left" vertical="center"/>
      <protection hidden="1"/>
    </xf>
    <xf numFmtId="0" fontId="51" fillId="3" borderId="40" xfId="0" applyFont="1" applyFill="1" applyBorder="1" applyAlignment="1" applyProtection="1">
      <alignment horizontal="center" vertical="center"/>
      <protection hidden="1"/>
    </xf>
    <xf numFmtId="0" fontId="30" fillId="3" borderId="40" xfId="0" applyFont="1" applyFill="1" applyBorder="1" applyProtection="1">
      <alignment vertical="center"/>
      <protection hidden="1"/>
    </xf>
    <xf numFmtId="0" fontId="30" fillId="3" borderId="40" xfId="0" applyFont="1" applyFill="1" applyBorder="1" applyAlignment="1" applyProtection="1">
      <alignment horizontal="center" vertical="center"/>
      <protection hidden="1"/>
    </xf>
    <xf numFmtId="0" fontId="47" fillId="3" borderId="0" xfId="0" applyFont="1" applyFill="1" applyBorder="1" applyProtection="1">
      <alignment vertical="center"/>
      <protection hidden="1"/>
    </xf>
    <xf numFmtId="0" fontId="30" fillId="3" borderId="0" xfId="0" applyFont="1" applyFill="1" applyBorder="1" applyProtection="1">
      <alignment vertical="center"/>
      <protection locked="0"/>
    </xf>
    <xf numFmtId="0" fontId="43" fillId="3" borderId="19" xfId="0" applyFont="1" applyFill="1" applyBorder="1" applyAlignment="1" applyProtection="1">
      <alignment horizontal="center" vertical="center"/>
      <protection hidden="1"/>
    </xf>
    <xf numFmtId="0" fontId="30" fillId="4" borderId="20" xfId="0" applyFont="1" applyFill="1" applyBorder="1" applyProtection="1">
      <alignment vertical="center"/>
      <protection hidden="1"/>
    </xf>
    <xf numFmtId="0" fontId="43" fillId="3" borderId="20" xfId="0" applyFont="1" applyFill="1" applyBorder="1" applyAlignment="1" applyProtection="1">
      <alignment horizontal="center" vertical="center"/>
      <protection hidden="1"/>
    </xf>
    <xf numFmtId="0" fontId="43" fillId="3" borderId="21" xfId="0" applyFont="1" applyFill="1" applyBorder="1" applyAlignment="1" applyProtection="1">
      <alignment horizontal="center" vertical="center"/>
      <protection hidden="1"/>
    </xf>
    <xf numFmtId="0" fontId="30" fillId="3" borderId="17" xfId="0" applyFont="1" applyFill="1" applyBorder="1" applyProtection="1">
      <alignment vertical="center"/>
      <protection hidden="1"/>
    </xf>
    <xf numFmtId="0" fontId="30" fillId="7" borderId="17" xfId="0" applyFont="1" applyFill="1" applyBorder="1" applyAlignment="1" applyProtection="1">
      <alignment horizontal="center" vertical="center"/>
      <protection locked="0"/>
    </xf>
    <xf numFmtId="0" fontId="30" fillId="3" borderId="18" xfId="0" applyFont="1" applyFill="1" applyBorder="1" applyProtection="1">
      <alignment vertical="center"/>
      <protection hidden="1"/>
    </xf>
    <xf numFmtId="0" fontId="30" fillId="7" borderId="18" xfId="0" applyFont="1" applyFill="1" applyBorder="1" applyAlignment="1" applyProtection="1">
      <alignment horizontal="center" vertical="center"/>
      <protection locked="0"/>
    </xf>
    <xf numFmtId="0" fontId="45" fillId="7" borderId="18" xfId="0" applyFont="1" applyFill="1" applyBorder="1" applyAlignment="1" applyProtection="1">
      <alignment horizontal="center" vertical="center"/>
      <protection locked="0"/>
    </xf>
    <xf numFmtId="0" fontId="54" fillId="7" borderId="36" xfId="0" applyFont="1" applyFill="1" applyBorder="1" applyAlignment="1" applyProtection="1">
      <alignment horizontal="center" vertical="center"/>
      <protection locked="0"/>
    </xf>
    <xf numFmtId="0" fontId="15" fillId="10" borderId="1" xfId="0" applyFont="1" applyFill="1" applyBorder="1" applyAlignment="1" applyProtection="1">
      <alignment horizontal="left" vertical="center"/>
      <protection locked="0"/>
    </xf>
    <xf numFmtId="0" fontId="15" fillId="10" borderId="1" xfId="0" applyFont="1" applyFill="1" applyBorder="1" applyAlignment="1" applyProtection="1">
      <alignment horizontal="center" vertical="center"/>
      <protection locked="0"/>
    </xf>
    <xf numFmtId="0" fontId="54" fillId="3" borderId="19" xfId="0" applyFont="1" applyFill="1" applyBorder="1" applyAlignment="1" applyProtection="1">
      <alignment horizontal="center" vertical="center" shrinkToFit="1"/>
      <protection locked="0"/>
    </xf>
    <xf numFmtId="0" fontId="15" fillId="17" borderId="32" xfId="0" applyFont="1" applyFill="1" applyBorder="1" applyProtection="1">
      <alignment vertical="center"/>
      <protection hidden="1"/>
    </xf>
    <xf numFmtId="186" fontId="53" fillId="17" borderId="32" xfId="0" applyNumberFormat="1" applyFont="1" applyFill="1" applyBorder="1" applyAlignment="1" applyProtection="1">
      <alignment horizontal="center" vertical="center"/>
      <protection hidden="1"/>
    </xf>
    <xf numFmtId="187" fontId="53" fillId="17" borderId="32" xfId="0" applyNumberFormat="1" applyFont="1" applyFill="1" applyBorder="1" applyAlignment="1" applyProtection="1">
      <alignment horizontal="center" vertical="center"/>
      <protection hidden="1"/>
    </xf>
    <xf numFmtId="186" fontId="14" fillId="10" borderId="32" xfId="0" applyNumberFormat="1" applyFont="1" applyFill="1" applyBorder="1" applyAlignment="1" applyProtection="1">
      <alignment horizontal="center" vertical="center"/>
      <protection locked="0"/>
    </xf>
    <xf numFmtId="187" fontId="14" fillId="10" borderId="32" xfId="0" applyNumberFormat="1" applyFont="1" applyFill="1" applyBorder="1" applyAlignment="1" applyProtection="1">
      <alignment horizontal="center" vertical="center"/>
      <protection locked="0"/>
    </xf>
    <xf numFmtId="0" fontId="28" fillId="3" borderId="0" xfId="0" applyFont="1" applyFill="1" applyAlignment="1" applyProtection="1">
      <alignment horizontal="right" vertical="top"/>
      <protection hidden="1"/>
    </xf>
    <xf numFmtId="0" fontId="28" fillId="3" borderId="1" xfId="0" applyFont="1" applyFill="1" applyBorder="1" applyAlignment="1" applyProtection="1">
      <alignment horizontal="left" vertical="center"/>
      <protection hidden="1"/>
    </xf>
    <xf numFmtId="0" fontId="28" fillId="8" borderId="1" xfId="0" applyFont="1" applyFill="1" applyBorder="1" applyAlignment="1" applyProtection="1">
      <alignment horizontal="center" vertical="center"/>
      <protection locked="0"/>
    </xf>
    <xf numFmtId="0" fontId="31" fillId="3" borderId="0" xfId="0" applyFont="1" applyFill="1" applyAlignment="1" applyProtection="1">
      <alignment horizontal="left" vertical="center"/>
      <protection hidden="1"/>
    </xf>
    <xf numFmtId="0" fontId="31" fillId="3" borderId="0" xfId="0" applyFont="1" applyFill="1" applyBorder="1" applyAlignment="1" applyProtection="1">
      <alignment horizontal="left" vertical="center"/>
      <protection hidden="1"/>
    </xf>
    <xf numFmtId="181" fontId="64" fillId="3" borderId="1" xfId="0" applyNumberFormat="1" applyFont="1" applyFill="1" applyBorder="1" applyAlignment="1" applyProtection="1">
      <alignment horizontal="center" vertical="center"/>
      <protection hidden="1"/>
    </xf>
    <xf numFmtId="0" fontId="10" fillId="11" borderId="9" xfId="0" applyFont="1" applyFill="1" applyBorder="1" applyAlignment="1" applyProtection="1">
      <alignment horizontal="center"/>
      <protection hidden="1"/>
    </xf>
    <xf numFmtId="0" fontId="10" fillId="11" borderId="9" xfId="0" quotePrefix="1" applyFont="1" applyFill="1" applyBorder="1" applyAlignment="1" applyProtection="1">
      <alignment horizontal="center"/>
      <protection hidden="1"/>
    </xf>
    <xf numFmtId="0" fontId="34" fillId="11" borderId="8" xfId="0" applyFont="1" applyFill="1" applyBorder="1" applyAlignment="1" applyProtection="1">
      <alignment horizontal="center" vertical="top"/>
      <protection hidden="1"/>
    </xf>
    <xf numFmtId="0" fontId="34" fillId="11" borderId="8" xfId="0" quotePrefix="1" applyFont="1" applyFill="1" applyBorder="1" applyAlignment="1" applyProtection="1">
      <alignment horizontal="center" vertical="top"/>
      <protection hidden="1"/>
    </xf>
    <xf numFmtId="0" fontId="24" fillId="11" borderId="4" xfId="0" applyFont="1" applyFill="1" applyBorder="1" applyAlignment="1" applyProtection="1">
      <alignment horizontal="center" vertical="center" shrinkToFit="1"/>
      <protection hidden="1"/>
    </xf>
    <xf numFmtId="0" fontId="54" fillId="4" borderId="47" xfId="0" applyFont="1" applyFill="1" applyBorder="1" applyAlignment="1" applyProtection="1">
      <alignment horizontal="center" vertical="center"/>
      <protection hidden="1"/>
    </xf>
    <xf numFmtId="0" fontId="30" fillId="6" borderId="0" xfId="0" applyFont="1" applyFill="1" applyProtection="1">
      <alignment vertical="center"/>
      <protection locked="0"/>
    </xf>
    <xf numFmtId="0" fontId="30" fillId="6" borderId="0" xfId="0" applyFont="1" applyFill="1" applyAlignment="1" applyProtection="1">
      <alignment horizontal="left" vertical="center"/>
      <protection locked="0"/>
    </xf>
    <xf numFmtId="0" fontId="50" fillId="6" borderId="0" xfId="0" applyFont="1" applyFill="1" applyProtection="1">
      <alignment vertical="center"/>
      <protection locked="0"/>
    </xf>
    <xf numFmtId="0" fontId="68" fillId="6" borderId="25" xfId="0" applyFont="1" applyFill="1" applyBorder="1" applyProtection="1">
      <alignment vertical="center"/>
      <protection locked="0"/>
    </xf>
    <xf numFmtId="0" fontId="71" fillId="4" borderId="47" xfId="0" applyFont="1" applyFill="1" applyBorder="1" applyProtection="1">
      <alignment vertical="center"/>
      <protection hidden="1"/>
    </xf>
    <xf numFmtId="0" fontId="73" fillId="4" borderId="19" xfId="0" applyFont="1" applyFill="1" applyBorder="1" applyProtection="1">
      <alignment vertical="center"/>
      <protection hidden="1"/>
    </xf>
    <xf numFmtId="0" fontId="77" fillId="3" borderId="0" xfId="0" applyFont="1" applyFill="1" applyAlignment="1" applyProtection="1">
      <protection hidden="1"/>
    </xf>
    <xf numFmtId="0" fontId="73" fillId="3" borderId="47" xfId="0" applyFont="1" applyFill="1" applyBorder="1" applyProtection="1">
      <alignment vertical="center"/>
      <protection hidden="1"/>
    </xf>
    <xf numFmtId="0" fontId="69" fillId="3" borderId="47" xfId="0" applyFont="1" applyFill="1" applyBorder="1" applyAlignment="1" applyProtection="1">
      <alignment horizontal="center" vertical="center"/>
      <protection hidden="1"/>
    </xf>
    <xf numFmtId="0" fontId="41" fillId="20" borderId="0" xfId="0" applyFont="1" applyFill="1" applyProtection="1">
      <alignment vertical="center"/>
      <protection hidden="1"/>
    </xf>
    <xf numFmtId="0" fontId="41" fillId="20" borderId="0" xfId="0" applyFont="1" applyFill="1" applyAlignment="1" applyProtection="1">
      <alignment horizontal="left" vertical="center"/>
      <protection hidden="1"/>
    </xf>
    <xf numFmtId="0" fontId="65" fillId="20" borderId="0" xfId="0" applyFont="1" applyFill="1" applyAlignment="1" applyProtection="1">
      <alignment horizontal="left" vertical="center"/>
      <protection hidden="1"/>
    </xf>
    <xf numFmtId="0" fontId="83" fillId="20" borderId="0" xfId="0" applyFont="1" applyFill="1" applyAlignment="1" applyProtection="1">
      <alignment horizontal="left" vertical="center"/>
      <protection hidden="1"/>
    </xf>
    <xf numFmtId="0" fontId="82" fillId="20" borderId="0" xfId="0" applyFont="1" applyFill="1" applyAlignment="1" applyProtection="1">
      <alignment horizontal="left" vertical="center"/>
      <protection hidden="1"/>
    </xf>
    <xf numFmtId="0" fontId="30" fillId="20" borderId="0" xfId="0" applyFont="1" applyFill="1" applyProtection="1">
      <alignment vertical="center"/>
      <protection hidden="1"/>
    </xf>
    <xf numFmtId="0" fontId="66" fillId="20" borderId="0" xfId="0" applyFont="1" applyFill="1" applyAlignment="1" applyProtection="1">
      <alignment horizontal="left" vertical="center"/>
      <protection hidden="1"/>
    </xf>
    <xf numFmtId="0" fontId="84" fillId="20" borderId="0" xfId="0" applyFont="1" applyFill="1" applyAlignment="1" applyProtection="1">
      <alignment horizontal="left" vertical="center"/>
      <protection hidden="1"/>
    </xf>
    <xf numFmtId="0" fontId="84" fillId="20" borderId="0" xfId="0" applyFont="1" applyFill="1" applyAlignment="1" applyProtection="1">
      <alignment horizontal="left"/>
      <protection hidden="1"/>
    </xf>
    <xf numFmtId="0" fontId="42" fillId="20" borderId="0" xfId="0" applyFont="1" applyFill="1" applyProtection="1">
      <alignment vertical="center"/>
      <protection hidden="1"/>
    </xf>
    <xf numFmtId="0" fontId="41" fillId="20" borderId="0" xfId="0" quotePrefix="1" applyFont="1" applyFill="1" applyProtection="1">
      <alignment vertical="center"/>
      <protection hidden="1"/>
    </xf>
    <xf numFmtId="0" fontId="41" fillId="20" borderId="0" xfId="0" applyFont="1" applyFill="1" applyBorder="1" applyProtection="1">
      <alignment vertical="center"/>
      <protection hidden="1"/>
    </xf>
    <xf numFmtId="0" fontId="41" fillId="20" borderId="0" xfId="0" applyFont="1" applyFill="1" applyBorder="1" applyProtection="1">
      <alignment vertical="center"/>
    </xf>
    <xf numFmtId="0" fontId="48" fillId="20" borderId="0" xfId="0" applyFont="1" applyFill="1" applyBorder="1" applyProtection="1">
      <alignment vertical="center"/>
    </xf>
    <xf numFmtId="0" fontId="85" fillId="20" borderId="0" xfId="0" applyFont="1" applyFill="1" applyAlignment="1" applyProtection="1">
      <alignment horizontal="left" vertical="center"/>
      <protection hidden="1"/>
    </xf>
    <xf numFmtId="0" fontId="86" fillId="20" borderId="0" xfId="0" applyFont="1" applyFill="1" applyAlignment="1" applyProtection="1">
      <alignment horizontal="left" vertical="center"/>
      <protection hidden="1"/>
    </xf>
    <xf numFmtId="0" fontId="61" fillId="20" borderId="48" xfId="0" applyFont="1" applyFill="1" applyBorder="1" applyProtection="1">
      <alignment vertical="center"/>
      <protection hidden="1"/>
    </xf>
    <xf numFmtId="0" fontId="62" fillId="20" borderId="48" xfId="0" applyFont="1" applyFill="1" applyBorder="1" applyProtection="1">
      <alignment vertical="center"/>
      <protection locked="0"/>
    </xf>
    <xf numFmtId="0" fontId="61" fillId="20" borderId="48" xfId="0" applyFont="1" applyFill="1" applyBorder="1" applyProtection="1">
      <alignment vertical="center"/>
      <protection locked="0"/>
    </xf>
    <xf numFmtId="0" fontId="9" fillId="3" borderId="0" xfId="0" applyFont="1" applyFill="1" applyBorder="1" applyAlignment="1" applyProtection="1">
      <alignment horizontal="right" vertical="center"/>
      <protection hidden="1"/>
    </xf>
    <xf numFmtId="0" fontId="38" fillId="3" borderId="0" xfId="0" applyFont="1" applyFill="1" applyBorder="1" applyProtection="1">
      <alignment vertical="center"/>
      <protection hidden="1"/>
    </xf>
    <xf numFmtId="0" fontId="2" fillId="3" borderId="0" xfId="0" applyFont="1" applyFill="1" applyBorder="1" applyAlignment="1" applyProtection="1">
      <alignment vertical="center" shrinkToFit="1"/>
      <protection hidden="1"/>
    </xf>
    <xf numFmtId="0" fontId="39" fillId="3" borderId="10" xfId="0" applyFont="1" applyFill="1" applyBorder="1" applyAlignment="1" applyProtection="1">
      <alignment horizontal="left" vertical="center"/>
      <protection hidden="1"/>
    </xf>
    <xf numFmtId="0" fontId="15" fillId="3" borderId="52" xfId="0" applyFont="1" applyFill="1" applyBorder="1" applyProtection="1">
      <alignment vertical="center"/>
      <protection hidden="1"/>
    </xf>
    <xf numFmtId="0" fontId="15" fillId="3" borderId="11" xfId="0" applyFont="1" applyFill="1" applyBorder="1" applyProtection="1">
      <alignment vertical="center"/>
      <protection hidden="1"/>
    </xf>
    <xf numFmtId="0" fontId="24" fillId="11" borderId="53" xfId="0" applyFont="1" applyFill="1" applyBorder="1" applyAlignment="1" applyProtection="1">
      <alignment horizontal="center" vertical="top"/>
      <protection hidden="1"/>
    </xf>
    <xf numFmtId="0" fontId="16" fillId="11" borderId="54" xfId="0" applyFont="1" applyFill="1" applyBorder="1" applyAlignment="1" applyProtection="1">
      <alignment horizontal="center" vertical="top"/>
      <protection hidden="1"/>
    </xf>
    <xf numFmtId="0" fontId="14" fillId="3" borderId="0" xfId="0" applyFont="1" applyFill="1" applyBorder="1" applyAlignment="1" applyProtection="1">
      <alignment horizontal="left" vertical="center"/>
      <protection hidden="1"/>
    </xf>
    <xf numFmtId="0" fontId="6" fillId="3" borderId="0" xfId="0" applyFont="1" applyFill="1" applyProtection="1">
      <alignment vertical="center"/>
      <protection hidden="1"/>
    </xf>
    <xf numFmtId="0" fontId="14" fillId="3" borderId="0" xfId="0" applyFont="1" applyFill="1" applyProtection="1">
      <alignment vertical="center"/>
      <protection hidden="1"/>
    </xf>
    <xf numFmtId="184" fontId="14" fillId="3" borderId="0" xfId="0" applyNumberFormat="1" applyFont="1" applyFill="1" applyAlignment="1" applyProtection="1">
      <alignment horizontal="left" vertical="center"/>
      <protection hidden="1"/>
    </xf>
    <xf numFmtId="0" fontId="6" fillId="5" borderId="0" xfId="0" applyFont="1" applyFill="1" applyProtection="1">
      <alignment vertical="center"/>
      <protection hidden="1"/>
    </xf>
    <xf numFmtId="0" fontId="15" fillId="21" borderId="33" xfId="0" applyFont="1" applyFill="1" applyBorder="1" applyAlignment="1" applyProtection="1">
      <alignment vertical="center"/>
      <protection hidden="1"/>
    </xf>
    <xf numFmtId="0" fontId="15" fillId="21" borderId="35" xfId="0" applyFont="1" applyFill="1" applyBorder="1" applyAlignment="1" applyProtection="1">
      <alignment vertical="center"/>
      <protection hidden="1"/>
    </xf>
    <xf numFmtId="49" fontId="15" fillId="3" borderId="0" xfId="0" applyNumberFormat="1" applyFont="1" applyFill="1" applyBorder="1" applyAlignment="1" applyProtection="1">
      <alignment horizontal="left" vertical="center"/>
      <protection locked="0"/>
    </xf>
    <xf numFmtId="0" fontId="87" fillId="3" borderId="0" xfId="0" applyFont="1" applyFill="1" applyAlignment="1" applyProtection="1">
      <alignment vertical="center" shrinkToFit="1"/>
      <protection hidden="1"/>
    </xf>
    <xf numFmtId="0" fontId="23" fillId="3" borderId="0" xfId="0" applyFont="1" applyFill="1" applyProtection="1">
      <alignment vertical="center"/>
      <protection hidden="1"/>
    </xf>
    <xf numFmtId="0" fontId="23" fillId="3" borderId="0" xfId="0" applyFont="1" applyFill="1" applyBorder="1" applyAlignment="1" applyProtection="1">
      <alignment horizontal="left" vertical="top"/>
      <protection hidden="1"/>
    </xf>
    <xf numFmtId="49" fontId="15" fillId="2" borderId="0"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9" borderId="1" xfId="0" applyFont="1" applyFill="1" applyBorder="1" applyAlignment="1" applyProtection="1">
      <alignment horizontal="left" vertical="center" wrapText="1" shrinkToFit="1"/>
      <protection locked="0"/>
    </xf>
    <xf numFmtId="0" fontId="15" fillId="10" borderId="1" xfId="0" applyFont="1" applyFill="1" applyBorder="1" applyAlignment="1" applyProtection="1">
      <alignment horizontal="left" vertical="center" wrapText="1"/>
      <protection locked="0"/>
    </xf>
    <xf numFmtId="0" fontId="15" fillId="9" borderId="1" xfId="0" applyFont="1" applyFill="1" applyBorder="1" applyAlignment="1" applyProtection="1">
      <alignment horizontal="left" vertical="center" wrapText="1"/>
      <protection locked="0"/>
    </xf>
    <xf numFmtId="0" fontId="15" fillId="19" borderId="1" xfId="0" applyFont="1" applyFill="1" applyBorder="1" applyAlignment="1" applyProtection="1">
      <alignment horizontal="left" vertical="center"/>
      <protection locked="0"/>
    </xf>
    <xf numFmtId="0" fontId="3" fillId="14" borderId="29" xfId="0" applyFont="1" applyFill="1" applyBorder="1" applyAlignment="1" applyProtection="1">
      <alignment horizontal="center" vertical="center"/>
      <protection hidden="1"/>
    </xf>
    <xf numFmtId="0" fontId="3" fillId="14" borderId="30" xfId="0" applyFont="1" applyFill="1" applyBorder="1" applyAlignment="1" applyProtection="1">
      <alignment horizontal="center" vertical="center"/>
      <protection hidden="1"/>
    </xf>
    <xf numFmtId="0" fontId="2" fillId="2" borderId="41" xfId="0" applyFont="1" applyFill="1" applyBorder="1" applyAlignment="1" applyProtection="1">
      <alignment horizontal="left" vertical="top" wrapText="1"/>
      <protection locked="0"/>
    </xf>
    <xf numFmtId="0" fontId="56" fillId="2" borderId="37" xfId="0" applyFont="1" applyFill="1" applyBorder="1" applyAlignment="1" applyProtection="1">
      <alignment horizontal="left" vertical="top" wrapText="1"/>
      <protection locked="0"/>
    </xf>
    <xf numFmtId="0" fontId="56" fillId="2" borderId="42" xfId="0" applyFont="1" applyFill="1" applyBorder="1" applyAlignment="1" applyProtection="1">
      <alignment horizontal="left" vertical="top" wrapText="1"/>
      <protection locked="0"/>
    </xf>
    <xf numFmtId="0" fontId="56" fillId="2" borderId="43" xfId="0" applyFont="1" applyFill="1" applyBorder="1" applyAlignment="1" applyProtection="1">
      <alignment horizontal="left" vertical="top" wrapText="1"/>
      <protection locked="0"/>
    </xf>
    <xf numFmtId="0" fontId="56" fillId="2" borderId="0" xfId="0" applyFont="1" applyFill="1" applyBorder="1" applyAlignment="1" applyProtection="1">
      <alignment horizontal="left" vertical="top" wrapText="1"/>
      <protection locked="0"/>
    </xf>
    <xf numFmtId="0" fontId="56" fillId="2" borderId="44" xfId="0" applyFont="1" applyFill="1" applyBorder="1" applyAlignment="1" applyProtection="1">
      <alignment horizontal="left" vertical="top" wrapText="1"/>
      <protection locked="0"/>
    </xf>
    <xf numFmtId="0" fontId="56" fillId="2" borderId="45" xfId="0" applyFont="1" applyFill="1" applyBorder="1" applyAlignment="1" applyProtection="1">
      <alignment horizontal="left" vertical="top" wrapText="1"/>
      <protection locked="0"/>
    </xf>
    <xf numFmtId="0" fontId="56" fillId="2" borderId="15" xfId="0" applyFont="1" applyFill="1" applyBorder="1" applyAlignment="1" applyProtection="1">
      <alignment horizontal="left" vertical="top" wrapText="1"/>
      <protection locked="0"/>
    </xf>
    <xf numFmtId="0" fontId="56" fillId="2" borderId="46" xfId="0" applyFont="1" applyFill="1" applyBorder="1" applyAlignment="1" applyProtection="1">
      <alignment horizontal="left" vertical="top" wrapText="1"/>
      <protection locked="0"/>
    </xf>
    <xf numFmtId="0" fontId="36" fillId="3" borderId="37" xfId="0" applyFont="1" applyFill="1" applyBorder="1" applyAlignment="1" applyProtection="1">
      <alignment horizontal="left" vertical="center"/>
      <protection hidden="1"/>
    </xf>
    <xf numFmtId="0" fontId="36" fillId="3" borderId="0" xfId="0" applyFont="1" applyFill="1" applyBorder="1" applyAlignment="1" applyProtection="1">
      <alignment horizontal="left" vertical="center"/>
      <protection hidden="1"/>
    </xf>
    <xf numFmtId="0" fontId="21" fillId="3" borderId="0" xfId="0" applyFont="1" applyFill="1" applyAlignment="1" applyProtection="1">
      <alignment horizontal="left" vertical="center"/>
      <protection hidden="1"/>
    </xf>
    <xf numFmtId="0" fontId="21" fillId="3" borderId="16" xfId="0" applyFont="1" applyFill="1" applyBorder="1" applyAlignment="1" applyProtection="1">
      <alignment horizontal="left" vertical="center"/>
      <protection hidden="1"/>
    </xf>
    <xf numFmtId="0" fontId="36" fillId="3" borderId="16" xfId="0" applyFont="1" applyFill="1" applyBorder="1" applyAlignment="1" applyProtection="1">
      <alignment horizontal="left" vertical="center"/>
      <protection hidden="1"/>
    </xf>
    <xf numFmtId="0" fontId="26" fillId="3" borderId="0" xfId="0" applyFont="1" applyFill="1" applyAlignment="1" applyProtection="1">
      <alignment horizontal="right" vertical="center"/>
      <protection hidden="1"/>
    </xf>
    <xf numFmtId="0" fontId="26" fillId="3" borderId="16" xfId="0" applyFont="1" applyFill="1" applyBorder="1" applyAlignment="1" applyProtection="1">
      <alignment horizontal="right" vertical="center"/>
      <protection hidden="1"/>
    </xf>
    <xf numFmtId="0" fontId="3" fillId="14" borderId="28" xfId="0" applyFont="1" applyFill="1" applyBorder="1" applyAlignment="1" applyProtection="1">
      <alignment horizontal="center" vertical="center"/>
      <protection hidden="1"/>
    </xf>
    <xf numFmtId="0" fontId="15" fillId="21" borderId="23" xfId="0" applyFont="1" applyFill="1" applyBorder="1" applyAlignment="1" applyProtection="1">
      <alignment horizontal="left" vertical="center"/>
      <protection hidden="1"/>
    </xf>
    <xf numFmtId="0" fontId="15" fillId="21" borderId="22" xfId="0" applyFont="1" applyFill="1" applyBorder="1" applyAlignment="1" applyProtection="1">
      <alignment horizontal="left" vertical="center"/>
      <protection hidden="1"/>
    </xf>
    <xf numFmtId="0" fontId="15" fillId="21" borderId="24" xfId="0" applyFont="1" applyFill="1" applyBorder="1" applyAlignment="1" applyProtection="1">
      <alignment horizontal="left" vertical="center"/>
      <protection hidden="1"/>
    </xf>
    <xf numFmtId="49" fontId="15" fillId="4" borderId="10" xfId="0" applyNumberFormat="1" applyFont="1" applyFill="1" applyBorder="1" applyAlignment="1" applyProtection="1">
      <alignment horizontal="left" vertical="top"/>
      <protection locked="0"/>
    </xf>
    <xf numFmtId="49" fontId="15" fillId="4" borderId="11" xfId="0" applyNumberFormat="1" applyFont="1" applyFill="1" applyBorder="1" applyAlignment="1" applyProtection="1">
      <alignment horizontal="left" vertical="top"/>
      <protection locked="0"/>
    </xf>
    <xf numFmtId="0" fontId="14" fillId="2" borderId="10" xfId="0" applyFont="1" applyFill="1" applyBorder="1" applyAlignment="1" applyProtection="1">
      <alignment horizontal="left" vertical="top"/>
      <protection locked="0"/>
    </xf>
    <xf numFmtId="0" fontId="14" fillId="2" borderId="11" xfId="0" applyFont="1" applyFill="1" applyBorder="1" applyAlignment="1" applyProtection="1">
      <alignment horizontal="left" vertical="top"/>
      <protection locked="0"/>
    </xf>
    <xf numFmtId="0" fontId="15" fillId="2" borderId="10" xfId="0" applyFont="1" applyFill="1" applyBorder="1" applyAlignment="1" applyProtection="1">
      <alignment horizontal="left" vertical="top"/>
      <protection locked="0"/>
    </xf>
    <xf numFmtId="0" fontId="15" fillId="2" borderId="11" xfId="0" applyFont="1" applyFill="1" applyBorder="1" applyAlignment="1" applyProtection="1">
      <alignment horizontal="left" vertical="top"/>
      <protection locked="0"/>
    </xf>
    <xf numFmtId="0" fontId="23" fillId="3" borderId="0" xfId="0" applyFont="1" applyFill="1" applyBorder="1" applyAlignment="1" applyProtection="1">
      <alignment horizontal="left" vertical="center"/>
      <protection hidden="1"/>
    </xf>
    <xf numFmtId="49" fontId="15" fillId="3" borderId="0" xfId="0" applyNumberFormat="1" applyFont="1" applyFill="1" applyBorder="1" applyAlignment="1" applyProtection="1">
      <alignment horizontal="left" vertical="center"/>
      <protection locked="0"/>
    </xf>
    <xf numFmtId="0" fontId="15" fillId="3" borderId="0" xfId="0" applyFont="1" applyFill="1" applyBorder="1" applyAlignment="1" applyProtection="1">
      <alignment horizontal="center" vertical="top"/>
      <protection hidden="1"/>
    </xf>
    <xf numFmtId="0" fontId="27" fillId="3" borderId="0" xfId="0" applyFont="1" applyFill="1" applyAlignment="1" applyProtection="1">
      <alignment horizontal="left" vertical="center"/>
      <protection hidden="1"/>
    </xf>
    <xf numFmtId="49" fontId="15" fillId="2" borderId="49" xfId="0" applyNumberFormat="1" applyFont="1" applyFill="1" applyBorder="1" applyAlignment="1" applyProtection="1">
      <alignment horizontal="left" vertical="top"/>
      <protection locked="0"/>
    </xf>
    <xf numFmtId="49" fontId="15" fillId="2" borderId="50" xfId="0" applyNumberFormat="1" applyFont="1" applyFill="1" applyBorder="1" applyAlignment="1" applyProtection="1">
      <alignment horizontal="left" vertical="top"/>
      <protection locked="0"/>
    </xf>
    <xf numFmtId="49" fontId="15" fillId="2" borderId="51" xfId="0" applyNumberFormat="1" applyFont="1" applyFill="1" applyBorder="1" applyAlignment="1" applyProtection="1">
      <alignment horizontal="left" vertical="top"/>
      <protection locked="0"/>
    </xf>
    <xf numFmtId="49" fontId="15" fillId="13" borderId="10" xfId="0" applyNumberFormat="1" applyFont="1" applyFill="1" applyBorder="1" applyAlignment="1" applyProtection="1">
      <alignment horizontal="left" vertical="top"/>
      <protection locked="0"/>
    </xf>
    <xf numFmtId="49" fontId="15" fillId="13" borderId="52" xfId="0" applyNumberFormat="1" applyFont="1" applyFill="1" applyBorder="1" applyAlignment="1" applyProtection="1">
      <alignment horizontal="left" vertical="top"/>
      <protection locked="0"/>
    </xf>
    <xf numFmtId="49" fontId="15" fillId="13" borderId="11" xfId="0" applyNumberFormat="1" applyFont="1" applyFill="1" applyBorder="1" applyAlignment="1" applyProtection="1">
      <alignment horizontal="left" vertical="top"/>
      <protection locked="0"/>
    </xf>
    <xf numFmtId="0" fontId="7" fillId="5" borderId="0" xfId="0" applyFont="1" applyFill="1" applyBorder="1" applyAlignment="1" applyProtection="1">
      <alignment horizontal="center" vertical="top"/>
      <protection hidden="1"/>
    </xf>
    <xf numFmtId="0" fontId="24" fillId="11" borderId="12" xfId="0" applyFont="1" applyFill="1" applyBorder="1" applyAlignment="1" applyProtection="1">
      <alignment horizontal="center" vertical="top"/>
      <protection hidden="1"/>
    </xf>
  </cellXfs>
  <cellStyles count="2">
    <cellStyle name="Hyperlink" xfId="1" builtinId="8"/>
    <cellStyle name="Normal" xfId="0" builtinId="0"/>
  </cellStyles>
  <dxfs count="228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CCFFFF"/>
        </patternFill>
      </fill>
    </dxf>
    <dxf>
      <fill>
        <patternFill>
          <bgColor rgb="FFCCFFFF"/>
        </patternFill>
      </fill>
    </dxf>
    <dxf>
      <fill>
        <patternFill>
          <bgColor rgb="FFCCFFFF"/>
        </patternFill>
      </fill>
    </dxf>
    <dxf>
      <fill>
        <patternFill>
          <bgColor rgb="FFFF99FF"/>
        </patternFill>
      </fill>
    </dxf>
    <dxf>
      <fill>
        <patternFill>
          <bgColor rgb="FFFF99FF"/>
        </patternFill>
      </fill>
    </dxf>
    <dxf>
      <font>
        <color theme="0"/>
      </font>
      <fill>
        <patternFill>
          <bgColor theme="0"/>
        </patternFill>
      </fill>
    </dxf>
    <dxf>
      <fill>
        <patternFill>
          <bgColor theme="0"/>
        </patternFill>
      </fill>
    </dxf>
    <dxf>
      <fill>
        <patternFill>
          <bgColor theme="0"/>
        </patternFill>
      </fill>
    </dxf>
    <dxf>
      <font>
        <color theme="0"/>
      </font>
      <border>
        <left/>
        <right/>
        <top/>
        <bottom/>
        <vertical/>
        <horizontal/>
      </border>
    </dxf>
    <dxf>
      <font>
        <b/>
        <i val="0"/>
        <color rgb="FFFF0000"/>
      </font>
      <border>
        <left/>
        <right/>
        <top style="thin">
          <color rgb="FFFF6600"/>
        </top>
        <bottom/>
        <vertical/>
        <horizontal/>
      </border>
    </dxf>
    <dxf>
      <font>
        <color theme="0"/>
      </font>
      <border>
        <top style="thin">
          <color rgb="FFFF6600"/>
        </top>
        <vertical/>
        <horizontal/>
      </border>
    </dxf>
  </dxfs>
  <tableStyles count="0" defaultTableStyle="TableStyleMedium2" defaultPivotStyle="PivotStyleLight16"/>
  <colors>
    <mruColors>
      <color rgb="FFFF6600"/>
      <color rgb="FFFFFF99"/>
      <color rgb="FF0000CC"/>
      <color rgb="FFCCFFFF"/>
      <color rgb="FF66FFFF"/>
      <color rgb="FFFF99FF"/>
      <color rgb="FFFFFF00"/>
      <color rgb="FFFF00FF"/>
      <color rgb="FFFF66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fmlaLink="$B$48" lockText="1"/>
</file>

<file path=xl/ctrlProps/ctrlProp2.xml><?xml version="1.0" encoding="utf-8"?>
<formControlPr xmlns="http://schemas.microsoft.com/office/spreadsheetml/2009/9/main" objectType="CheckBox" checked="Checked" fmlaLink="$B$49" lockText="1"/>
</file>

<file path=xl/ctrlProps/ctrlProp3.xml><?xml version="1.0" encoding="utf-8"?>
<formControlPr xmlns="http://schemas.microsoft.com/office/spreadsheetml/2009/9/main" objectType="CheckBox" checked="Checked" fmlaLink="$B$50" lockText="1"/>
</file>

<file path=xl/ctrlProps/ctrlProp4.xml><?xml version="1.0" encoding="utf-8"?>
<formControlPr xmlns="http://schemas.microsoft.com/office/spreadsheetml/2009/9/main" objectType="CheckBox" fmlaLink="$B$58" lockText="1"/>
</file>

<file path=xl/ctrlProps/ctrlProp5.xml><?xml version="1.0" encoding="utf-8"?>
<formControlPr xmlns="http://schemas.microsoft.com/office/spreadsheetml/2009/9/main" objectType="CheckBox" checked="Checked" fmlaLink="$B$59" lockText="1"/>
</file>

<file path=xl/ctrlProps/ctrlProp6.xml><?xml version="1.0" encoding="utf-8"?>
<formControlPr xmlns="http://schemas.microsoft.com/office/spreadsheetml/2009/9/main" objectType="Drop" dropStyle="combo" dx="22" fmlaLink="$B$51" fmlaRange="$B$49:$B$50"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1323975</xdr:colOff>
          <xdr:row>9</xdr:row>
          <xdr:rowOff>180975</xdr:rowOff>
        </xdr:to>
        <xdr:sp macro="" textlink="">
          <xdr:nvSpPr>
            <xdr:cNvPr id="13313" name="Check Box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Time Log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180975</xdr:rowOff>
        </xdr:from>
        <xdr:to>
          <xdr:col>1</xdr:col>
          <xdr:colOff>1314450</xdr:colOff>
          <xdr:row>11</xdr:row>
          <xdr:rowOff>19050</xdr:rowOff>
        </xdr:to>
        <xdr:sp macro="" textlink="">
          <xdr:nvSpPr>
            <xdr:cNvPr id="13314" name="Check Box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Quantity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9525</xdr:rowOff>
        </xdr:from>
        <xdr:to>
          <xdr:col>1</xdr:col>
          <xdr:colOff>1314450</xdr:colOff>
          <xdr:row>11</xdr:row>
          <xdr:rowOff>171450</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13</xdr:row>
          <xdr:rowOff>19050</xdr:rowOff>
        </xdr:from>
        <xdr:to>
          <xdr:col>2</xdr:col>
          <xdr:colOff>857250</xdr:colOff>
          <xdr:row>13</xdr:row>
          <xdr:rowOff>171450</xdr:rowOff>
        </xdr:to>
        <xdr:sp macro="" textlink="">
          <xdr:nvSpPr>
            <xdr:cNvPr id="13317" name="Check Box 5" hidden="1">
              <a:extLst>
                <a:ext uri="{63B3BB69-23CF-44E3-9099-C40C66FF867C}">
                  <a14:compatExt spid="_x0000_s13317"/>
                </a:ext>
                <a:ext uri="{FF2B5EF4-FFF2-40B4-BE49-F238E27FC236}">
                  <a16:creationId xmlns:a16="http://schemas.microsoft.com/office/drawing/2014/main" id="{00000000-0008-0000-0000-000005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914400</xdr:colOff>
          <xdr:row>12</xdr:row>
          <xdr:rowOff>428625</xdr:rowOff>
        </xdr:from>
        <xdr:to>
          <xdr:col>2</xdr:col>
          <xdr:colOff>1495425</xdr:colOff>
          <xdr:row>13</xdr:row>
          <xdr:rowOff>180975</xdr:rowOff>
        </xdr:to>
        <xdr:sp macro="" textlink="">
          <xdr:nvSpPr>
            <xdr:cNvPr id="13318" name="Check Box 6" hidden="1">
              <a:extLst>
                <a:ext uri="{63B3BB69-23CF-44E3-9099-C40C66FF867C}">
                  <a14:compatExt spid="_x0000_s13318"/>
                </a:ext>
                <a:ext uri="{FF2B5EF4-FFF2-40B4-BE49-F238E27FC236}">
                  <a16:creationId xmlns:a16="http://schemas.microsoft.com/office/drawing/2014/main" id="{00000000-0008-0000-0000-00000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No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8</xdr:col>
      <xdr:colOff>247648</xdr:colOff>
      <xdr:row>35</xdr:row>
      <xdr:rowOff>116203</xdr:rowOff>
    </xdr:from>
    <xdr:to>
      <xdr:col>11</xdr:col>
      <xdr:colOff>969010</xdr:colOff>
      <xdr:row>58</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439398" y="6116953"/>
          <a:ext cx="5674362" cy="384619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a:t>
          </a:r>
          <a:r>
            <a:rPr lang="en-US" altLang="ko-KR" sz="900" b="1" baseline="0">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로봇은 나바릭의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Grade</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를 붙여넣기 합니다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가 여러개 일 경우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en-US" altLang="ko-KR" sz="900" b="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-01</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에만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Time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적용하고</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나머지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는 입력하지 않습니다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Time Log for Load</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의 노란색 영역에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Date, Time, 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필요시 사용</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공란으로 처리</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공란으로 처리되면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자동으로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수식되어 나바릭에서 삭제됨</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항목을 추가 안됨</a:t>
          </a:r>
          <a:endPar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Delay:</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 이외의 발생되는 일로 해상날씨 악화로 인한 접안 지연 및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Operation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지연 등의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기재</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Time Log 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Lay can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이나 다른 화물 작업 시간 등을 기재</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Navarik</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등록</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산텍</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8</xdr:col>
      <xdr:colOff>249554</xdr:colOff>
      <xdr:row>5</xdr:row>
      <xdr:rowOff>0</xdr:rowOff>
    </xdr:from>
    <xdr:to>
      <xdr:col>13</xdr:col>
      <xdr:colOff>876299</xdr:colOff>
      <xdr:row>37</xdr:row>
      <xdr:rowOff>85725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9593579" y="952500"/>
          <a:ext cx="4453890" cy="5353050"/>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1. INSPECTOR: (</a:t>
          </a:r>
          <a:r>
            <a:rPr lang="ko-KR" altLang="en-US"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셀 색 구분</a:t>
          </a:r>
          <a:endPar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하늘색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연 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 연결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필요시 강제입력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그레이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고객 요청 시 입력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(Tonnes Air)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마름모</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rgbClr val="00B05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로봇은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Navarik</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유무에 따라 숨기기</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취소 합니다</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Input Data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값을 입력합니다</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없으면 </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1.000</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을 입력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 Data</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Load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또는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Discharge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VCF Table</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VCF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테이블 선택 </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Mean Temp. (°C or °F)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온도 입력 후 부호 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Active shore tank: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계약상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No”</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로 선적 진행되어야 하고 만일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고객에게 사전 인폼되어야 작업 가능</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경우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Supervisor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문의</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Density 15C</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비중은 분석 결과를 입력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혼적인 경우 계산 비중 적용</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ko-KR" altLang="en-US"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주의사항</a:t>
          </a:r>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10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Shore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 입력은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기준으로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같은 값으로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다르면 강제 입력을 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b) Vessel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모든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0.00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발견되면 강제 입력을하고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물량도 강제 입력을</a:t>
          </a:r>
          <a:endPar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2561570" y="1203958"/>
          <a:ext cx="2400300" cy="1535620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88</xdr:row>
          <xdr:rowOff>38100</xdr:rowOff>
        </xdr:from>
        <xdr:to>
          <xdr:col>1</xdr:col>
          <xdr:colOff>542925</xdr:colOff>
          <xdr:row>89</xdr:row>
          <xdr:rowOff>161925</xdr:rowOff>
        </xdr:to>
        <xdr:sp macro="" textlink="">
          <xdr:nvSpPr>
            <xdr:cNvPr id="26625" name="Drop Down 1" hidden="1">
              <a:extLst>
                <a:ext uri="{63B3BB69-23CF-44E3-9099-C40C66FF867C}">
                  <a14:compatExt spid="_x0000_s26625"/>
                </a:ext>
                <a:ext uri="{FF2B5EF4-FFF2-40B4-BE49-F238E27FC236}">
                  <a16:creationId xmlns:a16="http://schemas.microsoft.com/office/drawing/2014/main" id="{00000000-0008-0000-0D00-000001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hyperlink" Target="mailto:kr_ogcyosu@sgs.com" TargetMode="External"/><Relationship Id="rId13" Type="http://schemas.openxmlformats.org/officeDocument/2006/relationships/hyperlink" Target="mailto:kr_ogcyosu@sgs.com" TargetMode="External"/><Relationship Id="rId18" Type="http://schemas.openxmlformats.org/officeDocument/2006/relationships/hyperlink" Target="mailto:kr_ogcyosu@sgs.com" TargetMode="External"/><Relationship Id="rId26" Type="http://schemas.openxmlformats.org/officeDocument/2006/relationships/hyperlink" Target="mailto:kr_ogcins_pusan@sgs.com" TargetMode="External"/><Relationship Id="rId3" Type="http://schemas.openxmlformats.org/officeDocument/2006/relationships/hyperlink" Target="mailto:kr_ogcins_pusan@sgs.com" TargetMode="External"/><Relationship Id="rId21" Type="http://schemas.openxmlformats.org/officeDocument/2006/relationships/hyperlink" Target="mailto:kr_ogcins_pusan@sgs.com" TargetMode="External"/><Relationship Id="rId7" Type="http://schemas.openxmlformats.org/officeDocument/2006/relationships/hyperlink" Target="mailto:kr_ogculsan@sgs.com" TargetMode="External"/><Relationship Id="rId12" Type="http://schemas.openxmlformats.org/officeDocument/2006/relationships/hyperlink" Target="mailto:kr_ogculsan@sgs.com" TargetMode="External"/><Relationship Id="rId17" Type="http://schemas.openxmlformats.org/officeDocument/2006/relationships/hyperlink" Target="mailto:kr_ogculsan@sgs.com" TargetMode="External"/><Relationship Id="rId25" Type="http://schemas.openxmlformats.org/officeDocument/2006/relationships/hyperlink" Target="mailto:kr_ogcwest@sgs.com" TargetMode="External"/><Relationship Id="rId2" Type="http://schemas.openxmlformats.org/officeDocument/2006/relationships/hyperlink" Target="mailto:kr_ogcyosu@sgs.com" TargetMode="External"/><Relationship Id="rId16" Type="http://schemas.openxmlformats.org/officeDocument/2006/relationships/hyperlink" Target="mailto:kr_ogcwest@sgs.com" TargetMode="External"/><Relationship Id="rId20" Type="http://schemas.openxmlformats.org/officeDocument/2006/relationships/hyperlink" Target="mailto:kr_ogcwest@sgs.com" TargetMode="External"/><Relationship Id="rId29" Type="http://schemas.openxmlformats.org/officeDocument/2006/relationships/vmlDrawing" Target="../drawings/vmlDrawing2.vml"/><Relationship Id="rId1" Type="http://schemas.openxmlformats.org/officeDocument/2006/relationships/hyperlink" Target="mailto:kr_ogculsan@sgs.com" TargetMode="External"/><Relationship Id="rId6" Type="http://schemas.openxmlformats.org/officeDocument/2006/relationships/hyperlink" Target="mailto:svc_.rpa-ulsan1kr@sgs.com" TargetMode="External"/><Relationship Id="rId11" Type="http://schemas.openxmlformats.org/officeDocument/2006/relationships/hyperlink" Target="mailto:hiel.kim@sgs.com" TargetMode="External"/><Relationship Id="rId24" Type="http://schemas.openxmlformats.org/officeDocument/2006/relationships/hyperlink" Target="mailto:kr_ogcwest@sgs.com" TargetMode="External"/><Relationship Id="rId5" Type="http://schemas.openxmlformats.org/officeDocument/2006/relationships/hyperlink" Target="mailto:kr_ogcwest@sgs.com" TargetMode="External"/><Relationship Id="rId15" Type="http://schemas.openxmlformats.org/officeDocument/2006/relationships/hyperlink" Target="mailto:kr_ogcins_pusan@sgs.com" TargetMode="External"/><Relationship Id="rId23" Type="http://schemas.openxmlformats.org/officeDocument/2006/relationships/hyperlink" Target="mailto:kr_ogcyosu@sgs.com" TargetMode="External"/><Relationship Id="rId28" Type="http://schemas.openxmlformats.org/officeDocument/2006/relationships/drawing" Target="../drawings/drawing14.xml"/><Relationship Id="rId10" Type="http://schemas.openxmlformats.org/officeDocument/2006/relationships/hyperlink" Target="mailto:kr_ogcwest@sgs.com" TargetMode="External"/><Relationship Id="rId19" Type="http://schemas.openxmlformats.org/officeDocument/2006/relationships/hyperlink" Target="mailto:kr_ogcwest@sgs.com" TargetMode="External"/><Relationship Id="rId4" Type="http://schemas.openxmlformats.org/officeDocument/2006/relationships/hyperlink" Target="mailto:kr_ogcwest@sgs.com" TargetMode="External"/><Relationship Id="rId9" Type="http://schemas.openxmlformats.org/officeDocument/2006/relationships/hyperlink" Target="mailto:kr_ogcins_pusan@sgs.com" TargetMode="External"/><Relationship Id="rId14" Type="http://schemas.openxmlformats.org/officeDocument/2006/relationships/hyperlink" Target="mailto:kr_ogcwest@sgs.com" TargetMode="External"/><Relationship Id="rId22" Type="http://schemas.openxmlformats.org/officeDocument/2006/relationships/hyperlink" Target="mailto:kr_ogculsan@sgs.com" TargetMode="External"/><Relationship Id="rId27" Type="http://schemas.openxmlformats.org/officeDocument/2006/relationships/printerSettings" Target="../printerSettings/printerSettings14.bin"/><Relationship Id="rId30"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09DC9-3937-4E55-97D7-5C6D5A3DE391}">
  <sheetPr codeName="Sheet1">
    <tabColor theme="1"/>
  </sheetPr>
  <dimension ref="A1:Z131"/>
  <sheetViews>
    <sheetView showRowColHeaders="0" topLeftCell="A2" zoomScaleNormal="100" workbookViewId="0">
      <selection activeCell="G27" sqref="G27"/>
    </sheetView>
  </sheetViews>
  <sheetFormatPr defaultColWidth="8.75" defaultRowHeight="18" customHeight="1"/>
  <cols>
    <col min="1" max="1" width="2.875" style="92" customWidth="1"/>
    <col min="2" max="2" width="20.625" style="92" customWidth="1"/>
    <col min="3" max="3" width="31.75" style="92" customWidth="1"/>
    <col min="4" max="5" width="2.625" style="102" customWidth="1"/>
    <col min="6" max="11" width="10.75" style="102" customWidth="1"/>
    <col min="12" max="19" width="8.75" style="102"/>
    <col min="20" max="16384" width="8.75" style="92"/>
  </cols>
  <sheetData>
    <row r="1" spans="1:26" ht="18" hidden="1" customHeight="1">
      <c r="A1" s="104">
        <f>IF(AND(C12="Yes",C10="No",C11="No"),1,0)</f>
        <v>0</v>
      </c>
    </row>
    <row r="2" spans="1:26" ht="15" customHeight="1" thickBot="1">
      <c r="E2" s="219"/>
      <c r="F2" s="220"/>
      <c r="G2" s="220"/>
      <c r="H2" s="220"/>
      <c r="I2" s="220"/>
      <c r="J2" s="220"/>
      <c r="K2" s="220"/>
      <c r="L2" s="219"/>
      <c r="M2" s="219"/>
      <c r="N2" s="219"/>
      <c r="O2" s="219"/>
      <c r="P2" s="219"/>
      <c r="Q2" s="219"/>
      <c r="R2" s="219"/>
      <c r="S2" s="219"/>
      <c r="T2" s="224"/>
      <c r="U2" s="224"/>
      <c r="V2" s="224"/>
      <c r="W2" s="224"/>
      <c r="X2" s="224"/>
      <c r="Y2" s="224"/>
      <c r="Z2" s="224"/>
    </row>
    <row r="3" spans="1:26" ht="15" customHeight="1" thickBot="1">
      <c r="B3" s="170" t="s">
        <v>251</v>
      </c>
      <c r="C3" s="171" t="s">
        <v>231</v>
      </c>
      <c r="E3" s="219"/>
      <c r="F3" s="220"/>
      <c r="G3" s="220"/>
      <c r="H3" s="220"/>
      <c r="I3" s="220"/>
      <c r="J3" s="220"/>
      <c r="K3" s="220"/>
      <c r="L3" s="219"/>
      <c r="M3" s="219"/>
      <c r="N3" s="219"/>
      <c r="O3" s="219"/>
      <c r="P3" s="219"/>
      <c r="Q3" s="219"/>
      <c r="R3" s="219"/>
      <c r="S3" s="219"/>
      <c r="T3" s="224"/>
      <c r="U3" s="224"/>
      <c r="V3" s="224"/>
      <c r="W3" s="224"/>
      <c r="X3" s="224"/>
      <c r="Y3" s="224"/>
      <c r="Z3" s="224"/>
    </row>
    <row r="4" spans="1:26" ht="15" customHeight="1" thickBot="1">
      <c r="C4" s="93"/>
      <c r="E4" s="219"/>
      <c r="F4" s="220"/>
      <c r="G4" s="220"/>
      <c r="H4" s="220"/>
      <c r="I4" s="220"/>
      <c r="J4" s="220"/>
      <c r="K4" s="220"/>
      <c r="L4" s="219"/>
      <c r="M4" s="219"/>
      <c r="N4" s="219"/>
      <c r="O4" s="219"/>
      <c r="P4" s="219"/>
      <c r="Q4" s="219"/>
      <c r="R4" s="219"/>
      <c r="S4" s="219"/>
      <c r="T4" s="224"/>
      <c r="U4" s="224"/>
      <c r="V4" s="224"/>
      <c r="W4" s="224"/>
      <c r="X4" s="224"/>
      <c r="Y4" s="224"/>
      <c r="Z4" s="224"/>
    </row>
    <row r="5" spans="1:26" ht="15" customHeight="1">
      <c r="B5" s="215" t="s">
        <v>394</v>
      </c>
      <c r="C5" s="148" t="s">
        <v>699</v>
      </c>
      <c r="E5" s="221" t="s">
        <v>647</v>
      </c>
      <c r="F5" s="233" t="s">
        <v>676</v>
      </c>
      <c r="G5" s="223"/>
      <c r="H5" s="223"/>
      <c r="I5" s="220"/>
      <c r="J5" s="220"/>
      <c r="K5" s="220"/>
      <c r="L5" s="219"/>
      <c r="M5" s="219"/>
      <c r="N5" s="219"/>
      <c r="O5" s="219"/>
      <c r="P5" s="219"/>
      <c r="Q5" s="219"/>
      <c r="R5" s="219"/>
      <c r="S5" s="219"/>
      <c r="T5" s="224"/>
      <c r="U5" s="224"/>
      <c r="V5" s="224"/>
      <c r="W5" s="224"/>
      <c r="X5" s="224"/>
      <c r="Y5" s="224"/>
      <c r="Z5" s="224"/>
    </row>
    <row r="6" spans="1:26" ht="15" customHeight="1">
      <c r="B6" s="143" t="str">
        <f>IF(C5="","",VLOOKUP(C5,Sheet3!$I$1:$L$91,3,))</f>
        <v>여수</v>
      </c>
      <c r="C6" s="149" t="str">
        <f>IF(C5="","담당자 이름을 입력 또는 선택합니다.",VLOOKUP(C5,Sheet3!$I$1:$L$91,2,))</f>
        <v>kr_ogcyosu@sgs.com</v>
      </c>
      <c r="E6" s="225"/>
      <c r="F6" s="222"/>
      <c r="G6" s="223"/>
      <c r="H6" s="223"/>
      <c r="I6" s="220"/>
      <c r="J6" s="220"/>
      <c r="K6" s="220"/>
      <c r="L6" s="219"/>
      <c r="M6" s="219"/>
      <c r="N6" s="219"/>
      <c r="O6" s="219"/>
      <c r="P6" s="219"/>
      <c r="Q6" s="219"/>
      <c r="R6" s="219"/>
      <c r="S6" s="219"/>
      <c r="T6" s="224"/>
      <c r="U6" s="224"/>
      <c r="V6" s="224"/>
      <c r="W6" s="224"/>
      <c r="X6" s="224"/>
      <c r="Y6" s="224"/>
      <c r="Z6" s="224"/>
    </row>
    <row r="7" spans="1:26" ht="15" customHeight="1" thickBot="1">
      <c r="B7" s="103" t="s">
        <v>257</v>
      </c>
      <c r="C7" s="153" t="str">
        <f>IF(C5="","",CONCATENATE(VLOOKUP(C5,Sheet3!$I$1:$L$91,4,),"; hyunjin.kim@sgs.com"))</f>
        <v>kr_ogcyosu@sgs.com; hyunjin.kim@sgs.com</v>
      </c>
      <c r="D7" s="102" t="s">
        <v>396</v>
      </c>
      <c r="E7" s="225"/>
      <c r="F7" s="222"/>
      <c r="G7" s="223"/>
      <c r="H7" s="223"/>
      <c r="I7" s="220"/>
      <c r="J7" s="220"/>
      <c r="K7" s="220"/>
      <c r="L7" s="219"/>
      <c r="M7" s="219"/>
      <c r="N7" s="219"/>
      <c r="O7" s="219"/>
      <c r="P7" s="219"/>
      <c r="Q7" s="219"/>
      <c r="R7" s="219"/>
      <c r="S7" s="219"/>
      <c r="T7" s="224"/>
      <c r="U7" s="224"/>
      <c r="V7" s="224"/>
      <c r="W7" s="224"/>
      <c r="X7" s="224"/>
      <c r="Y7" s="224"/>
      <c r="Z7" s="224"/>
    </row>
    <row r="8" spans="1:26" ht="15" customHeight="1" thickBot="1">
      <c r="E8" s="225"/>
      <c r="F8" s="222"/>
      <c r="G8" s="223"/>
      <c r="H8" s="223"/>
      <c r="I8" s="220"/>
      <c r="J8" s="220"/>
      <c r="K8" s="220"/>
      <c r="L8" s="219"/>
      <c r="M8" s="219"/>
      <c r="N8" s="219"/>
      <c r="O8" s="219"/>
      <c r="P8" s="219"/>
      <c r="Q8" s="219"/>
      <c r="R8" s="219"/>
      <c r="S8" s="219"/>
      <c r="T8" s="224"/>
      <c r="U8" s="224"/>
      <c r="V8" s="224"/>
      <c r="W8" s="224"/>
      <c r="X8" s="224"/>
      <c r="Y8" s="224"/>
      <c r="Z8" s="224"/>
    </row>
    <row r="9" spans="1:26" ht="15" customHeight="1" thickBot="1">
      <c r="B9" s="217" t="s">
        <v>673</v>
      </c>
      <c r="C9" s="218" t="s">
        <v>674</v>
      </c>
      <c r="E9" s="226" t="s">
        <v>677</v>
      </c>
      <c r="F9" s="223"/>
      <c r="G9" s="223"/>
      <c r="H9" s="223"/>
      <c r="I9" s="220"/>
      <c r="J9" s="220"/>
      <c r="K9" s="220"/>
      <c r="L9" s="219"/>
      <c r="M9" s="219"/>
      <c r="N9" s="219"/>
      <c r="O9" s="219"/>
      <c r="P9" s="219"/>
      <c r="Q9" s="219"/>
      <c r="R9" s="219"/>
      <c r="S9" s="219"/>
      <c r="T9" s="224"/>
      <c r="U9" s="224"/>
      <c r="V9" s="224"/>
      <c r="W9" s="224"/>
      <c r="X9" s="224"/>
      <c r="Y9" s="224"/>
      <c r="Z9" s="224"/>
    </row>
    <row r="10" spans="1:26" ht="15" customHeight="1">
      <c r="B10" s="144"/>
      <c r="C10" s="180" t="str">
        <f>IF(LEFT(B48,1)="T","Yes","No")</f>
        <v>No</v>
      </c>
      <c r="E10" s="221" t="s">
        <v>647</v>
      </c>
      <c r="F10" s="233" t="s">
        <v>680</v>
      </c>
      <c r="G10" s="223"/>
      <c r="H10" s="223"/>
      <c r="I10" s="220"/>
      <c r="J10" s="220"/>
      <c r="K10" s="220"/>
      <c r="L10" s="219"/>
      <c r="M10" s="219"/>
      <c r="N10" s="219"/>
      <c r="O10" s="219"/>
      <c r="P10" s="219"/>
      <c r="Q10" s="219"/>
      <c r="R10" s="219"/>
      <c r="S10" s="219"/>
      <c r="T10" s="224"/>
      <c r="U10" s="224"/>
      <c r="V10" s="224"/>
      <c r="W10" s="224"/>
      <c r="X10" s="224"/>
      <c r="Y10" s="224"/>
      <c r="Z10" s="224"/>
    </row>
    <row r="11" spans="1:26" ht="15" customHeight="1">
      <c r="B11" s="181"/>
      <c r="C11" s="182" t="str">
        <f>IF(LEFT(B49,1)="T","Yes","No")</f>
        <v>Yes</v>
      </c>
      <c r="E11" s="221" t="s">
        <v>647</v>
      </c>
      <c r="F11" s="233" t="s">
        <v>679</v>
      </c>
      <c r="G11" s="223"/>
      <c r="H11" s="223"/>
      <c r="I11" s="220"/>
      <c r="J11" s="220"/>
      <c r="K11" s="220"/>
      <c r="L11" s="219"/>
      <c r="M11" s="219"/>
      <c r="N11" s="219"/>
      <c r="O11" s="219"/>
      <c r="P11" s="219"/>
      <c r="Q11" s="219"/>
      <c r="R11" s="219"/>
      <c r="S11" s="219"/>
      <c r="T11" s="224"/>
      <c r="U11" s="224"/>
      <c r="V11" s="224"/>
      <c r="W11" s="224"/>
      <c r="X11" s="224"/>
      <c r="Y11" s="224"/>
      <c r="Z11" s="224"/>
    </row>
    <row r="12" spans="1:26" ht="15" customHeight="1" thickBot="1">
      <c r="B12" s="145"/>
      <c r="C12" s="183" t="str">
        <f>IF(LEFT(B50,1)="T","Yes","No")</f>
        <v>Yes</v>
      </c>
      <c r="E12" s="221" t="s">
        <v>647</v>
      </c>
      <c r="F12" s="233" t="s">
        <v>681</v>
      </c>
      <c r="G12" s="223"/>
      <c r="H12" s="223"/>
      <c r="I12" s="220"/>
      <c r="J12" s="220"/>
      <c r="K12" s="220"/>
      <c r="L12" s="219"/>
      <c r="M12" s="219"/>
      <c r="N12" s="219"/>
      <c r="O12" s="219"/>
      <c r="P12" s="219"/>
      <c r="Q12" s="219"/>
      <c r="R12" s="219"/>
      <c r="S12" s="219"/>
      <c r="T12" s="224"/>
      <c r="U12" s="224"/>
      <c r="V12" s="224"/>
      <c r="W12" s="224"/>
      <c r="X12" s="224"/>
      <c r="Y12" s="224"/>
      <c r="Z12" s="224"/>
    </row>
    <row r="13" spans="1:26" ht="25.9" customHeight="1" thickBot="1">
      <c r="B13" s="216" t="s">
        <v>675</v>
      </c>
      <c r="E13" s="227" t="s">
        <v>678</v>
      </c>
      <c r="F13" s="234"/>
      <c r="G13" s="223"/>
      <c r="H13" s="223"/>
      <c r="I13" s="220"/>
      <c r="J13" s="220"/>
      <c r="K13" s="220"/>
      <c r="L13" s="219"/>
      <c r="M13" s="219"/>
      <c r="N13" s="219"/>
      <c r="O13" s="219"/>
      <c r="P13" s="219"/>
      <c r="Q13" s="219"/>
      <c r="R13" s="219"/>
      <c r="S13" s="219"/>
      <c r="T13" s="224"/>
      <c r="U13" s="224"/>
      <c r="V13" s="224"/>
      <c r="W13" s="224"/>
      <c r="X13" s="224"/>
      <c r="Y13" s="224"/>
      <c r="Z13" s="224"/>
    </row>
    <row r="14" spans="1:26" ht="15" customHeight="1" thickBot="1">
      <c r="B14" s="214" t="s">
        <v>672</v>
      </c>
      <c r="C14" s="209"/>
      <c r="E14" s="221" t="s">
        <v>647</v>
      </c>
      <c r="F14" s="233" t="s">
        <v>682</v>
      </c>
      <c r="G14" s="223"/>
      <c r="H14" s="223"/>
      <c r="I14" s="220"/>
      <c r="J14" s="220"/>
      <c r="K14" s="220"/>
      <c r="L14" s="219"/>
      <c r="M14" s="219"/>
      <c r="N14" s="219"/>
      <c r="O14" s="219"/>
      <c r="P14" s="219"/>
      <c r="Q14" s="219"/>
      <c r="R14" s="219"/>
      <c r="S14" s="219"/>
      <c r="T14" s="224"/>
      <c r="U14" s="224"/>
      <c r="V14" s="224"/>
      <c r="W14" s="224"/>
      <c r="X14" s="224"/>
      <c r="Y14" s="224"/>
      <c r="Z14" s="224"/>
    </row>
    <row r="15" spans="1:26" ht="15" customHeight="1">
      <c r="B15" s="144" t="s">
        <v>670</v>
      </c>
      <c r="C15" s="192"/>
      <c r="E15" s="221" t="s">
        <v>647</v>
      </c>
      <c r="F15" s="233" t="s">
        <v>683</v>
      </c>
      <c r="G15" s="223"/>
      <c r="H15" s="223"/>
      <c r="I15" s="220"/>
      <c r="J15" s="220"/>
      <c r="K15" s="220"/>
      <c r="L15" s="219"/>
      <c r="M15" s="219"/>
      <c r="N15" s="219"/>
      <c r="O15" s="219"/>
      <c r="P15" s="219"/>
      <c r="Q15" s="219"/>
      <c r="R15" s="219"/>
      <c r="S15" s="219"/>
      <c r="T15" s="224"/>
      <c r="U15" s="224"/>
      <c r="V15" s="224"/>
      <c r="W15" s="224"/>
      <c r="X15" s="224"/>
      <c r="Y15" s="224"/>
      <c r="Z15" s="224"/>
    </row>
    <row r="16" spans="1:26" ht="15" customHeight="1" thickBot="1">
      <c r="B16" s="145" t="s">
        <v>671</v>
      </c>
      <c r="C16" s="169"/>
      <c r="E16" s="221" t="s">
        <v>647</v>
      </c>
      <c r="F16" s="233" t="s">
        <v>684</v>
      </c>
      <c r="G16" s="223"/>
      <c r="H16" s="223"/>
      <c r="I16" s="220"/>
      <c r="J16" s="220"/>
      <c r="K16" s="220"/>
      <c r="L16" s="219"/>
      <c r="M16" s="219"/>
      <c r="N16" s="219"/>
      <c r="O16" s="219"/>
      <c r="P16" s="219"/>
      <c r="Q16" s="219"/>
      <c r="R16" s="219"/>
      <c r="S16" s="219"/>
      <c r="T16" s="224"/>
      <c r="U16" s="224"/>
      <c r="V16" s="224"/>
      <c r="W16" s="224"/>
      <c r="X16" s="224"/>
      <c r="Y16" s="224"/>
      <c r="Z16" s="224"/>
    </row>
    <row r="17" spans="1:26" ht="15" customHeight="1" thickBot="1">
      <c r="E17" s="219"/>
      <c r="F17" s="219"/>
      <c r="G17" s="219"/>
      <c r="H17" s="219"/>
      <c r="I17" s="219"/>
      <c r="J17" s="219"/>
      <c r="K17" s="219"/>
      <c r="L17" s="219"/>
      <c r="M17" s="219"/>
      <c r="N17" s="219"/>
      <c r="O17" s="219"/>
      <c r="P17" s="219"/>
      <c r="Q17" s="219"/>
      <c r="R17" s="219"/>
      <c r="S17" s="219"/>
      <c r="T17" s="224"/>
      <c r="U17" s="224"/>
      <c r="V17" s="224"/>
      <c r="W17" s="224"/>
      <c r="X17" s="224"/>
      <c r="Y17" s="224"/>
      <c r="Z17" s="224"/>
    </row>
    <row r="18" spans="1:26" ht="15" customHeight="1">
      <c r="B18" s="184" t="s">
        <v>242</v>
      </c>
      <c r="C18" s="185" t="s">
        <v>697</v>
      </c>
      <c r="E18" s="219"/>
      <c r="F18" s="223"/>
      <c r="G18" s="223"/>
      <c r="H18" s="223"/>
      <c r="I18" s="220"/>
      <c r="J18" s="220"/>
      <c r="K18" s="220"/>
      <c r="L18" s="219"/>
      <c r="M18" s="219"/>
      <c r="N18" s="219"/>
      <c r="O18" s="219"/>
      <c r="P18" s="219"/>
      <c r="Q18" s="219"/>
      <c r="R18" s="219"/>
      <c r="S18" s="219"/>
      <c r="T18" s="224"/>
      <c r="U18" s="224"/>
      <c r="V18" s="224"/>
      <c r="W18" s="224"/>
      <c r="X18" s="224"/>
      <c r="Y18" s="224"/>
      <c r="Z18" s="224"/>
    </row>
    <row r="19" spans="1:26" ht="15" customHeight="1">
      <c r="B19" s="186" t="s">
        <v>252</v>
      </c>
      <c r="C19" s="187" t="s">
        <v>255</v>
      </c>
      <c r="E19" s="228"/>
      <c r="F19" s="223"/>
      <c r="G19" s="223"/>
      <c r="H19" s="223"/>
      <c r="I19" s="220"/>
      <c r="J19" s="220"/>
      <c r="K19" s="220"/>
      <c r="L19" s="219"/>
      <c r="M19" s="219"/>
      <c r="N19" s="219"/>
      <c r="O19" s="219"/>
      <c r="P19" s="219"/>
      <c r="Q19" s="219"/>
      <c r="R19" s="219"/>
      <c r="S19" s="219"/>
      <c r="T19" s="224"/>
      <c r="U19" s="224"/>
      <c r="V19" s="224"/>
      <c r="W19" s="224"/>
      <c r="X19" s="224"/>
      <c r="Y19" s="224"/>
      <c r="Z19" s="224"/>
    </row>
    <row r="20" spans="1:26" ht="15" customHeight="1">
      <c r="B20" s="186" t="s">
        <v>258</v>
      </c>
      <c r="C20" s="188" t="s">
        <v>700</v>
      </c>
      <c r="E20" s="219"/>
      <c r="F20" s="223"/>
      <c r="G20" s="223"/>
      <c r="H20" s="223"/>
      <c r="I20" s="220"/>
      <c r="J20" s="220"/>
      <c r="K20" s="220"/>
      <c r="L20" s="219"/>
      <c r="M20" s="219"/>
      <c r="N20" s="219"/>
      <c r="O20" s="219"/>
      <c r="P20" s="219"/>
      <c r="Q20" s="219"/>
      <c r="R20" s="219"/>
      <c r="S20" s="219"/>
      <c r="T20" s="224"/>
      <c r="U20" s="224"/>
      <c r="V20" s="224"/>
      <c r="W20" s="224"/>
      <c r="X20" s="224"/>
      <c r="Y20" s="224"/>
      <c r="Z20" s="224"/>
    </row>
    <row r="21" spans="1:26" ht="15" customHeight="1">
      <c r="B21" s="186" t="s">
        <v>261</v>
      </c>
      <c r="C21" s="187" t="s">
        <v>698</v>
      </c>
      <c r="E21" s="219"/>
      <c r="F21" s="223"/>
      <c r="G21" s="223"/>
      <c r="H21" s="223"/>
      <c r="I21" s="220"/>
      <c r="J21" s="220"/>
      <c r="K21" s="220"/>
      <c r="L21" s="219"/>
      <c r="M21" s="219"/>
      <c r="N21" s="219"/>
      <c r="O21" s="219"/>
      <c r="P21" s="219"/>
      <c r="Q21" s="219"/>
      <c r="R21" s="219"/>
      <c r="S21" s="219"/>
      <c r="T21" s="224"/>
      <c r="U21" s="224"/>
      <c r="V21" s="224"/>
      <c r="W21" s="224"/>
      <c r="X21" s="224"/>
      <c r="Y21" s="224"/>
      <c r="Z21" s="224"/>
    </row>
    <row r="22" spans="1:26" ht="15" customHeight="1" thickBot="1">
      <c r="B22" s="147" t="s">
        <v>272</v>
      </c>
      <c r="C22" s="189" t="s">
        <v>701</v>
      </c>
      <c r="E22" s="228"/>
      <c r="F22" s="223"/>
      <c r="G22" s="223"/>
      <c r="H22" s="223"/>
      <c r="I22" s="220"/>
      <c r="J22" s="220"/>
      <c r="K22" s="220"/>
      <c r="L22" s="219"/>
      <c r="M22" s="219"/>
      <c r="N22" s="219"/>
      <c r="O22" s="219"/>
      <c r="P22" s="219"/>
      <c r="Q22" s="219"/>
      <c r="R22" s="219"/>
      <c r="S22" s="219"/>
      <c r="T22" s="224"/>
      <c r="U22" s="224"/>
      <c r="V22" s="224"/>
      <c r="W22" s="224"/>
      <c r="X22" s="224"/>
      <c r="Y22" s="224"/>
      <c r="Z22" s="224"/>
    </row>
    <row r="23" spans="1:26" ht="15" customHeight="1">
      <c r="E23" s="219"/>
      <c r="F23" s="223"/>
      <c r="G23" s="223"/>
      <c r="H23" s="223"/>
      <c r="I23" s="220"/>
      <c r="J23" s="220"/>
      <c r="K23" s="220"/>
      <c r="L23" s="219"/>
      <c r="M23" s="219"/>
      <c r="N23" s="219"/>
      <c r="O23" s="219"/>
      <c r="P23" s="219"/>
      <c r="Q23" s="219"/>
      <c r="R23" s="219"/>
      <c r="S23" s="219"/>
      <c r="T23" s="224"/>
      <c r="U23" s="224"/>
      <c r="V23" s="224"/>
      <c r="W23" s="224"/>
      <c r="X23" s="224"/>
      <c r="Y23" s="224"/>
      <c r="Z23" s="224"/>
    </row>
    <row r="24" spans="1:26" ht="15" customHeight="1">
      <c r="A24" s="142"/>
      <c r="B24" s="131" t="s">
        <v>385</v>
      </c>
      <c r="C24" s="132"/>
      <c r="E24" s="219"/>
      <c r="F24" s="223"/>
      <c r="G24" s="223"/>
      <c r="H24" s="223"/>
      <c r="I24" s="220"/>
      <c r="J24" s="220"/>
      <c r="K24" s="220"/>
      <c r="L24" s="219"/>
      <c r="M24" s="219"/>
      <c r="N24" s="219"/>
      <c r="O24" s="219"/>
      <c r="P24" s="219"/>
      <c r="Q24" s="219"/>
      <c r="R24" s="219"/>
      <c r="S24" s="219"/>
      <c r="T24" s="224"/>
      <c r="U24" s="224"/>
      <c r="V24" s="224"/>
      <c r="W24" s="224"/>
      <c r="X24" s="224"/>
      <c r="Y24" s="224"/>
      <c r="Z24" s="224"/>
    </row>
    <row r="25" spans="1:26" ht="15" customHeight="1">
      <c r="B25" s="174" t="s">
        <v>392</v>
      </c>
      <c r="C25" s="175" t="str">
        <f>IF(B6="여수","gabriel.jeong@sgs.com","Kr_ogculsan@sgs.com")</f>
        <v>gabriel.jeong@sgs.com</v>
      </c>
      <c r="E25" s="219"/>
      <c r="F25" s="223"/>
      <c r="G25" s="223"/>
      <c r="H25" s="223"/>
      <c r="I25" s="220"/>
      <c r="J25" s="220"/>
      <c r="K25" s="220"/>
      <c r="L25" s="219"/>
      <c r="M25" s="219"/>
      <c r="N25" s="219"/>
      <c r="O25" s="219"/>
      <c r="P25" s="219"/>
      <c r="Q25" s="219"/>
      <c r="R25" s="219"/>
      <c r="S25" s="219"/>
      <c r="T25" s="224"/>
      <c r="U25" s="224"/>
      <c r="V25" s="224"/>
      <c r="W25" s="224"/>
      <c r="X25" s="224"/>
      <c r="Y25" s="224"/>
      <c r="Z25" s="224"/>
    </row>
    <row r="26" spans="1:26" ht="15" customHeight="1">
      <c r="B26" s="176" t="s">
        <v>393</v>
      </c>
      <c r="C26" s="177" t="str">
        <f>IF(B6="여수",C36,C35)</f>
        <v>Password_10</v>
      </c>
      <c r="E26" s="219"/>
      <c r="F26" s="223"/>
      <c r="G26" s="223"/>
      <c r="H26" s="223"/>
      <c r="I26" s="220"/>
      <c r="J26" s="220"/>
      <c r="K26" s="220"/>
      <c r="L26" s="219"/>
      <c r="M26" s="219"/>
      <c r="N26" s="219"/>
      <c r="O26" s="219"/>
      <c r="P26" s="219"/>
      <c r="Q26" s="219"/>
      <c r="R26" s="219"/>
      <c r="S26" s="219"/>
      <c r="T26" s="224"/>
      <c r="U26" s="224"/>
      <c r="V26" s="224"/>
      <c r="W26" s="224"/>
      <c r="X26" s="224"/>
      <c r="Y26" s="224"/>
      <c r="Z26" s="224"/>
    </row>
    <row r="27" spans="1:26" ht="15" customHeight="1">
      <c r="B27" s="179"/>
      <c r="C27" s="179"/>
      <c r="E27" s="219"/>
      <c r="F27" s="223"/>
      <c r="G27" s="223"/>
      <c r="H27" s="223"/>
      <c r="I27" s="220"/>
      <c r="J27" s="220"/>
      <c r="K27" s="220"/>
      <c r="L27" s="219"/>
      <c r="M27" s="219"/>
      <c r="N27" s="219"/>
      <c r="O27" s="219"/>
      <c r="P27" s="219"/>
      <c r="Q27" s="219"/>
      <c r="R27" s="219"/>
      <c r="S27" s="219"/>
      <c r="T27" s="224"/>
      <c r="U27" s="224"/>
      <c r="V27" s="224"/>
      <c r="W27" s="224"/>
      <c r="X27" s="224"/>
      <c r="Y27" s="224"/>
      <c r="Z27" s="224"/>
    </row>
    <row r="28" spans="1:26" ht="15" customHeight="1">
      <c r="A28" s="102"/>
      <c r="B28" s="178" t="s">
        <v>408</v>
      </c>
      <c r="C28" s="102"/>
      <c r="E28" s="219"/>
      <c r="F28" s="223"/>
      <c r="G28" s="223"/>
      <c r="H28" s="223"/>
      <c r="I28" s="220"/>
      <c r="J28" s="220"/>
      <c r="K28" s="220"/>
      <c r="L28" s="219"/>
      <c r="M28" s="219"/>
      <c r="N28" s="219"/>
      <c r="O28" s="219"/>
      <c r="P28" s="219"/>
      <c r="Q28" s="219"/>
      <c r="R28" s="219"/>
      <c r="S28" s="219"/>
      <c r="T28" s="224"/>
      <c r="U28" s="224"/>
      <c r="V28" s="224"/>
      <c r="W28" s="224"/>
      <c r="X28" s="224"/>
      <c r="Y28" s="224"/>
      <c r="Z28" s="224"/>
    </row>
    <row r="29" spans="1:26" ht="15" customHeight="1">
      <c r="A29" s="102"/>
      <c r="B29" s="172" t="s">
        <v>407</v>
      </c>
      <c r="C29" s="173">
        <f ca="1">TODAY()</f>
        <v>45240</v>
      </c>
      <c r="E29" s="219"/>
      <c r="F29" s="223"/>
      <c r="G29" s="223"/>
      <c r="H29" s="223"/>
      <c r="I29" s="220"/>
      <c r="J29" s="220"/>
      <c r="K29" s="220"/>
      <c r="L29" s="219"/>
      <c r="M29" s="219"/>
      <c r="N29" s="219"/>
      <c r="O29" s="219"/>
      <c r="P29" s="219"/>
      <c r="Q29" s="219"/>
      <c r="R29" s="219"/>
      <c r="S29" s="219"/>
      <c r="T29" s="224"/>
      <c r="U29" s="224"/>
      <c r="V29" s="224"/>
      <c r="W29" s="224"/>
      <c r="X29" s="224"/>
      <c r="Y29" s="224"/>
      <c r="Z29" s="224"/>
    </row>
    <row r="30" spans="1:26" ht="15" customHeight="1">
      <c r="A30" s="102"/>
      <c r="B30" s="172" t="s">
        <v>409</v>
      </c>
      <c r="C30" s="173">
        <f ca="1">IF(C29="","",EDATE(C29,-6))</f>
        <v>45056</v>
      </c>
      <c r="E30" s="219"/>
      <c r="F30" s="223"/>
      <c r="G30" s="223"/>
      <c r="H30" s="223"/>
      <c r="I30" s="220"/>
      <c r="J30" s="220"/>
      <c r="K30" s="220"/>
      <c r="L30" s="219"/>
      <c r="M30" s="219"/>
      <c r="N30" s="219"/>
      <c r="O30" s="219"/>
      <c r="P30" s="219"/>
      <c r="Q30" s="219"/>
      <c r="R30" s="219"/>
      <c r="S30" s="219"/>
      <c r="T30" s="224"/>
      <c r="U30" s="224"/>
      <c r="V30" s="224"/>
      <c r="W30" s="224"/>
      <c r="X30" s="224"/>
      <c r="Y30" s="224"/>
      <c r="Z30" s="224"/>
    </row>
    <row r="31" spans="1:26" ht="15" customHeight="1">
      <c r="A31" s="102"/>
      <c r="B31" s="172" t="s">
        <v>410</v>
      </c>
      <c r="C31" s="173">
        <f ca="1">IF(C29="","",EDATE(C29,3))</f>
        <v>45332</v>
      </c>
      <c r="E31" s="219"/>
      <c r="F31" s="223"/>
      <c r="G31" s="223"/>
      <c r="H31" s="223"/>
      <c r="I31" s="220"/>
      <c r="J31" s="220"/>
      <c r="K31" s="220"/>
      <c r="L31" s="219"/>
      <c r="M31" s="219"/>
      <c r="N31" s="219"/>
      <c r="O31" s="219"/>
      <c r="P31" s="219"/>
      <c r="Q31" s="219"/>
      <c r="R31" s="219"/>
      <c r="S31" s="219"/>
      <c r="T31" s="224"/>
      <c r="U31" s="224"/>
      <c r="V31" s="224"/>
      <c r="W31" s="224"/>
      <c r="X31" s="224"/>
      <c r="Y31" s="224"/>
      <c r="Z31" s="224"/>
    </row>
    <row r="32" spans="1:26" ht="15" customHeight="1">
      <c r="A32" s="102"/>
      <c r="B32" s="102"/>
      <c r="C32" s="102"/>
      <c r="E32" s="219"/>
      <c r="F32" s="223"/>
      <c r="G32" s="223"/>
      <c r="H32" s="223"/>
      <c r="I32" s="220"/>
      <c r="J32" s="220"/>
      <c r="K32" s="220"/>
      <c r="L32" s="219"/>
      <c r="M32" s="219"/>
      <c r="N32" s="219"/>
      <c r="O32" s="219"/>
      <c r="P32" s="219"/>
      <c r="Q32" s="219"/>
      <c r="R32" s="219"/>
      <c r="S32" s="219"/>
      <c r="T32" s="224"/>
      <c r="U32" s="224"/>
      <c r="V32" s="224"/>
      <c r="W32" s="224"/>
      <c r="X32" s="224"/>
      <c r="Y32" s="224"/>
      <c r="Z32" s="224"/>
    </row>
    <row r="33" spans="1:26" ht="15" customHeight="1">
      <c r="A33" s="219"/>
      <c r="B33" s="219"/>
      <c r="C33" s="219"/>
      <c r="D33" s="219"/>
      <c r="E33" s="219"/>
      <c r="F33" s="223"/>
      <c r="G33" s="223"/>
      <c r="H33" s="223"/>
      <c r="I33" s="220"/>
      <c r="J33" s="220"/>
      <c r="K33" s="220"/>
      <c r="L33" s="219"/>
      <c r="M33" s="219"/>
      <c r="N33" s="219"/>
      <c r="O33" s="219"/>
      <c r="P33" s="219"/>
      <c r="Q33" s="219"/>
      <c r="R33" s="219"/>
      <c r="S33" s="219"/>
      <c r="T33" s="224"/>
      <c r="U33" s="224"/>
      <c r="V33" s="224"/>
      <c r="W33" s="224"/>
      <c r="X33" s="224"/>
      <c r="Y33" s="224"/>
      <c r="Z33" s="224"/>
    </row>
    <row r="34" spans="1:26" ht="15" customHeight="1">
      <c r="A34" s="229"/>
      <c r="B34" s="235" t="s">
        <v>399</v>
      </c>
      <c r="C34" s="235" t="s">
        <v>393</v>
      </c>
      <c r="D34" s="229"/>
      <c r="E34" s="229"/>
      <c r="F34" s="223"/>
      <c r="G34" s="223"/>
      <c r="H34" s="223"/>
      <c r="I34" s="220"/>
      <c r="J34" s="220"/>
      <c r="K34" s="220"/>
      <c r="L34" s="219"/>
      <c r="M34" s="219"/>
      <c r="N34" s="219"/>
      <c r="O34" s="219"/>
      <c r="P34" s="219"/>
      <c r="Q34" s="219"/>
      <c r="R34" s="219"/>
      <c r="S34" s="219"/>
      <c r="T34" s="224"/>
      <c r="U34" s="224"/>
      <c r="V34" s="224"/>
      <c r="W34" s="224"/>
      <c r="X34" s="224"/>
      <c r="Y34" s="224"/>
      <c r="Z34" s="224"/>
    </row>
    <row r="35" spans="1:26" ht="15" customHeight="1">
      <c r="A35" s="229"/>
      <c r="B35" s="236" t="s">
        <v>643</v>
      </c>
      <c r="C35" s="237" t="s">
        <v>669</v>
      </c>
      <c r="D35" s="229"/>
      <c r="E35" s="229"/>
      <c r="F35" s="220"/>
      <c r="G35" s="220"/>
      <c r="H35" s="220"/>
      <c r="I35" s="220"/>
      <c r="J35" s="220"/>
      <c r="K35" s="220"/>
      <c r="L35" s="219"/>
      <c r="M35" s="219"/>
      <c r="N35" s="219"/>
      <c r="O35" s="219"/>
      <c r="P35" s="219"/>
      <c r="Q35" s="219"/>
      <c r="R35" s="219"/>
      <c r="S35" s="219"/>
      <c r="T35" s="224"/>
      <c r="U35" s="224"/>
      <c r="V35" s="224"/>
      <c r="W35" s="224"/>
      <c r="X35" s="224"/>
      <c r="Y35" s="224"/>
      <c r="Z35" s="224"/>
    </row>
    <row r="36" spans="1:26" ht="15" customHeight="1">
      <c r="A36" s="224"/>
      <c r="B36" s="236" t="s">
        <v>644</v>
      </c>
      <c r="C36" s="237" t="s">
        <v>668</v>
      </c>
      <c r="D36" s="219"/>
      <c r="E36" s="219"/>
      <c r="F36" s="230"/>
      <c r="G36" s="230"/>
      <c r="H36" s="230"/>
      <c r="I36" s="230"/>
      <c r="J36" s="230"/>
      <c r="K36" s="219"/>
      <c r="L36" s="219"/>
      <c r="M36" s="219"/>
      <c r="N36" s="219"/>
      <c r="O36" s="219"/>
      <c r="P36" s="219"/>
      <c r="Q36" s="219"/>
      <c r="R36" s="219"/>
      <c r="S36" s="219"/>
      <c r="T36" s="224"/>
      <c r="U36" s="224"/>
      <c r="V36" s="224"/>
      <c r="W36" s="224"/>
      <c r="X36" s="224"/>
      <c r="Y36" s="224"/>
      <c r="Z36" s="224"/>
    </row>
    <row r="37" spans="1:26" ht="14.45" customHeight="1">
      <c r="A37" s="224"/>
      <c r="B37" s="224"/>
      <c r="C37" s="224"/>
      <c r="D37" s="219"/>
      <c r="E37" s="219"/>
      <c r="F37" s="230"/>
      <c r="G37" s="230"/>
      <c r="H37" s="230"/>
      <c r="I37" s="230"/>
      <c r="J37" s="230"/>
      <c r="K37" s="219"/>
      <c r="L37" s="219"/>
      <c r="M37" s="219"/>
      <c r="N37" s="219"/>
      <c r="O37" s="219"/>
      <c r="P37" s="219"/>
      <c r="Q37" s="219"/>
      <c r="R37" s="219"/>
      <c r="S37" s="219"/>
      <c r="T37" s="224"/>
      <c r="U37" s="224"/>
      <c r="V37" s="224"/>
      <c r="W37" s="224"/>
      <c r="X37" s="224"/>
      <c r="Y37" s="224"/>
      <c r="Z37" s="224"/>
    </row>
    <row r="38" spans="1:26" ht="18" customHeight="1">
      <c r="A38" s="224"/>
      <c r="B38" s="224"/>
      <c r="C38" s="224"/>
      <c r="D38" s="219"/>
      <c r="E38" s="219"/>
      <c r="F38" s="230"/>
      <c r="G38" s="230"/>
      <c r="H38" s="230"/>
      <c r="I38" s="230"/>
      <c r="J38" s="230"/>
      <c r="K38" s="219"/>
      <c r="L38" s="219"/>
      <c r="M38" s="219"/>
      <c r="N38" s="219"/>
      <c r="O38" s="219"/>
      <c r="P38" s="219"/>
      <c r="Q38" s="219"/>
      <c r="R38" s="219"/>
      <c r="S38" s="219"/>
      <c r="T38" s="224"/>
      <c r="U38" s="224"/>
      <c r="V38" s="224"/>
      <c r="W38" s="224"/>
      <c r="X38" s="224"/>
      <c r="Y38" s="224"/>
      <c r="Z38" s="224"/>
    </row>
    <row r="39" spans="1:26" ht="18" customHeight="1">
      <c r="A39" s="224"/>
      <c r="B39" s="224"/>
      <c r="C39" s="224"/>
      <c r="D39" s="219"/>
      <c r="E39" s="219"/>
      <c r="F39" s="230"/>
      <c r="G39" s="230"/>
      <c r="H39" s="230"/>
      <c r="I39" s="231"/>
      <c r="J39" s="231"/>
      <c r="K39" s="219"/>
      <c r="L39" s="219"/>
      <c r="M39" s="219"/>
      <c r="N39" s="219"/>
      <c r="O39" s="219"/>
      <c r="P39" s="219"/>
      <c r="Q39" s="219"/>
      <c r="R39" s="219"/>
      <c r="S39" s="219"/>
      <c r="T39" s="224"/>
      <c r="U39" s="224"/>
      <c r="V39" s="224"/>
      <c r="W39" s="224"/>
      <c r="X39" s="224"/>
      <c r="Y39" s="224"/>
      <c r="Z39" s="224"/>
    </row>
    <row r="40" spans="1:26" ht="18" customHeight="1">
      <c r="A40" s="224"/>
      <c r="B40" s="224"/>
      <c r="C40" s="224"/>
      <c r="D40" s="219"/>
      <c r="E40" s="219"/>
      <c r="F40" s="230"/>
      <c r="G40" s="230"/>
      <c r="H40" s="230"/>
      <c r="I40" s="231"/>
      <c r="J40" s="232"/>
      <c r="K40" s="219"/>
      <c r="L40" s="219"/>
      <c r="M40" s="219"/>
      <c r="N40" s="219"/>
      <c r="O40" s="219"/>
      <c r="P40" s="219"/>
      <c r="Q40" s="219"/>
      <c r="R40" s="219"/>
      <c r="S40" s="219"/>
      <c r="T40" s="224"/>
      <c r="U40" s="224"/>
      <c r="V40" s="224"/>
      <c r="W40" s="224"/>
      <c r="X40" s="224"/>
      <c r="Y40" s="224"/>
      <c r="Z40" s="224"/>
    </row>
    <row r="41" spans="1:26" ht="18" customHeight="1">
      <c r="A41" s="224"/>
      <c r="B41" s="224"/>
      <c r="C41" s="224"/>
      <c r="D41" s="219"/>
      <c r="E41" s="219"/>
      <c r="F41" s="230"/>
      <c r="G41" s="230"/>
      <c r="H41" s="230"/>
      <c r="I41" s="231"/>
      <c r="J41" s="231"/>
      <c r="K41" s="219"/>
      <c r="L41" s="219"/>
      <c r="M41" s="219"/>
      <c r="N41" s="219"/>
      <c r="O41" s="219"/>
      <c r="P41" s="219"/>
      <c r="Q41" s="219"/>
      <c r="R41" s="219"/>
      <c r="S41" s="219"/>
      <c r="T41" s="224"/>
      <c r="U41" s="224"/>
      <c r="V41" s="224"/>
      <c r="W41" s="224"/>
      <c r="X41" s="224"/>
      <c r="Y41" s="224"/>
      <c r="Z41" s="224"/>
    </row>
    <row r="42" spans="1:26" ht="18" customHeight="1">
      <c r="A42" s="224"/>
      <c r="B42" s="224"/>
      <c r="C42" s="224"/>
      <c r="D42" s="219"/>
      <c r="E42" s="219"/>
      <c r="F42" s="230"/>
      <c r="G42" s="230"/>
      <c r="H42" s="230"/>
      <c r="I42" s="230"/>
      <c r="J42" s="230"/>
      <c r="K42" s="219"/>
      <c r="L42" s="219"/>
      <c r="M42" s="219"/>
      <c r="N42" s="219"/>
      <c r="O42" s="219"/>
      <c r="P42" s="219"/>
      <c r="Q42" s="219"/>
      <c r="R42" s="219"/>
      <c r="S42" s="219"/>
      <c r="T42" s="224"/>
      <c r="U42" s="224"/>
      <c r="V42" s="224"/>
      <c r="W42" s="224"/>
      <c r="X42" s="224"/>
      <c r="Y42" s="224"/>
      <c r="Z42" s="224"/>
    </row>
    <row r="43" spans="1:26" ht="18" customHeight="1">
      <c r="A43" s="224"/>
      <c r="B43" s="224"/>
      <c r="C43" s="224"/>
      <c r="D43" s="219"/>
      <c r="E43" s="219"/>
      <c r="F43" s="219"/>
      <c r="G43" s="219"/>
      <c r="H43" s="219"/>
      <c r="I43" s="219"/>
      <c r="J43" s="219"/>
      <c r="K43" s="219"/>
      <c r="L43" s="219"/>
      <c r="M43" s="219"/>
      <c r="N43" s="219"/>
      <c r="O43" s="219"/>
      <c r="P43" s="219"/>
      <c r="Q43" s="219"/>
      <c r="R43" s="219"/>
      <c r="S43" s="219"/>
      <c r="T43" s="224"/>
      <c r="U43" s="224"/>
      <c r="V43" s="224"/>
      <c r="W43" s="224"/>
      <c r="X43" s="224"/>
      <c r="Y43" s="224"/>
      <c r="Z43" s="224"/>
    </row>
    <row r="44" spans="1:26" ht="18" customHeight="1">
      <c r="A44" s="224"/>
      <c r="B44" s="224"/>
      <c r="C44" s="224"/>
      <c r="D44" s="219"/>
      <c r="E44" s="219"/>
      <c r="F44" s="219"/>
      <c r="G44" s="219"/>
      <c r="H44" s="219"/>
      <c r="I44" s="219"/>
      <c r="J44" s="219"/>
      <c r="K44" s="219"/>
      <c r="L44" s="219"/>
      <c r="M44" s="219"/>
      <c r="N44" s="219"/>
      <c r="O44" s="219"/>
      <c r="P44" s="219"/>
      <c r="Q44" s="219"/>
      <c r="R44" s="219"/>
      <c r="S44" s="219"/>
      <c r="T44" s="224"/>
      <c r="U44" s="224"/>
      <c r="V44" s="224"/>
      <c r="W44" s="224"/>
      <c r="X44" s="224"/>
      <c r="Y44" s="224"/>
      <c r="Z44" s="224"/>
    </row>
    <row r="45" spans="1:26" ht="18" customHeight="1">
      <c r="A45" s="224"/>
      <c r="B45" s="224"/>
      <c r="C45" s="224"/>
      <c r="D45" s="219"/>
      <c r="E45" s="219"/>
      <c r="F45" s="219"/>
      <c r="G45" s="219"/>
      <c r="H45" s="219"/>
      <c r="I45" s="219"/>
      <c r="J45" s="219"/>
      <c r="K45" s="219"/>
      <c r="L45" s="219"/>
      <c r="M45" s="219"/>
      <c r="N45" s="219"/>
      <c r="O45" s="219"/>
      <c r="P45" s="219"/>
      <c r="Q45" s="219"/>
      <c r="R45" s="219"/>
      <c r="S45" s="219"/>
      <c r="T45" s="224"/>
      <c r="U45" s="224"/>
      <c r="V45" s="224"/>
      <c r="W45" s="224"/>
      <c r="X45" s="224"/>
      <c r="Y45" s="224"/>
      <c r="Z45" s="224"/>
    </row>
    <row r="46" spans="1:26" ht="18" customHeight="1">
      <c r="A46" s="224"/>
      <c r="B46" s="224"/>
      <c r="C46" s="224"/>
      <c r="D46" s="219"/>
      <c r="E46" s="219"/>
      <c r="F46" s="219"/>
      <c r="G46" s="219"/>
      <c r="H46" s="219"/>
      <c r="I46" s="219"/>
      <c r="J46" s="219"/>
      <c r="K46" s="219"/>
      <c r="L46" s="219"/>
      <c r="M46" s="219"/>
      <c r="N46" s="219"/>
      <c r="O46" s="219"/>
      <c r="P46" s="219"/>
      <c r="Q46" s="219"/>
      <c r="R46" s="219"/>
      <c r="S46" s="219"/>
      <c r="T46" s="224"/>
      <c r="U46" s="224"/>
      <c r="V46" s="224"/>
      <c r="W46" s="224"/>
      <c r="X46" s="224"/>
      <c r="Y46" s="224"/>
      <c r="Z46" s="224"/>
    </row>
    <row r="47" spans="1:26" ht="18" hidden="1" customHeight="1">
      <c r="A47" s="105"/>
      <c r="B47" s="105"/>
      <c r="C47" s="105"/>
      <c r="D47" s="104"/>
      <c r="E47" s="104"/>
      <c r="F47" s="104"/>
      <c r="G47" s="104"/>
      <c r="H47" s="104"/>
      <c r="I47" s="104"/>
      <c r="J47" s="104"/>
      <c r="K47" s="104"/>
      <c r="L47" s="104"/>
      <c r="M47" s="104"/>
      <c r="N47" s="104"/>
      <c r="O47" s="104"/>
      <c r="P47" s="104"/>
      <c r="Q47" s="104"/>
      <c r="R47" s="104"/>
      <c r="S47" s="104"/>
      <c r="T47" s="105"/>
      <c r="U47" s="105"/>
      <c r="V47" s="105"/>
      <c r="W47" s="105"/>
      <c r="X47" s="105"/>
      <c r="Y47" s="105"/>
      <c r="Z47" s="105"/>
    </row>
    <row r="48" spans="1:26" ht="18" hidden="1" customHeight="1">
      <c r="A48" s="105"/>
      <c r="B48" s="110" t="b">
        <v>0</v>
      </c>
      <c r="C48" s="211">
        <f t="shared" ref="C48:C49" si="0">IF(LEFT(B48,1)="T",1,2)</f>
        <v>2</v>
      </c>
      <c r="D48" s="104"/>
      <c r="E48" s="104"/>
      <c r="F48" s="104"/>
      <c r="G48" s="104"/>
      <c r="H48" s="104"/>
      <c r="I48" s="104"/>
      <c r="J48" s="104"/>
      <c r="K48" s="104"/>
      <c r="L48" s="104"/>
      <c r="M48" s="104"/>
      <c r="N48" s="104"/>
      <c r="O48" s="104"/>
      <c r="P48" s="104"/>
      <c r="Q48" s="104"/>
      <c r="R48" s="104"/>
      <c r="S48" s="104"/>
      <c r="T48" s="105"/>
      <c r="U48" s="105"/>
      <c r="V48" s="105"/>
      <c r="W48" s="105"/>
      <c r="X48" s="105"/>
      <c r="Y48" s="105"/>
      <c r="Z48" s="105"/>
    </row>
    <row r="49" spans="1:26" ht="18" hidden="1" customHeight="1">
      <c r="A49" s="105"/>
      <c r="B49" s="110" t="b">
        <v>1</v>
      </c>
      <c r="C49" s="211">
        <f t="shared" si="0"/>
        <v>1</v>
      </c>
      <c r="D49" s="104"/>
      <c r="E49" s="104"/>
      <c r="F49" s="104"/>
      <c r="G49" s="104"/>
      <c r="H49" s="104"/>
      <c r="I49" s="104"/>
      <c r="J49" s="104"/>
      <c r="K49" s="104"/>
      <c r="L49" s="104"/>
      <c r="M49" s="104"/>
      <c r="N49" s="104"/>
      <c r="O49" s="104"/>
      <c r="P49" s="104"/>
      <c r="Q49" s="104"/>
      <c r="R49" s="104"/>
      <c r="S49" s="104"/>
      <c r="T49" s="105"/>
      <c r="U49" s="105"/>
      <c r="V49" s="105"/>
      <c r="W49" s="105"/>
      <c r="X49" s="105"/>
      <c r="Y49" s="105"/>
      <c r="Z49" s="105"/>
    </row>
    <row r="50" spans="1:26" ht="18" hidden="1" customHeight="1">
      <c r="A50" s="105"/>
      <c r="B50" s="110" t="b">
        <v>1</v>
      </c>
      <c r="C50" s="211">
        <f>IF(LEFT(B50,1)="T",1,2)</f>
        <v>1</v>
      </c>
      <c r="D50" s="104"/>
      <c r="E50" s="104"/>
      <c r="F50" s="104"/>
      <c r="G50" s="104"/>
      <c r="H50" s="104"/>
      <c r="I50" s="104"/>
      <c r="J50" s="104"/>
      <c r="K50" s="104"/>
      <c r="L50" s="104"/>
      <c r="M50" s="104"/>
      <c r="N50" s="104"/>
      <c r="O50" s="104"/>
      <c r="P50" s="104"/>
      <c r="Q50" s="104"/>
      <c r="R50" s="104"/>
      <c r="S50" s="104"/>
      <c r="T50" s="105"/>
      <c r="U50" s="105"/>
      <c r="V50" s="105"/>
      <c r="W50" s="105"/>
      <c r="X50" s="105"/>
      <c r="Y50" s="105"/>
      <c r="Z50" s="105"/>
    </row>
    <row r="51" spans="1:26" ht="18" hidden="1" customHeight="1">
      <c r="A51" s="105"/>
      <c r="B51" s="110" t="b">
        <v>1</v>
      </c>
      <c r="C51" s="210"/>
      <c r="D51" s="104"/>
      <c r="E51" s="104"/>
      <c r="F51" s="104"/>
      <c r="G51" s="104"/>
      <c r="H51" s="104"/>
      <c r="I51" s="104"/>
      <c r="J51" s="104"/>
      <c r="K51" s="104"/>
      <c r="L51" s="104"/>
      <c r="M51" s="104"/>
      <c r="N51" s="104"/>
      <c r="O51" s="104"/>
      <c r="P51" s="104"/>
      <c r="Q51" s="104"/>
      <c r="R51" s="104"/>
      <c r="S51" s="104"/>
      <c r="T51" s="105"/>
      <c r="U51" s="105"/>
      <c r="V51" s="105"/>
      <c r="W51" s="105"/>
      <c r="X51" s="105"/>
      <c r="Y51" s="105"/>
      <c r="Z51" s="105"/>
    </row>
    <row r="52" spans="1:26" ht="18" hidden="1" customHeight="1">
      <c r="A52" s="105"/>
      <c r="B52" s="110"/>
      <c r="C52" s="210"/>
      <c r="D52" s="104"/>
      <c r="E52" s="104"/>
      <c r="F52" s="104"/>
      <c r="G52" s="104"/>
      <c r="H52" s="104"/>
      <c r="I52" s="104"/>
      <c r="J52" s="104"/>
      <c r="K52" s="104"/>
      <c r="L52" s="104"/>
      <c r="M52" s="104"/>
      <c r="N52" s="104"/>
      <c r="O52" s="104"/>
      <c r="P52" s="104"/>
      <c r="Q52" s="104"/>
      <c r="R52" s="104"/>
      <c r="S52" s="104"/>
      <c r="T52" s="105"/>
      <c r="U52" s="105"/>
      <c r="V52" s="105"/>
      <c r="W52" s="105"/>
      <c r="X52" s="105"/>
      <c r="Y52" s="105"/>
      <c r="Z52" s="105"/>
    </row>
    <row r="53" spans="1:26" ht="18" hidden="1" customHeight="1">
      <c r="A53" s="105"/>
      <c r="B53" s="110" t="s">
        <v>270</v>
      </c>
      <c r="C53" s="210"/>
      <c r="D53" s="104"/>
      <c r="E53" s="104"/>
      <c r="F53" s="104"/>
      <c r="G53" s="104"/>
      <c r="H53" s="104"/>
      <c r="I53" s="104"/>
      <c r="J53" s="104"/>
      <c r="K53" s="104"/>
      <c r="L53" s="104"/>
      <c r="M53" s="104"/>
      <c r="N53" s="104"/>
      <c r="O53" s="104"/>
      <c r="P53" s="104"/>
      <c r="Q53" s="104"/>
      <c r="R53" s="104"/>
      <c r="S53" s="104"/>
      <c r="T53" s="105"/>
      <c r="U53" s="105"/>
      <c r="V53" s="105"/>
      <c r="W53" s="105"/>
      <c r="X53" s="105"/>
      <c r="Y53" s="105"/>
      <c r="Z53" s="105"/>
    </row>
    <row r="54" spans="1:26" ht="18" hidden="1" customHeight="1">
      <c r="A54" s="105"/>
      <c r="B54" s="110" t="s">
        <v>271</v>
      </c>
      <c r="C54" s="210"/>
      <c r="D54" s="104"/>
      <c r="E54" s="104"/>
      <c r="F54" s="104"/>
      <c r="G54" s="104"/>
      <c r="H54" s="104"/>
      <c r="I54" s="104"/>
      <c r="J54" s="104"/>
      <c r="K54" s="104"/>
      <c r="L54" s="104"/>
      <c r="M54" s="104"/>
      <c r="N54" s="104"/>
      <c r="O54" s="104"/>
      <c r="P54" s="104"/>
      <c r="Q54" s="104"/>
      <c r="R54" s="104"/>
      <c r="S54" s="104"/>
      <c r="T54" s="105"/>
      <c r="U54" s="105"/>
      <c r="V54" s="105"/>
      <c r="W54" s="105"/>
      <c r="X54" s="105"/>
      <c r="Y54" s="105"/>
      <c r="Z54" s="105"/>
    </row>
    <row r="55" spans="1:26" ht="18" hidden="1" customHeight="1">
      <c r="A55" s="105"/>
      <c r="B55" s="109">
        <v>1</v>
      </c>
      <c r="C55" s="210"/>
      <c r="D55" s="104"/>
      <c r="E55" s="104"/>
      <c r="F55" s="104"/>
      <c r="G55" s="104"/>
      <c r="H55" s="104"/>
      <c r="I55" s="104"/>
      <c r="J55" s="104"/>
      <c r="K55" s="104"/>
      <c r="L55" s="104"/>
      <c r="M55" s="104"/>
      <c r="N55" s="104"/>
      <c r="O55" s="104"/>
      <c r="P55" s="104"/>
      <c r="Q55" s="104"/>
      <c r="R55" s="104"/>
      <c r="S55" s="104"/>
      <c r="T55" s="105"/>
      <c r="U55" s="105"/>
      <c r="V55" s="105"/>
      <c r="W55" s="105"/>
      <c r="X55" s="105"/>
      <c r="Y55" s="105"/>
      <c r="Z55" s="105"/>
    </row>
    <row r="56" spans="1:26" ht="18" hidden="1" customHeight="1">
      <c r="A56" s="105"/>
      <c r="B56" s="110" t="b">
        <v>1</v>
      </c>
      <c r="C56" s="210"/>
      <c r="D56" s="104"/>
      <c r="E56" s="104"/>
      <c r="F56" s="104"/>
      <c r="G56" s="104"/>
      <c r="H56" s="104"/>
      <c r="I56" s="104"/>
      <c r="J56" s="104"/>
      <c r="K56" s="104"/>
      <c r="L56" s="104"/>
      <c r="M56" s="104"/>
      <c r="N56" s="104"/>
      <c r="O56" s="104"/>
      <c r="P56" s="104"/>
      <c r="Q56" s="104"/>
      <c r="R56" s="104"/>
      <c r="S56" s="104"/>
      <c r="T56" s="105"/>
      <c r="U56" s="105"/>
      <c r="V56" s="105"/>
      <c r="W56" s="105"/>
      <c r="X56" s="105"/>
      <c r="Y56" s="105"/>
      <c r="Z56" s="105"/>
    </row>
    <row r="57" spans="1:26" ht="18" hidden="1" customHeight="1">
      <c r="A57" s="105"/>
      <c r="B57" s="212"/>
      <c r="C57" s="210"/>
      <c r="D57" s="104"/>
      <c r="E57" s="104"/>
      <c r="F57" s="104"/>
      <c r="G57" s="104"/>
      <c r="H57" s="104"/>
      <c r="I57" s="104"/>
      <c r="J57" s="104"/>
      <c r="K57" s="104"/>
      <c r="L57" s="104"/>
      <c r="M57" s="104"/>
      <c r="N57" s="104"/>
      <c r="O57" s="104"/>
      <c r="P57" s="104"/>
      <c r="Q57" s="104"/>
      <c r="R57" s="104"/>
      <c r="S57" s="104"/>
      <c r="T57" s="105"/>
      <c r="U57" s="105"/>
      <c r="V57" s="105"/>
      <c r="W57" s="105"/>
      <c r="X57" s="105"/>
      <c r="Y57" s="105"/>
      <c r="Z57" s="105"/>
    </row>
    <row r="58" spans="1:26" ht="18" hidden="1" customHeight="1">
      <c r="A58" s="105"/>
      <c r="B58" s="213" t="b">
        <v>0</v>
      </c>
      <c r="C58" s="211">
        <f>IF(LEFT(B58,1)="T",1,2)</f>
        <v>2</v>
      </c>
      <c r="D58" s="104"/>
      <c r="E58" s="104"/>
      <c r="F58" s="104"/>
      <c r="G58" s="104"/>
      <c r="H58" s="104"/>
      <c r="I58" s="104"/>
      <c r="J58" s="104"/>
      <c r="K58" s="104"/>
      <c r="L58" s="104"/>
      <c r="M58" s="104"/>
      <c r="N58" s="104"/>
      <c r="O58" s="104"/>
      <c r="P58" s="104"/>
      <c r="Q58" s="104"/>
      <c r="R58" s="104"/>
      <c r="S58" s="104"/>
      <c r="T58" s="105"/>
      <c r="U58" s="105"/>
      <c r="V58" s="105"/>
      <c r="W58" s="105"/>
      <c r="X58" s="105"/>
      <c r="Y58" s="105"/>
      <c r="Z58" s="105"/>
    </row>
    <row r="59" spans="1:26" ht="18" hidden="1" customHeight="1">
      <c r="A59" s="105"/>
      <c r="B59" s="210" t="b">
        <v>1</v>
      </c>
      <c r="C59" s="210"/>
      <c r="D59" s="104"/>
      <c r="E59" s="104"/>
      <c r="F59" s="104"/>
      <c r="G59" s="104"/>
      <c r="H59" s="104"/>
      <c r="I59" s="104"/>
      <c r="J59" s="104"/>
      <c r="K59" s="104"/>
      <c r="L59" s="104"/>
      <c r="M59" s="104"/>
      <c r="N59" s="104"/>
      <c r="O59" s="104"/>
      <c r="P59" s="104"/>
      <c r="Q59" s="104"/>
      <c r="R59" s="104"/>
      <c r="S59" s="104"/>
      <c r="T59" s="105"/>
      <c r="U59" s="105"/>
      <c r="V59" s="105"/>
      <c r="W59" s="105"/>
      <c r="X59" s="105"/>
      <c r="Y59" s="105"/>
      <c r="Z59" s="105"/>
    </row>
    <row r="60" spans="1:26" ht="18" customHeight="1">
      <c r="A60" s="224"/>
      <c r="B60" s="224"/>
      <c r="C60" s="224"/>
      <c r="D60" s="219"/>
      <c r="E60" s="219"/>
      <c r="F60" s="219"/>
      <c r="G60" s="219"/>
      <c r="H60" s="219"/>
      <c r="I60" s="219"/>
      <c r="J60" s="219"/>
      <c r="K60" s="219"/>
      <c r="L60" s="219"/>
      <c r="M60" s="219"/>
      <c r="N60" s="219"/>
      <c r="O60" s="219"/>
      <c r="P60" s="219"/>
      <c r="Q60" s="219"/>
      <c r="R60" s="219"/>
      <c r="S60" s="219"/>
      <c r="T60" s="224"/>
      <c r="U60" s="224"/>
      <c r="V60" s="224"/>
      <c r="W60" s="224"/>
      <c r="X60" s="224"/>
      <c r="Y60" s="224"/>
      <c r="Z60" s="224"/>
    </row>
    <row r="61" spans="1:26" ht="18" customHeight="1">
      <c r="A61" s="224"/>
      <c r="B61" s="224"/>
      <c r="C61" s="224"/>
      <c r="D61" s="219"/>
      <c r="E61" s="219"/>
      <c r="F61" s="219"/>
      <c r="G61" s="219"/>
      <c r="H61" s="219"/>
      <c r="I61" s="219"/>
      <c r="J61" s="219"/>
      <c r="K61" s="219"/>
      <c r="L61" s="219"/>
      <c r="M61" s="219"/>
      <c r="N61" s="219"/>
      <c r="O61" s="219"/>
      <c r="P61" s="219"/>
      <c r="Q61" s="219"/>
      <c r="R61" s="219"/>
      <c r="S61" s="219"/>
      <c r="T61" s="224"/>
      <c r="U61" s="224"/>
      <c r="V61" s="224"/>
      <c r="W61" s="224"/>
      <c r="X61" s="224"/>
      <c r="Y61" s="224"/>
      <c r="Z61" s="224"/>
    </row>
    <row r="62" spans="1:26" ht="18" customHeight="1">
      <c r="A62" s="224"/>
      <c r="B62" s="224"/>
      <c r="C62" s="224"/>
      <c r="D62" s="219"/>
      <c r="E62" s="219"/>
      <c r="F62" s="219"/>
      <c r="G62" s="219"/>
      <c r="H62" s="219"/>
      <c r="I62" s="219"/>
      <c r="J62" s="219"/>
      <c r="K62" s="219"/>
      <c r="L62" s="219"/>
      <c r="M62" s="219"/>
      <c r="N62" s="219"/>
      <c r="O62" s="219"/>
      <c r="P62" s="219"/>
      <c r="Q62" s="219"/>
      <c r="R62" s="219"/>
      <c r="S62" s="219"/>
      <c r="T62" s="224"/>
      <c r="U62" s="224"/>
      <c r="V62" s="224"/>
      <c r="W62" s="224"/>
      <c r="X62" s="224"/>
      <c r="Y62" s="224"/>
      <c r="Z62" s="224"/>
    </row>
    <row r="63" spans="1:26" ht="18" customHeight="1">
      <c r="A63" s="224"/>
      <c r="B63" s="224"/>
      <c r="C63" s="224"/>
      <c r="D63" s="219"/>
      <c r="E63" s="219"/>
      <c r="F63" s="219"/>
      <c r="G63" s="219"/>
      <c r="H63" s="219"/>
      <c r="I63" s="219"/>
      <c r="J63" s="219"/>
      <c r="K63" s="219"/>
      <c r="L63" s="219"/>
      <c r="M63" s="219"/>
      <c r="N63" s="219"/>
      <c r="O63" s="219"/>
      <c r="P63" s="219"/>
      <c r="Q63" s="219"/>
      <c r="R63" s="219"/>
      <c r="S63" s="219"/>
      <c r="T63" s="224"/>
      <c r="U63" s="224"/>
      <c r="V63" s="224"/>
      <c r="W63" s="224"/>
      <c r="X63" s="224"/>
      <c r="Y63" s="224"/>
      <c r="Z63" s="224"/>
    </row>
    <row r="64" spans="1:26" ht="18" customHeight="1">
      <c r="A64" s="224"/>
      <c r="B64" s="224"/>
      <c r="C64" s="224"/>
      <c r="D64" s="219"/>
      <c r="E64" s="219"/>
      <c r="F64" s="219"/>
      <c r="G64" s="219"/>
      <c r="H64" s="219"/>
      <c r="I64" s="219"/>
      <c r="J64" s="219"/>
      <c r="K64" s="219"/>
      <c r="L64" s="219"/>
      <c r="M64" s="219"/>
      <c r="N64" s="219"/>
      <c r="O64" s="219"/>
      <c r="P64" s="219"/>
      <c r="Q64" s="219"/>
      <c r="R64" s="219"/>
      <c r="S64" s="219"/>
      <c r="T64" s="224"/>
      <c r="U64" s="224"/>
      <c r="V64" s="224"/>
      <c r="W64" s="224"/>
      <c r="X64" s="224"/>
      <c r="Y64" s="224"/>
      <c r="Z64" s="224"/>
    </row>
    <row r="65" spans="1:26" ht="18" customHeight="1">
      <c r="A65" s="224"/>
      <c r="B65" s="224"/>
      <c r="C65" s="224"/>
      <c r="D65" s="219"/>
      <c r="E65" s="219"/>
      <c r="F65" s="219"/>
      <c r="G65" s="219"/>
      <c r="H65" s="219"/>
      <c r="I65" s="219"/>
      <c r="J65" s="219"/>
      <c r="K65" s="219"/>
      <c r="L65" s="219"/>
      <c r="M65" s="219"/>
      <c r="N65" s="219"/>
      <c r="O65" s="219"/>
      <c r="P65" s="219"/>
      <c r="Q65" s="219"/>
      <c r="R65" s="219"/>
      <c r="S65" s="219"/>
      <c r="T65" s="224"/>
      <c r="U65" s="224"/>
      <c r="V65" s="224"/>
      <c r="W65" s="224"/>
      <c r="X65" s="224"/>
      <c r="Y65" s="224"/>
      <c r="Z65" s="224"/>
    </row>
    <row r="66" spans="1:26" ht="18" customHeight="1">
      <c r="A66" s="224"/>
      <c r="B66" s="224"/>
      <c r="C66" s="224"/>
      <c r="D66" s="219"/>
      <c r="E66" s="219"/>
      <c r="F66" s="219"/>
      <c r="G66" s="219"/>
      <c r="H66" s="219"/>
      <c r="I66" s="219"/>
      <c r="J66" s="219"/>
      <c r="K66" s="219"/>
      <c r="L66" s="219"/>
      <c r="M66" s="219"/>
      <c r="N66" s="219"/>
      <c r="O66" s="219"/>
      <c r="P66" s="219"/>
      <c r="Q66" s="219"/>
      <c r="R66" s="219"/>
      <c r="S66" s="219"/>
      <c r="T66" s="224"/>
      <c r="U66" s="224"/>
      <c r="V66" s="224"/>
      <c r="W66" s="224"/>
      <c r="X66" s="224"/>
      <c r="Y66" s="224"/>
      <c r="Z66" s="224"/>
    </row>
    <row r="67" spans="1:26" ht="18" customHeight="1">
      <c r="A67" s="224"/>
      <c r="B67" s="224"/>
      <c r="C67" s="224"/>
      <c r="D67" s="219"/>
      <c r="E67" s="219"/>
      <c r="F67" s="219"/>
      <c r="G67" s="219"/>
      <c r="H67" s="219"/>
      <c r="I67" s="219"/>
      <c r="J67" s="219"/>
      <c r="K67" s="219"/>
      <c r="L67" s="219"/>
      <c r="M67" s="219"/>
      <c r="N67" s="219"/>
      <c r="O67" s="219"/>
      <c r="P67" s="219"/>
      <c r="Q67" s="219"/>
      <c r="R67" s="219"/>
      <c r="S67" s="219"/>
      <c r="T67" s="224"/>
      <c r="U67" s="224"/>
      <c r="V67" s="224"/>
      <c r="W67" s="224"/>
      <c r="X67" s="224"/>
      <c r="Y67" s="224"/>
      <c r="Z67" s="224"/>
    </row>
    <row r="68" spans="1:26" ht="18" customHeight="1">
      <c r="A68" s="224"/>
      <c r="B68" s="224"/>
      <c r="C68" s="224"/>
      <c r="D68" s="219"/>
      <c r="E68" s="219"/>
      <c r="F68" s="219"/>
      <c r="G68" s="219"/>
      <c r="H68" s="219"/>
      <c r="I68" s="219"/>
      <c r="J68" s="219"/>
      <c r="K68" s="219"/>
      <c r="L68" s="219"/>
      <c r="M68" s="219"/>
      <c r="N68" s="219"/>
      <c r="O68" s="219"/>
      <c r="P68" s="219"/>
      <c r="Q68" s="219"/>
      <c r="R68" s="219"/>
      <c r="S68" s="219"/>
      <c r="T68" s="224"/>
      <c r="U68" s="224"/>
      <c r="V68" s="224"/>
      <c r="W68" s="224"/>
      <c r="X68" s="224"/>
      <c r="Y68" s="224"/>
      <c r="Z68" s="224"/>
    </row>
    <row r="69" spans="1:26" ht="18" customHeight="1">
      <c r="A69" s="224"/>
      <c r="B69" s="224"/>
      <c r="C69" s="224"/>
      <c r="D69" s="219"/>
      <c r="E69" s="219"/>
      <c r="F69" s="219"/>
      <c r="G69" s="219"/>
      <c r="H69" s="219"/>
      <c r="I69" s="219"/>
      <c r="J69" s="219"/>
      <c r="K69" s="219"/>
      <c r="L69" s="219"/>
      <c r="M69" s="219"/>
      <c r="N69" s="219"/>
      <c r="O69" s="219"/>
      <c r="P69" s="219"/>
      <c r="Q69" s="219"/>
      <c r="R69" s="219"/>
      <c r="S69" s="219"/>
      <c r="T69" s="224"/>
      <c r="U69" s="224"/>
      <c r="V69" s="224"/>
      <c r="W69" s="224"/>
      <c r="X69" s="224"/>
      <c r="Y69" s="224"/>
      <c r="Z69" s="224"/>
    </row>
    <row r="70" spans="1:26" ht="18" customHeight="1">
      <c r="A70" s="224"/>
      <c r="B70" s="224"/>
      <c r="C70" s="224"/>
      <c r="D70" s="219"/>
      <c r="E70" s="219"/>
      <c r="F70" s="219"/>
      <c r="G70" s="219"/>
      <c r="H70" s="219"/>
      <c r="I70" s="219"/>
      <c r="J70" s="219"/>
      <c r="K70" s="219"/>
      <c r="L70" s="219"/>
      <c r="M70" s="219"/>
      <c r="N70" s="219"/>
      <c r="O70" s="219"/>
      <c r="P70" s="219"/>
      <c r="Q70" s="219"/>
      <c r="R70" s="219"/>
      <c r="S70" s="219"/>
      <c r="T70" s="224"/>
      <c r="U70" s="224"/>
      <c r="V70" s="224"/>
      <c r="W70" s="224"/>
      <c r="X70" s="224"/>
      <c r="Y70" s="224"/>
      <c r="Z70" s="224"/>
    </row>
    <row r="71" spans="1:26" ht="18" customHeight="1">
      <c r="A71" s="224"/>
      <c r="B71" s="224"/>
      <c r="C71" s="224"/>
      <c r="D71" s="219"/>
      <c r="E71" s="219"/>
      <c r="F71" s="219"/>
      <c r="G71" s="219"/>
      <c r="H71" s="219"/>
      <c r="I71" s="219"/>
      <c r="J71" s="219"/>
      <c r="K71" s="219"/>
      <c r="L71" s="219"/>
      <c r="M71" s="219"/>
      <c r="N71" s="219"/>
      <c r="O71" s="219"/>
      <c r="P71" s="219"/>
      <c r="Q71" s="219"/>
      <c r="R71" s="219"/>
      <c r="S71" s="219"/>
      <c r="T71" s="224"/>
      <c r="U71" s="224"/>
      <c r="V71" s="224"/>
      <c r="W71" s="224"/>
      <c r="X71" s="224"/>
      <c r="Y71" s="224"/>
      <c r="Z71" s="224"/>
    </row>
    <row r="72" spans="1:26" ht="18" customHeight="1">
      <c r="A72" s="224"/>
      <c r="B72" s="224"/>
      <c r="C72" s="224"/>
      <c r="D72" s="219"/>
      <c r="E72" s="219"/>
      <c r="F72" s="219"/>
      <c r="G72" s="219"/>
      <c r="H72" s="219"/>
      <c r="I72" s="219"/>
      <c r="J72" s="219"/>
      <c r="K72" s="219"/>
      <c r="L72" s="219"/>
      <c r="M72" s="219"/>
      <c r="N72" s="219"/>
      <c r="O72" s="219"/>
      <c r="P72" s="219"/>
      <c r="Q72" s="219"/>
      <c r="R72" s="219"/>
      <c r="S72" s="219"/>
      <c r="T72" s="224"/>
      <c r="U72" s="224"/>
      <c r="V72" s="224"/>
      <c r="W72" s="224"/>
      <c r="X72" s="224"/>
      <c r="Y72" s="224"/>
      <c r="Z72" s="224"/>
    </row>
    <row r="73" spans="1:26" ht="18" customHeight="1">
      <c r="A73" s="224"/>
      <c r="B73" s="224"/>
      <c r="C73" s="224"/>
      <c r="D73" s="219"/>
      <c r="E73" s="219"/>
      <c r="F73" s="219"/>
      <c r="G73" s="219"/>
      <c r="H73" s="219"/>
      <c r="I73" s="219"/>
      <c r="J73" s="219"/>
      <c r="K73" s="219"/>
      <c r="L73" s="219"/>
      <c r="M73" s="219"/>
      <c r="N73" s="219"/>
      <c r="O73" s="219"/>
      <c r="P73" s="219"/>
      <c r="Q73" s="219"/>
      <c r="R73" s="219"/>
      <c r="S73" s="219"/>
      <c r="T73" s="224"/>
      <c r="U73" s="224"/>
      <c r="V73" s="224"/>
      <c r="W73" s="224"/>
      <c r="X73" s="224"/>
      <c r="Y73" s="224"/>
      <c r="Z73" s="224"/>
    </row>
    <row r="74" spans="1:26" ht="18" customHeight="1">
      <c r="A74" s="224"/>
      <c r="B74" s="224"/>
      <c r="C74" s="224"/>
      <c r="D74" s="219"/>
      <c r="E74" s="219"/>
      <c r="F74" s="219"/>
      <c r="G74" s="219"/>
      <c r="H74" s="219"/>
      <c r="I74" s="219"/>
      <c r="J74" s="219"/>
      <c r="K74" s="219"/>
      <c r="L74" s="219"/>
      <c r="M74" s="219"/>
      <c r="N74" s="219"/>
      <c r="O74" s="219"/>
      <c r="P74" s="219"/>
      <c r="Q74" s="219"/>
      <c r="R74" s="219"/>
      <c r="S74" s="219"/>
      <c r="T74" s="224"/>
      <c r="U74" s="224"/>
      <c r="V74" s="224"/>
      <c r="W74" s="224"/>
      <c r="X74" s="224"/>
      <c r="Y74" s="224"/>
      <c r="Z74" s="224"/>
    </row>
    <row r="75" spans="1:26" ht="18" customHeight="1">
      <c r="A75" s="224"/>
      <c r="B75" s="224"/>
      <c r="C75" s="224"/>
      <c r="D75" s="219"/>
      <c r="E75" s="219"/>
      <c r="F75" s="219"/>
      <c r="G75" s="219"/>
      <c r="H75" s="219"/>
      <c r="I75" s="219"/>
      <c r="J75" s="219"/>
      <c r="K75" s="219"/>
      <c r="L75" s="219"/>
      <c r="M75" s="219"/>
      <c r="N75" s="219"/>
      <c r="O75" s="219"/>
      <c r="P75" s="219"/>
      <c r="Q75" s="219"/>
      <c r="R75" s="219"/>
      <c r="S75" s="219"/>
      <c r="T75" s="224"/>
      <c r="U75" s="224"/>
      <c r="V75" s="224"/>
      <c r="W75" s="224"/>
      <c r="X75" s="224"/>
      <c r="Y75" s="224"/>
      <c r="Z75" s="224"/>
    </row>
    <row r="76" spans="1:26" ht="18" customHeight="1">
      <c r="A76" s="224"/>
      <c r="B76" s="224"/>
      <c r="C76" s="224"/>
      <c r="D76" s="219"/>
      <c r="E76" s="219"/>
      <c r="F76" s="219"/>
      <c r="G76" s="219"/>
      <c r="H76" s="219"/>
      <c r="I76" s="219"/>
      <c r="J76" s="219"/>
      <c r="K76" s="219"/>
      <c r="L76" s="219"/>
      <c r="M76" s="219"/>
      <c r="N76" s="219"/>
      <c r="O76" s="219"/>
      <c r="P76" s="219"/>
      <c r="Q76" s="219"/>
      <c r="R76" s="219"/>
      <c r="S76" s="219"/>
      <c r="T76" s="224"/>
      <c r="U76" s="224"/>
      <c r="V76" s="224"/>
      <c r="W76" s="224"/>
      <c r="X76" s="224"/>
      <c r="Y76" s="224"/>
      <c r="Z76" s="224"/>
    </row>
    <row r="77" spans="1:26" ht="18" customHeight="1">
      <c r="A77" s="224"/>
      <c r="B77" s="224"/>
      <c r="C77" s="224"/>
      <c r="D77" s="219"/>
      <c r="E77" s="219"/>
      <c r="F77" s="219"/>
      <c r="G77" s="219"/>
      <c r="H77" s="219"/>
      <c r="I77" s="219"/>
      <c r="J77" s="219"/>
      <c r="K77" s="219"/>
      <c r="L77" s="219"/>
      <c r="M77" s="219"/>
      <c r="N77" s="219"/>
      <c r="O77" s="219"/>
      <c r="P77" s="219"/>
      <c r="Q77" s="219"/>
      <c r="R77" s="219"/>
      <c r="S77" s="219"/>
      <c r="T77" s="224"/>
      <c r="U77" s="224"/>
      <c r="V77" s="224"/>
      <c r="W77" s="224"/>
      <c r="X77" s="224"/>
      <c r="Y77" s="224"/>
      <c r="Z77" s="224"/>
    </row>
    <row r="78" spans="1:26" ht="18" customHeight="1">
      <c r="A78" s="224"/>
      <c r="B78" s="224"/>
      <c r="C78" s="224"/>
      <c r="D78" s="219"/>
      <c r="E78" s="219"/>
      <c r="F78" s="219"/>
      <c r="G78" s="219"/>
      <c r="H78" s="219"/>
      <c r="I78" s="219"/>
      <c r="J78" s="219"/>
      <c r="K78" s="219"/>
      <c r="L78" s="219"/>
      <c r="M78" s="219"/>
      <c r="N78" s="219"/>
      <c r="O78" s="219"/>
      <c r="P78" s="219"/>
      <c r="Q78" s="219"/>
      <c r="R78" s="219"/>
      <c r="S78" s="219"/>
      <c r="T78" s="224"/>
      <c r="U78" s="224"/>
      <c r="V78" s="224"/>
      <c r="W78" s="224"/>
      <c r="X78" s="224"/>
      <c r="Y78" s="224"/>
      <c r="Z78" s="224"/>
    </row>
    <row r="79" spans="1:26" ht="18" customHeight="1">
      <c r="A79" s="224"/>
      <c r="B79" s="224"/>
      <c r="C79" s="224"/>
      <c r="D79" s="219"/>
      <c r="E79" s="219"/>
      <c r="F79" s="219"/>
      <c r="G79" s="219"/>
      <c r="H79" s="219"/>
      <c r="I79" s="219"/>
      <c r="J79" s="219"/>
      <c r="K79" s="219"/>
      <c r="L79" s="219"/>
      <c r="M79" s="219"/>
      <c r="N79" s="219"/>
      <c r="O79" s="219"/>
      <c r="P79" s="219"/>
      <c r="Q79" s="219"/>
      <c r="R79" s="219"/>
      <c r="S79" s="219"/>
      <c r="T79" s="224"/>
      <c r="U79" s="224"/>
      <c r="V79" s="224"/>
      <c r="W79" s="224"/>
      <c r="X79" s="224"/>
      <c r="Y79" s="224"/>
      <c r="Z79" s="224"/>
    </row>
    <row r="80" spans="1:26" ht="18" customHeight="1">
      <c r="A80" s="224"/>
      <c r="B80" s="224"/>
      <c r="C80" s="224"/>
      <c r="D80" s="219"/>
      <c r="E80" s="219"/>
      <c r="F80" s="219"/>
      <c r="G80" s="219"/>
      <c r="H80" s="219"/>
      <c r="I80" s="219"/>
      <c r="J80" s="219"/>
      <c r="K80" s="219"/>
      <c r="L80" s="219"/>
      <c r="M80" s="219"/>
      <c r="N80" s="219"/>
      <c r="O80" s="219"/>
      <c r="P80" s="219"/>
      <c r="Q80" s="219"/>
      <c r="R80" s="219"/>
      <c r="S80" s="219"/>
      <c r="T80" s="224"/>
      <c r="U80" s="224"/>
      <c r="V80" s="224"/>
      <c r="W80" s="224"/>
      <c r="X80" s="224"/>
      <c r="Y80" s="224"/>
      <c r="Z80" s="224"/>
    </row>
    <row r="81" spans="1:26" ht="18" customHeight="1">
      <c r="A81" s="224"/>
      <c r="B81" s="224"/>
      <c r="C81" s="224"/>
      <c r="D81" s="219"/>
      <c r="E81" s="219"/>
      <c r="F81" s="219"/>
      <c r="G81" s="219"/>
      <c r="H81" s="219"/>
      <c r="I81" s="219"/>
      <c r="J81" s="219"/>
      <c r="K81" s="219"/>
      <c r="L81" s="219"/>
      <c r="M81" s="219"/>
      <c r="N81" s="219"/>
      <c r="O81" s="219"/>
      <c r="P81" s="219"/>
      <c r="Q81" s="219"/>
      <c r="R81" s="219"/>
      <c r="S81" s="219"/>
      <c r="T81" s="224"/>
      <c r="U81" s="224"/>
      <c r="V81" s="224"/>
      <c r="W81" s="224"/>
      <c r="X81" s="224"/>
      <c r="Y81" s="224"/>
      <c r="Z81" s="224"/>
    </row>
    <row r="82" spans="1:26" ht="18" customHeight="1">
      <c r="A82" s="224"/>
      <c r="B82" s="224"/>
      <c r="C82" s="224"/>
      <c r="D82" s="219"/>
      <c r="E82" s="219"/>
      <c r="F82" s="219"/>
      <c r="G82" s="219"/>
      <c r="H82" s="219"/>
      <c r="I82" s="219"/>
      <c r="J82" s="219"/>
      <c r="K82" s="219"/>
      <c r="L82" s="219"/>
      <c r="M82" s="219"/>
      <c r="N82" s="219"/>
      <c r="O82" s="219"/>
      <c r="P82" s="219"/>
      <c r="Q82" s="219"/>
      <c r="R82" s="219"/>
      <c r="S82" s="219"/>
      <c r="T82" s="224"/>
      <c r="U82" s="224"/>
      <c r="V82" s="224"/>
      <c r="W82" s="224"/>
      <c r="X82" s="224"/>
      <c r="Y82" s="224"/>
      <c r="Z82" s="224"/>
    </row>
    <row r="83" spans="1:26" ht="18" customHeight="1">
      <c r="A83" s="224"/>
      <c r="B83" s="224"/>
      <c r="C83" s="224"/>
      <c r="D83" s="219"/>
      <c r="E83" s="219"/>
      <c r="F83" s="219"/>
      <c r="G83" s="219"/>
      <c r="H83" s="219"/>
      <c r="I83" s="219"/>
      <c r="J83" s="219"/>
      <c r="K83" s="219"/>
      <c r="L83" s="219"/>
      <c r="M83" s="219"/>
      <c r="N83" s="219"/>
      <c r="O83" s="219"/>
      <c r="P83" s="219"/>
      <c r="Q83" s="219"/>
      <c r="R83" s="219"/>
      <c r="S83" s="219"/>
      <c r="T83" s="224"/>
      <c r="U83" s="224"/>
      <c r="V83" s="224"/>
      <c r="W83" s="224"/>
      <c r="X83" s="224"/>
      <c r="Y83" s="224"/>
      <c r="Z83" s="224"/>
    </row>
    <row r="84" spans="1:26" ht="18" customHeight="1">
      <c r="A84" s="224"/>
      <c r="B84" s="224"/>
      <c r="C84" s="224"/>
      <c r="D84" s="219"/>
      <c r="E84" s="219"/>
      <c r="F84" s="219"/>
      <c r="G84" s="219"/>
      <c r="H84" s="219"/>
      <c r="I84" s="219"/>
      <c r="J84" s="219"/>
      <c r="K84" s="219"/>
      <c r="L84" s="219"/>
      <c r="M84" s="219"/>
      <c r="N84" s="219"/>
      <c r="O84" s="219"/>
      <c r="P84" s="219"/>
      <c r="Q84" s="219"/>
      <c r="R84" s="219"/>
      <c r="S84" s="219"/>
      <c r="T84" s="224"/>
      <c r="U84" s="224"/>
      <c r="V84" s="224"/>
      <c r="W84" s="224"/>
      <c r="X84" s="224"/>
      <c r="Y84" s="224"/>
      <c r="Z84" s="224"/>
    </row>
    <row r="85" spans="1:26" ht="18" customHeight="1">
      <c r="A85" s="224"/>
      <c r="B85" s="224"/>
      <c r="C85" s="224"/>
      <c r="D85" s="219"/>
      <c r="E85" s="219"/>
      <c r="F85" s="219"/>
      <c r="G85" s="219"/>
      <c r="H85" s="219"/>
      <c r="I85" s="219"/>
      <c r="J85" s="219"/>
      <c r="K85" s="219"/>
      <c r="L85" s="219"/>
      <c r="M85" s="219"/>
      <c r="N85" s="219"/>
      <c r="O85" s="219"/>
      <c r="P85" s="219"/>
      <c r="Q85" s="219"/>
      <c r="R85" s="219"/>
      <c r="S85" s="219"/>
      <c r="T85" s="224"/>
      <c r="U85" s="224"/>
      <c r="V85" s="224"/>
      <c r="W85" s="224"/>
      <c r="X85" s="224"/>
      <c r="Y85" s="224"/>
      <c r="Z85" s="224"/>
    </row>
    <row r="86" spans="1:26" ht="18" customHeight="1">
      <c r="A86" s="224"/>
      <c r="B86" s="224"/>
      <c r="C86" s="224"/>
      <c r="D86" s="219"/>
      <c r="E86" s="219"/>
      <c r="F86" s="219"/>
      <c r="G86" s="219"/>
      <c r="H86" s="219"/>
      <c r="I86" s="219"/>
      <c r="J86" s="219"/>
      <c r="K86" s="219"/>
      <c r="L86" s="219"/>
      <c r="M86" s="219"/>
      <c r="N86" s="219"/>
      <c r="O86" s="219"/>
      <c r="P86" s="219"/>
      <c r="Q86" s="219"/>
      <c r="R86" s="219"/>
      <c r="S86" s="219"/>
      <c r="T86" s="224"/>
      <c r="U86" s="224"/>
      <c r="V86" s="224"/>
      <c r="W86" s="224"/>
      <c r="X86" s="224"/>
      <c r="Y86" s="224"/>
      <c r="Z86" s="224"/>
    </row>
    <row r="87" spans="1:26" ht="18" customHeight="1">
      <c r="A87" s="224"/>
      <c r="B87" s="224"/>
      <c r="C87" s="224"/>
      <c r="D87" s="219"/>
      <c r="E87" s="219"/>
      <c r="F87" s="219"/>
      <c r="G87" s="219"/>
      <c r="H87" s="219"/>
      <c r="I87" s="219"/>
      <c r="J87" s="219"/>
      <c r="K87" s="219"/>
      <c r="L87" s="219"/>
      <c r="M87" s="219"/>
      <c r="N87" s="219"/>
      <c r="O87" s="219"/>
      <c r="P87" s="219"/>
      <c r="Q87" s="219"/>
      <c r="R87" s="219"/>
      <c r="S87" s="219"/>
      <c r="T87" s="224"/>
      <c r="U87" s="224"/>
      <c r="V87" s="224"/>
      <c r="W87" s="224"/>
      <c r="X87" s="224"/>
      <c r="Y87" s="224"/>
      <c r="Z87" s="224"/>
    </row>
    <row r="88" spans="1:26" ht="18" customHeight="1">
      <c r="A88" s="224"/>
      <c r="B88" s="224"/>
      <c r="C88" s="224"/>
      <c r="D88" s="219"/>
      <c r="E88" s="219"/>
      <c r="F88" s="219"/>
      <c r="G88" s="219"/>
      <c r="H88" s="219"/>
      <c r="I88" s="219"/>
      <c r="J88" s="219"/>
      <c r="K88" s="219"/>
      <c r="L88" s="219"/>
      <c r="M88" s="219"/>
      <c r="N88" s="219"/>
      <c r="O88" s="219"/>
      <c r="P88" s="219"/>
      <c r="Q88" s="219"/>
      <c r="R88" s="219"/>
      <c r="S88" s="219"/>
      <c r="T88" s="224"/>
      <c r="U88" s="224"/>
      <c r="V88" s="224"/>
      <c r="W88" s="224"/>
      <c r="X88" s="224"/>
      <c r="Y88" s="224"/>
      <c r="Z88" s="224"/>
    </row>
    <row r="89" spans="1:26" ht="18" customHeight="1">
      <c r="A89" s="224"/>
      <c r="B89" s="224"/>
      <c r="C89" s="224"/>
      <c r="D89" s="219"/>
      <c r="E89" s="219"/>
      <c r="F89" s="219"/>
      <c r="G89" s="219"/>
      <c r="H89" s="219"/>
      <c r="I89" s="219"/>
      <c r="J89" s="219"/>
      <c r="K89" s="219"/>
      <c r="L89" s="219"/>
      <c r="M89" s="219"/>
      <c r="N89" s="219"/>
      <c r="O89" s="219"/>
      <c r="P89" s="219"/>
      <c r="Q89" s="219"/>
      <c r="R89" s="219"/>
      <c r="S89" s="219"/>
      <c r="T89" s="224"/>
      <c r="U89" s="224"/>
      <c r="V89" s="224"/>
      <c r="W89" s="224"/>
      <c r="X89" s="224"/>
      <c r="Y89" s="224"/>
      <c r="Z89" s="224"/>
    </row>
    <row r="90" spans="1:26" ht="18" customHeight="1">
      <c r="A90" s="224"/>
      <c r="B90" s="224"/>
      <c r="C90" s="224"/>
      <c r="D90" s="219"/>
      <c r="E90" s="219"/>
      <c r="F90" s="219"/>
      <c r="G90" s="219"/>
      <c r="H90" s="219"/>
      <c r="I90" s="219"/>
      <c r="J90" s="219"/>
      <c r="K90" s="219"/>
      <c r="L90" s="219"/>
      <c r="M90" s="219"/>
      <c r="N90" s="219"/>
      <c r="O90" s="219"/>
      <c r="P90" s="219"/>
      <c r="Q90" s="219"/>
      <c r="R90" s="219"/>
      <c r="S90" s="219"/>
      <c r="T90" s="224"/>
      <c r="U90" s="224"/>
      <c r="V90" s="224"/>
      <c r="W90" s="224"/>
      <c r="X90" s="224"/>
      <c r="Y90" s="224"/>
      <c r="Z90" s="224"/>
    </row>
    <row r="91" spans="1:26" ht="18" customHeight="1">
      <c r="A91" s="224"/>
      <c r="B91" s="224"/>
      <c r="C91" s="224"/>
      <c r="D91" s="219"/>
      <c r="E91" s="219"/>
      <c r="F91" s="219"/>
      <c r="G91" s="219"/>
      <c r="H91" s="219"/>
      <c r="I91" s="219"/>
      <c r="J91" s="219"/>
      <c r="K91" s="219"/>
      <c r="L91" s="219"/>
      <c r="M91" s="219"/>
      <c r="N91" s="219"/>
      <c r="O91" s="219"/>
      <c r="P91" s="219"/>
      <c r="Q91" s="219"/>
      <c r="R91" s="219"/>
      <c r="S91" s="219"/>
      <c r="T91" s="224"/>
      <c r="U91" s="224"/>
      <c r="V91" s="224"/>
      <c r="W91" s="224"/>
      <c r="X91" s="224"/>
      <c r="Y91" s="224"/>
      <c r="Z91" s="224"/>
    </row>
    <row r="92" spans="1:26" ht="18" customHeight="1">
      <c r="A92" s="224"/>
      <c r="B92" s="224"/>
      <c r="C92" s="224"/>
      <c r="D92" s="219"/>
      <c r="E92" s="219"/>
      <c r="F92" s="219"/>
      <c r="G92" s="219"/>
      <c r="H92" s="219"/>
      <c r="I92" s="219"/>
      <c r="J92" s="219"/>
      <c r="K92" s="219"/>
      <c r="L92" s="219"/>
      <c r="M92" s="219"/>
      <c r="N92" s="219"/>
      <c r="O92" s="219"/>
      <c r="P92" s="219"/>
      <c r="Q92" s="219"/>
      <c r="R92" s="219"/>
      <c r="S92" s="219"/>
      <c r="T92" s="224"/>
      <c r="U92" s="224"/>
      <c r="V92" s="224"/>
      <c r="W92" s="224"/>
      <c r="X92" s="224"/>
      <c r="Y92" s="224"/>
      <c r="Z92" s="224"/>
    </row>
    <row r="93" spans="1:26" ht="18" customHeight="1">
      <c r="A93" s="224"/>
      <c r="B93" s="224"/>
      <c r="C93" s="224"/>
      <c r="D93" s="219"/>
      <c r="E93" s="219"/>
      <c r="F93" s="219"/>
      <c r="G93" s="219"/>
      <c r="H93" s="219"/>
      <c r="I93" s="219"/>
      <c r="J93" s="219"/>
      <c r="K93" s="219"/>
      <c r="L93" s="219"/>
      <c r="M93" s="219"/>
      <c r="N93" s="219"/>
      <c r="O93" s="219"/>
      <c r="P93" s="219"/>
      <c r="Q93" s="219"/>
      <c r="R93" s="219"/>
      <c r="S93" s="219"/>
      <c r="T93" s="224"/>
      <c r="U93" s="224"/>
      <c r="V93" s="224"/>
      <c r="W93" s="224"/>
      <c r="X93" s="224"/>
      <c r="Y93" s="224"/>
      <c r="Z93" s="224"/>
    </row>
    <row r="94" spans="1:26" ht="18" customHeight="1">
      <c r="A94" s="224"/>
      <c r="B94" s="224"/>
      <c r="C94" s="224"/>
      <c r="D94" s="219"/>
      <c r="E94" s="219"/>
      <c r="F94" s="219"/>
      <c r="G94" s="219"/>
      <c r="H94" s="219"/>
      <c r="I94" s="219"/>
      <c r="J94" s="219"/>
      <c r="K94" s="219"/>
      <c r="L94" s="219"/>
      <c r="M94" s="219"/>
      <c r="N94" s="219"/>
      <c r="O94" s="219"/>
      <c r="P94" s="219"/>
      <c r="Q94" s="219"/>
      <c r="R94" s="219"/>
      <c r="S94" s="219"/>
      <c r="T94" s="224"/>
      <c r="U94" s="224"/>
      <c r="V94" s="224"/>
      <c r="W94" s="224"/>
      <c r="X94" s="224"/>
      <c r="Y94" s="224"/>
      <c r="Z94" s="224"/>
    </row>
    <row r="95" spans="1:26" ht="18" customHeight="1">
      <c r="A95" s="224"/>
      <c r="B95" s="224"/>
      <c r="C95" s="224"/>
      <c r="D95" s="219"/>
      <c r="E95" s="219"/>
      <c r="F95" s="219"/>
      <c r="G95" s="219"/>
      <c r="H95" s="219"/>
      <c r="I95" s="219"/>
      <c r="J95" s="219"/>
      <c r="K95" s="219"/>
      <c r="L95" s="219"/>
      <c r="M95" s="219"/>
      <c r="N95" s="219"/>
      <c r="O95" s="219"/>
      <c r="P95" s="219"/>
      <c r="Q95" s="219"/>
      <c r="R95" s="219"/>
      <c r="S95" s="219"/>
      <c r="T95" s="224"/>
      <c r="U95" s="224"/>
      <c r="V95" s="224"/>
      <c r="W95" s="224"/>
      <c r="X95" s="224"/>
      <c r="Y95" s="224"/>
      <c r="Z95" s="224"/>
    </row>
    <row r="96" spans="1:26" ht="18" customHeight="1">
      <c r="A96" s="224"/>
      <c r="B96" s="224"/>
      <c r="C96" s="224"/>
      <c r="D96" s="219"/>
      <c r="E96" s="219"/>
      <c r="F96" s="219"/>
      <c r="G96" s="219"/>
      <c r="H96" s="219"/>
      <c r="I96" s="219"/>
      <c r="J96" s="219"/>
      <c r="K96" s="219"/>
      <c r="L96" s="219"/>
      <c r="M96" s="219"/>
      <c r="N96" s="219"/>
      <c r="O96" s="219"/>
      <c r="P96" s="219"/>
      <c r="Q96" s="219"/>
      <c r="R96" s="219"/>
      <c r="S96" s="219"/>
      <c r="T96" s="224"/>
      <c r="U96" s="224"/>
      <c r="V96" s="224"/>
      <c r="W96" s="224"/>
      <c r="X96" s="224"/>
      <c r="Y96" s="224"/>
      <c r="Z96" s="224"/>
    </row>
    <row r="97" spans="1:26" ht="18" customHeight="1">
      <c r="A97" s="224"/>
      <c r="B97" s="224"/>
      <c r="C97" s="224"/>
      <c r="D97" s="219"/>
      <c r="E97" s="219"/>
      <c r="F97" s="219"/>
      <c r="G97" s="219"/>
      <c r="H97" s="219"/>
      <c r="I97" s="219"/>
      <c r="J97" s="219"/>
      <c r="K97" s="219"/>
      <c r="L97" s="219"/>
      <c r="M97" s="219"/>
      <c r="N97" s="219"/>
      <c r="O97" s="219"/>
      <c r="P97" s="219"/>
      <c r="Q97" s="219"/>
      <c r="R97" s="219"/>
      <c r="S97" s="219"/>
      <c r="T97" s="224"/>
      <c r="U97" s="224"/>
      <c r="V97" s="224"/>
      <c r="W97" s="224"/>
      <c r="X97" s="224"/>
      <c r="Y97" s="224"/>
      <c r="Z97" s="224"/>
    </row>
    <row r="98" spans="1:26" ht="18" customHeight="1">
      <c r="A98" s="224"/>
      <c r="B98" s="224"/>
      <c r="C98" s="224"/>
      <c r="D98" s="219"/>
      <c r="E98" s="219"/>
      <c r="F98" s="219"/>
      <c r="G98" s="219"/>
      <c r="H98" s="219"/>
      <c r="I98" s="219"/>
      <c r="J98" s="219"/>
      <c r="K98" s="219"/>
      <c r="L98" s="219"/>
      <c r="M98" s="219"/>
      <c r="N98" s="219"/>
      <c r="O98" s="219"/>
      <c r="P98" s="219"/>
      <c r="Q98" s="219"/>
      <c r="R98" s="219"/>
      <c r="S98" s="219"/>
      <c r="T98" s="224"/>
      <c r="U98" s="224"/>
      <c r="V98" s="224"/>
      <c r="W98" s="224"/>
      <c r="X98" s="224"/>
      <c r="Y98" s="224"/>
      <c r="Z98" s="224"/>
    </row>
    <row r="99" spans="1:26" ht="18" customHeight="1">
      <c r="A99" s="224"/>
      <c r="B99" s="224"/>
      <c r="C99" s="224"/>
      <c r="D99" s="219"/>
      <c r="E99" s="219"/>
      <c r="F99" s="219"/>
      <c r="G99" s="219"/>
      <c r="H99" s="219"/>
      <c r="I99" s="219"/>
      <c r="J99" s="219"/>
      <c r="K99" s="219"/>
      <c r="L99" s="219"/>
      <c r="M99" s="219"/>
      <c r="N99" s="219"/>
      <c r="O99" s="219"/>
      <c r="P99" s="219"/>
      <c r="Q99" s="219"/>
      <c r="R99" s="219"/>
      <c r="S99" s="219"/>
      <c r="T99" s="224"/>
      <c r="U99" s="224"/>
      <c r="V99" s="224"/>
      <c r="W99" s="224"/>
      <c r="X99" s="224"/>
      <c r="Y99" s="224"/>
      <c r="Z99" s="224"/>
    </row>
    <row r="100" spans="1:26" ht="18" customHeight="1">
      <c r="A100" s="224"/>
      <c r="B100" s="224"/>
      <c r="C100" s="224"/>
      <c r="D100" s="219"/>
      <c r="E100" s="219"/>
      <c r="F100" s="219"/>
      <c r="G100" s="219"/>
      <c r="H100" s="219"/>
      <c r="I100" s="219"/>
      <c r="J100" s="219"/>
      <c r="K100" s="219"/>
      <c r="L100" s="219"/>
      <c r="M100" s="219"/>
      <c r="N100" s="219"/>
      <c r="O100" s="219"/>
      <c r="P100" s="219"/>
      <c r="Q100" s="219"/>
      <c r="R100" s="219"/>
      <c r="S100" s="219"/>
      <c r="T100" s="224"/>
      <c r="U100" s="224"/>
      <c r="V100" s="224"/>
      <c r="W100" s="224"/>
      <c r="X100" s="224"/>
      <c r="Y100" s="224"/>
      <c r="Z100" s="224"/>
    </row>
    <row r="101" spans="1:26" ht="18" customHeight="1">
      <c r="A101" s="224"/>
      <c r="B101" s="224"/>
      <c r="C101" s="224"/>
      <c r="D101" s="219"/>
      <c r="E101" s="219"/>
      <c r="F101" s="219"/>
      <c r="G101" s="219"/>
      <c r="H101" s="219"/>
      <c r="I101" s="219"/>
      <c r="J101" s="219"/>
      <c r="K101" s="219"/>
      <c r="L101" s="219"/>
      <c r="M101" s="219"/>
      <c r="N101" s="219"/>
      <c r="O101" s="219"/>
      <c r="P101" s="219"/>
      <c r="Q101" s="219"/>
      <c r="R101" s="219"/>
      <c r="S101" s="219"/>
      <c r="T101" s="224"/>
      <c r="U101" s="224"/>
      <c r="V101" s="224"/>
      <c r="W101" s="224"/>
      <c r="X101" s="224"/>
      <c r="Y101" s="224"/>
      <c r="Z101" s="224"/>
    </row>
    <row r="102" spans="1:26" ht="18" customHeight="1">
      <c r="A102" s="224"/>
      <c r="B102" s="224"/>
      <c r="C102" s="224"/>
      <c r="D102" s="219"/>
      <c r="E102" s="219"/>
      <c r="F102" s="219"/>
      <c r="G102" s="219"/>
      <c r="H102" s="219"/>
      <c r="I102" s="219"/>
      <c r="J102" s="219"/>
      <c r="K102" s="219"/>
      <c r="L102" s="219"/>
      <c r="M102" s="219"/>
      <c r="N102" s="219"/>
      <c r="O102" s="219"/>
      <c r="P102" s="219"/>
      <c r="Q102" s="219"/>
      <c r="R102" s="219"/>
      <c r="S102" s="219"/>
      <c r="T102" s="224"/>
      <c r="U102" s="224"/>
      <c r="V102" s="224"/>
      <c r="W102" s="224"/>
      <c r="X102" s="224"/>
      <c r="Y102" s="224"/>
      <c r="Z102" s="224"/>
    </row>
    <row r="103" spans="1:26" ht="18" customHeight="1">
      <c r="A103" s="224"/>
      <c r="B103" s="224"/>
      <c r="C103" s="224"/>
      <c r="D103" s="219"/>
      <c r="E103" s="219"/>
      <c r="F103" s="219"/>
      <c r="G103" s="219"/>
      <c r="H103" s="219"/>
      <c r="I103" s="219"/>
      <c r="J103" s="219"/>
      <c r="K103" s="219"/>
      <c r="L103" s="219"/>
      <c r="M103" s="219"/>
      <c r="N103" s="219"/>
      <c r="O103" s="219"/>
      <c r="P103" s="219"/>
      <c r="Q103" s="219"/>
      <c r="R103" s="219"/>
      <c r="S103" s="219"/>
      <c r="T103" s="224"/>
      <c r="U103" s="224"/>
      <c r="V103" s="224"/>
      <c r="W103" s="224"/>
      <c r="X103" s="224"/>
      <c r="Y103" s="224"/>
      <c r="Z103" s="224"/>
    </row>
    <row r="104" spans="1:26" ht="18" customHeight="1">
      <c r="A104" s="224"/>
      <c r="B104" s="224"/>
      <c r="C104" s="224"/>
      <c r="D104" s="219"/>
      <c r="E104" s="219"/>
      <c r="F104" s="219"/>
      <c r="G104" s="219"/>
      <c r="H104" s="219"/>
      <c r="I104" s="219"/>
      <c r="J104" s="219"/>
      <c r="K104" s="219"/>
      <c r="L104" s="219"/>
      <c r="M104" s="219"/>
      <c r="N104" s="219"/>
      <c r="O104" s="219"/>
      <c r="P104" s="219"/>
      <c r="Q104" s="219"/>
      <c r="R104" s="219"/>
      <c r="S104" s="219"/>
      <c r="T104" s="224"/>
      <c r="U104" s="224"/>
      <c r="V104" s="224"/>
      <c r="W104" s="224"/>
      <c r="X104" s="224"/>
      <c r="Y104" s="224"/>
      <c r="Z104" s="224"/>
    </row>
    <row r="105" spans="1:26" ht="18" customHeight="1">
      <c r="A105" s="224"/>
      <c r="B105" s="224"/>
      <c r="C105" s="224"/>
      <c r="D105" s="219"/>
      <c r="E105" s="219"/>
      <c r="F105" s="219"/>
      <c r="G105" s="219"/>
      <c r="H105" s="219"/>
      <c r="I105" s="219"/>
      <c r="J105" s="219"/>
      <c r="K105" s="219"/>
      <c r="L105" s="219"/>
      <c r="M105" s="219"/>
      <c r="N105" s="219"/>
      <c r="O105" s="219"/>
      <c r="P105" s="219"/>
      <c r="Q105" s="219"/>
      <c r="R105" s="219"/>
      <c r="S105" s="219"/>
      <c r="T105" s="224"/>
      <c r="U105" s="224"/>
      <c r="V105" s="224"/>
      <c r="W105" s="224"/>
      <c r="X105" s="224"/>
      <c r="Y105" s="224"/>
      <c r="Z105" s="224"/>
    </row>
    <row r="106" spans="1:26" ht="18" customHeight="1">
      <c r="A106" s="224"/>
      <c r="B106" s="224"/>
      <c r="C106" s="224"/>
      <c r="D106" s="219"/>
      <c r="E106" s="219"/>
      <c r="F106" s="219"/>
      <c r="G106" s="219"/>
      <c r="H106" s="219"/>
      <c r="I106" s="219"/>
      <c r="J106" s="219"/>
      <c r="K106" s="219"/>
      <c r="L106" s="219"/>
      <c r="M106" s="219"/>
      <c r="N106" s="219"/>
      <c r="O106" s="219"/>
      <c r="P106" s="219"/>
      <c r="Q106" s="219"/>
      <c r="R106" s="219"/>
      <c r="S106" s="219"/>
      <c r="T106" s="224"/>
      <c r="U106" s="224"/>
      <c r="V106" s="224"/>
      <c r="W106" s="224"/>
      <c r="X106" s="224"/>
      <c r="Y106" s="224"/>
      <c r="Z106" s="224"/>
    </row>
    <row r="107" spans="1:26" ht="18" customHeight="1">
      <c r="A107" s="224"/>
      <c r="B107" s="224"/>
      <c r="C107" s="224"/>
      <c r="D107" s="219"/>
      <c r="E107" s="219"/>
      <c r="F107" s="219"/>
      <c r="G107" s="219"/>
      <c r="H107" s="219"/>
      <c r="I107" s="219"/>
      <c r="J107" s="219"/>
      <c r="K107" s="219"/>
      <c r="L107" s="219"/>
      <c r="M107" s="219"/>
      <c r="N107" s="219"/>
      <c r="O107" s="219"/>
      <c r="P107" s="219"/>
      <c r="Q107" s="219"/>
      <c r="R107" s="219"/>
      <c r="S107" s="219"/>
      <c r="T107" s="224"/>
      <c r="U107" s="224"/>
      <c r="V107" s="224"/>
      <c r="W107" s="224"/>
      <c r="X107" s="224"/>
      <c r="Y107" s="224"/>
      <c r="Z107" s="224"/>
    </row>
    <row r="108" spans="1:26" ht="18" customHeight="1">
      <c r="A108" s="224"/>
      <c r="B108" s="224"/>
      <c r="C108" s="224"/>
      <c r="D108" s="219"/>
      <c r="E108" s="219"/>
      <c r="F108" s="219"/>
      <c r="G108" s="219"/>
      <c r="H108" s="219"/>
      <c r="I108" s="219"/>
      <c r="J108" s="219"/>
      <c r="K108" s="219"/>
      <c r="L108" s="219"/>
      <c r="M108" s="219"/>
      <c r="N108" s="219"/>
      <c r="O108" s="219"/>
      <c r="P108" s="219"/>
      <c r="Q108" s="219"/>
      <c r="R108" s="219"/>
      <c r="S108" s="219"/>
      <c r="T108" s="224"/>
      <c r="U108" s="224"/>
      <c r="V108" s="224"/>
      <c r="W108" s="224"/>
      <c r="X108" s="224"/>
      <c r="Y108" s="224"/>
      <c r="Z108" s="224"/>
    </row>
    <row r="109" spans="1:26" ht="18" customHeight="1">
      <c r="A109" s="224"/>
      <c r="B109" s="224"/>
      <c r="C109" s="224"/>
      <c r="D109" s="219"/>
      <c r="E109" s="219"/>
      <c r="F109" s="219"/>
      <c r="G109" s="219"/>
      <c r="H109" s="219"/>
      <c r="I109" s="219"/>
      <c r="J109" s="219"/>
      <c r="K109" s="219"/>
      <c r="L109" s="219"/>
      <c r="M109" s="219"/>
      <c r="N109" s="219"/>
      <c r="O109" s="219"/>
      <c r="P109" s="219"/>
      <c r="Q109" s="219"/>
      <c r="R109" s="219"/>
      <c r="S109" s="219"/>
      <c r="T109" s="224"/>
      <c r="U109" s="224"/>
      <c r="V109" s="224"/>
      <c r="W109" s="224"/>
      <c r="X109" s="224"/>
      <c r="Y109" s="224"/>
      <c r="Z109" s="224"/>
    </row>
    <row r="110" spans="1:26" ht="18" customHeight="1">
      <c r="A110" s="224"/>
      <c r="B110" s="224"/>
      <c r="C110" s="224"/>
      <c r="D110" s="219"/>
      <c r="E110" s="219"/>
      <c r="F110" s="219"/>
      <c r="G110" s="219"/>
      <c r="H110" s="219"/>
      <c r="I110" s="219"/>
      <c r="J110" s="219"/>
      <c r="K110" s="219"/>
      <c r="L110" s="219"/>
      <c r="M110" s="219"/>
      <c r="N110" s="219"/>
      <c r="O110" s="219"/>
      <c r="P110" s="219"/>
      <c r="Q110" s="219"/>
      <c r="R110" s="219"/>
      <c r="S110" s="219"/>
      <c r="T110" s="224"/>
      <c r="U110" s="224"/>
      <c r="V110" s="224"/>
      <c r="W110" s="224"/>
      <c r="X110" s="224"/>
      <c r="Y110" s="224"/>
      <c r="Z110" s="224"/>
    </row>
    <row r="111" spans="1:26" ht="18" customHeight="1">
      <c r="A111" s="224"/>
      <c r="B111" s="224"/>
      <c r="C111" s="224"/>
      <c r="D111" s="219"/>
      <c r="E111" s="219"/>
      <c r="F111" s="219"/>
      <c r="G111" s="219"/>
      <c r="H111" s="219"/>
      <c r="I111" s="219"/>
      <c r="J111" s="219"/>
      <c r="K111" s="219"/>
      <c r="L111" s="219"/>
      <c r="M111" s="219"/>
      <c r="N111" s="219"/>
      <c r="O111" s="219"/>
      <c r="P111" s="219"/>
      <c r="Q111" s="219"/>
      <c r="R111" s="219"/>
      <c r="S111" s="219"/>
      <c r="T111" s="224"/>
      <c r="U111" s="224"/>
      <c r="V111" s="224"/>
      <c r="W111" s="224"/>
      <c r="X111" s="224"/>
      <c r="Y111" s="224"/>
      <c r="Z111" s="224"/>
    </row>
    <row r="112" spans="1:26" ht="18" customHeight="1">
      <c r="A112" s="224"/>
      <c r="B112" s="224"/>
      <c r="C112" s="224"/>
      <c r="D112" s="219"/>
      <c r="E112" s="219"/>
      <c r="F112" s="219"/>
      <c r="G112" s="219"/>
      <c r="H112" s="219"/>
      <c r="I112" s="219"/>
      <c r="J112" s="219"/>
      <c r="K112" s="219"/>
      <c r="L112" s="219"/>
      <c r="M112" s="219"/>
      <c r="N112" s="219"/>
      <c r="O112" s="219"/>
      <c r="P112" s="219"/>
      <c r="Q112" s="219"/>
      <c r="R112" s="219"/>
      <c r="S112" s="219"/>
      <c r="T112" s="224"/>
      <c r="U112" s="224"/>
      <c r="V112" s="224"/>
      <c r="W112" s="224"/>
      <c r="X112" s="224"/>
      <c r="Y112" s="224"/>
      <c r="Z112" s="224"/>
    </row>
    <row r="113" spans="1:26" ht="18" customHeight="1">
      <c r="A113" s="224"/>
      <c r="B113" s="224"/>
      <c r="C113" s="224"/>
      <c r="D113" s="219"/>
      <c r="E113" s="219"/>
      <c r="F113" s="219"/>
      <c r="G113" s="219"/>
      <c r="H113" s="219"/>
      <c r="I113" s="219"/>
      <c r="J113" s="219"/>
      <c r="K113" s="219"/>
      <c r="L113" s="219"/>
      <c r="M113" s="219"/>
      <c r="N113" s="219"/>
      <c r="O113" s="219"/>
      <c r="P113" s="219"/>
      <c r="Q113" s="219"/>
      <c r="R113" s="219"/>
      <c r="S113" s="219"/>
      <c r="T113" s="224"/>
      <c r="U113" s="224"/>
      <c r="V113" s="224"/>
      <c r="W113" s="224"/>
      <c r="X113" s="224"/>
      <c r="Y113" s="224"/>
      <c r="Z113" s="224"/>
    </row>
    <row r="114" spans="1:26" ht="18" customHeight="1">
      <c r="A114" s="224"/>
      <c r="B114" s="224"/>
      <c r="C114" s="224"/>
      <c r="D114" s="219"/>
      <c r="E114" s="219"/>
      <c r="F114" s="219"/>
      <c r="G114" s="219"/>
      <c r="H114" s="219"/>
      <c r="I114" s="219"/>
      <c r="J114" s="219"/>
      <c r="K114" s="219"/>
      <c r="L114" s="219"/>
      <c r="M114" s="219"/>
      <c r="N114" s="219"/>
      <c r="O114" s="219"/>
      <c r="P114" s="219"/>
      <c r="Q114" s="219"/>
      <c r="R114" s="219"/>
      <c r="S114" s="219"/>
      <c r="T114" s="224"/>
      <c r="U114" s="224"/>
      <c r="V114" s="224"/>
      <c r="W114" s="224"/>
      <c r="X114" s="224"/>
      <c r="Y114" s="224"/>
      <c r="Z114" s="224"/>
    </row>
    <row r="115" spans="1:26" ht="18" customHeight="1">
      <c r="A115" s="224"/>
      <c r="B115" s="224"/>
      <c r="C115" s="224"/>
      <c r="D115" s="219"/>
      <c r="E115" s="219"/>
      <c r="F115" s="219"/>
      <c r="G115" s="219"/>
      <c r="H115" s="219"/>
      <c r="I115" s="219"/>
      <c r="J115" s="219"/>
      <c r="K115" s="219"/>
      <c r="L115" s="219"/>
      <c r="M115" s="219"/>
      <c r="N115" s="219"/>
      <c r="O115" s="219"/>
      <c r="P115" s="219"/>
      <c r="Q115" s="219"/>
      <c r="R115" s="219"/>
      <c r="S115" s="219"/>
      <c r="T115" s="224"/>
      <c r="U115" s="224"/>
      <c r="V115" s="224"/>
      <c r="W115" s="224"/>
      <c r="X115" s="224"/>
      <c r="Y115" s="224"/>
      <c r="Z115" s="224"/>
    </row>
    <row r="116" spans="1:26" ht="18" customHeight="1">
      <c r="A116" s="224"/>
      <c r="B116" s="224"/>
      <c r="C116" s="224"/>
      <c r="D116" s="219"/>
      <c r="E116" s="219"/>
      <c r="F116" s="219"/>
      <c r="G116" s="219"/>
      <c r="H116" s="219"/>
      <c r="I116" s="219"/>
      <c r="J116" s="219"/>
      <c r="K116" s="219"/>
      <c r="L116" s="219"/>
      <c r="M116" s="219"/>
      <c r="N116" s="219"/>
      <c r="O116" s="219"/>
      <c r="P116" s="219"/>
      <c r="Q116" s="219"/>
      <c r="R116" s="219"/>
      <c r="S116" s="219"/>
      <c r="T116" s="224"/>
      <c r="U116" s="224"/>
      <c r="V116" s="224"/>
      <c r="W116" s="224"/>
      <c r="X116" s="224"/>
      <c r="Y116" s="224"/>
      <c r="Z116" s="224"/>
    </row>
    <row r="117" spans="1:26" ht="18" customHeight="1">
      <c r="A117" s="224"/>
      <c r="B117" s="224"/>
      <c r="C117" s="224"/>
      <c r="D117" s="219"/>
      <c r="E117" s="219"/>
      <c r="F117" s="219"/>
      <c r="G117" s="219"/>
      <c r="H117" s="219"/>
      <c r="I117" s="219"/>
      <c r="J117" s="219"/>
      <c r="K117" s="219"/>
      <c r="L117" s="219"/>
      <c r="M117" s="219"/>
      <c r="N117" s="219"/>
      <c r="O117" s="219"/>
      <c r="P117" s="219"/>
      <c r="Q117" s="219"/>
      <c r="R117" s="219"/>
      <c r="S117" s="219"/>
      <c r="T117" s="224"/>
      <c r="U117" s="224"/>
      <c r="V117" s="224"/>
      <c r="W117" s="224"/>
      <c r="X117" s="224"/>
      <c r="Y117" s="224"/>
      <c r="Z117" s="224"/>
    </row>
    <row r="118" spans="1:26" ht="18" customHeight="1">
      <c r="A118" s="224"/>
      <c r="B118" s="224"/>
      <c r="C118" s="224"/>
      <c r="D118" s="219"/>
      <c r="E118" s="219"/>
      <c r="F118" s="219"/>
      <c r="G118" s="219"/>
      <c r="H118" s="219"/>
      <c r="I118" s="219"/>
      <c r="J118" s="219"/>
      <c r="K118" s="219"/>
      <c r="L118" s="219"/>
      <c r="M118" s="219"/>
      <c r="N118" s="219"/>
      <c r="O118" s="219"/>
      <c r="P118" s="219"/>
      <c r="Q118" s="219"/>
      <c r="R118" s="219"/>
      <c r="S118" s="219"/>
      <c r="T118" s="224"/>
      <c r="U118" s="224"/>
      <c r="V118" s="224"/>
      <c r="W118" s="224"/>
      <c r="X118" s="224"/>
      <c r="Y118" s="224"/>
      <c r="Z118" s="224"/>
    </row>
    <row r="119" spans="1:26" ht="18" customHeight="1">
      <c r="A119" s="224"/>
      <c r="B119" s="224"/>
      <c r="C119" s="224"/>
      <c r="D119" s="219"/>
      <c r="E119" s="219"/>
      <c r="F119" s="219"/>
      <c r="G119" s="219"/>
      <c r="H119" s="219"/>
      <c r="I119" s="219"/>
      <c r="J119" s="219"/>
      <c r="K119" s="219"/>
      <c r="L119" s="219"/>
      <c r="M119" s="219"/>
      <c r="N119" s="219"/>
      <c r="O119" s="219"/>
      <c r="P119" s="219"/>
      <c r="Q119" s="219"/>
      <c r="R119" s="219"/>
      <c r="S119" s="219"/>
      <c r="T119" s="224"/>
      <c r="U119" s="224"/>
      <c r="V119" s="224"/>
      <c r="W119" s="224"/>
      <c r="X119" s="224"/>
      <c r="Y119" s="224"/>
      <c r="Z119" s="224"/>
    </row>
    <row r="120" spans="1:26" ht="18" customHeight="1">
      <c r="A120" s="224"/>
      <c r="B120" s="224"/>
      <c r="C120" s="224"/>
      <c r="D120" s="219"/>
      <c r="E120" s="219"/>
      <c r="F120" s="219"/>
      <c r="G120" s="219"/>
      <c r="H120" s="219"/>
      <c r="I120" s="219"/>
      <c r="J120" s="219"/>
      <c r="K120" s="219"/>
      <c r="L120" s="219"/>
      <c r="M120" s="219"/>
      <c r="N120" s="219"/>
      <c r="O120" s="219"/>
      <c r="P120" s="219"/>
      <c r="Q120" s="219"/>
      <c r="R120" s="219"/>
      <c r="S120" s="219"/>
      <c r="T120" s="224"/>
      <c r="U120" s="224"/>
      <c r="V120" s="224"/>
      <c r="W120" s="224"/>
      <c r="X120" s="224"/>
      <c r="Y120" s="224"/>
      <c r="Z120" s="224"/>
    </row>
    <row r="121" spans="1:26" ht="18" customHeight="1">
      <c r="A121" s="224"/>
      <c r="B121" s="224"/>
      <c r="C121" s="224"/>
      <c r="D121" s="219"/>
      <c r="E121" s="219"/>
      <c r="F121" s="219"/>
      <c r="G121" s="219"/>
      <c r="H121" s="219"/>
      <c r="I121" s="219"/>
      <c r="J121" s="219"/>
      <c r="K121" s="219"/>
      <c r="L121" s="219"/>
      <c r="M121" s="219"/>
      <c r="N121" s="219"/>
      <c r="O121" s="219"/>
      <c r="P121" s="219"/>
      <c r="Q121" s="219"/>
      <c r="R121" s="219"/>
      <c r="S121" s="219"/>
      <c r="T121" s="224"/>
      <c r="U121" s="224"/>
      <c r="V121" s="224"/>
      <c r="W121" s="224"/>
      <c r="X121" s="224"/>
      <c r="Y121" s="224"/>
      <c r="Z121" s="224"/>
    </row>
    <row r="122" spans="1:26" ht="18" customHeight="1">
      <c r="A122" s="224"/>
      <c r="B122" s="224"/>
      <c r="C122" s="224"/>
      <c r="D122" s="219"/>
      <c r="E122" s="219"/>
      <c r="F122" s="219"/>
      <c r="G122" s="219"/>
      <c r="H122" s="219"/>
      <c r="I122" s="219"/>
      <c r="J122" s="219"/>
      <c r="K122" s="219"/>
      <c r="L122" s="219"/>
      <c r="M122" s="219"/>
      <c r="N122" s="219"/>
      <c r="O122" s="219"/>
      <c r="P122" s="219"/>
      <c r="Q122" s="219"/>
      <c r="R122" s="219"/>
      <c r="S122" s="219"/>
      <c r="T122" s="224"/>
      <c r="U122" s="224"/>
      <c r="V122" s="224"/>
      <c r="W122" s="224"/>
      <c r="X122" s="224"/>
      <c r="Y122" s="224"/>
      <c r="Z122" s="224"/>
    </row>
    <row r="123" spans="1:26" ht="18" customHeight="1">
      <c r="A123" s="224"/>
      <c r="B123" s="224"/>
      <c r="C123" s="224"/>
      <c r="D123" s="219"/>
      <c r="E123" s="219"/>
      <c r="F123" s="219"/>
      <c r="G123" s="219"/>
      <c r="H123" s="219"/>
      <c r="I123" s="219"/>
      <c r="J123" s="219"/>
      <c r="K123" s="219"/>
      <c r="L123" s="219"/>
      <c r="M123" s="219"/>
      <c r="N123" s="219"/>
      <c r="O123" s="219"/>
      <c r="P123" s="219"/>
      <c r="Q123" s="219"/>
      <c r="R123" s="219"/>
      <c r="S123" s="219"/>
      <c r="T123" s="224"/>
      <c r="U123" s="224"/>
      <c r="V123" s="224"/>
      <c r="W123" s="224"/>
      <c r="X123" s="224"/>
      <c r="Y123" s="224"/>
      <c r="Z123" s="224"/>
    </row>
    <row r="124" spans="1:26" ht="18" customHeight="1">
      <c r="A124" s="224"/>
      <c r="B124" s="224"/>
      <c r="C124" s="224"/>
      <c r="D124" s="219"/>
      <c r="E124" s="219"/>
      <c r="F124" s="219"/>
      <c r="G124" s="219"/>
      <c r="H124" s="219"/>
      <c r="I124" s="219"/>
      <c r="J124" s="219"/>
      <c r="K124" s="219"/>
      <c r="L124" s="219"/>
      <c r="M124" s="219"/>
      <c r="N124" s="219"/>
      <c r="O124" s="219"/>
      <c r="P124" s="219"/>
      <c r="Q124" s="219"/>
      <c r="R124" s="219"/>
      <c r="S124" s="219"/>
      <c r="T124" s="224"/>
      <c r="U124" s="224"/>
      <c r="V124" s="224"/>
      <c r="W124" s="224"/>
      <c r="X124" s="224"/>
      <c r="Y124" s="224"/>
      <c r="Z124" s="224"/>
    </row>
    <row r="125" spans="1:26" ht="18" customHeight="1">
      <c r="A125" s="224"/>
      <c r="B125" s="224"/>
      <c r="C125" s="224"/>
      <c r="D125" s="219"/>
      <c r="E125" s="219"/>
      <c r="F125" s="219"/>
      <c r="G125" s="219"/>
      <c r="H125" s="219"/>
      <c r="I125" s="219"/>
      <c r="J125" s="219"/>
      <c r="K125" s="219"/>
      <c r="L125" s="219"/>
      <c r="M125" s="219"/>
      <c r="N125" s="219"/>
      <c r="O125" s="219"/>
      <c r="P125" s="219"/>
      <c r="Q125" s="219"/>
      <c r="R125" s="219"/>
      <c r="S125" s="219"/>
      <c r="T125" s="224"/>
      <c r="U125" s="224"/>
      <c r="V125" s="224"/>
      <c r="W125" s="224"/>
      <c r="X125" s="224"/>
      <c r="Y125" s="224"/>
      <c r="Z125" s="224"/>
    </row>
    <row r="126" spans="1:26" ht="18" customHeight="1">
      <c r="A126" s="224"/>
      <c r="B126" s="224"/>
      <c r="C126" s="224"/>
      <c r="D126" s="219"/>
      <c r="E126" s="219"/>
      <c r="F126" s="219"/>
      <c r="G126" s="219"/>
      <c r="H126" s="219"/>
      <c r="I126" s="219"/>
      <c r="J126" s="219"/>
      <c r="K126" s="219"/>
      <c r="L126" s="219"/>
      <c r="M126" s="219"/>
      <c r="N126" s="219"/>
      <c r="O126" s="219"/>
      <c r="P126" s="219"/>
      <c r="Q126" s="219"/>
      <c r="R126" s="219"/>
      <c r="S126" s="219"/>
      <c r="T126" s="224"/>
      <c r="U126" s="224"/>
      <c r="V126" s="224"/>
      <c r="W126" s="224"/>
      <c r="X126" s="224"/>
      <c r="Y126" s="224"/>
      <c r="Z126" s="224"/>
    </row>
    <row r="127" spans="1:26" ht="18" customHeight="1">
      <c r="A127" s="224"/>
      <c r="B127" s="224"/>
      <c r="C127" s="224"/>
      <c r="D127" s="219"/>
      <c r="E127" s="219"/>
      <c r="F127" s="219"/>
      <c r="G127" s="219"/>
      <c r="H127" s="219"/>
      <c r="I127" s="219"/>
      <c r="J127" s="219"/>
      <c r="K127" s="219"/>
      <c r="L127" s="219"/>
      <c r="M127" s="219"/>
      <c r="N127" s="219"/>
      <c r="O127" s="219"/>
      <c r="P127" s="219"/>
      <c r="Q127" s="219"/>
      <c r="R127" s="219"/>
      <c r="S127" s="219"/>
      <c r="T127" s="224"/>
      <c r="U127" s="224"/>
      <c r="V127" s="224"/>
      <c r="W127" s="224"/>
      <c r="X127" s="224"/>
      <c r="Y127" s="224"/>
      <c r="Z127" s="224"/>
    </row>
    <row r="128" spans="1:26" ht="18" customHeight="1">
      <c r="A128" s="224"/>
      <c r="B128" s="224"/>
      <c r="C128" s="224"/>
      <c r="D128" s="219"/>
      <c r="E128" s="219"/>
      <c r="F128" s="219"/>
      <c r="G128" s="219"/>
      <c r="H128" s="219"/>
      <c r="I128" s="219"/>
      <c r="J128" s="219"/>
      <c r="K128" s="219"/>
      <c r="L128" s="219"/>
      <c r="M128" s="219"/>
      <c r="N128" s="219"/>
      <c r="O128" s="219"/>
      <c r="P128" s="219"/>
      <c r="Q128" s="219"/>
      <c r="R128" s="219"/>
      <c r="S128" s="219"/>
      <c r="T128" s="224"/>
      <c r="U128" s="224"/>
      <c r="V128" s="224"/>
      <c r="W128" s="224"/>
      <c r="X128" s="224"/>
      <c r="Y128" s="224"/>
      <c r="Z128" s="224"/>
    </row>
    <row r="129" spans="1:26" ht="18" customHeight="1">
      <c r="A129" s="224"/>
      <c r="B129" s="224"/>
      <c r="C129" s="224"/>
      <c r="D129" s="219"/>
      <c r="E129" s="219"/>
      <c r="F129" s="219"/>
      <c r="G129" s="219"/>
      <c r="H129" s="219"/>
      <c r="I129" s="219"/>
      <c r="J129" s="219"/>
      <c r="K129" s="219"/>
      <c r="L129" s="219"/>
      <c r="M129" s="219"/>
      <c r="N129" s="219"/>
      <c r="O129" s="219"/>
      <c r="P129" s="219"/>
      <c r="Q129" s="219"/>
      <c r="R129" s="219"/>
      <c r="S129" s="219"/>
      <c r="T129" s="224"/>
      <c r="U129" s="224"/>
      <c r="V129" s="224"/>
      <c r="W129" s="224"/>
      <c r="X129" s="224"/>
      <c r="Y129" s="224"/>
      <c r="Z129" s="224"/>
    </row>
    <row r="130" spans="1:26" ht="18" customHeight="1">
      <c r="A130" s="224"/>
      <c r="B130" s="224"/>
      <c r="C130" s="224"/>
      <c r="D130" s="219"/>
      <c r="E130" s="219"/>
      <c r="F130" s="219"/>
      <c r="G130" s="219"/>
      <c r="H130" s="219"/>
      <c r="I130" s="219"/>
      <c r="J130" s="219"/>
      <c r="K130" s="219"/>
      <c r="L130" s="219"/>
      <c r="M130" s="219"/>
      <c r="N130" s="219"/>
      <c r="O130" s="219"/>
      <c r="P130" s="219"/>
      <c r="Q130" s="219"/>
      <c r="R130" s="219"/>
      <c r="S130" s="219"/>
      <c r="T130" s="224"/>
      <c r="U130" s="224"/>
      <c r="V130" s="224"/>
      <c r="W130" s="224"/>
      <c r="X130" s="224"/>
      <c r="Y130" s="224"/>
      <c r="Z130" s="224"/>
    </row>
    <row r="131" spans="1:26" ht="18" customHeight="1">
      <c r="A131" s="224"/>
      <c r="B131" s="224"/>
      <c r="C131" s="224"/>
      <c r="D131" s="219"/>
      <c r="E131" s="219"/>
      <c r="F131" s="219"/>
      <c r="G131" s="219"/>
      <c r="H131" s="219"/>
      <c r="I131" s="219"/>
      <c r="J131" s="219"/>
      <c r="K131" s="219"/>
      <c r="L131" s="219"/>
      <c r="M131" s="219"/>
      <c r="N131" s="219"/>
      <c r="O131" s="219"/>
      <c r="P131" s="219"/>
      <c r="Q131" s="219"/>
      <c r="R131" s="219"/>
      <c r="S131" s="219"/>
      <c r="T131" s="224"/>
      <c r="U131" s="224"/>
      <c r="V131" s="224"/>
      <c r="W131" s="224"/>
      <c r="X131" s="224"/>
      <c r="Y131" s="224"/>
      <c r="Z131" s="224"/>
    </row>
  </sheetData>
  <sheetProtection algorithmName="SHA-512" hashValue="cKkPWYznToUVkGju3D9woDNwMRV5SMLvRIjypIFK7wTr0Yyhy5jHoF7NBTYzP/8pAI8iYwf8QJ9UwyuKmnyXEA==" saltValue="DcTBPGAn8NwkDa31aN5cMA==" spinCount="100000" sheet="1" objects="1" scenarios="1"/>
  <phoneticPr fontId="1" type="noConversion"/>
  <conditionalFormatting sqref="B6:C7">
    <cfRule type="expression" dxfId="2280" priority="17">
      <formula>$C$5=""</formula>
    </cfRule>
  </conditionalFormatting>
  <conditionalFormatting sqref="B6:C6">
    <cfRule type="expression" dxfId="2279" priority="16">
      <formula>$C$5=""</formula>
    </cfRule>
  </conditionalFormatting>
  <conditionalFormatting sqref="B7:C7">
    <cfRule type="expression" dxfId="2278" priority="15">
      <formula>$C$5=""</formula>
    </cfRule>
  </conditionalFormatting>
  <conditionalFormatting sqref="B10">
    <cfRule type="expression" dxfId="2277" priority="10">
      <formula>$C$10="No"</formula>
    </cfRule>
  </conditionalFormatting>
  <conditionalFormatting sqref="B11">
    <cfRule type="expression" dxfId="2276" priority="9">
      <formula>$C$11="No"</formula>
    </cfRule>
  </conditionalFormatting>
  <conditionalFormatting sqref="B12">
    <cfRule type="expression" dxfId="2275" priority="8">
      <formula>$C$12="No"</formula>
    </cfRule>
  </conditionalFormatting>
  <conditionalFormatting sqref="C15">
    <cfRule type="expression" dxfId="2274" priority="5">
      <formula>$C$58=1</formula>
    </cfRule>
  </conditionalFormatting>
  <conditionalFormatting sqref="C16">
    <cfRule type="expression" dxfId="2273" priority="4">
      <formula>$C$58=1</formula>
    </cfRule>
  </conditionalFormatting>
  <conditionalFormatting sqref="C10">
    <cfRule type="expression" dxfId="2272" priority="3">
      <formula>$C$48=1</formula>
    </cfRule>
  </conditionalFormatting>
  <conditionalFormatting sqref="C11">
    <cfRule type="expression" dxfId="2271" priority="2">
      <formula>$C$49=1</formula>
    </cfRule>
  </conditionalFormatting>
  <conditionalFormatting sqref="C12">
    <cfRule type="expression" dxfId="2270" priority="1">
      <formula>$C$50=1</formula>
    </cfRule>
  </conditionalFormatting>
  <pageMargins left="0.3" right="0.24" top="0.64" bottom="0.39370078740157483" header="0.31496062992125984" footer="0.31496062992125984"/>
  <pageSetup paperSize="9" scale="7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Check Box 1">
              <controlPr defaultSize="0" autoFill="0" autoLine="0" autoPict="0">
                <anchor moveWithCells="1">
                  <from>
                    <xdr:col>1</xdr:col>
                    <xdr:colOff>19050</xdr:colOff>
                    <xdr:row>9</xdr:row>
                    <xdr:rowOff>19050</xdr:rowOff>
                  </from>
                  <to>
                    <xdr:col>1</xdr:col>
                    <xdr:colOff>1323975</xdr:colOff>
                    <xdr:row>9</xdr:row>
                    <xdr:rowOff>180975</xdr:rowOff>
                  </to>
                </anchor>
              </controlPr>
            </control>
          </mc:Choice>
        </mc:AlternateContent>
        <mc:AlternateContent xmlns:mc="http://schemas.openxmlformats.org/markup-compatibility/2006">
          <mc:Choice Requires="x14">
            <control shapeId="13314" r:id="rId5" name="Check Box 2">
              <controlPr defaultSize="0" autoFill="0" autoLine="0" autoPict="0">
                <anchor moveWithCells="1">
                  <from>
                    <xdr:col>1</xdr:col>
                    <xdr:colOff>19050</xdr:colOff>
                    <xdr:row>9</xdr:row>
                    <xdr:rowOff>180975</xdr:rowOff>
                  </from>
                  <to>
                    <xdr:col>1</xdr:col>
                    <xdr:colOff>1314450</xdr:colOff>
                    <xdr:row>11</xdr:row>
                    <xdr:rowOff>19050</xdr:rowOff>
                  </to>
                </anchor>
              </controlPr>
            </control>
          </mc:Choice>
        </mc:AlternateContent>
        <mc:AlternateContent xmlns:mc="http://schemas.openxmlformats.org/markup-compatibility/2006">
          <mc:Choice Requires="x14">
            <control shapeId="13315" r:id="rId6" name="Check Box 3">
              <controlPr defaultSize="0" autoFill="0" autoLine="0" autoPict="0">
                <anchor moveWithCells="1">
                  <from>
                    <xdr:col>1</xdr:col>
                    <xdr:colOff>19050</xdr:colOff>
                    <xdr:row>11</xdr:row>
                    <xdr:rowOff>9525</xdr:rowOff>
                  </from>
                  <to>
                    <xdr:col>1</xdr:col>
                    <xdr:colOff>1314450</xdr:colOff>
                    <xdr:row>11</xdr:row>
                    <xdr:rowOff>171450</xdr:rowOff>
                  </to>
                </anchor>
              </controlPr>
            </control>
          </mc:Choice>
        </mc:AlternateContent>
        <mc:AlternateContent xmlns:mc="http://schemas.openxmlformats.org/markup-compatibility/2006">
          <mc:Choice Requires="x14">
            <control shapeId="13317" r:id="rId7" name="Check Box 5">
              <controlPr defaultSize="0" autoFill="0" autoLine="0" autoPict="0" macro="[0]!AdditionalYes">
                <anchor moveWithCells="1">
                  <from>
                    <xdr:col>2</xdr:col>
                    <xdr:colOff>133350</xdr:colOff>
                    <xdr:row>13</xdr:row>
                    <xdr:rowOff>19050</xdr:rowOff>
                  </from>
                  <to>
                    <xdr:col>2</xdr:col>
                    <xdr:colOff>857250</xdr:colOff>
                    <xdr:row>13</xdr:row>
                    <xdr:rowOff>171450</xdr:rowOff>
                  </to>
                </anchor>
              </controlPr>
            </control>
          </mc:Choice>
        </mc:AlternateContent>
        <mc:AlternateContent xmlns:mc="http://schemas.openxmlformats.org/markup-compatibility/2006">
          <mc:Choice Requires="x14">
            <control shapeId="13318" r:id="rId8" name="Check Box 6">
              <controlPr defaultSize="0" autoFill="0" autoLine="0" autoPict="0" macro="[0]!AdditionalNo">
                <anchor moveWithCells="1">
                  <from>
                    <xdr:col>2</xdr:col>
                    <xdr:colOff>914400</xdr:colOff>
                    <xdr:row>12</xdr:row>
                    <xdr:rowOff>428625</xdr:rowOff>
                  </from>
                  <to>
                    <xdr:col>2</xdr:col>
                    <xdr:colOff>1495425</xdr:colOff>
                    <xdr:row>13</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8C8473C0-4E3A-4335-83F7-4246721708F4}">
          <x14:formula1>
            <xm:f>Sheet3!$I$1:$I$91</xm:f>
          </x14:formula1>
          <xm:sqref>C5</xm:sqref>
        </x14:dataValidation>
        <x14:dataValidation type="list" allowBlank="1" showInputMessage="1" showErrorMessage="1" xr:uid="{5802C71D-FD54-408B-AA14-1E5F3A41BD27}">
          <x14:formula1>
            <xm:f>Sheet3!$A$80:$A$81</xm:f>
          </x14:formula1>
          <xm:sqref>C19</xm:sqref>
        </x14:dataValidation>
        <x14:dataValidation type="list" allowBlank="1" showInputMessage="1" showErrorMessage="1" xr:uid="{EF111149-14C5-4405-918F-EB6A4BB3AA88}">
          <x14:formula1>
            <xm:f>Sheet3!$A$63:$A$74</xm:f>
          </x14:formula1>
          <xm:sqref>C18</xm:sqref>
        </x14:dataValidation>
        <x14:dataValidation type="list" allowBlank="1" showInputMessage="1" showErrorMessage="1" xr:uid="{D2A9BB6E-DD82-444C-8086-577E29B20CBC}">
          <x14:formula1>
            <xm:f>Sheet3!$I$106:$I$116</xm:f>
          </x14:formula1>
          <xm:sqref>C15</xm:sqref>
        </x14:dataValidation>
        <x14:dataValidation type="list" allowBlank="1" showInputMessage="1" showErrorMessage="1" xr:uid="{5EAB4608-5BDB-4D1F-83D1-D80788861915}">
          <x14:formula1>
            <xm:f>Sheet3!$I$117:$I$127</xm:f>
          </x14:formula1>
          <xm:sqref>C16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DCF3D-6401-43E9-9246-418B194A1EEE}">
  <sheetPr codeName="Sheet2">
    <tabColor rgb="FF66FFFF"/>
  </sheetPr>
  <dimension ref="A1:AJ71"/>
  <sheetViews>
    <sheetView zoomScaleNormal="100" workbookViewId="0">
      <pane ySplit="4" topLeftCell="A5" activePane="bottomLeft" state="frozen"/>
      <selection pane="bottomLeft"/>
    </sheetView>
  </sheetViews>
  <sheetFormatPr defaultColWidth="8.75" defaultRowHeight="13.9" customHeight="1"/>
  <cols>
    <col min="1" max="1" width="3.375" style="81" customWidth="1"/>
    <col min="2" max="2" width="2.25" style="2" customWidth="1"/>
    <col min="3" max="3" width="29.25" style="2" customWidth="1"/>
    <col min="4" max="4" width="47.75" style="2" customWidth="1"/>
    <col min="5" max="5" width="13.25" style="1" customWidth="1"/>
    <col min="6" max="6" width="9.125" style="1" customWidth="1"/>
    <col min="7" max="7" width="16.25" style="1" customWidth="1"/>
    <col min="8" max="8" width="12.5" style="1" customWidth="1"/>
    <col min="9" max="9" width="3.375" style="1" customWidth="1"/>
    <col min="10" max="10" width="3.5" style="1" customWidth="1"/>
    <col min="11" max="11" width="58.125" style="1" customWidth="1"/>
    <col min="12" max="12" width="13.25" style="1" customWidth="1"/>
    <col min="13" max="13" width="9.125" style="1" customWidth="1"/>
    <col min="14" max="14" width="13.25" style="1" customWidth="1"/>
    <col min="15" max="15" width="9.125" style="1" customWidth="1"/>
    <col min="16" max="16" width="3.875" style="1" customWidth="1"/>
    <col min="17" max="26" width="8.75" style="1"/>
    <col min="27" max="27" width="0" style="1" hidden="1" customWidth="1"/>
    <col min="28" max="39" width="8.75" style="1"/>
    <col min="40" max="41" width="8.75" style="1" customWidth="1"/>
    <col min="42" max="42" width="8.75" style="1"/>
    <col min="43" max="43" width="8.75" style="1" customWidth="1"/>
    <col min="44" max="16384" width="8.75" style="1"/>
  </cols>
  <sheetData>
    <row r="1" spans="1:36" ht="13.9" customHeight="1">
      <c r="A1" s="79"/>
      <c r="B1" s="277" t="s">
        <v>241</v>
      </c>
      <c r="C1" s="277"/>
      <c r="D1" s="3"/>
      <c r="E1" s="4"/>
      <c r="F1" s="280"/>
      <c r="G1" s="280"/>
      <c r="H1" s="280"/>
      <c r="I1" s="4"/>
      <c r="J1" s="276" t="s">
        <v>13</v>
      </c>
      <c r="K1" s="276"/>
      <c r="L1" s="4"/>
      <c r="M1" s="4"/>
      <c r="N1" s="4"/>
      <c r="O1" s="4"/>
      <c r="P1" s="4"/>
    </row>
    <row r="2" spans="1:36" ht="13.9" customHeight="1">
      <c r="A2" s="79"/>
      <c r="B2" s="278"/>
      <c r="C2" s="278"/>
      <c r="D2" s="5"/>
      <c r="E2" s="6"/>
      <c r="F2" s="281"/>
      <c r="G2" s="281"/>
      <c r="H2" s="281"/>
      <c r="I2" s="4"/>
      <c r="J2" s="279"/>
      <c r="K2" s="279"/>
      <c r="L2" s="282" t="s">
        <v>328</v>
      </c>
      <c r="M2" s="264"/>
      <c r="N2" s="264" t="s">
        <v>329</v>
      </c>
      <c r="O2" s="265"/>
      <c r="P2" s="4"/>
    </row>
    <row r="3" spans="1:36" ht="13.9" customHeight="1">
      <c r="A3" s="79"/>
      <c r="B3" s="14"/>
      <c r="C3" s="18"/>
      <c r="D3" s="76"/>
      <c r="E3" s="74" t="s">
        <v>269</v>
      </c>
      <c r="F3" s="75" t="s">
        <v>263</v>
      </c>
      <c r="G3" s="74"/>
      <c r="H3" s="106" t="s">
        <v>322</v>
      </c>
      <c r="I3" s="4"/>
      <c r="J3" s="16"/>
      <c r="K3" s="18"/>
      <c r="L3" s="206" t="s">
        <v>269</v>
      </c>
      <c r="M3" s="207" t="s">
        <v>263</v>
      </c>
      <c r="N3" s="206" t="s">
        <v>269</v>
      </c>
      <c r="O3" s="207" t="s">
        <v>263</v>
      </c>
      <c r="P3" s="4"/>
      <c r="AA3" s="14"/>
    </row>
    <row r="4" spans="1:36" ht="13.9" customHeight="1">
      <c r="A4" s="79"/>
      <c r="B4" s="15"/>
      <c r="C4" s="77" t="s">
        <v>262</v>
      </c>
      <c r="D4" s="72" t="s">
        <v>19</v>
      </c>
      <c r="E4" s="70" t="s">
        <v>11</v>
      </c>
      <c r="F4" s="71" t="s">
        <v>12</v>
      </c>
      <c r="G4" s="70" t="s">
        <v>9</v>
      </c>
      <c r="H4" s="78" t="s">
        <v>264</v>
      </c>
      <c r="I4" s="4"/>
      <c r="J4" s="17"/>
      <c r="K4" s="96" t="s">
        <v>265</v>
      </c>
      <c r="L4" s="204" t="s">
        <v>330</v>
      </c>
      <c r="M4" s="205" t="s">
        <v>331</v>
      </c>
      <c r="N4" s="204" t="s">
        <v>332</v>
      </c>
      <c r="O4" s="205" t="s">
        <v>333</v>
      </c>
      <c r="P4" s="4"/>
      <c r="AA4" s="15"/>
      <c r="AJ4" s="8"/>
    </row>
    <row r="5" spans="1:36" ht="13.9" customHeight="1">
      <c r="A5" s="80">
        <v>1</v>
      </c>
      <c r="B5" s="122"/>
      <c r="C5" s="123"/>
      <c r="D5" s="57"/>
      <c r="E5" s="94"/>
      <c r="F5" s="59"/>
      <c r="G5" s="60"/>
      <c r="H5" s="203" t="str">
        <f t="shared" ref="H5:H36" si="0">IF(OR(B5="*",C5=""),"",IF(OR(E5="",F5=""),"-",""))</f>
        <v/>
      </c>
      <c r="I5" s="4"/>
      <c r="J5" s="82">
        <v>1</v>
      </c>
      <c r="K5" s="73"/>
      <c r="L5" s="94"/>
      <c r="M5" s="59"/>
      <c r="N5" s="94"/>
      <c r="O5" s="59"/>
      <c r="P5" s="4"/>
      <c r="AA5" s="101">
        <f t="shared" ref="AA5:AA36" si="1">IF(B5="",0,1)</f>
        <v>0</v>
      </c>
    </row>
    <row r="6" spans="1:36" ht="13.9" customHeight="1">
      <c r="A6" s="80">
        <v>2</v>
      </c>
      <c r="B6" s="122"/>
      <c r="C6" s="123"/>
      <c r="D6" s="57"/>
      <c r="E6" s="94"/>
      <c r="F6" s="59"/>
      <c r="G6" s="60"/>
      <c r="H6" s="203" t="str">
        <f t="shared" si="0"/>
        <v/>
      </c>
      <c r="I6" s="4"/>
      <c r="J6" s="82">
        <v>2</v>
      </c>
      <c r="K6" s="73"/>
      <c r="L6" s="94"/>
      <c r="M6" s="59"/>
      <c r="N6" s="94"/>
      <c r="O6" s="59"/>
      <c r="P6" s="4"/>
      <c r="AA6" s="101">
        <f t="shared" si="1"/>
        <v>0</v>
      </c>
    </row>
    <row r="7" spans="1:36" ht="13.9" customHeight="1">
      <c r="A7" s="80">
        <v>3</v>
      </c>
      <c r="B7" s="122"/>
      <c r="C7" s="123"/>
      <c r="D7" s="57"/>
      <c r="E7" s="94"/>
      <c r="F7" s="59"/>
      <c r="G7" s="60"/>
      <c r="H7" s="203" t="str">
        <f t="shared" si="0"/>
        <v/>
      </c>
      <c r="I7" s="4"/>
      <c r="J7" s="82">
        <v>3</v>
      </c>
      <c r="K7" s="73"/>
      <c r="L7" s="94"/>
      <c r="M7" s="59"/>
      <c r="N7" s="94"/>
      <c r="O7" s="59"/>
      <c r="P7" s="4"/>
      <c r="AA7" s="101">
        <f t="shared" si="1"/>
        <v>0</v>
      </c>
    </row>
    <row r="8" spans="1:36" ht="13.9" customHeight="1">
      <c r="A8" s="80">
        <v>4</v>
      </c>
      <c r="B8" s="122"/>
      <c r="C8" s="123"/>
      <c r="D8" s="57"/>
      <c r="E8" s="94"/>
      <c r="F8" s="59"/>
      <c r="G8" s="60"/>
      <c r="H8" s="203" t="str">
        <f t="shared" si="0"/>
        <v/>
      </c>
      <c r="I8" s="4"/>
      <c r="J8" s="82">
        <v>4</v>
      </c>
      <c r="K8" s="73"/>
      <c r="L8" s="94"/>
      <c r="M8" s="59"/>
      <c r="N8" s="94"/>
      <c r="O8" s="59"/>
      <c r="P8" s="4"/>
      <c r="AA8" s="101">
        <f t="shared" si="1"/>
        <v>0</v>
      </c>
    </row>
    <row r="9" spans="1:36" ht="13.9" customHeight="1">
      <c r="A9" s="80">
        <v>5</v>
      </c>
      <c r="B9" s="122"/>
      <c r="C9" s="123"/>
      <c r="D9" s="57"/>
      <c r="E9" s="94"/>
      <c r="F9" s="59"/>
      <c r="G9" s="60"/>
      <c r="H9" s="203" t="str">
        <f t="shared" si="0"/>
        <v/>
      </c>
      <c r="I9" s="4"/>
      <c r="J9" s="82">
        <v>5</v>
      </c>
      <c r="K9" s="73"/>
      <c r="L9" s="94"/>
      <c r="M9" s="59"/>
      <c r="N9" s="94"/>
      <c r="O9" s="59"/>
      <c r="P9" s="4"/>
      <c r="AA9" s="101">
        <f t="shared" si="1"/>
        <v>0</v>
      </c>
    </row>
    <row r="10" spans="1:36" ht="13.9" customHeight="1">
      <c r="A10" s="80">
        <v>6</v>
      </c>
      <c r="B10" s="122"/>
      <c r="C10" s="123"/>
      <c r="D10" s="57"/>
      <c r="E10" s="94"/>
      <c r="F10" s="59"/>
      <c r="G10" s="60"/>
      <c r="H10" s="203" t="str">
        <f t="shared" si="0"/>
        <v/>
      </c>
      <c r="I10" s="4"/>
      <c r="J10" s="82">
        <v>6</v>
      </c>
      <c r="K10" s="73"/>
      <c r="L10" s="94"/>
      <c r="M10" s="59"/>
      <c r="N10" s="94"/>
      <c r="O10" s="59"/>
      <c r="P10" s="4"/>
      <c r="AA10" s="101">
        <f t="shared" si="1"/>
        <v>0</v>
      </c>
    </row>
    <row r="11" spans="1:36" ht="13.9" customHeight="1">
      <c r="A11" s="80">
        <v>7</v>
      </c>
      <c r="B11" s="122"/>
      <c r="C11" s="123"/>
      <c r="D11" s="57"/>
      <c r="E11" s="94"/>
      <c r="F11" s="59"/>
      <c r="G11" s="60"/>
      <c r="H11" s="203" t="str">
        <f t="shared" si="0"/>
        <v/>
      </c>
      <c r="I11" s="4"/>
      <c r="J11" s="82">
        <v>7</v>
      </c>
      <c r="K11" s="73"/>
      <c r="L11" s="94"/>
      <c r="M11" s="59"/>
      <c r="N11" s="94"/>
      <c r="O11" s="59"/>
      <c r="P11" s="4"/>
      <c r="AA11" s="101">
        <f t="shared" si="1"/>
        <v>0</v>
      </c>
    </row>
    <row r="12" spans="1:36" ht="13.9" customHeight="1">
      <c r="A12" s="80">
        <v>8</v>
      </c>
      <c r="B12" s="122"/>
      <c r="C12" s="123"/>
      <c r="D12" s="57"/>
      <c r="E12" s="94"/>
      <c r="F12" s="59"/>
      <c r="G12" s="60"/>
      <c r="H12" s="203" t="str">
        <f t="shared" si="0"/>
        <v/>
      </c>
      <c r="I12" s="4"/>
      <c r="J12" s="82">
        <v>8</v>
      </c>
      <c r="K12" s="73"/>
      <c r="L12" s="94"/>
      <c r="M12" s="59"/>
      <c r="N12" s="94"/>
      <c r="O12" s="59"/>
      <c r="P12" s="4"/>
      <c r="AA12" s="101">
        <f t="shared" si="1"/>
        <v>0</v>
      </c>
    </row>
    <row r="13" spans="1:36" ht="13.9" customHeight="1">
      <c r="A13" s="80">
        <v>9</v>
      </c>
      <c r="B13" s="122"/>
      <c r="C13" s="123"/>
      <c r="D13" s="57"/>
      <c r="E13" s="94"/>
      <c r="F13" s="59"/>
      <c r="G13" s="60"/>
      <c r="H13" s="203" t="str">
        <f t="shared" si="0"/>
        <v/>
      </c>
      <c r="I13" s="4"/>
      <c r="J13" s="82">
        <v>9</v>
      </c>
      <c r="K13" s="73"/>
      <c r="L13" s="94"/>
      <c r="M13" s="59"/>
      <c r="N13" s="94"/>
      <c r="O13" s="59"/>
      <c r="P13" s="4"/>
      <c r="AA13" s="101">
        <f t="shared" si="1"/>
        <v>0</v>
      </c>
    </row>
    <row r="14" spans="1:36" ht="13.9" customHeight="1">
      <c r="A14" s="80">
        <v>10</v>
      </c>
      <c r="B14" s="122"/>
      <c r="C14" s="123"/>
      <c r="D14" s="57"/>
      <c r="E14" s="94"/>
      <c r="F14" s="59"/>
      <c r="G14" s="60"/>
      <c r="H14" s="203" t="str">
        <f t="shared" si="0"/>
        <v/>
      </c>
      <c r="I14" s="4"/>
      <c r="J14" s="82">
        <v>10</v>
      </c>
      <c r="K14" s="73"/>
      <c r="L14" s="94"/>
      <c r="M14" s="59"/>
      <c r="N14" s="94"/>
      <c r="O14" s="59"/>
      <c r="P14" s="4"/>
      <c r="AA14" s="101">
        <f t="shared" si="1"/>
        <v>0</v>
      </c>
    </row>
    <row r="15" spans="1:36" ht="13.9" customHeight="1">
      <c r="A15" s="80">
        <v>11</v>
      </c>
      <c r="B15" s="122"/>
      <c r="C15" s="123"/>
      <c r="D15" s="57"/>
      <c r="E15" s="94"/>
      <c r="F15" s="59"/>
      <c r="G15" s="60"/>
      <c r="H15" s="203" t="str">
        <f t="shared" si="0"/>
        <v/>
      </c>
      <c r="I15" s="4"/>
      <c r="J15" s="82">
        <v>11</v>
      </c>
      <c r="K15" s="73"/>
      <c r="L15" s="94"/>
      <c r="M15" s="59"/>
      <c r="N15" s="94"/>
      <c r="O15" s="59"/>
      <c r="P15" s="4"/>
      <c r="AA15" s="101">
        <f t="shared" si="1"/>
        <v>0</v>
      </c>
    </row>
    <row r="16" spans="1:36" ht="13.9" customHeight="1">
      <c r="A16" s="80">
        <v>12</v>
      </c>
      <c r="B16" s="122"/>
      <c r="C16" s="123"/>
      <c r="D16" s="57"/>
      <c r="E16" s="94"/>
      <c r="F16" s="59"/>
      <c r="G16" s="60"/>
      <c r="H16" s="203" t="str">
        <f t="shared" si="0"/>
        <v/>
      </c>
      <c r="I16" s="4"/>
      <c r="J16" s="82">
        <v>12</v>
      </c>
      <c r="K16" s="73"/>
      <c r="L16" s="94"/>
      <c r="M16" s="59"/>
      <c r="N16" s="94"/>
      <c r="O16" s="59"/>
      <c r="P16" s="4"/>
      <c r="AA16" s="101">
        <f t="shared" si="1"/>
        <v>0</v>
      </c>
    </row>
    <row r="17" spans="1:27" ht="13.9" customHeight="1">
      <c r="A17" s="80">
        <v>13</v>
      </c>
      <c r="B17" s="122"/>
      <c r="C17" s="123"/>
      <c r="D17" s="57"/>
      <c r="E17" s="94"/>
      <c r="F17" s="59"/>
      <c r="G17" s="60"/>
      <c r="H17" s="203" t="str">
        <f t="shared" si="0"/>
        <v/>
      </c>
      <c r="I17" s="4"/>
      <c r="J17" s="82">
        <v>13</v>
      </c>
      <c r="K17" s="73"/>
      <c r="L17" s="94"/>
      <c r="M17" s="59"/>
      <c r="N17" s="94"/>
      <c r="O17" s="59"/>
      <c r="P17" s="4"/>
      <c r="AA17" s="101">
        <f t="shared" si="1"/>
        <v>0</v>
      </c>
    </row>
    <row r="18" spans="1:27" ht="13.9" customHeight="1">
      <c r="A18" s="80">
        <v>14</v>
      </c>
      <c r="B18" s="122"/>
      <c r="C18" s="123"/>
      <c r="D18" s="57"/>
      <c r="E18" s="94"/>
      <c r="F18" s="59"/>
      <c r="G18" s="60"/>
      <c r="H18" s="203" t="str">
        <f t="shared" si="0"/>
        <v/>
      </c>
      <c r="I18" s="4"/>
      <c r="J18" s="82">
        <v>14</v>
      </c>
      <c r="K18" s="73"/>
      <c r="L18" s="94"/>
      <c r="M18" s="59"/>
      <c r="N18" s="94"/>
      <c r="O18" s="59"/>
      <c r="P18" s="4"/>
      <c r="AA18" s="101">
        <f t="shared" si="1"/>
        <v>0</v>
      </c>
    </row>
    <row r="19" spans="1:27" ht="13.9" customHeight="1">
      <c r="A19" s="80">
        <v>15</v>
      </c>
      <c r="B19" s="122"/>
      <c r="C19" s="123"/>
      <c r="D19" s="57"/>
      <c r="E19" s="94"/>
      <c r="F19" s="59"/>
      <c r="G19" s="60"/>
      <c r="H19" s="203" t="str">
        <f t="shared" si="0"/>
        <v/>
      </c>
      <c r="I19" s="4"/>
      <c r="J19" s="82">
        <v>15</v>
      </c>
      <c r="K19" s="73"/>
      <c r="L19" s="94"/>
      <c r="M19" s="59"/>
      <c r="N19" s="94"/>
      <c r="O19" s="59"/>
      <c r="P19" s="4"/>
      <c r="AA19" s="101">
        <f t="shared" si="1"/>
        <v>0</v>
      </c>
    </row>
    <row r="20" spans="1:27" ht="13.9" customHeight="1">
      <c r="A20" s="80">
        <v>16</v>
      </c>
      <c r="B20" s="122"/>
      <c r="C20" s="123"/>
      <c r="D20" s="57"/>
      <c r="E20" s="94"/>
      <c r="F20" s="59"/>
      <c r="G20" s="60"/>
      <c r="H20" s="203" t="str">
        <f t="shared" si="0"/>
        <v/>
      </c>
      <c r="I20" s="4"/>
      <c r="J20" s="82">
        <v>16</v>
      </c>
      <c r="K20" s="73"/>
      <c r="L20" s="94"/>
      <c r="M20" s="59"/>
      <c r="N20" s="94"/>
      <c r="O20" s="59"/>
      <c r="P20" s="4"/>
      <c r="AA20" s="101">
        <f t="shared" si="1"/>
        <v>0</v>
      </c>
    </row>
    <row r="21" spans="1:27" ht="13.9" customHeight="1">
      <c r="A21" s="80">
        <v>17</v>
      </c>
      <c r="B21" s="122"/>
      <c r="C21" s="123"/>
      <c r="D21" s="57"/>
      <c r="E21" s="94"/>
      <c r="F21" s="59"/>
      <c r="G21" s="60"/>
      <c r="H21" s="203" t="str">
        <f t="shared" si="0"/>
        <v/>
      </c>
      <c r="I21" s="4"/>
      <c r="J21" s="82">
        <v>17</v>
      </c>
      <c r="K21" s="73"/>
      <c r="L21" s="94"/>
      <c r="M21" s="59"/>
      <c r="N21" s="94"/>
      <c r="O21" s="59"/>
      <c r="P21" s="4"/>
      <c r="AA21" s="101">
        <f t="shared" si="1"/>
        <v>0</v>
      </c>
    </row>
    <row r="22" spans="1:27" ht="13.9" customHeight="1">
      <c r="A22" s="80">
        <v>18</v>
      </c>
      <c r="B22" s="122"/>
      <c r="C22" s="123"/>
      <c r="D22" s="58"/>
      <c r="E22" s="94"/>
      <c r="F22" s="59"/>
      <c r="G22" s="60"/>
      <c r="H22" s="203" t="str">
        <f t="shared" si="0"/>
        <v/>
      </c>
      <c r="I22" s="4"/>
      <c r="J22" s="82">
        <v>18</v>
      </c>
      <c r="K22" s="73"/>
      <c r="L22" s="94"/>
      <c r="M22" s="59"/>
      <c r="N22" s="94"/>
      <c r="O22" s="59"/>
      <c r="P22" s="4"/>
      <c r="AA22" s="101">
        <f t="shared" si="1"/>
        <v>0</v>
      </c>
    </row>
    <row r="23" spans="1:27" ht="13.9" customHeight="1">
      <c r="A23" s="80">
        <v>19</v>
      </c>
      <c r="B23" s="122"/>
      <c r="C23" s="123"/>
      <c r="D23" s="57"/>
      <c r="E23" s="94"/>
      <c r="F23" s="59"/>
      <c r="G23" s="60"/>
      <c r="H23" s="203" t="str">
        <f t="shared" si="0"/>
        <v/>
      </c>
      <c r="I23" s="4"/>
      <c r="J23" s="82">
        <v>19</v>
      </c>
      <c r="K23" s="73"/>
      <c r="L23" s="94"/>
      <c r="M23" s="59"/>
      <c r="N23" s="94"/>
      <c r="O23" s="59"/>
      <c r="P23" s="4"/>
      <c r="AA23" s="101">
        <f t="shared" si="1"/>
        <v>0</v>
      </c>
    </row>
    <row r="24" spans="1:27" ht="13.9" customHeight="1">
      <c r="A24" s="80">
        <v>20</v>
      </c>
      <c r="B24" s="122"/>
      <c r="C24" s="123"/>
      <c r="D24" s="57"/>
      <c r="E24" s="94"/>
      <c r="F24" s="59"/>
      <c r="G24" s="60"/>
      <c r="H24" s="203" t="str">
        <f t="shared" si="0"/>
        <v/>
      </c>
      <c r="I24" s="4"/>
      <c r="J24" s="82">
        <v>20</v>
      </c>
      <c r="K24" s="73"/>
      <c r="L24" s="94"/>
      <c r="M24" s="59"/>
      <c r="N24" s="94"/>
      <c r="O24" s="59"/>
      <c r="P24" s="4"/>
      <c r="AA24" s="101">
        <f t="shared" si="1"/>
        <v>0</v>
      </c>
    </row>
    <row r="25" spans="1:27" ht="13.9" customHeight="1">
      <c r="A25" s="80">
        <v>21</v>
      </c>
      <c r="B25" s="122"/>
      <c r="C25" s="123"/>
      <c r="D25" s="57"/>
      <c r="E25" s="94"/>
      <c r="F25" s="59"/>
      <c r="G25" s="60"/>
      <c r="H25" s="203" t="str">
        <f t="shared" si="0"/>
        <v/>
      </c>
      <c r="I25" s="4"/>
      <c r="J25" s="275" t="s">
        <v>369</v>
      </c>
      <c r="K25" s="275"/>
      <c r="L25" s="4"/>
      <c r="M25" s="4"/>
      <c r="N25" s="4"/>
      <c r="O25" s="4"/>
      <c r="P25" s="4"/>
      <c r="AA25" s="101">
        <f t="shared" si="1"/>
        <v>0</v>
      </c>
    </row>
    <row r="26" spans="1:27" ht="13.9" customHeight="1">
      <c r="A26" s="80">
        <v>22</v>
      </c>
      <c r="B26" s="122"/>
      <c r="C26" s="123"/>
      <c r="D26" s="57"/>
      <c r="E26" s="94"/>
      <c r="F26" s="59"/>
      <c r="G26" s="60"/>
      <c r="H26" s="203" t="str">
        <f t="shared" si="0"/>
        <v/>
      </c>
      <c r="I26" s="4"/>
      <c r="J26" s="276"/>
      <c r="K26" s="276"/>
      <c r="L26" s="4"/>
      <c r="M26" s="4"/>
      <c r="N26" s="4"/>
      <c r="O26" s="4"/>
      <c r="P26" s="4"/>
      <c r="AA26" s="101">
        <f t="shared" si="1"/>
        <v>0</v>
      </c>
    </row>
    <row r="27" spans="1:27" ht="13.9" customHeight="1">
      <c r="A27" s="80">
        <v>23</v>
      </c>
      <c r="B27" s="122"/>
      <c r="C27" s="123"/>
      <c r="D27" s="57"/>
      <c r="E27" s="94"/>
      <c r="F27" s="59"/>
      <c r="G27" s="60"/>
      <c r="H27" s="203" t="str">
        <f t="shared" si="0"/>
        <v/>
      </c>
      <c r="I27" s="4"/>
      <c r="J27" s="266"/>
      <c r="K27" s="267"/>
      <c r="L27" s="267"/>
      <c r="M27" s="267"/>
      <c r="N27" s="267"/>
      <c r="O27" s="268"/>
      <c r="P27" s="4"/>
      <c r="AA27" s="101">
        <f t="shared" si="1"/>
        <v>0</v>
      </c>
    </row>
    <row r="28" spans="1:27" ht="13.9" customHeight="1">
      <c r="A28" s="80">
        <v>24</v>
      </c>
      <c r="B28" s="122"/>
      <c r="C28" s="123"/>
      <c r="D28" s="57"/>
      <c r="E28" s="94"/>
      <c r="F28" s="59"/>
      <c r="G28" s="60"/>
      <c r="H28" s="203" t="str">
        <f t="shared" si="0"/>
        <v/>
      </c>
      <c r="I28" s="4"/>
      <c r="J28" s="269"/>
      <c r="K28" s="270"/>
      <c r="L28" s="270"/>
      <c r="M28" s="270"/>
      <c r="N28" s="270"/>
      <c r="O28" s="271"/>
      <c r="P28" s="4"/>
      <c r="AA28" s="101">
        <f t="shared" si="1"/>
        <v>0</v>
      </c>
    </row>
    <row r="29" spans="1:27" ht="13.9" customHeight="1">
      <c r="A29" s="80">
        <v>25</v>
      </c>
      <c r="B29" s="122"/>
      <c r="C29" s="123"/>
      <c r="D29" s="57"/>
      <c r="E29" s="94"/>
      <c r="F29" s="59"/>
      <c r="G29" s="60"/>
      <c r="H29" s="203" t="str">
        <f t="shared" si="0"/>
        <v/>
      </c>
      <c r="I29" s="4"/>
      <c r="J29" s="269"/>
      <c r="K29" s="270"/>
      <c r="L29" s="270"/>
      <c r="M29" s="270"/>
      <c r="N29" s="270"/>
      <c r="O29" s="271"/>
      <c r="P29" s="4"/>
      <c r="AA29" s="101">
        <f t="shared" si="1"/>
        <v>0</v>
      </c>
    </row>
    <row r="30" spans="1:27" ht="13.9" customHeight="1">
      <c r="A30" s="80">
        <v>26</v>
      </c>
      <c r="B30" s="122"/>
      <c r="C30" s="123"/>
      <c r="D30" s="57"/>
      <c r="E30" s="94"/>
      <c r="F30" s="59"/>
      <c r="G30" s="60"/>
      <c r="H30" s="203" t="str">
        <f t="shared" si="0"/>
        <v/>
      </c>
      <c r="I30" s="4"/>
      <c r="J30" s="269"/>
      <c r="K30" s="270"/>
      <c r="L30" s="270"/>
      <c r="M30" s="270"/>
      <c r="N30" s="270"/>
      <c r="O30" s="271"/>
      <c r="P30" s="4"/>
      <c r="AA30" s="101">
        <f t="shared" si="1"/>
        <v>0</v>
      </c>
    </row>
    <row r="31" spans="1:27" ht="13.9" customHeight="1">
      <c r="A31" s="80">
        <v>27</v>
      </c>
      <c r="B31" s="122"/>
      <c r="C31" s="123"/>
      <c r="D31" s="57"/>
      <c r="E31" s="94"/>
      <c r="F31" s="59"/>
      <c r="G31" s="60"/>
      <c r="H31" s="203" t="str">
        <f t="shared" si="0"/>
        <v/>
      </c>
      <c r="I31" s="4"/>
      <c r="J31" s="269"/>
      <c r="K31" s="270"/>
      <c r="L31" s="270"/>
      <c r="M31" s="270"/>
      <c r="N31" s="270"/>
      <c r="O31" s="271"/>
      <c r="P31" s="4"/>
      <c r="AA31" s="101">
        <f t="shared" si="1"/>
        <v>0</v>
      </c>
    </row>
    <row r="32" spans="1:27" ht="13.9" customHeight="1">
      <c r="A32" s="80">
        <v>28</v>
      </c>
      <c r="B32" s="122"/>
      <c r="C32" s="123"/>
      <c r="D32" s="57"/>
      <c r="E32" s="94"/>
      <c r="F32" s="59"/>
      <c r="G32" s="60"/>
      <c r="H32" s="203" t="str">
        <f t="shared" si="0"/>
        <v/>
      </c>
      <c r="I32" s="4"/>
      <c r="J32" s="269"/>
      <c r="K32" s="270"/>
      <c r="L32" s="270"/>
      <c r="M32" s="270"/>
      <c r="N32" s="270"/>
      <c r="O32" s="271"/>
      <c r="P32" s="4"/>
      <c r="AA32" s="101">
        <f t="shared" si="1"/>
        <v>0</v>
      </c>
    </row>
    <row r="33" spans="1:27" ht="13.9" customHeight="1">
      <c r="A33" s="80">
        <v>29</v>
      </c>
      <c r="B33" s="122"/>
      <c r="C33" s="123"/>
      <c r="D33" s="57"/>
      <c r="E33" s="94"/>
      <c r="F33" s="59"/>
      <c r="G33" s="60"/>
      <c r="H33" s="203" t="str">
        <f t="shared" si="0"/>
        <v/>
      </c>
      <c r="I33" s="4"/>
      <c r="J33" s="269"/>
      <c r="K33" s="270"/>
      <c r="L33" s="270"/>
      <c r="M33" s="270"/>
      <c r="N33" s="270"/>
      <c r="O33" s="271"/>
      <c r="P33" s="4"/>
      <c r="AA33" s="101">
        <f t="shared" si="1"/>
        <v>0</v>
      </c>
    </row>
    <row r="34" spans="1:27" ht="13.9" customHeight="1">
      <c r="A34" s="80">
        <v>30</v>
      </c>
      <c r="B34" s="122"/>
      <c r="C34" s="123"/>
      <c r="D34" s="57"/>
      <c r="E34" s="94"/>
      <c r="F34" s="59"/>
      <c r="G34" s="60"/>
      <c r="H34" s="203" t="str">
        <f t="shared" si="0"/>
        <v/>
      </c>
      <c r="I34" s="4"/>
      <c r="J34" s="272"/>
      <c r="K34" s="273"/>
      <c r="L34" s="273"/>
      <c r="M34" s="273"/>
      <c r="N34" s="273"/>
      <c r="O34" s="274"/>
      <c r="P34" s="4"/>
      <c r="AA34" s="101">
        <f t="shared" si="1"/>
        <v>0</v>
      </c>
    </row>
    <row r="35" spans="1:27" ht="13.9" customHeight="1">
      <c r="A35" s="80">
        <v>31</v>
      </c>
      <c r="B35" s="122"/>
      <c r="C35" s="123"/>
      <c r="D35" s="57"/>
      <c r="E35" s="94"/>
      <c r="F35" s="59"/>
      <c r="G35" s="60"/>
      <c r="H35" s="203" t="str">
        <f t="shared" si="0"/>
        <v/>
      </c>
      <c r="I35" s="4"/>
      <c r="J35" s="4"/>
      <c r="K35" s="4"/>
      <c r="L35" s="4"/>
      <c r="M35" s="4"/>
      <c r="N35" s="4"/>
      <c r="O35" s="4"/>
      <c r="P35" s="4"/>
      <c r="AA35" s="101">
        <f t="shared" si="1"/>
        <v>0</v>
      </c>
    </row>
    <row r="36" spans="1:27" ht="13.9" customHeight="1">
      <c r="A36" s="80">
        <v>32</v>
      </c>
      <c r="B36" s="122"/>
      <c r="C36" s="123"/>
      <c r="D36" s="57"/>
      <c r="E36" s="94"/>
      <c r="F36" s="59"/>
      <c r="G36" s="60"/>
      <c r="H36" s="203" t="str">
        <f t="shared" si="0"/>
        <v/>
      </c>
      <c r="I36" s="4"/>
      <c r="J36" s="4"/>
      <c r="K36" s="4"/>
      <c r="L36" s="4"/>
      <c r="M36" s="4"/>
      <c r="N36" s="4"/>
      <c r="O36" s="4"/>
      <c r="P36" s="4"/>
      <c r="AA36" s="101">
        <f t="shared" si="1"/>
        <v>0</v>
      </c>
    </row>
    <row r="37" spans="1:27" ht="13.9" customHeight="1">
      <c r="A37" s="80">
        <v>33</v>
      </c>
      <c r="B37" s="122"/>
      <c r="C37" s="123"/>
      <c r="D37" s="57"/>
      <c r="E37" s="94"/>
      <c r="F37" s="59"/>
      <c r="G37" s="60"/>
      <c r="H37" s="203" t="str">
        <f t="shared" ref="H37:H54" si="2">IF(OR(B37="*",C37=""),"",IF(OR(E37="",F37=""),"-",""))</f>
        <v/>
      </c>
      <c r="I37" s="4"/>
      <c r="J37" s="4"/>
      <c r="K37" s="4"/>
      <c r="L37" s="4"/>
      <c r="M37" s="4"/>
      <c r="N37" s="4"/>
      <c r="O37" s="4"/>
      <c r="P37" s="4"/>
      <c r="AA37" s="101">
        <f t="shared" ref="AA37:AA54" si="3">IF(B37="",0,1)</f>
        <v>0</v>
      </c>
    </row>
    <row r="38" spans="1:27" ht="13.9" customHeight="1">
      <c r="A38" s="80">
        <v>34</v>
      </c>
      <c r="B38" s="122"/>
      <c r="C38" s="123"/>
      <c r="D38" s="57"/>
      <c r="E38" s="94"/>
      <c r="F38" s="59"/>
      <c r="G38" s="60"/>
      <c r="H38" s="203" t="str">
        <f t="shared" si="2"/>
        <v/>
      </c>
      <c r="I38" s="4"/>
      <c r="J38" s="4"/>
      <c r="K38" s="4"/>
      <c r="L38" s="4"/>
      <c r="M38" s="4"/>
      <c r="N38" s="4"/>
      <c r="O38" s="4"/>
      <c r="P38" s="4"/>
      <c r="AA38" s="101">
        <f t="shared" si="3"/>
        <v>0</v>
      </c>
    </row>
    <row r="39" spans="1:27" ht="13.9" customHeight="1">
      <c r="A39" s="80">
        <v>35</v>
      </c>
      <c r="B39" s="122"/>
      <c r="C39" s="123"/>
      <c r="D39" s="57"/>
      <c r="E39" s="94"/>
      <c r="F39" s="59"/>
      <c r="G39" s="60"/>
      <c r="H39" s="203" t="str">
        <f t="shared" si="2"/>
        <v/>
      </c>
      <c r="I39" s="4"/>
      <c r="J39" s="4"/>
      <c r="K39" s="4"/>
      <c r="L39" s="4"/>
      <c r="M39" s="4"/>
      <c r="N39" s="4"/>
      <c r="O39" s="4"/>
      <c r="P39" s="4"/>
      <c r="AA39" s="101">
        <f t="shared" si="3"/>
        <v>0</v>
      </c>
    </row>
    <row r="40" spans="1:27" ht="13.9" customHeight="1">
      <c r="A40" s="80">
        <v>36</v>
      </c>
      <c r="B40" s="122"/>
      <c r="C40" s="123"/>
      <c r="D40" s="57"/>
      <c r="E40" s="94"/>
      <c r="F40" s="59"/>
      <c r="G40" s="60"/>
      <c r="H40" s="203" t="str">
        <f t="shared" si="2"/>
        <v/>
      </c>
      <c r="I40" s="4"/>
      <c r="J40" s="4"/>
      <c r="K40" s="4"/>
      <c r="L40" s="4"/>
      <c r="M40" s="4"/>
      <c r="N40" s="4"/>
      <c r="O40" s="4"/>
      <c r="P40" s="4"/>
      <c r="AA40" s="101">
        <f t="shared" si="3"/>
        <v>0</v>
      </c>
    </row>
    <row r="41" spans="1:27" ht="13.9" customHeight="1">
      <c r="A41" s="80">
        <v>37</v>
      </c>
      <c r="B41" s="122"/>
      <c r="C41" s="123"/>
      <c r="D41" s="57"/>
      <c r="E41" s="94"/>
      <c r="F41" s="59"/>
      <c r="G41" s="60"/>
      <c r="H41" s="203" t="str">
        <f t="shared" si="2"/>
        <v/>
      </c>
      <c r="I41" s="4"/>
      <c r="J41" s="4"/>
      <c r="K41" s="4"/>
      <c r="L41" s="4"/>
      <c r="M41" s="4"/>
      <c r="N41" s="4"/>
      <c r="O41" s="4"/>
      <c r="P41" s="4"/>
      <c r="AA41" s="101">
        <f t="shared" si="3"/>
        <v>0</v>
      </c>
    </row>
    <row r="42" spans="1:27" ht="13.9" customHeight="1">
      <c r="A42" s="80">
        <v>38</v>
      </c>
      <c r="B42" s="122"/>
      <c r="C42" s="123"/>
      <c r="D42" s="57"/>
      <c r="E42" s="94"/>
      <c r="F42" s="59"/>
      <c r="G42" s="60"/>
      <c r="H42" s="203" t="str">
        <f t="shared" si="2"/>
        <v/>
      </c>
      <c r="I42" s="4"/>
      <c r="J42" s="4"/>
      <c r="K42" s="4"/>
      <c r="L42" s="4"/>
      <c r="M42" s="4"/>
      <c r="N42" s="4"/>
      <c r="O42" s="4"/>
      <c r="P42" s="4"/>
      <c r="AA42" s="101">
        <f t="shared" si="3"/>
        <v>0</v>
      </c>
    </row>
    <row r="43" spans="1:27" ht="13.9" customHeight="1">
      <c r="A43" s="80">
        <v>39</v>
      </c>
      <c r="B43" s="122"/>
      <c r="C43" s="123"/>
      <c r="D43" s="57"/>
      <c r="E43" s="94"/>
      <c r="F43" s="59"/>
      <c r="G43" s="60"/>
      <c r="H43" s="203" t="str">
        <f t="shared" si="2"/>
        <v/>
      </c>
      <c r="I43" s="4"/>
      <c r="J43" s="4"/>
      <c r="K43" s="4"/>
      <c r="L43" s="4"/>
      <c r="M43" s="4"/>
      <c r="N43" s="4"/>
      <c r="O43" s="4"/>
      <c r="P43" s="4"/>
      <c r="AA43" s="101">
        <f t="shared" si="3"/>
        <v>0</v>
      </c>
    </row>
    <row r="44" spans="1:27" ht="13.9" customHeight="1">
      <c r="A44" s="80">
        <v>40</v>
      </c>
      <c r="B44" s="122"/>
      <c r="C44" s="123"/>
      <c r="D44" s="57"/>
      <c r="E44" s="94"/>
      <c r="F44" s="59"/>
      <c r="G44" s="60"/>
      <c r="H44" s="203" t="str">
        <f t="shared" si="2"/>
        <v/>
      </c>
      <c r="I44" s="4"/>
      <c r="J44" s="4"/>
      <c r="K44" s="4"/>
      <c r="L44" s="4"/>
      <c r="M44" s="4"/>
      <c r="N44" s="4"/>
      <c r="O44" s="4"/>
      <c r="P44" s="4"/>
      <c r="AA44" s="101">
        <f t="shared" si="3"/>
        <v>0</v>
      </c>
    </row>
    <row r="45" spans="1:27" ht="13.9" customHeight="1">
      <c r="A45" s="80">
        <v>41</v>
      </c>
      <c r="B45" s="122"/>
      <c r="C45" s="123"/>
      <c r="D45" s="57"/>
      <c r="E45" s="94"/>
      <c r="F45" s="59"/>
      <c r="G45" s="60"/>
      <c r="H45" s="203" t="str">
        <f t="shared" si="2"/>
        <v/>
      </c>
      <c r="I45" s="4"/>
      <c r="J45" s="4"/>
      <c r="K45" s="4"/>
      <c r="L45" s="4"/>
      <c r="M45" s="4"/>
      <c r="N45" s="4"/>
      <c r="O45" s="4"/>
      <c r="P45" s="4"/>
      <c r="AA45" s="101">
        <f t="shared" si="3"/>
        <v>0</v>
      </c>
    </row>
    <row r="46" spans="1:27" ht="13.9" customHeight="1">
      <c r="A46" s="80">
        <v>42</v>
      </c>
      <c r="B46" s="122"/>
      <c r="C46" s="123"/>
      <c r="D46" s="57"/>
      <c r="E46" s="94"/>
      <c r="F46" s="59"/>
      <c r="G46" s="60"/>
      <c r="H46" s="203" t="str">
        <f t="shared" si="2"/>
        <v/>
      </c>
      <c r="I46" s="4"/>
      <c r="J46" s="4"/>
      <c r="K46" s="4"/>
      <c r="L46" s="4"/>
      <c r="M46" s="4"/>
      <c r="N46" s="4"/>
      <c r="O46" s="4"/>
      <c r="P46" s="4"/>
      <c r="AA46" s="101">
        <f t="shared" si="3"/>
        <v>0</v>
      </c>
    </row>
    <row r="47" spans="1:27" ht="13.9" customHeight="1">
      <c r="A47" s="80">
        <v>43</v>
      </c>
      <c r="B47" s="122"/>
      <c r="C47" s="123"/>
      <c r="D47" s="57"/>
      <c r="E47" s="94"/>
      <c r="F47" s="59"/>
      <c r="G47" s="60"/>
      <c r="H47" s="203" t="str">
        <f t="shared" si="2"/>
        <v/>
      </c>
      <c r="I47" s="4"/>
      <c r="J47" s="4"/>
      <c r="K47" s="4"/>
      <c r="L47" s="4"/>
      <c r="M47" s="4"/>
      <c r="N47" s="4"/>
      <c r="O47" s="4"/>
      <c r="P47" s="4"/>
      <c r="AA47" s="101">
        <f t="shared" si="3"/>
        <v>0</v>
      </c>
    </row>
    <row r="48" spans="1:27" ht="13.9" customHeight="1">
      <c r="A48" s="80">
        <v>44</v>
      </c>
      <c r="B48" s="122"/>
      <c r="C48" s="123"/>
      <c r="D48" s="57"/>
      <c r="E48" s="94"/>
      <c r="F48" s="59"/>
      <c r="G48" s="60"/>
      <c r="H48" s="203" t="str">
        <f t="shared" si="2"/>
        <v/>
      </c>
      <c r="I48" s="4"/>
      <c r="J48" s="4"/>
      <c r="K48" s="4"/>
      <c r="L48" s="4"/>
      <c r="M48" s="4"/>
      <c r="N48" s="4"/>
      <c r="O48" s="4"/>
      <c r="P48" s="4"/>
      <c r="AA48" s="101">
        <f t="shared" si="3"/>
        <v>0</v>
      </c>
    </row>
    <row r="49" spans="1:27" ht="13.9" customHeight="1">
      <c r="A49" s="80">
        <v>45</v>
      </c>
      <c r="B49" s="122"/>
      <c r="C49" s="123"/>
      <c r="D49" s="57"/>
      <c r="E49" s="94"/>
      <c r="F49" s="59"/>
      <c r="G49" s="60"/>
      <c r="H49" s="203" t="str">
        <f t="shared" si="2"/>
        <v/>
      </c>
      <c r="I49" s="4"/>
      <c r="J49" s="4"/>
      <c r="K49" s="4"/>
      <c r="L49" s="4"/>
      <c r="M49" s="4"/>
      <c r="N49" s="4"/>
      <c r="O49" s="4"/>
      <c r="P49" s="4"/>
      <c r="AA49" s="101">
        <f t="shared" si="3"/>
        <v>0</v>
      </c>
    </row>
    <row r="50" spans="1:27" ht="13.9" customHeight="1">
      <c r="A50" s="80">
        <v>46</v>
      </c>
      <c r="B50" s="122"/>
      <c r="C50" s="123"/>
      <c r="D50" s="57"/>
      <c r="E50" s="94"/>
      <c r="F50" s="59"/>
      <c r="G50" s="60"/>
      <c r="H50" s="203" t="str">
        <f t="shared" si="2"/>
        <v/>
      </c>
      <c r="I50" s="4"/>
      <c r="J50" s="4"/>
      <c r="K50" s="4"/>
      <c r="L50" s="4"/>
      <c r="M50" s="4"/>
      <c r="N50" s="4"/>
      <c r="O50" s="4"/>
      <c r="P50" s="4"/>
      <c r="AA50" s="101">
        <f t="shared" si="3"/>
        <v>0</v>
      </c>
    </row>
    <row r="51" spans="1:27" ht="13.9" customHeight="1">
      <c r="A51" s="80">
        <v>47</v>
      </c>
      <c r="B51" s="122"/>
      <c r="C51" s="123"/>
      <c r="D51" s="57"/>
      <c r="E51" s="94"/>
      <c r="F51" s="59"/>
      <c r="G51" s="60"/>
      <c r="H51" s="203" t="str">
        <f t="shared" si="2"/>
        <v/>
      </c>
      <c r="I51" s="4"/>
      <c r="J51" s="4"/>
      <c r="K51" s="4"/>
      <c r="L51" s="4"/>
      <c r="M51" s="4"/>
      <c r="N51" s="4"/>
      <c r="O51" s="4"/>
      <c r="P51" s="4"/>
      <c r="AA51" s="101">
        <f t="shared" si="3"/>
        <v>0</v>
      </c>
    </row>
    <row r="52" spans="1:27" ht="13.9" customHeight="1">
      <c r="A52" s="80">
        <v>48</v>
      </c>
      <c r="B52" s="122"/>
      <c r="C52" s="123"/>
      <c r="D52" s="57"/>
      <c r="E52" s="94"/>
      <c r="F52" s="59"/>
      <c r="G52" s="60"/>
      <c r="H52" s="203" t="str">
        <f t="shared" si="2"/>
        <v/>
      </c>
      <c r="I52" s="4"/>
      <c r="J52" s="4"/>
      <c r="K52" s="4"/>
      <c r="L52" s="4"/>
      <c r="M52" s="4"/>
      <c r="N52" s="4"/>
      <c r="O52" s="4"/>
      <c r="P52" s="4"/>
      <c r="AA52" s="101">
        <f t="shared" si="3"/>
        <v>0</v>
      </c>
    </row>
    <row r="53" spans="1:27" ht="13.9" customHeight="1">
      <c r="A53" s="80">
        <v>49</v>
      </c>
      <c r="B53" s="122"/>
      <c r="C53" s="123"/>
      <c r="D53" s="57"/>
      <c r="E53" s="94"/>
      <c r="F53" s="59"/>
      <c r="G53" s="60"/>
      <c r="H53" s="203" t="str">
        <f t="shared" si="2"/>
        <v/>
      </c>
      <c r="I53" s="4"/>
      <c r="J53" s="4"/>
      <c r="K53" s="4"/>
      <c r="L53" s="4"/>
      <c r="M53" s="4"/>
      <c r="N53" s="4"/>
      <c r="O53" s="4"/>
      <c r="P53" s="4"/>
      <c r="AA53" s="101">
        <f t="shared" si="3"/>
        <v>0</v>
      </c>
    </row>
    <row r="54" spans="1:27" ht="13.9" customHeight="1">
      <c r="A54" s="80">
        <v>50</v>
      </c>
      <c r="B54" s="122"/>
      <c r="C54" s="123"/>
      <c r="D54" s="57"/>
      <c r="E54" s="94"/>
      <c r="F54" s="59"/>
      <c r="G54" s="60"/>
      <c r="H54" s="203" t="str">
        <f t="shared" si="2"/>
        <v/>
      </c>
      <c r="I54" s="4"/>
      <c r="J54" s="4"/>
      <c r="K54" s="4"/>
      <c r="L54" s="4"/>
      <c r="M54" s="4"/>
      <c r="N54" s="4"/>
      <c r="O54" s="4"/>
      <c r="P54" s="4"/>
      <c r="AA54" s="101">
        <f t="shared" si="3"/>
        <v>0</v>
      </c>
    </row>
    <row r="55" spans="1:27" ht="13.9" customHeight="1">
      <c r="A55" s="79"/>
      <c r="B55" s="13"/>
      <c r="C55" s="69"/>
      <c r="D55" s="3"/>
      <c r="E55" s="4"/>
      <c r="F55" s="4"/>
      <c r="G55" s="4"/>
      <c r="H55" s="4"/>
      <c r="I55" s="4"/>
      <c r="J55" s="4"/>
      <c r="K55" s="4"/>
      <c r="L55" s="4"/>
      <c r="M55" s="4"/>
      <c r="N55" s="4"/>
      <c r="O55" s="4"/>
      <c r="P55" s="4"/>
    </row>
    <row r="56" spans="1:27" ht="13.9" customHeight="1">
      <c r="A56" s="79"/>
      <c r="B56" s="69"/>
      <c r="C56" s="69"/>
      <c r="D56" s="3"/>
      <c r="E56" s="3"/>
      <c r="F56" s="3"/>
      <c r="G56" s="3"/>
      <c r="H56" s="3"/>
      <c r="I56" s="4"/>
      <c r="J56" s="4"/>
      <c r="K56" s="4"/>
      <c r="L56" s="4"/>
      <c r="M56" s="4"/>
      <c r="N56" s="4"/>
      <c r="O56" s="4"/>
      <c r="P56" s="4"/>
    </row>
    <row r="57" spans="1:27" ht="13.9" customHeight="1">
      <c r="A57" s="79"/>
      <c r="B57" s="13"/>
      <c r="C57" s="13"/>
      <c r="D57" s="13"/>
      <c r="E57" s="13"/>
      <c r="F57" s="13"/>
      <c r="G57" s="13"/>
      <c r="H57" s="13"/>
      <c r="I57" s="4"/>
      <c r="J57" s="4"/>
      <c r="K57" s="4"/>
      <c r="L57" s="4"/>
      <c r="M57" s="4"/>
      <c r="N57" s="4"/>
      <c r="O57" s="4"/>
      <c r="P57" s="4"/>
    </row>
    <row r="58" spans="1:27" ht="13.9" customHeight="1">
      <c r="A58" s="79"/>
      <c r="B58" s="13"/>
      <c r="C58" s="13"/>
      <c r="D58" s="13"/>
      <c r="E58" s="13"/>
      <c r="F58" s="13"/>
      <c r="G58" s="13"/>
      <c r="H58" s="13"/>
      <c r="I58" s="4"/>
      <c r="J58" s="4"/>
      <c r="K58" s="4"/>
      <c r="L58" s="4"/>
      <c r="M58" s="4"/>
      <c r="N58" s="4"/>
      <c r="O58" s="4"/>
      <c r="P58" s="4"/>
    </row>
    <row r="59" spans="1:27" ht="13.9" customHeight="1">
      <c r="A59" s="80"/>
      <c r="B59" s="9"/>
      <c r="C59" s="9"/>
      <c r="D59" s="9"/>
      <c r="E59" s="9"/>
      <c r="F59" s="9"/>
      <c r="G59" s="9"/>
      <c r="H59" s="9"/>
      <c r="I59" s="4"/>
      <c r="J59" s="4"/>
      <c r="K59" s="4"/>
      <c r="L59" s="4"/>
      <c r="M59" s="4"/>
      <c r="N59" s="4"/>
      <c r="O59" s="4"/>
      <c r="P59" s="4"/>
    </row>
    <row r="60" spans="1:27" ht="13.9" customHeight="1">
      <c r="A60" s="80"/>
      <c r="B60" s="9"/>
      <c r="C60" s="9"/>
      <c r="D60" s="9"/>
      <c r="E60" s="9"/>
      <c r="F60" s="9"/>
      <c r="G60" s="9"/>
      <c r="H60" s="9"/>
      <c r="I60" s="4"/>
      <c r="J60" s="4"/>
      <c r="K60" s="4"/>
      <c r="L60" s="4"/>
      <c r="M60" s="4"/>
      <c r="N60" s="4"/>
      <c r="O60" s="4"/>
      <c r="P60" s="4"/>
    </row>
    <row r="61" spans="1:27" ht="13.9" customHeight="1">
      <c r="A61" s="80"/>
      <c r="B61" s="9"/>
      <c r="C61" s="9"/>
      <c r="D61" s="9"/>
      <c r="E61" s="9"/>
      <c r="F61" s="9"/>
      <c r="G61" s="9"/>
      <c r="H61" s="9"/>
      <c r="I61" s="4"/>
      <c r="J61" s="4"/>
      <c r="K61" s="4"/>
      <c r="L61" s="4"/>
      <c r="M61" s="4"/>
      <c r="N61" s="4"/>
      <c r="O61" s="4"/>
      <c r="P61" s="4"/>
    </row>
    <row r="62" spans="1:27" ht="13.9" customHeight="1">
      <c r="A62" s="80"/>
      <c r="B62" s="9"/>
      <c r="C62" s="9"/>
      <c r="D62" s="9"/>
      <c r="E62" s="9"/>
      <c r="F62" s="9"/>
      <c r="G62" s="9"/>
      <c r="H62" s="9"/>
      <c r="I62" s="4"/>
      <c r="J62" s="4"/>
      <c r="K62" s="4"/>
      <c r="L62" s="4"/>
      <c r="M62" s="4"/>
      <c r="N62" s="4"/>
      <c r="O62" s="4"/>
      <c r="P62" s="4"/>
    </row>
    <row r="63" spans="1:27" ht="13.9" customHeight="1">
      <c r="A63" s="80"/>
      <c r="B63" s="9"/>
      <c r="C63" s="9"/>
      <c r="D63" s="9"/>
      <c r="E63" s="9"/>
      <c r="F63" s="9"/>
      <c r="G63" s="9"/>
      <c r="H63" s="9"/>
      <c r="I63" s="4"/>
      <c r="J63" s="4"/>
      <c r="K63" s="4"/>
      <c r="L63" s="4"/>
      <c r="M63" s="4"/>
      <c r="N63" s="4"/>
      <c r="O63" s="4"/>
      <c r="P63" s="4"/>
    </row>
    <row r="64" spans="1:27" ht="13.9" customHeight="1">
      <c r="A64" s="80"/>
      <c r="B64" s="9"/>
      <c r="C64" s="9"/>
      <c r="D64" s="9"/>
      <c r="E64" s="9"/>
      <c r="F64" s="9"/>
      <c r="G64" s="9"/>
      <c r="H64" s="9"/>
      <c r="I64" s="4"/>
      <c r="J64" s="4"/>
      <c r="K64" s="4"/>
      <c r="L64" s="4"/>
      <c r="M64" s="4"/>
      <c r="N64" s="4"/>
      <c r="O64" s="4"/>
      <c r="P64" s="4"/>
    </row>
    <row r="65" spans="1:16" ht="13.9" customHeight="1">
      <c r="A65" s="80"/>
      <c r="B65" s="9"/>
      <c r="C65" s="9"/>
      <c r="D65" s="9"/>
      <c r="E65" s="9"/>
      <c r="F65" s="9"/>
      <c r="G65" s="9"/>
      <c r="H65" s="9"/>
      <c r="I65" s="4"/>
      <c r="J65" s="4"/>
      <c r="K65" s="4"/>
      <c r="L65" s="4"/>
      <c r="M65" s="4"/>
      <c r="N65" s="4"/>
      <c r="O65" s="4"/>
      <c r="P65" s="4"/>
    </row>
    <row r="66" spans="1:16" ht="13.9" customHeight="1">
      <c r="A66" s="107"/>
      <c r="B66" s="108"/>
      <c r="C66" s="108"/>
      <c r="D66" s="108"/>
      <c r="E66" s="108"/>
      <c r="F66" s="108"/>
      <c r="G66" s="108"/>
      <c r="H66" s="108"/>
    </row>
    <row r="67" spans="1:16" ht="13.9" customHeight="1">
      <c r="A67" s="107"/>
      <c r="B67" s="108"/>
      <c r="C67" s="108"/>
      <c r="D67" s="108"/>
      <c r="E67" s="108"/>
      <c r="F67" s="108"/>
      <c r="G67" s="108"/>
      <c r="H67" s="108"/>
    </row>
    <row r="68" spans="1:16" ht="13.9" customHeight="1">
      <c r="A68" s="107"/>
      <c r="B68" s="108"/>
      <c r="C68" s="108"/>
      <c r="D68" s="108"/>
      <c r="E68" s="108"/>
      <c r="F68" s="108"/>
      <c r="G68" s="108"/>
      <c r="H68" s="108"/>
    </row>
    <row r="69" spans="1:16" ht="13.9" customHeight="1">
      <c r="A69" s="107"/>
      <c r="B69" s="108"/>
      <c r="C69" s="108"/>
      <c r="D69" s="108"/>
      <c r="E69" s="108"/>
      <c r="F69" s="108"/>
      <c r="G69" s="108"/>
      <c r="H69" s="108"/>
    </row>
    <row r="70" spans="1:16" ht="13.9" customHeight="1">
      <c r="A70" s="107"/>
      <c r="B70" s="108"/>
      <c r="C70" s="108"/>
      <c r="D70" s="108"/>
      <c r="E70" s="108"/>
      <c r="F70" s="108"/>
      <c r="G70" s="108"/>
      <c r="H70" s="108"/>
    </row>
    <row r="71" spans="1:16" ht="13.9" customHeight="1">
      <c r="A71" s="107"/>
      <c r="B71" s="108"/>
      <c r="C71" s="108"/>
      <c r="D71" s="108"/>
      <c r="E71" s="108"/>
      <c r="F71" s="108"/>
      <c r="G71" s="108"/>
      <c r="H71" s="108"/>
    </row>
  </sheetData>
  <mergeCells count="7">
    <mergeCell ref="N2:O2"/>
    <mergeCell ref="J27:O34"/>
    <mergeCell ref="J25:K26"/>
    <mergeCell ref="B1:C2"/>
    <mergeCell ref="J1:K2"/>
    <mergeCell ref="F1:H2"/>
    <mergeCell ref="L2:M2"/>
  </mergeCells>
  <phoneticPr fontId="1" type="noConversion"/>
  <dataValidations count="1">
    <dataValidation allowBlank="1" showInputMessage="1" sqref="C5:C54" xr:uid="{BAD72760-4707-4136-BE45-CDAD03D89ED5}"/>
  </dataValidations>
  <pageMargins left="0.23622047244094491" right="0.15748031496062992" top="0.39370078740157483" bottom="0.27559055118110237" header="0.31496062992125984" footer="0.15748031496062992"/>
  <pageSetup paperSize="9" scale="90" orientation="landscape" blackAndWhite="1"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1C04E-0FD7-4CFC-A063-BAA4AED1DB90}">
  <sheetPr codeName="Sheet3">
    <tabColor rgb="FFFFFF00"/>
  </sheetPr>
  <dimension ref="A1:BZ40"/>
  <sheetViews>
    <sheetView zoomScaleNormal="100" workbookViewId="0"/>
  </sheetViews>
  <sheetFormatPr defaultColWidth="8.75" defaultRowHeight="15" customHeight="1"/>
  <cols>
    <col min="1" max="1" width="3.375" style="43" customWidth="1"/>
    <col min="2" max="2" width="32.75" style="43" customWidth="1"/>
    <col min="3" max="7" width="16.625" style="45" customWidth="1"/>
    <col min="8" max="9" width="3.375" style="43" customWidth="1"/>
    <col min="10" max="11" width="14" style="165" customWidth="1"/>
    <col min="12" max="12" width="4.75" style="165" customWidth="1"/>
    <col min="13" max="14" width="14" style="165" customWidth="1"/>
    <col min="15" max="15" width="3.375" style="165" customWidth="1"/>
    <col min="16" max="20" width="14" style="165" customWidth="1"/>
    <col min="21" max="21" width="3.375" style="165" customWidth="1"/>
    <col min="22" max="26" width="14" style="165" customWidth="1"/>
    <col min="27" max="27" width="3.375" style="165" customWidth="1"/>
    <col min="28" max="32" width="14" style="165" customWidth="1"/>
    <col min="33" max="33" width="3.375" style="165" customWidth="1"/>
    <col min="34" max="38" width="14" style="165" customWidth="1"/>
    <col min="39" max="39" width="3.375" style="165" customWidth="1"/>
    <col min="40" max="44" width="14" style="165" customWidth="1"/>
    <col min="45" max="45" width="3.375" style="165" customWidth="1"/>
    <col min="46" max="50" width="14" style="165" customWidth="1"/>
    <col min="51" max="51" width="3.375" style="165" customWidth="1"/>
    <col min="52" max="56" width="14" style="165" customWidth="1"/>
    <col min="57" max="57" width="3.375" style="165" customWidth="1"/>
    <col min="58" max="62" width="14" style="165" customWidth="1"/>
    <col min="63" max="16384" width="8.75" style="43"/>
  </cols>
  <sheetData>
    <row r="1" spans="1:78" ht="15" customHeight="1">
      <c r="A1" s="36"/>
      <c r="B1" s="277" t="s">
        <v>240</v>
      </c>
      <c r="C1" s="25"/>
      <c r="D1" s="25"/>
      <c r="E1" s="25"/>
      <c r="F1" s="25"/>
      <c r="G1" s="25"/>
      <c r="H1" s="36"/>
      <c r="J1" s="283" t="s">
        <v>645</v>
      </c>
      <c r="K1" s="284"/>
      <c r="L1" s="284"/>
      <c r="M1" s="284"/>
      <c r="N1" s="285"/>
    </row>
    <row r="2" spans="1:78" ht="15" customHeight="1">
      <c r="A2" s="36"/>
      <c r="B2" s="277"/>
      <c r="C2" s="25"/>
      <c r="D2" s="25"/>
      <c r="E2" s="164"/>
      <c r="F2" s="164"/>
      <c r="G2" s="25"/>
      <c r="H2" s="36"/>
      <c r="J2" s="193" t="s">
        <v>341</v>
      </c>
      <c r="K2" s="197">
        <v>37</v>
      </c>
      <c r="L2" s="251"/>
      <c r="M2" s="193" t="s">
        <v>340</v>
      </c>
      <c r="N2" s="196">
        <v>0.83930000000000005</v>
      </c>
    </row>
    <row r="3" spans="1:78" ht="15" customHeight="1">
      <c r="A3" s="36"/>
      <c r="B3" s="38"/>
      <c r="C3" s="25"/>
      <c r="D3" s="25"/>
      <c r="E3" s="25"/>
      <c r="F3" s="41"/>
      <c r="G3" s="25"/>
      <c r="H3" s="36"/>
      <c r="J3" s="193" t="s">
        <v>340</v>
      </c>
      <c r="K3" s="194">
        <f>IF(K2="","",IF(K2&lt;0,ROUND((141.5/(K2+131.5))-0.0008,4),ROUND((VLOOKUP(ROUND(INT(K2*10)/10+0.1,1),TABLE3,2)-VLOOKUP(INT(K2*10)/10,TABLE3,2))*(((K2*100)-INT(K2*10)*10)/10)+VLOOKUP(INT(K2*10)/10,TABLE3,2),4)))</f>
        <v>0.83930000000000005</v>
      </c>
      <c r="L3" s="252"/>
      <c r="M3" s="193" t="s">
        <v>341</v>
      </c>
      <c r="N3" s="195">
        <f ca="1">IF(N2="","",IF(N2&gt;1.076,ROUND((141.5/(N2+0.0008))-131.5,2),ROUND(FORECAST(N2,OFFSET(DENSHELL,MATCH(N2,DENVAC,1),1,2),OFFSET(DENSHELL,MATCH(N2,DENVAC,1),,2)),2)))</f>
        <v>37</v>
      </c>
    </row>
    <row r="4" spans="1:78" ht="15" customHeight="1">
      <c r="A4" s="36"/>
      <c r="B4" s="36" t="s">
        <v>223</v>
      </c>
      <c r="C4" s="95"/>
      <c r="D4" s="168" t="s">
        <v>323</v>
      </c>
      <c r="E4" s="25"/>
      <c r="F4" s="290"/>
      <c r="G4" s="291"/>
      <c r="H4" s="36"/>
    </row>
    <row r="5" spans="1:78" ht="15" customHeight="1">
      <c r="A5" s="36"/>
      <c r="B5" s="42" t="s">
        <v>224</v>
      </c>
      <c r="C5" s="46"/>
      <c r="D5" s="168" t="s">
        <v>226</v>
      </c>
      <c r="E5" s="25"/>
      <c r="F5" s="286"/>
      <c r="G5" s="287"/>
      <c r="H5" s="36"/>
      <c r="I5" s="166"/>
      <c r="J5" s="166"/>
      <c r="K5" s="166"/>
      <c r="L5" s="166"/>
      <c r="M5" s="166"/>
      <c r="N5" s="166"/>
      <c r="O5" s="166"/>
      <c r="P5" s="166"/>
      <c r="Q5" s="166"/>
      <c r="R5" s="166"/>
      <c r="S5" s="166"/>
      <c r="T5" s="166"/>
      <c r="U5" s="166"/>
      <c r="V5" s="166"/>
      <c r="W5" s="166"/>
      <c r="X5" s="166"/>
      <c r="Y5" s="166"/>
      <c r="Z5" s="166"/>
      <c r="AA5" s="166"/>
      <c r="AB5" s="166"/>
      <c r="AC5" s="166"/>
      <c r="AD5" s="166"/>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6"/>
      <c r="BG5" s="166"/>
      <c r="BH5" s="166"/>
      <c r="BI5" s="166"/>
      <c r="BJ5" s="166"/>
      <c r="BK5" s="166"/>
      <c r="BL5" s="166"/>
      <c r="BM5" s="166"/>
      <c r="BN5" s="166"/>
      <c r="BO5" s="166"/>
      <c r="BP5" s="166"/>
      <c r="BQ5" s="166"/>
      <c r="BR5" s="166"/>
      <c r="BS5" s="166"/>
      <c r="BT5" s="166"/>
      <c r="BU5" s="166"/>
      <c r="BV5" s="166"/>
      <c r="BW5" s="166"/>
      <c r="BX5" s="166"/>
      <c r="BY5" s="166"/>
      <c r="BZ5" s="166"/>
    </row>
    <row r="6" spans="1:78" ht="15" customHeight="1">
      <c r="A6" s="36"/>
      <c r="B6" s="42" t="s">
        <v>225</v>
      </c>
      <c r="C6" s="46"/>
      <c r="D6" s="168" t="s">
        <v>273</v>
      </c>
      <c r="E6" s="25"/>
      <c r="F6" s="288" t="str">
        <f>IF('Navarik 설정'!C22="","",'Navarik 설정'!C22)</f>
        <v>Unleaded Gasoline 91</v>
      </c>
      <c r="G6" s="289"/>
      <c r="H6" s="36"/>
      <c r="I6" s="166"/>
      <c r="J6" s="166"/>
      <c r="K6" s="166"/>
      <c r="L6" s="166"/>
      <c r="M6" s="166"/>
      <c r="N6" s="166"/>
      <c r="O6" s="166"/>
      <c r="P6" s="166"/>
      <c r="Q6" s="166"/>
      <c r="R6" s="166"/>
      <c r="S6" s="166"/>
      <c r="T6" s="166"/>
      <c r="U6" s="166"/>
      <c r="V6" s="166"/>
      <c r="W6" s="166"/>
      <c r="X6" s="166"/>
      <c r="Y6" s="166"/>
      <c r="Z6" s="166"/>
      <c r="AA6" s="166"/>
      <c r="AB6" s="166"/>
      <c r="AC6" s="166"/>
      <c r="AD6" s="166"/>
      <c r="AE6" s="166"/>
      <c r="AF6" s="166"/>
      <c r="AG6" s="166"/>
      <c r="AH6" s="166"/>
      <c r="AI6" s="166"/>
      <c r="AJ6" s="166"/>
      <c r="AK6" s="166"/>
      <c r="AL6" s="166"/>
      <c r="AM6" s="166"/>
      <c r="AN6" s="166"/>
      <c r="AO6" s="166"/>
      <c r="AP6" s="166"/>
      <c r="AQ6" s="166"/>
      <c r="AR6" s="166"/>
      <c r="AS6" s="166"/>
      <c r="AT6" s="166"/>
      <c r="AU6" s="166"/>
      <c r="AV6" s="166"/>
      <c r="AW6" s="166"/>
      <c r="AX6" s="166"/>
      <c r="AY6" s="166"/>
      <c r="AZ6" s="166"/>
      <c r="BA6" s="166"/>
      <c r="BB6" s="166"/>
      <c r="BC6" s="166"/>
      <c r="BD6" s="166"/>
      <c r="BE6" s="166"/>
      <c r="BF6" s="166"/>
      <c r="BG6" s="166"/>
      <c r="BH6" s="166"/>
      <c r="BI6" s="166"/>
      <c r="BJ6" s="166"/>
      <c r="BK6" s="166"/>
      <c r="BL6" s="166"/>
      <c r="BM6" s="166"/>
      <c r="BN6" s="166"/>
      <c r="BO6" s="166"/>
      <c r="BP6" s="166"/>
      <c r="BQ6" s="166"/>
      <c r="BR6" s="166"/>
      <c r="BS6" s="166"/>
      <c r="BT6" s="166"/>
      <c r="BU6" s="166"/>
      <c r="BV6" s="166"/>
      <c r="BW6" s="166"/>
      <c r="BX6" s="166"/>
      <c r="BY6" s="166"/>
      <c r="BZ6" s="166"/>
    </row>
    <row r="7" spans="1:78" ht="15" customHeight="1">
      <c r="A7" s="36"/>
      <c r="B7" s="36" t="s">
        <v>324</v>
      </c>
      <c r="C7" s="46"/>
      <c r="D7" s="168" t="s">
        <v>326</v>
      </c>
      <c r="E7" s="25"/>
      <c r="F7" s="61"/>
      <c r="G7" s="200" t="s">
        <v>397</v>
      </c>
      <c r="H7" s="36"/>
      <c r="I7" s="166"/>
      <c r="J7" s="166"/>
      <c r="K7" s="166"/>
      <c r="L7" s="166"/>
      <c r="M7" s="166"/>
      <c r="N7" s="166"/>
      <c r="O7" s="166"/>
      <c r="P7" s="166"/>
      <c r="Q7" s="166"/>
      <c r="R7" s="166"/>
      <c r="S7" s="166"/>
      <c r="T7" s="166"/>
      <c r="U7" s="166"/>
      <c r="V7" s="166"/>
      <c r="W7" s="166"/>
      <c r="X7" s="166"/>
      <c r="Y7" s="166"/>
      <c r="Z7" s="166"/>
      <c r="AA7" s="166"/>
      <c r="AB7" s="166"/>
      <c r="AC7" s="166"/>
      <c r="AD7" s="166"/>
      <c r="AE7" s="166"/>
      <c r="AF7" s="166"/>
      <c r="AG7" s="166"/>
      <c r="AH7" s="166"/>
      <c r="AI7" s="166"/>
      <c r="AJ7" s="166"/>
      <c r="AK7" s="166"/>
      <c r="AL7" s="166"/>
      <c r="AM7" s="166"/>
      <c r="AN7" s="166"/>
      <c r="AO7" s="166"/>
      <c r="AP7" s="166"/>
      <c r="AQ7" s="166"/>
      <c r="AR7" s="166"/>
      <c r="AS7" s="166"/>
      <c r="AT7" s="166"/>
      <c r="AU7" s="166"/>
      <c r="AV7" s="166"/>
      <c r="AW7" s="166"/>
      <c r="AX7" s="166"/>
      <c r="AY7" s="166"/>
      <c r="AZ7" s="166"/>
      <c r="BA7" s="166"/>
      <c r="BB7" s="166"/>
      <c r="BC7" s="166"/>
      <c r="BD7" s="166"/>
      <c r="BE7" s="166"/>
      <c r="BF7" s="166"/>
      <c r="BG7" s="166"/>
      <c r="BH7" s="166"/>
      <c r="BI7" s="166"/>
      <c r="BJ7" s="166"/>
      <c r="BK7" s="166"/>
      <c r="BL7" s="166"/>
      <c r="BM7" s="166"/>
      <c r="BN7" s="166"/>
      <c r="BO7" s="166"/>
      <c r="BP7" s="166"/>
      <c r="BQ7" s="166"/>
      <c r="BR7" s="166"/>
      <c r="BS7" s="166"/>
      <c r="BT7" s="166"/>
      <c r="BU7" s="166"/>
      <c r="BV7" s="166"/>
      <c r="BW7" s="166"/>
      <c r="BX7" s="166"/>
      <c r="BY7" s="166"/>
      <c r="BZ7" s="166"/>
    </row>
    <row r="8" spans="1:78" ht="15" customHeight="1">
      <c r="A8" s="36"/>
      <c r="B8" s="36" t="s">
        <v>325</v>
      </c>
      <c r="C8" s="95"/>
      <c r="D8" s="168" t="s">
        <v>327</v>
      </c>
      <c r="E8" s="25"/>
      <c r="F8" s="64" t="str">
        <f>'Navarik 설정'!C19</f>
        <v>Load</v>
      </c>
      <c r="G8" s="65"/>
      <c r="H8" s="3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66"/>
      <c r="AU8" s="166"/>
      <c r="AV8" s="166"/>
      <c r="AW8" s="166"/>
      <c r="AX8" s="166"/>
      <c r="AY8" s="166"/>
      <c r="AZ8" s="166"/>
      <c r="BA8" s="166"/>
      <c r="BB8" s="166"/>
      <c r="BC8" s="166"/>
      <c r="BD8" s="166"/>
      <c r="BE8" s="166"/>
      <c r="BF8" s="166"/>
      <c r="BG8" s="166"/>
      <c r="BH8" s="166"/>
      <c r="BI8" s="166"/>
      <c r="BJ8" s="166"/>
      <c r="BK8" s="166"/>
      <c r="BL8" s="166"/>
      <c r="BM8" s="166"/>
      <c r="BN8" s="166"/>
      <c r="BO8" s="166"/>
      <c r="BP8" s="166"/>
      <c r="BQ8" s="166"/>
      <c r="BR8" s="166"/>
      <c r="BS8" s="166"/>
      <c r="BT8" s="166"/>
      <c r="BU8" s="166"/>
      <c r="BV8" s="166"/>
      <c r="BW8" s="166"/>
      <c r="BX8" s="166"/>
      <c r="BY8" s="166"/>
      <c r="BZ8" s="166"/>
    </row>
    <row r="9" spans="1:78" ht="15" customHeight="1">
      <c r="A9" s="36"/>
      <c r="B9" s="38"/>
      <c r="C9" s="36"/>
      <c r="D9" s="36"/>
      <c r="E9" s="36"/>
      <c r="F9" s="36"/>
      <c r="G9" s="36"/>
      <c r="H9" s="36"/>
      <c r="I9" s="166"/>
      <c r="J9" s="167"/>
      <c r="K9" s="166"/>
      <c r="L9" s="166"/>
      <c r="M9" s="166"/>
      <c r="N9" s="166"/>
      <c r="O9" s="166"/>
      <c r="P9" s="167"/>
      <c r="Q9" s="166"/>
      <c r="R9" s="166"/>
      <c r="S9" s="166"/>
      <c r="T9" s="166"/>
      <c r="U9" s="166"/>
      <c r="V9" s="167"/>
      <c r="W9" s="166"/>
      <c r="X9" s="166"/>
      <c r="Y9" s="166"/>
      <c r="Z9" s="166"/>
      <c r="AA9" s="166"/>
      <c r="AB9" s="167"/>
      <c r="AC9" s="166"/>
      <c r="AD9" s="166"/>
      <c r="AE9" s="166"/>
      <c r="AF9" s="166"/>
      <c r="AG9" s="166"/>
      <c r="AH9" s="167"/>
      <c r="AI9" s="166"/>
      <c r="AJ9" s="166"/>
      <c r="AK9" s="166"/>
      <c r="AL9" s="166"/>
      <c r="AM9" s="166"/>
      <c r="AN9" s="167"/>
      <c r="AO9" s="166"/>
      <c r="AP9" s="166"/>
      <c r="AQ9" s="166"/>
      <c r="AR9" s="166"/>
      <c r="AS9" s="166"/>
      <c r="AT9" s="167"/>
      <c r="AU9" s="166"/>
      <c r="AV9" s="166"/>
      <c r="AW9" s="166"/>
      <c r="AX9" s="166"/>
      <c r="AY9" s="166"/>
      <c r="AZ9" s="167"/>
      <c r="BA9" s="166"/>
      <c r="BB9" s="166"/>
      <c r="BC9" s="166"/>
      <c r="BD9" s="166"/>
      <c r="BE9" s="166"/>
      <c r="BF9" s="167"/>
      <c r="BG9" s="166"/>
      <c r="BH9" s="166"/>
      <c r="BI9" s="166"/>
      <c r="BJ9" s="166"/>
      <c r="BK9" s="166"/>
      <c r="BL9" s="166"/>
      <c r="BM9" s="166"/>
      <c r="BN9" s="166"/>
      <c r="BO9" s="166"/>
      <c r="BP9" s="166"/>
      <c r="BQ9" s="166"/>
      <c r="BR9" s="166"/>
      <c r="BS9" s="166"/>
      <c r="BT9" s="166"/>
      <c r="BU9" s="166"/>
      <c r="BV9" s="166"/>
      <c r="BW9" s="166"/>
      <c r="BX9" s="166"/>
      <c r="BY9" s="166"/>
      <c r="BZ9" s="166"/>
    </row>
    <row r="10" spans="1:78" ht="15" customHeight="1">
      <c r="A10" s="36"/>
      <c r="B10" s="39" t="s">
        <v>411</v>
      </c>
      <c r="C10" s="25" t="s">
        <v>685</v>
      </c>
      <c r="D10" s="25" t="s">
        <v>198</v>
      </c>
      <c r="E10" s="25" t="s">
        <v>2</v>
      </c>
      <c r="F10" s="25" t="s">
        <v>0</v>
      </c>
      <c r="G10" s="25" t="s">
        <v>1</v>
      </c>
      <c r="H10" s="36"/>
      <c r="I10" s="166"/>
      <c r="J10" s="166"/>
      <c r="K10" s="166"/>
      <c r="L10" s="166"/>
      <c r="M10" s="166"/>
      <c r="N10" s="166"/>
      <c r="O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66"/>
      <c r="AO10" s="166"/>
      <c r="AP10" s="166"/>
      <c r="AQ10" s="166"/>
      <c r="AR10" s="166"/>
      <c r="AS10" s="166"/>
      <c r="AT10" s="166"/>
      <c r="AU10" s="166"/>
      <c r="AV10" s="166"/>
      <c r="AW10" s="166"/>
      <c r="AX10" s="166"/>
      <c r="AY10" s="166"/>
      <c r="AZ10" s="166"/>
      <c r="BA10" s="166"/>
      <c r="BB10" s="166"/>
      <c r="BC10" s="166"/>
      <c r="BD10" s="166"/>
      <c r="BE10" s="166"/>
      <c r="BF10" s="166"/>
      <c r="BG10" s="166"/>
      <c r="BH10" s="166"/>
      <c r="BI10" s="166"/>
      <c r="BJ10" s="166"/>
      <c r="BK10" s="166"/>
      <c r="BL10" s="166"/>
      <c r="BM10" s="166"/>
      <c r="BN10" s="166"/>
      <c r="BO10" s="166"/>
      <c r="BP10" s="166"/>
      <c r="BQ10" s="166"/>
      <c r="BR10" s="166"/>
      <c r="BS10" s="166"/>
      <c r="BT10" s="166"/>
      <c r="BU10" s="166"/>
      <c r="BV10" s="166"/>
      <c r="BW10" s="166"/>
      <c r="BX10" s="166"/>
      <c r="BY10" s="166"/>
      <c r="BZ10" s="166"/>
    </row>
    <row r="11" spans="1:78" ht="15" customHeight="1">
      <c r="A11" s="36"/>
      <c r="B11" s="36" t="s">
        <v>227</v>
      </c>
      <c r="C11" s="30" t="str">
        <f>IF(C12="","",C12)</f>
        <v/>
      </c>
      <c r="D11" s="31" t="str">
        <f t="shared" ref="D11" si="0">IF(D12="","",D12)</f>
        <v/>
      </c>
      <c r="E11" s="30" t="str">
        <f>IF(E12="","",E12)</f>
        <v/>
      </c>
      <c r="F11" s="31" t="str">
        <f>IF(F12="","",F12)</f>
        <v/>
      </c>
      <c r="G11" s="32" t="str">
        <f>IF(G12="","",G12)</f>
        <v/>
      </c>
      <c r="H11" s="36"/>
      <c r="I11" s="166"/>
      <c r="J11" s="166"/>
      <c r="K11" s="166"/>
      <c r="L11" s="166"/>
      <c r="M11" s="166"/>
      <c r="N11" s="166"/>
      <c r="O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66"/>
      <c r="AO11" s="166"/>
      <c r="AP11" s="166"/>
      <c r="AQ11" s="166"/>
      <c r="AR11" s="166"/>
      <c r="AS11" s="166"/>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c r="BS11" s="166"/>
      <c r="BT11" s="166"/>
      <c r="BU11" s="166"/>
      <c r="BV11" s="166"/>
      <c r="BW11" s="166"/>
      <c r="BX11" s="166"/>
      <c r="BY11" s="166"/>
      <c r="BZ11" s="166"/>
    </row>
    <row r="12" spans="1:78" ht="15" customHeight="1">
      <c r="A12" s="36"/>
      <c r="B12" s="36" t="s">
        <v>648</v>
      </c>
      <c r="C12" s="27"/>
      <c r="D12" s="28"/>
      <c r="E12" s="27"/>
      <c r="F12" s="28"/>
      <c r="G12" s="29"/>
      <c r="H12" s="36"/>
      <c r="I12" s="166"/>
      <c r="J12" s="166"/>
      <c r="K12" s="166"/>
      <c r="L12" s="166"/>
      <c r="M12" s="166"/>
      <c r="N12" s="166"/>
      <c r="O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66"/>
      <c r="AO12" s="166"/>
      <c r="AP12" s="166"/>
      <c r="AQ12" s="166"/>
      <c r="AR12" s="166"/>
      <c r="AS12" s="166"/>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c r="BW12" s="166"/>
      <c r="BX12" s="166"/>
      <c r="BY12" s="166"/>
      <c r="BZ12" s="166"/>
    </row>
    <row r="13" spans="1:78" ht="15" customHeight="1">
      <c r="A13" s="36"/>
      <c r="B13" s="36" t="s">
        <v>228</v>
      </c>
      <c r="C13" s="30" t="str">
        <f>IF(C12="","",C12)</f>
        <v/>
      </c>
      <c r="D13" s="31" t="str">
        <f t="shared" ref="D13" si="1">IF(D12="","",D12)</f>
        <v/>
      </c>
      <c r="E13" s="30" t="str">
        <f>IF(E12="","",E12)</f>
        <v/>
      </c>
      <c r="F13" s="31" t="str">
        <f>IF(F12="","",F12)</f>
        <v/>
      </c>
      <c r="G13" s="32" t="str">
        <f>IF(G12="","",G12)</f>
        <v/>
      </c>
      <c r="H13" s="36"/>
      <c r="I13" s="166"/>
      <c r="J13" s="166"/>
      <c r="K13" s="166"/>
      <c r="L13" s="166"/>
      <c r="M13" s="166"/>
      <c r="N13" s="166"/>
      <c r="O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66"/>
      <c r="AO13" s="166"/>
      <c r="AP13" s="166"/>
      <c r="AQ13" s="166"/>
      <c r="AR13" s="166"/>
      <c r="AS13" s="166"/>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c r="BS13" s="166"/>
      <c r="BT13" s="166"/>
      <c r="BU13" s="166"/>
      <c r="BV13" s="166"/>
      <c r="BW13" s="166"/>
      <c r="BX13" s="166"/>
      <c r="BY13" s="166"/>
      <c r="BZ13" s="166"/>
    </row>
    <row r="14" spans="1:78" ht="15" customHeight="1">
      <c r="A14" s="36"/>
      <c r="B14" s="36"/>
      <c r="C14" s="25"/>
      <c r="D14" s="25"/>
      <c r="E14" s="25"/>
      <c r="F14" s="25"/>
      <c r="G14" s="25"/>
      <c r="H14" s="3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66"/>
      <c r="AO14" s="166"/>
      <c r="AP14" s="166"/>
      <c r="AQ14" s="166"/>
      <c r="AR14" s="166"/>
      <c r="AS14" s="166"/>
      <c r="AT14" s="166"/>
      <c r="AU14" s="166"/>
      <c r="AV14" s="166"/>
      <c r="AW14" s="166"/>
      <c r="AX14" s="166"/>
      <c r="AY14" s="166"/>
      <c r="AZ14" s="166"/>
      <c r="BA14" s="166"/>
      <c r="BB14" s="166"/>
      <c r="BC14" s="166"/>
      <c r="BD14" s="166"/>
      <c r="BE14" s="166"/>
      <c r="BF14" s="166"/>
      <c r="BG14" s="166"/>
      <c r="BH14" s="166"/>
      <c r="BI14" s="166"/>
      <c r="BJ14" s="166"/>
      <c r="BK14" s="166"/>
      <c r="BL14" s="166"/>
      <c r="BM14" s="166"/>
      <c r="BN14" s="166"/>
      <c r="BO14" s="166"/>
      <c r="BP14" s="166"/>
      <c r="BQ14" s="166"/>
      <c r="BR14" s="166"/>
      <c r="BS14" s="166"/>
      <c r="BT14" s="166"/>
      <c r="BU14" s="166"/>
      <c r="BV14" s="166"/>
      <c r="BW14" s="166"/>
      <c r="BX14" s="166"/>
      <c r="BY14" s="166"/>
      <c r="BZ14" s="166"/>
    </row>
    <row r="15" spans="1:78" ht="15" customHeight="1">
      <c r="A15" s="36"/>
      <c r="B15" s="36" t="s">
        <v>201</v>
      </c>
      <c r="C15" s="24"/>
      <c r="D15" s="44"/>
      <c r="E15" s="198" t="s">
        <v>651</v>
      </c>
      <c r="F15" s="37" t="s">
        <v>199</v>
      </c>
      <c r="G15" s="26"/>
      <c r="H15" s="3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66"/>
      <c r="AO15" s="166"/>
      <c r="AP15" s="166"/>
      <c r="AQ15" s="166"/>
      <c r="AR15" s="166"/>
      <c r="AS15" s="166"/>
      <c r="AT15" s="166"/>
      <c r="AU15" s="166"/>
      <c r="AV15" s="166"/>
      <c r="AW15" s="166"/>
      <c r="AX15" s="166"/>
      <c r="AY15" s="166"/>
      <c r="AZ15" s="166"/>
      <c r="BA15" s="166"/>
      <c r="BB15" s="166"/>
      <c r="BC15" s="166"/>
      <c r="BD15" s="166"/>
      <c r="BE15" s="166"/>
      <c r="BF15" s="166"/>
      <c r="BG15" s="166"/>
      <c r="BH15" s="166"/>
      <c r="BI15" s="166"/>
      <c r="BJ15" s="166"/>
      <c r="BK15" s="166"/>
      <c r="BL15" s="166"/>
      <c r="BM15" s="166"/>
      <c r="BN15" s="166"/>
      <c r="BO15" s="166"/>
      <c r="BP15" s="166"/>
      <c r="BQ15" s="166"/>
      <c r="BR15" s="166"/>
      <c r="BS15" s="166"/>
      <c r="BT15" s="166"/>
      <c r="BU15" s="166"/>
      <c r="BV15" s="166"/>
      <c r="BW15" s="166"/>
      <c r="BX15" s="166"/>
      <c r="BY15" s="166"/>
      <c r="BZ15" s="166"/>
    </row>
    <row r="16" spans="1:78" ht="15" customHeight="1">
      <c r="A16" s="36"/>
      <c r="B16" s="36" t="s">
        <v>202</v>
      </c>
      <c r="C16" s="34"/>
      <c r="D16" s="24" t="s">
        <v>349</v>
      </c>
      <c r="E16" s="199" t="s">
        <v>398</v>
      </c>
      <c r="F16" s="37" t="s">
        <v>200</v>
      </c>
      <c r="G16" s="33"/>
      <c r="H16" s="3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66"/>
      <c r="AO16" s="166"/>
      <c r="AP16" s="166"/>
      <c r="AQ16" s="166"/>
      <c r="AR16" s="166"/>
      <c r="AS16" s="166"/>
      <c r="AT16" s="166"/>
      <c r="AU16" s="166"/>
      <c r="AV16" s="166"/>
      <c r="AW16" s="166"/>
      <c r="AX16" s="166"/>
      <c r="AY16" s="166"/>
      <c r="AZ16" s="166"/>
      <c r="BA16" s="166"/>
      <c r="BB16" s="166"/>
      <c r="BC16" s="166"/>
      <c r="BD16" s="166"/>
      <c r="BE16" s="166"/>
      <c r="BF16" s="166"/>
      <c r="BG16" s="166"/>
      <c r="BH16" s="166"/>
      <c r="BI16" s="166"/>
      <c r="BJ16" s="166"/>
      <c r="BK16" s="166"/>
      <c r="BL16" s="166"/>
      <c r="BM16" s="166"/>
      <c r="BN16" s="166"/>
      <c r="BO16" s="166"/>
      <c r="BP16" s="166"/>
      <c r="BQ16" s="166"/>
      <c r="BR16" s="166"/>
      <c r="BS16" s="166"/>
      <c r="BT16" s="166"/>
      <c r="BU16" s="166"/>
      <c r="BV16" s="166"/>
      <c r="BW16" s="166"/>
      <c r="BX16" s="166"/>
      <c r="BY16" s="166"/>
      <c r="BZ16" s="166"/>
    </row>
    <row r="17" spans="1:78" ht="15" customHeight="1">
      <c r="A17" s="36"/>
      <c r="B17" s="36" t="s">
        <v>203</v>
      </c>
      <c r="C17" s="24" t="s">
        <v>4</v>
      </c>
      <c r="D17" s="202" t="str">
        <f>IF(C17="Yes","Yes를 선택하셨군요~ “Yes” 경우 고객에게 사전 인폼되어야 작업 가능합니다.","")</f>
        <v/>
      </c>
      <c r="E17" s="25"/>
      <c r="F17" s="25"/>
      <c r="G17" s="25"/>
      <c r="H17" s="3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66"/>
      <c r="AO17" s="166"/>
      <c r="AP17" s="166"/>
      <c r="AQ17" s="166"/>
      <c r="AR17" s="166"/>
      <c r="AS17" s="166"/>
      <c r="AT17" s="166"/>
      <c r="AU17" s="166"/>
      <c r="AV17" s="166"/>
      <c r="AW17" s="166"/>
      <c r="AX17" s="166"/>
      <c r="AY17" s="166"/>
      <c r="AZ17" s="166"/>
      <c r="BA17" s="166"/>
      <c r="BB17" s="166"/>
      <c r="BC17" s="166"/>
      <c r="BD17" s="166"/>
      <c r="BE17" s="166"/>
      <c r="BF17" s="166"/>
      <c r="BG17" s="166"/>
      <c r="BH17" s="166"/>
      <c r="BI17" s="166"/>
      <c r="BJ17" s="166"/>
      <c r="BK17" s="166"/>
      <c r="BL17" s="166"/>
      <c r="BM17" s="166"/>
      <c r="BN17" s="166"/>
      <c r="BO17" s="166"/>
      <c r="BP17" s="166"/>
      <c r="BQ17" s="166"/>
      <c r="BR17" s="166"/>
      <c r="BS17" s="166"/>
      <c r="BT17" s="166"/>
      <c r="BU17" s="166"/>
      <c r="BV17" s="166"/>
      <c r="BW17" s="166"/>
      <c r="BX17" s="166"/>
      <c r="BY17" s="166"/>
      <c r="BZ17" s="166"/>
    </row>
    <row r="18" spans="1:78" ht="15" customHeight="1">
      <c r="A18" s="36"/>
      <c r="B18" s="36"/>
      <c r="C18" s="25"/>
      <c r="D18" s="25"/>
      <c r="E18" s="25"/>
      <c r="F18" s="25"/>
      <c r="G18" s="25"/>
      <c r="H18" s="3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66"/>
      <c r="AO18" s="166"/>
      <c r="AP18" s="166"/>
      <c r="AQ18" s="166"/>
      <c r="AR18" s="166"/>
      <c r="AS18" s="166"/>
      <c r="AT18" s="166"/>
      <c r="AU18" s="166"/>
      <c r="AV18" s="166"/>
      <c r="AW18" s="166"/>
      <c r="AX18" s="166"/>
      <c r="AY18" s="166"/>
      <c r="AZ18" s="166"/>
      <c r="BA18" s="166"/>
      <c r="BB18" s="166"/>
      <c r="BC18" s="166"/>
      <c r="BD18" s="166"/>
      <c r="BE18" s="166"/>
      <c r="BF18" s="166"/>
      <c r="BG18" s="166"/>
      <c r="BH18" s="166"/>
      <c r="BI18" s="166"/>
      <c r="BJ18" s="166"/>
      <c r="BK18" s="166"/>
      <c r="BL18" s="166"/>
      <c r="BM18" s="166"/>
      <c r="BN18" s="166"/>
      <c r="BO18" s="166"/>
      <c r="BP18" s="166"/>
      <c r="BQ18" s="166"/>
      <c r="BR18" s="166"/>
      <c r="BS18" s="166"/>
      <c r="BT18" s="166"/>
      <c r="BU18" s="166"/>
      <c r="BV18" s="166"/>
      <c r="BW18" s="166"/>
      <c r="BX18" s="166"/>
      <c r="BY18" s="166"/>
      <c r="BZ18" s="166"/>
    </row>
    <row r="19" spans="1:78" ht="15" customHeight="1">
      <c r="A19" s="36"/>
      <c r="B19" s="40" t="s">
        <v>6</v>
      </c>
      <c r="C19" s="25" t="s">
        <v>685</v>
      </c>
      <c r="D19" s="25" t="s">
        <v>198</v>
      </c>
      <c r="E19" s="25" t="s">
        <v>2</v>
      </c>
      <c r="F19" s="25" t="s">
        <v>0</v>
      </c>
      <c r="G19" s="25" t="s">
        <v>1</v>
      </c>
      <c r="H19" s="36"/>
      <c r="I19" s="166"/>
      <c r="J19" s="166"/>
      <c r="K19" s="166"/>
      <c r="L19" s="166"/>
      <c r="M19" s="166"/>
      <c r="N19" s="166"/>
      <c r="O19" s="166"/>
      <c r="Q19" s="166"/>
      <c r="R19" s="166"/>
      <c r="S19" s="166"/>
      <c r="T19" s="166"/>
      <c r="U19" s="166"/>
      <c r="V19" s="166"/>
      <c r="W19" s="166"/>
      <c r="X19" s="166"/>
      <c r="Y19" s="166"/>
      <c r="Z19" s="166"/>
      <c r="AA19" s="166"/>
      <c r="AB19" s="166"/>
      <c r="AC19" s="166"/>
      <c r="AD19" s="166"/>
      <c r="AE19" s="166"/>
      <c r="AF19" s="166"/>
      <c r="AG19" s="166"/>
      <c r="AH19" s="166"/>
      <c r="AI19" s="166"/>
      <c r="AJ19" s="166"/>
      <c r="AK19" s="166"/>
      <c r="AL19" s="166"/>
      <c r="AM19" s="166"/>
      <c r="AN19" s="166"/>
      <c r="AO19" s="166"/>
      <c r="AP19" s="166"/>
      <c r="AQ19" s="166"/>
      <c r="AR19" s="166"/>
      <c r="AS19" s="166"/>
      <c r="AT19" s="166"/>
      <c r="AU19" s="166"/>
      <c r="AV19" s="166"/>
      <c r="AW19" s="166"/>
      <c r="AX19" s="166"/>
      <c r="AY19" s="166"/>
      <c r="AZ19" s="166"/>
      <c r="BA19" s="166"/>
      <c r="BB19" s="166"/>
      <c r="BC19" s="166"/>
      <c r="BD19" s="166"/>
      <c r="BE19" s="166"/>
      <c r="BF19" s="166"/>
      <c r="BG19" s="166"/>
      <c r="BH19" s="166"/>
      <c r="BI19" s="166"/>
      <c r="BJ19" s="166"/>
      <c r="BK19" s="166"/>
      <c r="BL19" s="166"/>
      <c r="BM19" s="166"/>
      <c r="BN19" s="166"/>
      <c r="BO19" s="166"/>
      <c r="BP19" s="166"/>
      <c r="BQ19" s="166"/>
      <c r="BR19" s="166"/>
      <c r="BS19" s="166"/>
      <c r="BT19" s="166"/>
      <c r="BU19" s="166"/>
      <c r="BV19" s="166"/>
      <c r="BW19" s="166"/>
      <c r="BX19" s="166"/>
      <c r="BY19" s="166"/>
      <c r="BZ19" s="166"/>
    </row>
    <row r="20" spans="1:78" ht="15" customHeight="1">
      <c r="A20" s="36"/>
      <c r="B20" s="36" t="s">
        <v>348</v>
      </c>
      <c r="C20" s="27">
        <v>0</v>
      </c>
      <c r="D20" s="28">
        <v>0</v>
      </c>
      <c r="E20" s="27">
        <v>0</v>
      </c>
      <c r="F20" s="28">
        <v>0</v>
      </c>
      <c r="G20" s="29"/>
      <c r="H20" s="36"/>
      <c r="I20" s="166"/>
      <c r="J20" s="166"/>
      <c r="K20" s="166"/>
      <c r="L20" s="166"/>
      <c r="M20" s="166"/>
      <c r="N20" s="166"/>
      <c r="O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66"/>
      <c r="AO20" s="166"/>
      <c r="AP20" s="166"/>
      <c r="AQ20" s="166"/>
      <c r="AR20" s="166"/>
      <c r="AS20" s="166"/>
      <c r="AT20" s="166"/>
      <c r="AU20" s="166"/>
      <c r="AV20" s="166"/>
      <c r="AW20" s="166"/>
      <c r="AX20" s="166"/>
      <c r="AY20" s="166"/>
      <c r="AZ20" s="166"/>
      <c r="BA20" s="166"/>
      <c r="BB20" s="166"/>
      <c r="BC20" s="166"/>
      <c r="BD20" s="166"/>
      <c r="BE20" s="166"/>
      <c r="BF20" s="166"/>
      <c r="BG20" s="166"/>
      <c r="BH20" s="166"/>
      <c r="BI20" s="166"/>
      <c r="BJ20" s="166"/>
      <c r="BK20" s="166"/>
      <c r="BL20" s="166"/>
      <c r="BM20" s="166"/>
      <c r="BN20" s="166"/>
      <c r="BO20" s="166"/>
      <c r="BP20" s="166"/>
      <c r="BQ20" s="166"/>
      <c r="BR20" s="166"/>
      <c r="BS20" s="166"/>
      <c r="BT20" s="166"/>
      <c r="BU20" s="166"/>
      <c r="BV20" s="166"/>
      <c r="BW20" s="166"/>
      <c r="BX20" s="166"/>
      <c r="BY20" s="166"/>
      <c r="BZ20" s="166"/>
    </row>
    <row r="21" spans="1:78" ht="15" customHeight="1">
      <c r="A21" s="36"/>
      <c r="B21" s="36" t="s">
        <v>204</v>
      </c>
      <c r="C21" s="30">
        <f>IF(C20="","",C20)</f>
        <v>0</v>
      </c>
      <c r="D21" s="31">
        <f t="shared" ref="D21" si="2">IF(D20="","",D20)</f>
        <v>0</v>
      </c>
      <c r="E21" s="30">
        <f>IF(E20="","",E20)</f>
        <v>0</v>
      </c>
      <c r="F21" s="31">
        <f>IF(F20="","",F20)</f>
        <v>0</v>
      </c>
      <c r="G21" s="32" t="str">
        <f>IF(G20="","",G20)</f>
        <v/>
      </c>
      <c r="H21" s="36"/>
      <c r="I21" s="166"/>
      <c r="J21" s="166"/>
      <c r="K21" s="166"/>
      <c r="L21" s="166"/>
      <c r="M21" s="166"/>
      <c r="N21" s="166"/>
      <c r="O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66"/>
      <c r="AO21" s="166"/>
      <c r="AP21" s="166"/>
      <c r="AQ21" s="166"/>
      <c r="AR21" s="166"/>
      <c r="AS21" s="166"/>
      <c r="AT21" s="166"/>
      <c r="AU21" s="166"/>
      <c r="AV21" s="166"/>
      <c r="AW21" s="166"/>
      <c r="AX21" s="166"/>
      <c r="AY21" s="166"/>
      <c r="AZ21" s="166"/>
      <c r="BA21" s="166"/>
      <c r="BB21" s="166"/>
      <c r="BC21" s="166"/>
      <c r="BD21" s="166"/>
      <c r="BE21" s="166"/>
      <c r="BF21" s="166"/>
      <c r="BG21" s="166"/>
      <c r="BH21" s="166"/>
      <c r="BI21" s="166"/>
      <c r="BJ21" s="166"/>
      <c r="BK21" s="166"/>
      <c r="BL21" s="166"/>
      <c r="BM21" s="166"/>
      <c r="BN21" s="166"/>
      <c r="BO21" s="166"/>
      <c r="BP21" s="166"/>
      <c r="BQ21" s="166"/>
      <c r="BR21" s="166"/>
      <c r="BS21" s="166"/>
      <c r="BT21" s="166"/>
      <c r="BU21" s="166"/>
      <c r="BV21" s="166"/>
      <c r="BW21" s="166"/>
      <c r="BX21" s="166"/>
      <c r="BY21" s="166"/>
      <c r="BZ21" s="166"/>
    </row>
    <row r="22" spans="1:78" ht="15" customHeight="1">
      <c r="A22" s="36"/>
      <c r="B22" s="36" t="s">
        <v>205</v>
      </c>
      <c r="C22" s="30">
        <f>IF(C20="","",C20)</f>
        <v>0</v>
      </c>
      <c r="D22" s="31">
        <f t="shared" ref="D22" si="3">IF(D20="","",D20)</f>
        <v>0</v>
      </c>
      <c r="E22" s="30">
        <f>IF(E20="","",E20)</f>
        <v>0</v>
      </c>
      <c r="F22" s="31">
        <f>IF(F20="","",F20)</f>
        <v>0</v>
      </c>
      <c r="G22" s="32" t="str">
        <f t="shared" ref="G22" si="4">IF(G20="","",G20)</f>
        <v/>
      </c>
      <c r="H22" s="36"/>
      <c r="I22" s="166"/>
      <c r="J22" s="166"/>
      <c r="K22" s="166"/>
      <c r="L22" s="166"/>
      <c r="M22" s="166"/>
      <c r="N22" s="166"/>
      <c r="O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66"/>
      <c r="AO22" s="166"/>
      <c r="AP22" s="166"/>
      <c r="AQ22" s="166"/>
      <c r="AR22" s="166"/>
      <c r="AS22" s="166"/>
      <c r="AT22" s="166"/>
      <c r="AU22" s="166"/>
      <c r="AV22" s="166"/>
      <c r="AW22" s="166"/>
      <c r="AX22" s="166"/>
      <c r="AY22" s="166"/>
      <c r="AZ22" s="166"/>
      <c r="BA22" s="166"/>
      <c r="BB22" s="166"/>
      <c r="BC22" s="166"/>
      <c r="BD22" s="166"/>
      <c r="BE22" s="166"/>
      <c r="BF22" s="166"/>
      <c r="BG22" s="166"/>
      <c r="BH22" s="166"/>
      <c r="BI22" s="166"/>
      <c r="BJ22" s="166"/>
      <c r="BK22" s="166"/>
      <c r="BL22" s="166"/>
      <c r="BM22" s="166"/>
      <c r="BN22" s="166"/>
      <c r="BO22" s="166"/>
      <c r="BP22" s="166"/>
      <c r="BQ22" s="166"/>
      <c r="BR22" s="166"/>
      <c r="BS22" s="166"/>
      <c r="BT22" s="166"/>
      <c r="BU22" s="166"/>
      <c r="BV22" s="166"/>
      <c r="BW22" s="166"/>
      <c r="BX22" s="166"/>
      <c r="BY22" s="166"/>
      <c r="BZ22" s="166"/>
    </row>
    <row r="23" spans="1:78" ht="15" customHeight="1">
      <c r="A23" s="36"/>
      <c r="B23" s="36" t="s">
        <v>206</v>
      </c>
      <c r="C23" s="30">
        <f>IF(C20="","",C20)</f>
        <v>0</v>
      </c>
      <c r="D23" s="31">
        <f>IF(D20="","",D20)</f>
        <v>0</v>
      </c>
      <c r="E23" s="30">
        <f>IF(E20="","",E20)</f>
        <v>0</v>
      </c>
      <c r="F23" s="31">
        <f>IF(F20="","",F20)</f>
        <v>0</v>
      </c>
      <c r="G23" s="32" t="str">
        <f>IF(G20="","",G20)</f>
        <v/>
      </c>
      <c r="H23" s="36"/>
      <c r="I23" s="166"/>
      <c r="J23" s="166"/>
      <c r="K23" s="166"/>
      <c r="L23" s="166"/>
      <c r="M23" s="166"/>
      <c r="N23" s="166"/>
      <c r="O23" s="166"/>
      <c r="Q23" s="166"/>
      <c r="R23" s="166"/>
      <c r="S23" s="166"/>
      <c r="T23" s="166"/>
      <c r="U23" s="166"/>
      <c r="V23" s="166"/>
      <c r="W23" s="166"/>
      <c r="X23" s="166"/>
      <c r="Y23" s="166"/>
      <c r="Z23" s="166"/>
      <c r="AA23" s="166"/>
      <c r="AB23" s="166"/>
      <c r="AC23" s="166"/>
      <c r="AD23" s="166"/>
      <c r="AE23" s="166"/>
      <c r="AF23" s="166"/>
      <c r="AG23" s="166"/>
      <c r="AH23" s="166"/>
      <c r="AI23" s="166"/>
      <c r="AJ23" s="166"/>
      <c r="AK23" s="166"/>
      <c r="AL23" s="166"/>
      <c r="AM23" s="166"/>
      <c r="AN23" s="166"/>
      <c r="AO23" s="166"/>
      <c r="AP23" s="166"/>
      <c r="AQ23" s="166"/>
      <c r="AR23" s="166"/>
      <c r="AS23" s="166"/>
      <c r="AT23" s="166"/>
      <c r="AU23" s="166"/>
      <c r="AV23" s="166"/>
      <c r="AW23" s="166"/>
      <c r="AX23" s="166"/>
      <c r="AY23" s="166"/>
      <c r="AZ23" s="166"/>
      <c r="BA23" s="166"/>
      <c r="BB23" s="166"/>
      <c r="BC23" s="166"/>
      <c r="BD23" s="166"/>
      <c r="BE23" s="166"/>
      <c r="BF23" s="166"/>
      <c r="BG23" s="166"/>
      <c r="BH23" s="166"/>
      <c r="BI23" s="166"/>
      <c r="BJ23" s="166"/>
      <c r="BK23" s="166"/>
      <c r="BL23" s="166"/>
      <c r="BM23" s="166"/>
      <c r="BN23" s="166"/>
      <c r="BO23" s="166"/>
      <c r="BP23" s="166"/>
      <c r="BQ23" s="166"/>
      <c r="BR23" s="166"/>
      <c r="BS23" s="166"/>
      <c r="BT23" s="166"/>
      <c r="BU23" s="166"/>
      <c r="BV23" s="166"/>
      <c r="BW23" s="166"/>
      <c r="BX23" s="166"/>
      <c r="BY23" s="166"/>
      <c r="BZ23" s="166"/>
    </row>
    <row r="24" spans="1:78" ht="15" customHeight="1">
      <c r="A24" s="36"/>
      <c r="B24" s="36" t="s">
        <v>649</v>
      </c>
      <c r="C24" s="159" t="str">
        <f>IF(C25="","",C25)</f>
        <v/>
      </c>
      <c r="D24" s="160" t="str">
        <f>IF(D25="","",D25)</f>
        <v/>
      </c>
      <c r="E24" s="161" t="str">
        <f t="shared" ref="E24" si="5">IF(E25="","",E25)</f>
        <v/>
      </c>
      <c r="F24" s="160" t="str">
        <f>IF(F25="","",F25)</f>
        <v/>
      </c>
      <c r="G24" s="163" t="str">
        <f>IF(G25="","",G25)</f>
        <v/>
      </c>
      <c r="H24" s="36"/>
      <c r="I24" s="166"/>
      <c r="J24" s="166"/>
      <c r="K24" s="166"/>
      <c r="L24" s="166"/>
      <c r="M24" s="166"/>
      <c r="N24" s="166"/>
      <c r="O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66"/>
      <c r="AO24" s="166"/>
      <c r="AP24" s="166"/>
      <c r="AQ24" s="166"/>
      <c r="AR24" s="166"/>
      <c r="AS24" s="166"/>
      <c r="AT24" s="166"/>
      <c r="AU24" s="166"/>
      <c r="AV24" s="166"/>
      <c r="AW24" s="166"/>
      <c r="AX24" s="166"/>
      <c r="AY24" s="166"/>
      <c r="AZ24" s="166"/>
      <c r="BA24" s="166"/>
      <c r="BB24" s="166"/>
      <c r="BC24" s="166"/>
      <c r="BD24" s="166"/>
      <c r="BE24" s="166"/>
      <c r="BF24" s="166"/>
      <c r="BG24" s="166"/>
      <c r="BH24" s="166"/>
      <c r="BI24" s="166"/>
      <c r="BJ24" s="166"/>
      <c r="BK24" s="166"/>
      <c r="BL24" s="166"/>
      <c r="BM24" s="166"/>
      <c r="BN24" s="166"/>
      <c r="BO24" s="166"/>
      <c r="BP24" s="166"/>
      <c r="BQ24" s="166"/>
      <c r="BR24" s="166"/>
      <c r="BS24" s="166"/>
      <c r="BT24" s="166"/>
      <c r="BU24" s="166"/>
      <c r="BV24" s="166"/>
      <c r="BW24" s="166"/>
      <c r="BX24" s="166"/>
      <c r="BY24" s="166"/>
      <c r="BZ24" s="166"/>
    </row>
    <row r="25" spans="1:78" ht="15" customHeight="1">
      <c r="A25" s="36"/>
      <c r="B25" s="36" t="s">
        <v>650</v>
      </c>
      <c r="C25" s="156"/>
      <c r="D25" s="157"/>
      <c r="E25" s="158"/>
      <c r="F25" s="157"/>
      <c r="G25" s="162"/>
      <c r="H25" s="36"/>
      <c r="I25" s="166"/>
      <c r="J25" s="166"/>
      <c r="K25" s="166"/>
      <c r="L25" s="166"/>
      <c r="M25" s="166"/>
      <c r="N25" s="166"/>
      <c r="O25" s="166"/>
      <c r="Q25" s="166"/>
      <c r="R25" s="166"/>
      <c r="S25" s="166"/>
      <c r="T25" s="166"/>
      <c r="U25" s="166"/>
      <c r="V25" s="166"/>
      <c r="W25" s="166"/>
      <c r="X25" s="166"/>
      <c r="Y25" s="166"/>
      <c r="Z25" s="166"/>
      <c r="AA25" s="166"/>
      <c r="AB25" s="166"/>
      <c r="AC25" s="166"/>
      <c r="AD25" s="166"/>
      <c r="AE25" s="166"/>
      <c r="AF25" s="166"/>
      <c r="AG25" s="166"/>
      <c r="AH25" s="166"/>
      <c r="AI25" s="166"/>
      <c r="AJ25" s="166"/>
      <c r="AK25" s="166"/>
      <c r="AL25" s="166"/>
      <c r="AM25" s="166"/>
      <c r="AN25" s="166"/>
      <c r="AO25" s="166"/>
      <c r="AP25" s="166"/>
      <c r="AQ25" s="166"/>
      <c r="AR25" s="166"/>
      <c r="AS25" s="166"/>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c r="BS25" s="166"/>
      <c r="BT25" s="166"/>
      <c r="BU25" s="166"/>
      <c r="BV25" s="166"/>
      <c r="BW25" s="166"/>
      <c r="BX25" s="166"/>
      <c r="BY25" s="166"/>
      <c r="BZ25" s="166"/>
    </row>
    <row r="26" spans="1:78" ht="15" hidden="1" customHeight="1">
      <c r="A26" s="36"/>
      <c r="B26" s="36" t="s">
        <v>216</v>
      </c>
      <c r="C26" s="159" t="str">
        <f>IF(C25="","",C25)</f>
        <v/>
      </c>
      <c r="D26" s="160" t="str">
        <f t="shared" ref="D26" si="6">IF(D25="","",D25)</f>
        <v/>
      </c>
      <c r="E26" s="161" t="str">
        <f>IF(E25="","",E25)</f>
        <v/>
      </c>
      <c r="F26" s="160" t="str">
        <f>IF(F25="","",F25)</f>
        <v/>
      </c>
      <c r="G26" s="163" t="str">
        <f>IF(G25="","",G25)</f>
        <v/>
      </c>
      <c r="H26" s="36"/>
      <c r="I26" s="166"/>
      <c r="J26" s="166"/>
      <c r="K26" s="166"/>
      <c r="L26" s="166"/>
      <c r="M26" s="166"/>
      <c r="N26" s="166"/>
      <c r="O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66"/>
      <c r="AO26" s="166"/>
      <c r="AP26" s="166"/>
      <c r="AQ26" s="166"/>
      <c r="AR26" s="166"/>
      <c r="AS26" s="166"/>
      <c r="AT26" s="166"/>
      <c r="AU26" s="166"/>
      <c r="AV26" s="166"/>
      <c r="AW26" s="166"/>
      <c r="AX26" s="166"/>
      <c r="AY26" s="166"/>
      <c r="AZ26" s="166"/>
      <c r="BA26" s="166"/>
      <c r="BB26" s="166"/>
      <c r="BC26" s="166"/>
      <c r="BD26" s="166"/>
      <c r="BE26" s="166"/>
      <c r="BF26" s="166"/>
      <c r="BG26" s="166"/>
      <c r="BH26" s="166"/>
      <c r="BI26" s="166"/>
      <c r="BJ26" s="166"/>
      <c r="BK26" s="166"/>
      <c r="BL26" s="166"/>
      <c r="BM26" s="166"/>
      <c r="BN26" s="166"/>
      <c r="BO26" s="166"/>
      <c r="BP26" s="166"/>
      <c r="BQ26" s="166"/>
      <c r="BR26" s="166"/>
      <c r="BS26" s="166"/>
      <c r="BT26" s="166"/>
      <c r="BU26" s="166"/>
      <c r="BV26" s="166"/>
      <c r="BW26" s="166"/>
      <c r="BX26" s="166"/>
      <c r="BY26" s="166"/>
      <c r="BZ26" s="166"/>
    </row>
    <row r="27" spans="1:78" ht="15" customHeight="1">
      <c r="A27" s="36"/>
      <c r="B27" s="36"/>
      <c r="C27" s="201" t="str">
        <f>IF(C20=0,"","OBQ가 0.00 아니고 값이 있습니다. TCV &amp; GSV after Loading 물량은 수동으로 계산된 값을 입력합니다.")</f>
        <v/>
      </c>
      <c r="D27" s="25"/>
      <c r="E27" s="25"/>
      <c r="F27" s="25"/>
      <c r="G27" s="25"/>
      <c r="H27" s="36"/>
      <c r="I27" s="166"/>
      <c r="J27" s="166"/>
      <c r="K27" s="166"/>
      <c r="L27" s="166"/>
      <c r="M27" s="166"/>
      <c r="N27" s="166"/>
      <c r="O27" s="16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c r="AQ27" s="166"/>
      <c r="AR27" s="166"/>
      <c r="AS27" s="166"/>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c r="BS27" s="166"/>
      <c r="BT27" s="166"/>
      <c r="BU27" s="166"/>
      <c r="BV27" s="166"/>
      <c r="BW27" s="166"/>
      <c r="BX27" s="166"/>
      <c r="BY27" s="166"/>
      <c r="BZ27" s="166"/>
    </row>
    <row r="28" spans="1:78" ht="15" customHeight="1">
      <c r="A28" s="36"/>
      <c r="B28" s="36" t="s">
        <v>219</v>
      </c>
      <c r="C28" s="35" t="str">
        <f>IF(C15="","",C15)</f>
        <v/>
      </c>
      <c r="D28" s="25"/>
      <c r="E28" s="25"/>
      <c r="F28" s="37" t="s">
        <v>199</v>
      </c>
      <c r="G28" s="99" t="str">
        <f>IF(G15="","",G15)</f>
        <v/>
      </c>
      <c r="H28" s="3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c r="AQ28" s="166"/>
      <c r="AR28" s="166"/>
      <c r="AS28" s="166"/>
      <c r="AT28" s="166"/>
      <c r="AU28" s="166"/>
      <c r="AV28" s="166"/>
      <c r="AW28" s="166"/>
      <c r="AX28" s="166"/>
      <c r="AY28" s="166"/>
      <c r="AZ28" s="166"/>
      <c r="BA28" s="166"/>
      <c r="BB28" s="166"/>
      <c r="BC28" s="166"/>
      <c r="BD28" s="166"/>
      <c r="BE28" s="166"/>
      <c r="BF28" s="166"/>
      <c r="BG28" s="166"/>
      <c r="BH28" s="166"/>
      <c r="BI28" s="166"/>
      <c r="BJ28" s="166"/>
      <c r="BK28" s="166"/>
      <c r="BL28" s="166"/>
      <c r="BM28" s="166"/>
      <c r="BN28" s="166"/>
      <c r="BO28" s="166"/>
      <c r="BP28" s="166"/>
      <c r="BQ28" s="166"/>
      <c r="BR28" s="166"/>
      <c r="BS28" s="166"/>
      <c r="BT28" s="166"/>
      <c r="BU28" s="166"/>
      <c r="BV28" s="166"/>
      <c r="BW28" s="166"/>
      <c r="BX28" s="166"/>
      <c r="BY28" s="166"/>
      <c r="BZ28" s="166"/>
    </row>
    <row r="29" spans="1:78" ht="15" customHeight="1">
      <c r="A29" s="36"/>
      <c r="B29" s="36" t="s">
        <v>207</v>
      </c>
      <c r="C29" s="34"/>
      <c r="D29" s="35" t="str">
        <f>IF(D16="","",D16)</f>
        <v>°F</v>
      </c>
      <c r="E29" s="25"/>
      <c r="F29" s="37" t="s">
        <v>200</v>
      </c>
      <c r="G29" s="100" t="str">
        <f>IF(G16="","",G16)</f>
        <v/>
      </c>
      <c r="H29" s="36"/>
      <c r="I29" s="166"/>
      <c r="J29" s="166"/>
      <c r="K29" s="166"/>
      <c r="L29" s="166"/>
      <c r="M29" s="166"/>
      <c r="N29" s="166"/>
      <c r="O29" s="16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c r="AQ29" s="166"/>
      <c r="AR29" s="166"/>
      <c r="AS29" s="166"/>
      <c r="AT29" s="166"/>
      <c r="AU29" s="166"/>
      <c r="AV29" s="166"/>
      <c r="AW29" s="166"/>
      <c r="AX29" s="166"/>
      <c r="AY29" s="166"/>
      <c r="AZ29" s="166"/>
      <c r="BA29" s="166"/>
      <c r="BB29" s="166"/>
      <c r="BC29" s="166"/>
      <c r="BD29" s="166"/>
      <c r="BE29" s="166"/>
      <c r="BF29" s="166"/>
      <c r="BG29" s="166"/>
      <c r="BH29" s="166"/>
      <c r="BI29" s="166"/>
      <c r="BJ29" s="166"/>
      <c r="BK29" s="166"/>
      <c r="BL29" s="166"/>
      <c r="BM29" s="166"/>
      <c r="BN29" s="166"/>
      <c r="BO29" s="166"/>
      <c r="BP29" s="166"/>
      <c r="BQ29" s="166"/>
      <c r="BR29" s="166"/>
      <c r="BS29" s="166"/>
      <c r="BT29" s="166"/>
      <c r="BU29" s="166"/>
      <c r="BV29" s="166"/>
      <c r="BW29" s="166"/>
      <c r="BX29" s="166"/>
      <c r="BY29" s="166"/>
      <c r="BZ29" s="166"/>
    </row>
    <row r="30" spans="1:78" ht="15" hidden="1" customHeight="1">
      <c r="A30" s="36"/>
      <c r="B30" s="36" t="s">
        <v>215</v>
      </c>
      <c r="C30" s="34"/>
      <c r="D30" s="35" t="str">
        <f>IF(D29="","",D29)</f>
        <v>°F</v>
      </c>
      <c r="E30" s="25"/>
      <c r="F30" s="25"/>
      <c r="G30" s="25"/>
      <c r="H30" s="3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c r="AQ30" s="166"/>
      <c r="AR30" s="166"/>
      <c r="AS30" s="166"/>
      <c r="AT30" s="166"/>
      <c r="AU30" s="166"/>
      <c r="AV30" s="166"/>
      <c r="AW30" s="166"/>
      <c r="AX30" s="166"/>
      <c r="AY30" s="166"/>
      <c r="AZ30" s="166"/>
      <c r="BA30" s="166"/>
      <c r="BB30" s="166"/>
      <c r="BC30" s="166"/>
      <c r="BD30" s="166"/>
      <c r="BE30" s="166"/>
      <c r="BF30" s="166"/>
      <c r="BG30" s="166"/>
      <c r="BH30" s="166"/>
      <c r="BI30" s="166"/>
      <c r="BJ30" s="166"/>
      <c r="BK30" s="166"/>
      <c r="BL30" s="166"/>
      <c r="BM30" s="166"/>
      <c r="BN30" s="166"/>
      <c r="BO30" s="166"/>
      <c r="BP30" s="166"/>
      <c r="BQ30" s="166"/>
      <c r="BR30" s="166"/>
      <c r="BS30" s="166"/>
      <c r="BT30" s="166"/>
      <c r="BU30" s="166"/>
      <c r="BV30" s="166"/>
      <c r="BW30" s="166"/>
      <c r="BX30" s="166"/>
      <c r="BY30" s="166"/>
      <c r="BZ30" s="166"/>
    </row>
    <row r="31" spans="1:78" ht="15" hidden="1" customHeight="1">
      <c r="A31" s="36"/>
      <c r="B31" s="41" t="s">
        <v>217</v>
      </c>
      <c r="C31" s="33"/>
      <c r="D31" s="36" t="s">
        <v>20</v>
      </c>
      <c r="E31" s="25"/>
      <c r="F31" s="25"/>
      <c r="G31" s="25"/>
      <c r="H31" s="36"/>
      <c r="I31" s="166"/>
      <c r="J31" s="166"/>
      <c r="K31" s="166"/>
      <c r="L31" s="166"/>
      <c r="M31" s="166"/>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c r="AQ31" s="166"/>
      <c r="AR31" s="166"/>
      <c r="AS31" s="166"/>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c r="BS31" s="166"/>
      <c r="BT31" s="166"/>
      <c r="BU31" s="166"/>
      <c r="BV31" s="166"/>
      <c r="BW31" s="166"/>
      <c r="BX31" s="166"/>
      <c r="BY31" s="166"/>
      <c r="BZ31" s="166"/>
    </row>
    <row r="32" spans="1:78" ht="15" hidden="1" customHeight="1">
      <c r="A32" s="36"/>
      <c r="B32" s="41" t="s">
        <v>218</v>
      </c>
      <c r="C32" s="33"/>
      <c r="D32" s="36" t="s">
        <v>20</v>
      </c>
      <c r="E32" s="25"/>
      <c r="F32" s="25"/>
      <c r="G32" s="25"/>
      <c r="H32" s="3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c r="AQ32" s="166"/>
      <c r="AR32" s="166"/>
      <c r="AS32" s="166"/>
      <c r="AT32" s="166"/>
      <c r="AU32" s="166"/>
      <c r="AV32" s="166"/>
      <c r="AW32" s="166"/>
      <c r="AX32" s="166"/>
      <c r="AY32" s="166"/>
      <c r="AZ32" s="166"/>
      <c r="BA32" s="166"/>
      <c r="BB32" s="166"/>
      <c r="BC32" s="166"/>
      <c r="BD32" s="166"/>
      <c r="BE32" s="166"/>
      <c r="BF32" s="166"/>
      <c r="BG32" s="166"/>
      <c r="BH32" s="166"/>
      <c r="BI32" s="166"/>
      <c r="BJ32" s="166"/>
      <c r="BK32" s="166"/>
      <c r="BL32" s="166"/>
      <c r="BM32" s="166"/>
      <c r="BN32" s="166"/>
      <c r="BO32" s="166"/>
      <c r="BP32" s="166"/>
      <c r="BQ32" s="166"/>
      <c r="BR32" s="166"/>
      <c r="BS32" s="166"/>
      <c r="BT32" s="166"/>
      <c r="BU32" s="166"/>
      <c r="BV32" s="166"/>
      <c r="BW32" s="166"/>
      <c r="BX32" s="166"/>
      <c r="BY32" s="166"/>
      <c r="BZ32" s="166"/>
    </row>
    <row r="33" spans="1:78" ht="15" customHeight="1">
      <c r="A33" s="51"/>
      <c r="B33" s="51"/>
      <c r="C33" s="52"/>
      <c r="D33" s="53"/>
      <c r="E33" s="44"/>
      <c r="F33" s="44"/>
      <c r="G33" s="44"/>
      <c r="H33" s="51"/>
      <c r="I33" s="166"/>
      <c r="J33" s="166"/>
      <c r="K33" s="166"/>
      <c r="L33" s="166"/>
      <c r="M33" s="166"/>
      <c r="N33" s="166"/>
      <c r="O33" s="16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c r="AQ33" s="166"/>
      <c r="AR33" s="166"/>
      <c r="AS33" s="166"/>
      <c r="AT33" s="166"/>
      <c r="AU33" s="166"/>
      <c r="AV33" s="166"/>
      <c r="AW33" s="166"/>
      <c r="AX33" s="166"/>
      <c r="AY33" s="166"/>
      <c r="AZ33" s="166"/>
      <c r="BA33" s="166"/>
      <c r="BB33" s="166"/>
      <c r="BC33" s="166"/>
      <c r="BD33" s="166"/>
      <c r="BE33" s="166"/>
      <c r="BF33" s="166"/>
      <c r="BG33" s="166"/>
      <c r="BH33" s="166"/>
      <c r="BI33" s="166"/>
      <c r="BJ33" s="166"/>
      <c r="BK33" s="166"/>
      <c r="BL33" s="166"/>
      <c r="BM33" s="166"/>
      <c r="BN33" s="166"/>
      <c r="BO33" s="166"/>
      <c r="BP33" s="166"/>
      <c r="BQ33" s="166"/>
      <c r="BR33" s="166"/>
      <c r="BS33" s="166"/>
      <c r="BT33" s="166"/>
      <c r="BU33" s="166"/>
      <c r="BV33" s="166"/>
      <c r="BW33" s="166"/>
      <c r="BX33" s="166"/>
      <c r="BY33" s="166"/>
      <c r="BZ33" s="166"/>
    </row>
    <row r="34" spans="1:78" ht="9.75" customHeight="1">
      <c r="A34" s="137"/>
      <c r="B34" s="137"/>
      <c r="C34" s="139"/>
      <c r="D34" s="140"/>
      <c r="E34" s="141"/>
      <c r="F34" s="141"/>
      <c r="G34" s="141"/>
      <c r="H34" s="137"/>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c r="AT34" s="166"/>
      <c r="AU34" s="166"/>
      <c r="AV34" s="166"/>
      <c r="AW34" s="166"/>
      <c r="AX34" s="166"/>
      <c r="AY34" s="166"/>
      <c r="AZ34" s="166"/>
      <c r="BA34" s="166"/>
      <c r="BB34" s="166"/>
      <c r="BC34" s="166"/>
      <c r="BD34" s="166"/>
      <c r="BE34" s="166"/>
      <c r="BF34" s="166"/>
      <c r="BG34" s="166"/>
      <c r="BH34" s="166"/>
      <c r="BI34" s="166"/>
      <c r="BJ34" s="166"/>
      <c r="BK34" s="166"/>
      <c r="BL34" s="166"/>
      <c r="BM34" s="166"/>
      <c r="BN34" s="166"/>
      <c r="BO34" s="166"/>
      <c r="BP34" s="166"/>
      <c r="BQ34" s="166"/>
      <c r="BR34" s="166"/>
      <c r="BS34" s="166"/>
      <c r="BT34" s="166"/>
      <c r="BU34" s="166"/>
      <c r="BV34" s="166"/>
      <c r="BW34" s="166"/>
      <c r="BX34" s="166"/>
      <c r="BY34" s="166"/>
      <c r="BZ34" s="166"/>
    </row>
    <row r="35" spans="1:78" ht="15" customHeight="1">
      <c r="A35" s="137"/>
      <c r="B35" s="138" t="s">
        <v>646</v>
      </c>
      <c r="C35" s="133" t="s">
        <v>3</v>
      </c>
      <c r="D35" s="133" t="s">
        <v>198</v>
      </c>
      <c r="E35" s="133" t="s">
        <v>2</v>
      </c>
      <c r="F35" s="133" t="s">
        <v>0</v>
      </c>
      <c r="G35" s="133" t="s">
        <v>1</v>
      </c>
      <c r="H35" s="137"/>
      <c r="I35" s="166"/>
      <c r="K35" s="166"/>
      <c r="L35" s="166"/>
      <c r="M35" s="166"/>
      <c r="N35" s="166"/>
      <c r="O35" s="166"/>
      <c r="P35" s="166"/>
      <c r="Q35" s="166"/>
      <c r="R35" s="166"/>
      <c r="S35" s="166"/>
      <c r="T35" s="166"/>
      <c r="U35" s="166"/>
      <c r="V35" s="166"/>
      <c r="W35" s="166"/>
      <c r="X35" s="166"/>
      <c r="Y35" s="166"/>
      <c r="Z35" s="166"/>
      <c r="AA35" s="166"/>
      <c r="AB35" s="166"/>
      <c r="AC35" s="166"/>
      <c r="AD35" s="166"/>
      <c r="AE35" s="166"/>
      <c r="AF35" s="166"/>
      <c r="AG35" s="166"/>
      <c r="AH35" s="166"/>
      <c r="AI35" s="166"/>
      <c r="AJ35" s="166"/>
      <c r="AK35" s="166"/>
      <c r="AL35" s="166"/>
      <c r="AM35" s="166"/>
      <c r="AN35" s="166"/>
      <c r="AO35" s="166"/>
      <c r="AP35" s="166"/>
      <c r="AQ35" s="166"/>
      <c r="AR35" s="166"/>
      <c r="AS35" s="166"/>
      <c r="AT35" s="166"/>
      <c r="AU35" s="166"/>
      <c r="AV35" s="166"/>
      <c r="AW35" s="166"/>
      <c r="AX35" s="166"/>
      <c r="AY35" s="166"/>
      <c r="AZ35" s="166"/>
      <c r="BA35" s="166"/>
      <c r="BB35" s="166"/>
      <c r="BC35" s="166"/>
      <c r="BD35" s="166"/>
      <c r="BE35" s="166"/>
      <c r="BF35" s="166"/>
      <c r="BG35" s="166"/>
      <c r="BH35" s="166"/>
      <c r="BI35" s="166"/>
      <c r="BJ35" s="166"/>
      <c r="BK35" s="166"/>
      <c r="BL35" s="166"/>
      <c r="BM35" s="166"/>
      <c r="BN35" s="166"/>
      <c r="BO35" s="166"/>
      <c r="BP35" s="166"/>
      <c r="BQ35" s="166"/>
      <c r="BR35" s="166"/>
      <c r="BS35" s="166"/>
      <c r="BT35" s="166"/>
      <c r="BU35" s="166"/>
      <c r="BV35" s="166"/>
      <c r="BW35" s="166"/>
      <c r="BX35" s="166"/>
      <c r="BY35" s="166"/>
      <c r="BZ35" s="166"/>
    </row>
    <row r="36" spans="1:78" ht="15" customHeight="1">
      <c r="A36" s="137"/>
      <c r="B36" s="137" t="s">
        <v>350</v>
      </c>
      <c r="C36" s="133" t="str">
        <f>IF(OR(C12="",C25=""),"",C25-C12)</f>
        <v/>
      </c>
      <c r="D36" s="133" t="str">
        <f>IF(OR(D12="",D25=""),"",D25-D12)</f>
        <v/>
      </c>
      <c r="E36" s="133" t="str">
        <f>IF(OR(E12="",E25=""),"",E25-E12)</f>
        <v/>
      </c>
      <c r="F36" s="133" t="str">
        <f>IF(OR(F12="",F25=""),"",F25-F12)</f>
        <v/>
      </c>
      <c r="G36" s="133" t="str">
        <f>IF(OR(G12="",G25=""),"",G25-G12)</f>
        <v/>
      </c>
      <c r="H36" s="137"/>
      <c r="I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c r="AQ36" s="166"/>
      <c r="AR36" s="166"/>
      <c r="AS36" s="166"/>
      <c r="AT36" s="166"/>
      <c r="AU36" s="166"/>
      <c r="AV36" s="166"/>
      <c r="AW36" s="166"/>
      <c r="AX36" s="166"/>
      <c r="AY36" s="166"/>
      <c r="AZ36" s="166"/>
      <c r="BA36" s="166"/>
      <c r="BB36" s="166"/>
      <c r="BC36" s="166"/>
      <c r="BD36" s="166"/>
      <c r="BE36" s="166"/>
      <c r="BF36" s="166"/>
      <c r="BG36" s="166"/>
      <c r="BH36" s="166"/>
      <c r="BI36" s="166"/>
      <c r="BJ36" s="166"/>
      <c r="BK36" s="166"/>
      <c r="BL36" s="166"/>
      <c r="BM36" s="166"/>
      <c r="BN36" s="166"/>
      <c r="BO36" s="166"/>
      <c r="BP36" s="166"/>
      <c r="BQ36" s="166"/>
      <c r="BR36" s="166"/>
      <c r="BS36" s="166"/>
      <c r="BT36" s="166"/>
      <c r="BU36" s="166"/>
      <c r="BV36" s="166"/>
      <c r="BW36" s="166"/>
      <c r="BX36" s="166"/>
      <c r="BY36" s="166"/>
      <c r="BZ36" s="166"/>
    </row>
    <row r="37" spans="1:78" ht="15" customHeight="1">
      <c r="A37" s="137"/>
      <c r="B37" s="137" t="s">
        <v>351</v>
      </c>
      <c r="C37" s="134" t="str">
        <f>IF(OR(C12="",C25=""),"",C36/C12*100)</f>
        <v/>
      </c>
      <c r="D37" s="134" t="str">
        <f t="shared" ref="D37" si="7">IF(OR(D12="",D25=""),"",D36/D12*100)</f>
        <v/>
      </c>
      <c r="E37" s="134" t="str">
        <f>IF(OR(E12="",E25=""),"",E36/E12*100)</f>
        <v/>
      </c>
      <c r="F37" s="134" t="str">
        <f>IF(OR(F12="",F25=""),"",F36/F12*100)</f>
        <v/>
      </c>
      <c r="G37" s="134" t="str">
        <f>IF(OR(G12="",G25=""),"",G36/G12*100)</f>
        <v/>
      </c>
      <c r="H37" s="137"/>
      <c r="I37" s="166"/>
      <c r="K37" s="166"/>
      <c r="L37" s="166"/>
      <c r="M37" s="166"/>
      <c r="N37" s="166"/>
      <c r="O37" s="16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c r="AQ37" s="166"/>
      <c r="AR37" s="166"/>
      <c r="AS37" s="166"/>
      <c r="AT37" s="166"/>
      <c r="AU37" s="166"/>
      <c r="AV37" s="166"/>
      <c r="AW37" s="166"/>
      <c r="AX37" s="166"/>
      <c r="AY37" s="166"/>
      <c r="AZ37" s="166"/>
      <c r="BA37" s="166"/>
      <c r="BB37" s="166"/>
      <c r="BC37" s="166"/>
      <c r="BD37" s="166"/>
      <c r="BE37" s="166"/>
      <c r="BF37" s="166"/>
      <c r="BG37" s="166"/>
      <c r="BH37" s="166"/>
      <c r="BI37" s="166"/>
      <c r="BJ37" s="166"/>
      <c r="BK37" s="166"/>
      <c r="BL37" s="166"/>
      <c r="BM37" s="166"/>
      <c r="BN37" s="166"/>
      <c r="BO37" s="166"/>
      <c r="BP37" s="166"/>
      <c r="BQ37" s="166"/>
      <c r="BR37" s="166"/>
      <c r="BS37" s="166"/>
      <c r="BT37" s="166"/>
      <c r="BU37" s="166"/>
      <c r="BV37" s="166"/>
      <c r="BW37" s="166"/>
      <c r="BX37" s="166"/>
      <c r="BY37" s="166"/>
      <c r="BZ37" s="166"/>
    </row>
    <row r="38" spans="1:78" ht="9.75" customHeight="1">
      <c r="A38" s="137"/>
      <c r="B38" s="137"/>
      <c r="C38" s="141"/>
      <c r="D38" s="141"/>
      <c r="E38" s="141"/>
      <c r="F38" s="141"/>
      <c r="G38" s="141"/>
      <c r="H38" s="137"/>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c r="AQ38" s="166"/>
      <c r="AR38" s="166"/>
      <c r="AS38" s="166"/>
      <c r="AT38" s="166"/>
      <c r="AU38" s="166"/>
      <c r="AV38" s="166"/>
      <c r="AW38" s="166"/>
      <c r="AX38" s="166"/>
      <c r="AY38" s="166"/>
      <c r="AZ38" s="166"/>
      <c r="BA38" s="166"/>
      <c r="BB38" s="166"/>
      <c r="BC38" s="166"/>
      <c r="BD38" s="166"/>
      <c r="BE38" s="166"/>
      <c r="BF38" s="166"/>
      <c r="BG38" s="166"/>
      <c r="BH38" s="166"/>
      <c r="BI38" s="166"/>
      <c r="BJ38" s="166"/>
      <c r="BK38" s="166"/>
      <c r="BL38" s="166"/>
      <c r="BM38" s="166"/>
      <c r="BN38" s="166"/>
      <c r="BO38" s="166"/>
      <c r="BP38" s="166"/>
      <c r="BQ38" s="166"/>
      <c r="BR38" s="166"/>
      <c r="BS38" s="166"/>
      <c r="BT38" s="166"/>
      <c r="BU38" s="166"/>
      <c r="BV38" s="166"/>
      <c r="BW38" s="166"/>
      <c r="BX38" s="166"/>
      <c r="BY38" s="166"/>
      <c r="BZ38" s="166"/>
    </row>
    <row r="39" spans="1:78" ht="15" customHeight="1">
      <c r="A39" s="135"/>
      <c r="B39" s="135"/>
      <c r="C39" s="136"/>
      <c r="D39" s="136"/>
      <c r="E39" s="136"/>
      <c r="F39" s="136"/>
      <c r="G39" s="136"/>
      <c r="H39" s="135"/>
      <c r="I39" s="166"/>
      <c r="J39" s="166"/>
      <c r="K39" s="166"/>
      <c r="L39" s="166"/>
      <c r="M39" s="166"/>
      <c r="N39" s="166"/>
      <c r="O39" s="16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c r="AQ39" s="166"/>
      <c r="AR39" s="166"/>
      <c r="AS39" s="166"/>
      <c r="AT39" s="166"/>
      <c r="AU39" s="166"/>
      <c r="AV39" s="166"/>
      <c r="AW39" s="166"/>
      <c r="AX39" s="166"/>
      <c r="AY39" s="166"/>
      <c r="AZ39" s="166"/>
      <c r="BA39" s="166"/>
      <c r="BB39" s="166"/>
      <c r="BC39" s="166"/>
      <c r="BD39" s="166"/>
      <c r="BE39" s="166"/>
      <c r="BF39" s="166"/>
      <c r="BG39" s="166"/>
      <c r="BH39" s="166"/>
      <c r="BI39" s="166"/>
      <c r="BJ39" s="166"/>
      <c r="BK39" s="166"/>
      <c r="BL39" s="166"/>
      <c r="BM39" s="166"/>
      <c r="BN39" s="166"/>
      <c r="BO39" s="166"/>
      <c r="BP39" s="166"/>
      <c r="BQ39" s="166"/>
      <c r="BR39" s="166"/>
      <c r="BS39" s="166"/>
      <c r="BT39" s="166"/>
      <c r="BU39" s="166"/>
      <c r="BV39" s="166"/>
      <c r="BW39" s="166"/>
      <c r="BX39" s="166"/>
      <c r="BY39" s="166"/>
      <c r="BZ39" s="166"/>
    </row>
    <row r="40" spans="1:78" ht="15" customHeight="1">
      <c r="A40" s="135"/>
      <c r="B40" s="135"/>
      <c r="C40" s="136"/>
      <c r="D40" s="136"/>
      <c r="E40" s="136"/>
      <c r="F40" s="136"/>
      <c r="G40" s="136"/>
      <c r="H40" s="135"/>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c r="AQ40" s="166"/>
      <c r="AR40" s="166"/>
      <c r="AS40" s="166"/>
      <c r="AT40" s="166"/>
      <c r="AU40" s="166"/>
      <c r="AV40" s="166"/>
      <c r="AW40" s="166"/>
      <c r="AX40" s="166"/>
      <c r="AY40" s="166"/>
      <c r="AZ40" s="166"/>
      <c r="BA40" s="166"/>
      <c r="BB40" s="166"/>
      <c r="BC40" s="166"/>
      <c r="BD40" s="166"/>
      <c r="BE40" s="166"/>
      <c r="BF40" s="166"/>
      <c r="BG40" s="166"/>
      <c r="BH40" s="166"/>
      <c r="BI40" s="166"/>
      <c r="BJ40" s="166"/>
      <c r="BK40" s="166"/>
      <c r="BL40" s="166"/>
      <c r="BM40" s="166"/>
      <c r="BN40" s="166"/>
      <c r="BO40" s="166"/>
      <c r="BP40" s="166"/>
      <c r="BQ40" s="166"/>
      <c r="BR40" s="166"/>
      <c r="BS40" s="166"/>
      <c r="BT40" s="166"/>
      <c r="BU40" s="166"/>
      <c r="BV40" s="166"/>
      <c r="BW40" s="166"/>
      <c r="BX40" s="166"/>
      <c r="BY40" s="166"/>
      <c r="BZ40" s="166"/>
    </row>
  </sheetData>
  <sheetProtection sheet="1" objects="1" scenarios="1"/>
  <mergeCells count="5">
    <mergeCell ref="J1:N1"/>
    <mergeCell ref="F5:G5"/>
    <mergeCell ref="F6:G6"/>
    <mergeCell ref="F4:G4"/>
    <mergeCell ref="B1:B2"/>
  </mergeCells>
  <phoneticPr fontId="1" type="noConversion"/>
  <dataValidations count="3">
    <dataValidation type="list" allowBlank="1" showInputMessage="1" showErrorMessage="1" sqref="C15" xr:uid="{925A81FB-643B-4A7B-B647-BC435111B49A}">
      <formula1>"6, 6A, 6B, 6C, 6D, 24, 24A, 24B, 24C, 54, 54A, 54B, 54C, 54D, ANP, GOST3900, IP250, ASTM D4311, D1555, Supplied factors"</formula1>
    </dataValidation>
    <dataValidation type="list" allowBlank="1" showInputMessage="1" showErrorMessage="1" sqref="D16" xr:uid="{B0220CF7-EE93-4786-AB12-F39CE57C7E74}">
      <formula1>"°C, °F"</formula1>
    </dataValidation>
    <dataValidation type="list" allowBlank="1" showInputMessage="1" showErrorMessage="1" sqref="C17" xr:uid="{2933E11D-806A-4ABD-94A2-C6BF33E4E1B2}">
      <formula1>"Yes, No"</formula1>
    </dataValidation>
  </dataValidations>
  <pageMargins left="0.70866141732283472" right="0.45" top="0.55000000000000004" bottom="0.28000000000000003" header="0.31496062992125984" footer="0.18"/>
  <pageSetup paperSize="9"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2B0F1E6-5C18-4124-8DDF-2C6D2CB81A08}">
          <x14:formula1>
            <xm:f>Sheet3!$A$53:$A$58</xm:f>
          </x14:formula1>
          <xm:sqref>F5:G5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1B54C-EC51-4186-819D-65C783999516}">
  <sheetPr codeName="Sheet4">
    <tabColor rgb="FFFFCCFF"/>
  </sheetPr>
  <dimension ref="A1:BW167"/>
  <sheetViews>
    <sheetView workbookViewId="0">
      <pane xSplit="3" ySplit="6" topLeftCell="D35"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229</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t="s">
        <v>315</v>
      </c>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266</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702</v>
      </c>
      <c r="D7" s="260"/>
      <c r="E7" s="126" t="s">
        <v>740</v>
      </c>
      <c r="F7" s="263"/>
      <c r="G7" s="20"/>
      <c r="H7" s="20"/>
      <c r="I7" s="262" t="s">
        <v>768</v>
      </c>
      <c r="J7" s="246" t="str">
        <f>IF($C7="","",IF(AND($B7="",G7=""),"*",IF(AND($B7="v",NOT(G7="")),"*",IF(AND($B7="",NOT(G7="")),"",IF(AND($B7="v",G7=""),"")))))</f>
        <v>*</v>
      </c>
      <c r="K7" s="7"/>
      <c r="L7" s="97"/>
      <c r="M7" s="257"/>
      <c r="N7" s="253"/>
      <c r="O7" s="246" t="str">
        <f t="shared" ref="O7:O38" si="0">IF(K$4="","",IF($C7="","",IF(AND($B7="",M7=""),"*",IF(AND($B7="v",NOT(M7="")),"*",IF(AND($B7="",NOT(M7="")),"",IF(AND($B7="v",M7=""),""))))))</f>
        <v/>
      </c>
      <c r="P7" s="97"/>
      <c r="Q7" s="253"/>
      <c r="R7" s="253"/>
      <c r="S7" s="246" t="str">
        <f t="shared" ref="S7:S38" si="1">IF(O$4="","",IF($C7="","",IF(AND($B7="",Q7=""),"*",IF(AND($B7="v",NOT(Q7="")),"*",IF(AND($B7="",NOT(Q7="")),"",IF(AND($B7="v",Q7=""),""))))))</f>
        <v/>
      </c>
      <c r="T7" s="97"/>
      <c r="U7" s="253"/>
      <c r="V7" s="253"/>
      <c r="W7" s="246" t="str">
        <f t="shared" ref="W7:W38" si="2">IF(S$4="","",IF($C7="","",IF(AND($B7="",U7=""),"*",IF(AND($B7="v",NOT(U7="")),"*",IF(AND($B7="",NOT(U7="")),"",IF(AND($B7="v",U7=""),""))))))</f>
        <v/>
      </c>
      <c r="X7" s="97"/>
      <c r="Y7" s="23"/>
      <c r="Z7" s="23"/>
      <c r="AA7" s="246" t="str">
        <f t="shared" ref="AA7:AA38" si="3">IF(W$4="","",IF($C7="","",IF(AND($B7="",Y7=""),"*",IF(AND($B7="v",NOT(Y7="")),"*",IF(AND($B7="",NOT(Y7="")),"",IF(AND($B7="v",Y7=""),""))))))</f>
        <v/>
      </c>
      <c r="AB7" s="97"/>
      <c r="AC7" s="253"/>
      <c r="AD7" s="253"/>
      <c r="AE7" s="246" t="str">
        <f t="shared" ref="AE7:AE38" si="4">IF(AA$4="","",IF($C7="","",IF(AND($B7="",AC7=""),"*",IF(AND($B7="v",NOT(AC7="")),"*",IF(AND($B7="",NOT(AC7="")),"",IF(AND($B7="v",AC7=""),""))))))</f>
        <v/>
      </c>
      <c r="AF7" s="97"/>
      <c r="AG7" s="253"/>
      <c r="AH7" s="253"/>
      <c r="AI7" s="246" t="str">
        <f t="shared" ref="AI7:AI38" si="5">IF(AE$4="","",IF($C7="","",IF(AND($B7="",AG7=""),"*",IF(AND($B7="v",NOT(AG7="")),"*",IF(AND($B7="",NOT(AG7="")),"",IF(AND($B7="v",AG7=""),""))))))</f>
        <v/>
      </c>
      <c r="AJ7" s="97"/>
      <c r="AK7" s="253"/>
      <c r="AL7" s="253"/>
      <c r="AM7" s="246" t="str">
        <f t="shared" ref="AM7:AM38" si="6">IF(AI$4="","",IF($C7="","",IF(AND($B7="",AK7=""),"*",IF(AND($B7="v",NOT(AK7="")),"*",IF(AND($B7="",NOT(AK7="")),"",IF(AND($B7="v",AK7=""),""))))))</f>
        <v/>
      </c>
      <c r="AN7" s="97"/>
      <c r="AO7" s="253"/>
      <c r="AP7" s="253"/>
      <c r="AQ7" s="246" t="str">
        <f t="shared" ref="AQ7:AQ38" si="7">IF(AM$4="","",IF($C7="","",IF(AND($B7="",AO7=""),"*",IF(AND($B7="v",NOT(AO7="")),"*",IF(AND($B7="",NOT(AO7="")),"",IF(AND($B7="v",AO7=""),""))))))</f>
        <v/>
      </c>
      <c r="AR7" s="97"/>
      <c r="AS7" s="253"/>
      <c r="AT7" s="253"/>
      <c r="AU7" s="246" t="str">
        <f t="shared" ref="AU7:AU38" si="8">IF(AQ$4="","",IF($C7="","",IF(AND($B7="",AS7=""),"*",IF(AND($B7="v",NOT(AS7="")),"*",IF(AND($B7="",NOT(AS7="")),"",IF(AND($B7="v",AS7=""),""))))))</f>
        <v/>
      </c>
      <c r="AV7" s="97"/>
      <c r="AW7" s="253"/>
      <c r="AX7" s="253"/>
      <c r="AY7" s="246" t="str">
        <f t="shared" ref="AY7:AY38" si="9">IF(AU$4="","",IF($C7="","",IF(AND($B7="",AW7=""),"*",IF(AND($B7="v",NOT(AW7="")),"*",IF(AND($B7="",NOT(AW7="")),"",IF(AND($B7="v",AW7=""),""))))))</f>
        <v/>
      </c>
      <c r="AZ7" s="97"/>
      <c r="BA7" s="253"/>
      <c r="BB7" s="253"/>
      <c r="BC7" s="246" t="str">
        <f t="shared" ref="BC7:BC38" si="10">IF(AY$4="","",IF($C7="","",IF(AND($B7="",BA7=""),"*",IF(AND($B7="v",NOT(BA7="")),"*",IF(AND($B7="",NOT(BA7="")),"",IF(AND($B7="v",BA7=""),""))))))</f>
        <v/>
      </c>
      <c r="BD7" s="97"/>
      <c r="BE7" s="253"/>
      <c r="BF7" s="253"/>
      <c r="BG7" s="246" t="str">
        <f t="shared" ref="BG7:BG38" si="11">IF(BC$4="","",IF($C7="","",IF(AND($B7="",BE7=""),"*",IF(AND($B7="v",NOT(BE7="")),"*",IF(AND($B7="",NOT(BE7="")),"",IF(AND($B7="v",BE7=""),""))))))</f>
        <v/>
      </c>
      <c r="BH7" s="97"/>
      <c r="BI7" s="253"/>
      <c r="BJ7" s="253"/>
      <c r="BK7" s="246" t="str">
        <f t="shared" ref="BK7:BK38" si="12">IF(BG$4="","",IF($C7="","",IF(AND($B7="",BI7=""),"*",IF(AND($B7="v",NOT(BI7="")),"*",IF(AND($B7="",NOT(BI7="")),"",IF(AND($B7="v",BI7=""),""))))))</f>
        <v/>
      </c>
      <c r="BL7" s="97"/>
      <c r="BM7" s="253"/>
      <c r="BN7" s="253"/>
      <c r="BO7" s="246" t="str">
        <f t="shared" ref="BO7:BO38" si="13">IF(BK$4="","",IF($C7="","",IF(AND($B7="",BM7=""),"*",IF(AND($B7="v",NOT(BM7="")),"*",IF(AND($B7="",NOT(BM7="")),"",IF(AND($B7="v",BM7=""),""))))))</f>
        <v/>
      </c>
      <c r="BP7" s="97"/>
      <c r="BQ7" s="253"/>
      <c r="BR7" s="253"/>
      <c r="BS7" s="246" t="str">
        <f t="shared" ref="BS7:BS38" si="14">IF(BO$4="","",IF($C7="","",IF(AND($B7="",BQ7=""),"*",IF(AND($B7="v",NOT(BQ7="")),"*",IF(AND($B7="",NOT(BQ7="")),"",IF(AND($B7="v",BQ7=""),""))))))</f>
        <v/>
      </c>
      <c r="BT7" s="97"/>
      <c r="BU7" s="253"/>
      <c r="BV7" s="253"/>
      <c r="BW7" s="246" t="str">
        <f t="shared" ref="BW7:BW38" si="15">IF(BS$4="","",IF($C7="","",IF(AND($B7="",BU7=""),"*",IF(AND($B7="v",NOT(BU7="")),"*",IF(AND($B7="",NOT(BU7="")),"",IF(AND($B7="v",BU7=""),""))))))</f>
        <v/>
      </c>
    </row>
    <row r="8" spans="1:75">
      <c r="A8" s="88">
        <v>2</v>
      </c>
      <c r="B8" s="50"/>
      <c r="C8" s="62" t="s">
        <v>702</v>
      </c>
      <c r="D8" s="260"/>
      <c r="E8" s="126" t="s">
        <v>740</v>
      </c>
      <c r="F8" s="263"/>
      <c r="G8" s="20"/>
      <c r="H8" s="20"/>
      <c r="I8" s="262" t="s">
        <v>769</v>
      </c>
      <c r="J8" s="246" t="str">
        <f t="shared" ref="J8:J71" si="16">IF($C8="","",IF(AND($B8="",G8=""),"*",IF(AND($B8="v",NOT(G8="")),"*",IF(AND($B8="",NOT(G8="")),"",IF(AND($B8="v",G8=""),"")))))</f>
        <v>*</v>
      </c>
      <c r="K8" s="7"/>
      <c r="L8" s="97"/>
      <c r="M8" s="257"/>
      <c r="N8" s="253"/>
      <c r="O8" s="246" t="str">
        <f t="shared" si="0"/>
        <v/>
      </c>
      <c r="P8" s="97"/>
      <c r="Q8" s="253"/>
      <c r="R8" s="253"/>
      <c r="S8" s="246" t="str">
        <f t="shared" si="1"/>
        <v/>
      </c>
      <c r="T8" s="97"/>
      <c r="U8" s="253"/>
      <c r="V8" s="253"/>
      <c r="W8" s="246" t="str">
        <f t="shared" si="2"/>
        <v/>
      </c>
      <c r="X8" s="97"/>
      <c r="Y8" s="23"/>
      <c r="Z8" s="23"/>
      <c r="AA8" s="246" t="str">
        <f t="shared" si="3"/>
        <v/>
      </c>
      <c r="AB8" s="97"/>
      <c r="AC8" s="253"/>
      <c r="AD8" s="253"/>
      <c r="AE8" s="246" t="str">
        <f t="shared" si="4"/>
        <v/>
      </c>
      <c r="AF8" s="97"/>
      <c r="AG8" s="253"/>
      <c r="AH8" s="253"/>
      <c r="AI8" s="246" t="str">
        <f t="shared" si="5"/>
        <v/>
      </c>
      <c r="AJ8" s="97"/>
      <c r="AK8" s="253"/>
      <c r="AL8" s="253"/>
      <c r="AM8" s="246" t="str">
        <f t="shared" si="6"/>
        <v/>
      </c>
      <c r="AN8" s="97"/>
      <c r="AO8" s="253"/>
      <c r="AP8" s="253"/>
      <c r="AQ8" s="246" t="str">
        <f t="shared" si="7"/>
        <v/>
      </c>
      <c r="AR8" s="97"/>
      <c r="AS8" s="253"/>
      <c r="AT8" s="253"/>
      <c r="AU8" s="246" t="str">
        <f t="shared" si="8"/>
        <v/>
      </c>
      <c r="AV8" s="97"/>
      <c r="AW8" s="253"/>
      <c r="AX8" s="253"/>
      <c r="AY8" s="246" t="str">
        <f t="shared" si="9"/>
        <v/>
      </c>
      <c r="AZ8" s="97"/>
      <c r="BA8" s="253"/>
      <c r="BB8" s="253"/>
      <c r="BC8" s="246" t="str">
        <f t="shared" si="10"/>
        <v/>
      </c>
      <c r="BD8" s="97"/>
      <c r="BE8" s="253"/>
      <c r="BF8" s="253"/>
      <c r="BG8" s="246" t="str">
        <f t="shared" si="11"/>
        <v/>
      </c>
      <c r="BH8" s="97"/>
      <c r="BI8" s="253"/>
      <c r="BJ8" s="253"/>
      <c r="BK8" s="246" t="str">
        <f t="shared" si="12"/>
        <v/>
      </c>
      <c r="BL8" s="97"/>
      <c r="BM8" s="253"/>
      <c r="BN8" s="253"/>
      <c r="BO8" s="246" t="str">
        <f t="shared" si="13"/>
        <v/>
      </c>
      <c r="BP8" s="97"/>
      <c r="BQ8" s="253"/>
      <c r="BR8" s="253"/>
      <c r="BS8" s="246" t="str">
        <f t="shared" si="14"/>
        <v/>
      </c>
      <c r="BT8" s="97"/>
      <c r="BU8" s="253"/>
      <c r="BV8" s="253"/>
      <c r="BW8" s="246" t="str">
        <f t="shared" si="15"/>
        <v/>
      </c>
    </row>
    <row r="9" spans="1:75">
      <c r="A9" s="88">
        <v>3</v>
      </c>
      <c r="B9" s="50"/>
      <c r="C9" s="62" t="s">
        <v>703</v>
      </c>
      <c r="D9" s="260"/>
      <c r="E9" s="126" t="s">
        <v>741</v>
      </c>
      <c r="F9" s="261"/>
      <c r="G9" s="20"/>
      <c r="H9" s="20"/>
      <c r="I9" s="262" t="s">
        <v>770</v>
      </c>
      <c r="J9" s="246" t="str">
        <f t="shared" si="16"/>
        <v>*</v>
      </c>
      <c r="K9" s="7"/>
      <c r="L9" s="97"/>
      <c r="M9" s="257"/>
      <c r="N9" s="253"/>
      <c r="O9" s="246" t="str">
        <f t="shared" si="0"/>
        <v/>
      </c>
      <c r="P9" s="97"/>
      <c r="Q9" s="253"/>
      <c r="R9" s="253"/>
      <c r="S9" s="246" t="str">
        <f t="shared" si="1"/>
        <v/>
      </c>
      <c r="T9" s="97"/>
      <c r="U9" s="253"/>
      <c r="V9" s="253"/>
      <c r="W9" s="246" t="str">
        <f t="shared" si="2"/>
        <v/>
      </c>
      <c r="X9" s="97"/>
      <c r="Y9" s="23"/>
      <c r="Z9" s="23"/>
      <c r="AA9" s="246" t="str">
        <f t="shared" si="3"/>
        <v/>
      </c>
      <c r="AB9" s="97"/>
      <c r="AC9" s="253"/>
      <c r="AD9" s="253"/>
      <c r="AE9" s="246" t="str">
        <f t="shared" si="4"/>
        <v/>
      </c>
      <c r="AF9" s="97"/>
      <c r="AG9" s="253"/>
      <c r="AH9" s="253"/>
      <c r="AI9" s="246" t="str">
        <f t="shared" si="5"/>
        <v/>
      </c>
      <c r="AJ9" s="97"/>
      <c r="AK9" s="253"/>
      <c r="AL9" s="253"/>
      <c r="AM9" s="246" t="str">
        <f t="shared" si="6"/>
        <v/>
      </c>
      <c r="AN9" s="97"/>
      <c r="AO9" s="253"/>
      <c r="AP9" s="253"/>
      <c r="AQ9" s="246" t="str">
        <f t="shared" si="7"/>
        <v/>
      </c>
      <c r="AR9" s="97"/>
      <c r="AS9" s="253"/>
      <c r="AT9" s="253"/>
      <c r="AU9" s="246" t="str">
        <f t="shared" si="8"/>
        <v/>
      </c>
      <c r="AV9" s="97"/>
      <c r="AW9" s="253"/>
      <c r="AX9" s="253"/>
      <c r="AY9" s="246" t="str">
        <f t="shared" si="9"/>
        <v/>
      </c>
      <c r="AZ9" s="97"/>
      <c r="BA9" s="253"/>
      <c r="BB9" s="253"/>
      <c r="BC9" s="246" t="str">
        <f t="shared" si="10"/>
        <v/>
      </c>
      <c r="BD9" s="97"/>
      <c r="BE9" s="253"/>
      <c r="BF9" s="253"/>
      <c r="BG9" s="246" t="str">
        <f t="shared" si="11"/>
        <v/>
      </c>
      <c r="BH9" s="97"/>
      <c r="BI9" s="253"/>
      <c r="BJ9" s="253"/>
      <c r="BK9" s="246" t="str">
        <f t="shared" si="12"/>
        <v/>
      </c>
      <c r="BL9" s="97"/>
      <c r="BM9" s="253"/>
      <c r="BN9" s="253"/>
      <c r="BO9" s="246" t="str">
        <f t="shared" si="13"/>
        <v/>
      </c>
      <c r="BP9" s="97"/>
      <c r="BQ9" s="253"/>
      <c r="BR9" s="253"/>
      <c r="BS9" s="246" t="str">
        <f t="shared" si="14"/>
        <v/>
      </c>
      <c r="BT9" s="97"/>
      <c r="BU9" s="253"/>
      <c r="BV9" s="253"/>
      <c r="BW9" s="246" t="str">
        <f t="shared" si="15"/>
        <v/>
      </c>
    </row>
    <row r="10" spans="1:75">
      <c r="A10" s="88">
        <v>4</v>
      </c>
      <c r="B10" s="50"/>
      <c r="C10" s="62" t="s">
        <v>703</v>
      </c>
      <c r="D10" s="260"/>
      <c r="E10" s="126" t="s">
        <v>742</v>
      </c>
      <c r="F10" s="261"/>
      <c r="G10" s="20"/>
      <c r="H10" s="20"/>
      <c r="I10" s="262" t="s">
        <v>770</v>
      </c>
      <c r="J10" s="246" t="str">
        <f t="shared" si="16"/>
        <v>*</v>
      </c>
      <c r="K10" s="7"/>
      <c r="L10" s="97"/>
      <c r="M10" s="257"/>
      <c r="N10" s="253"/>
      <c r="O10" s="246" t="str">
        <f t="shared" si="0"/>
        <v/>
      </c>
      <c r="P10" s="97"/>
      <c r="Q10" s="253"/>
      <c r="R10" s="253"/>
      <c r="S10" s="246" t="str">
        <f t="shared" si="1"/>
        <v/>
      </c>
      <c r="T10" s="97"/>
      <c r="U10" s="253"/>
      <c r="V10" s="253"/>
      <c r="W10" s="246" t="str">
        <f t="shared" si="2"/>
        <v/>
      </c>
      <c r="X10" s="97"/>
      <c r="Y10" s="23"/>
      <c r="Z10" s="23"/>
      <c r="AA10" s="246" t="str">
        <f t="shared" si="3"/>
        <v/>
      </c>
      <c r="AB10" s="97"/>
      <c r="AC10" s="253"/>
      <c r="AD10" s="253"/>
      <c r="AE10" s="246" t="str">
        <f t="shared" si="4"/>
        <v/>
      </c>
      <c r="AF10" s="97"/>
      <c r="AG10" s="253"/>
      <c r="AH10" s="253"/>
      <c r="AI10" s="246" t="str">
        <f t="shared" si="5"/>
        <v/>
      </c>
      <c r="AJ10" s="97"/>
      <c r="AK10" s="253"/>
      <c r="AL10" s="253"/>
      <c r="AM10" s="246" t="str">
        <f t="shared" si="6"/>
        <v/>
      </c>
      <c r="AN10" s="97"/>
      <c r="AO10" s="253"/>
      <c r="AP10" s="253"/>
      <c r="AQ10" s="246" t="str">
        <f t="shared" si="7"/>
        <v/>
      </c>
      <c r="AR10" s="97"/>
      <c r="AS10" s="253"/>
      <c r="AT10" s="253"/>
      <c r="AU10" s="246" t="str">
        <f t="shared" si="8"/>
        <v/>
      </c>
      <c r="AV10" s="97"/>
      <c r="AW10" s="253"/>
      <c r="AX10" s="253"/>
      <c r="AY10" s="246" t="str">
        <f t="shared" si="9"/>
        <v/>
      </c>
      <c r="AZ10" s="97"/>
      <c r="BA10" s="253"/>
      <c r="BB10" s="253"/>
      <c r="BC10" s="246" t="str">
        <f t="shared" si="10"/>
        <v/>
      </c>
      <c r="BD10" s="97"/>
      <c r="BE10" s="253"/>
      <c r="BF10" s="253"/>
      <c r="BG10" s="246" t="str">
        <f t="shared" si="11"/>
        <v/>
      </c>
      <c r="BH10" s="97"/>
      <c r="BI10" s="253"/>
      <c r="BJ10" s="253"/>
      <c r="BK10" s="246" t="str">
        <f t="shared" si="12"/>
        <v/>
      </c>
      <c r="BL10" s="97"/>
      <c r="BM10" s="253"/>
      <c r="BN10" s="253"/>
      <c r="BO10" s="246" t="str">
        <f t="shared" si="13"/>
        <v/>
      </c>
      <c r="BP10" s="97"/>
      <c r="BQ10" s="253"/>
      <c r="BR10" s="253"/>
      <c r="BS10" s="246" t="str">
        <f t="shared" si="14"/>
        <v/>
      </c>
      <c r="BT10" s="97"/>
      <c r="BU10" s="253"/>
      <c r="BV10" s="253"/>
      <c r="BW10" s="246" t="str">
        <f t="shared" si="15"/>
        <v/>
      </c>
    </row>
    <row r="11" spans="1:75">
      <c r="A11" s="88">
        <v>5</v>
      </c>
      <c r="B11" s="50"/>
      <c r="C11" s="62" t="s">
        <v>704</v>
      </c>
      <c r="D11" s="260"/>
      <c r="E11" s="126" t="s">
        <v>743</v>
      </c>
      <c r="F11" s="261"/>
      <c r="G11" s="20"/>
      <c r="H11" s="20"/>
      <c r="I11" s="262" t="s">
        <v>770</v>
      </c>
      <c r="J11" s="246" t="str">
        <f t="shared" si="16"/>
        <v>*</v>
      </c>
      <c r="K11" s="7"/>
      <c r="L11" s="97"/>
      <c r="M11" s="257"/>
      <c r="N11" s="253"/>
      <c r="O11" s="246" t="str">
        <f t="shared" si="0"/>
        <v/>
      </c>
      <c r="P11" s="97"/>
      <c r="Q11" s="253"/>
      <c r="R11" s="253"/>
      <c r="S11" s="246" t="str">
        <f t="shared" si="1"/>
        <v/>
      </c>
      <c r="T11" s="97"/>
      <c r="U11" s="253"/>
      <c r="V11" s="253"/>
      <c r="W11" s="246" t="str">
        <f t="shared" si="2"/>
        <v/>
      </c>
      <c r="X11" s="97"/>
      <c r="Y11" s="23"/>
      <c r="Z11" s="23"/>
      <c r="AA11" s="246" t="str">
        <f t="shared" si="3"/>
        <v/>
      </c>
      <c r="AB11" s="97"/>
      <c r="AC11" s="253"/>
      <c r="AD11" s="253"/>
      <c r="AE11" s="246" t="str">
        <f t="shared" si="4"/>
        <v/>
      </c>
      <c r="AF11" s="97"/>
      <c r="AG11" s="253"/>
      <c r="AH11" s="253"/>
      <c r="AI11" s="246" t="str">
        <f t="shared" si="5"/>
        <v/>
      </c>
      <c r="AJ11" s="97"/>
      <c r="AK11" s="253"/>
      <c r="AL11" s="253"/>
      <c r="AM11" s="246" t="str">
        <f t="shared" si="6"/>
        <v/>
      </c>
      <c r="AN11" s="97"/>
      <c r="AO11" s="253"/>
      <c r="AP11" s="253"/>
      <c r="AQ11" s="246" t="str">
        <f t="shared" si="7"/>
        <v/>
      </c>
      <c r="AR11" s="97"/>
      <c r="AS11" s="253"/>
      <c r="AT11" s="253"/>
      <c r="AU11" s="246" t="str">
        <f t="shared" si="8"/>
        <v/>
      </c>
      <c r="AV11" s="97"/>
      <c r="AW11" s="253"/>
      <c r="AX11" s="253"/>
      <c r="AY11" s="246" t="str">
        <f t="shared" si="9"/>
        <v/>
      </c>
      <c r="AZ11" s="97"/>
      <c r="BA11" s="253"/>
      <c r="BB11" s="253"/>
      <c r="BC11" s="246" t="str">
        <f t="shared" si="10"/>
        <v/>
      </c>
      <c r="BD11" s="97"/>
      <c r="BE11" s="253"/>
      <c r="BF11" s="253"/>
      <c r="BG11" s="246" t="str">
        <f t="shared" si="11"/>
        <v/>
      </c>
      <c r="BH11" s="97"/>
      <c r="BI11" s="253"/>
      <c r="BJ11" s="253"/>
      <c r="BK11" s="246" t="str">
        <f t="shared" si="12"/>
        <v/>
      </c>
      <c r="BL11" s="97"/>
      <c r="BM11" s="253"/>
      <c r="BN11" s="253"/>
      <c r="BO11" s="246" t="str">
        <f t="shared" si="13"/>
        <v/>
      </c>
      <c r="BP11" s="97"/>
      <c r="BQ11" s="253"/>
      <c r="BR11" s="253"/>
      <c r="BS11" s="246" t="str">
        <f t="shared" si="14"/>
        <v/>
      </c>
      <c r="BT11" s="97"/>
      <c r="BU11" s="253"/>
      <c r="BV11" s="253"/>
      <c r="BW11" s="246" t="str">
        <f t="shared" si="15"/>
        <v/>
      </c>
    </row>
    <row r="12" spans="1:75">
      <c r="A12" s="88">
        <v>6</v>
      </c>
      <c r="B12" s="50"/>
      <c r="C12" s="62" t="s">
        <v>705</v>
      </c>
      <c r="D12" s="260"/>
      <c r="E12" s="126" t="s">
        <v>740</v>
      </c>
      <c r="F12" s="263"/>
      <c r="G12" s="20"/>
      <c r="H12" s="20"/>
      <c r="I12" s="262" t="s">
        <v>769</v>
      </c>
      <c r="J12" s="246" t="str">
        <f t="shared" si="16"/>
        <v>*</v>
      </c>
      <c r="K12" s="7"/>
      <c r="L12" s="97"/>
      <c r="M12" s="257"/>
      <c r="N12" s="253"/>
      <c r="O12" s="246" t="str">
        <f t="shared" si="0"/>
        <v/>
      </c>
      <c r="P12" s="97"/>
      <c r="Q12" s="253"/>
      <c r="R12" s="253"/>
      <c r="S12" s="246" t="str">
        <f t="shared" si="1"/>
        <v/>
      </c>
      <c r="T12" s="97"/>
      <c r="U12" s="253"/>
      <c r="V12" s="253"/>
      <c r="W12" s="246" t="str">
        <f t="shared" si="2"/>
        <v/>
      </c>
      <c r="X12" s="97"/>
      <c r="Y12" s="23"/>
      <c r="Z12" s="23"/>
      <c r="AA12" s="246" t="str">
        <f t="shared" si="3"/>
        <v/>
      </c>
      <c r="AB12" s="97"/>
      <c r="AC12" s="253"/>
      <c r="AD12" s="253"/>
      <c r="AE12" s="246" t="str">
        <f t="shared" si="4"/>
        <v/>
      </c>
      <c r="AF12" s="97"/>
      <c r="AG12" s="253"/>
      <c r="AH12" s="253"/>
      <c r="AI12" s="246" t="str">
        <f t="shared" si="5"/>
        <v/>
      </c>
      <c r="AJ12" s="97"/>
      <c r="AK12" s="253"/>
      <c r="AL12" s="253"/>
      <c r="AM12" s="246" t="str">
        <f t="shared" si="6"/>
        <v/>
      </c>
      <c r="AN12" s="97"/>
      <c r="AO12" s="253"/>
      <c r="AP12" s="253"/>
      <c r="AQ12" s="246" t="str">
        <f t="shared" si="7"/>
        <v/>
      </c>
      <c r="AR12" s="97"/>
      <c r="AS12" s="253"/>
      <c r="AT12" s="253"/>
      <c r="AU12" s="246" t="str">
        <f t="shared" si="8"/>
        <v/>
      </c>
      <c r="AV12" s="97"/>
      <c r="AW12" s="253"/>
      <c r="AX12" s="253"/>
      <c r="AY12" s="246" t="str">
        <f t="shared" si="9"/>
        <v/>
      </c>
      <c r="AZ12" s="97"/>
      <c r="BA12" s="253"/>
      <c r="BB12" s="253"/>
      <c r="BC12" s="246" t="str">
        <f t="shared" si="10"/>
        <v/>
      </c>
      <c r="BD12" s="97"/>
      <c r="BE12" s="253"/>
      <c r="BF12" s="253"/>
      <c r="BG12" s="246" t="str">
        <f t="shared" si="11"/>
        <v/>
      </c>
      <c r="BH12" s="97"/>
      <c r="BI12" s="253"/>
      <c r="BJ12" s="253"/>
      <c r="BK12" s="246" t="str">
        <f t="shared" si="12"/>
        <v/>
      </c>
      <c r="BL12" s="97"/>
      <c r="BM12" s="253"/>
      <c r="BN12" s="253"/>
      <c r="BO12" s="246" t="str">
        <f t="shared" si="13"/>
        <v/>
      </c>
      <c r="BP12" s="97"/>
      <c r="BQ12" s="253"/>
      <c r="BR12" s="253"/>
      <c r="BS12" s="246" t="str">
        <f t="shared" si="14"/>
        <v/>
      </c>
      <c r="BT12" s="97"/>
      <c r="BU12" s="253"/>
      <c r="BV12" s="253"/>
      <c r="BW12" s="246" t="str">
        <f t="shared" si="15"/>
        <v/>
      </c>
    </row>
    <row r="13" spans="1:75">
      <c r="A13" s="88">
        <v>7</v>
      </c>
      <c r="B13" s="50"/>
      <c r="C13" s="62" t="s">
        <v>706</v>
      </c>
      <c r="D13" s="260"/>
      <c r="E13" s="126" t="s">
        <v>744</v>
      </c>
      <c r="F13" s="261"/>
      <c r="G13" s="20"/>
      <c r="H13" s="20"/>
      <c r="I13" s="19" t="s">
        <v>771</v>
      </c>
      <c r="J13" s="246" t="str">
        <f t="shared" si="16"/>
        <v>*</v>
      </c>
      <c r="K13" s="7"/>
      <c r="L13" s="97"/>
      <c r="M13" s="257"/>
      <c r="N13" s="253"/>
      <c r="O13" s="246" t="str">
        <f t="shared" si="0"/>
        <v/>
      </c>
      <c r="P13" s="97"/>
      <c r="Q13" s="253"/>
      <c r="R13" s="253"/>
      <c r="S13" s="246" t="str">
        <f t="shared" si="1"/>
        <v/>
      </c>
      <c r="T13" s="97"/>
      <c r="U13" s="253"/>
      <c r="V13" s="253"/>
      <c r="W13" s="246" t="str">
        <f t="shared" si="2"/>
        <v/>
      </c>
      <c r="X13" s="97"/>
      <c r="Y13" s="23"/>
      <c r="Z13" s="23"/>
      <c r="AA13" s="246" t="str">
        <f t="shared" si="3"/>
        <v/>
      </c>
      <c r="AB13" s="97"/>
      <c r="AC13" s="253"/>
      <c r="AD13" s="253"/>
      <c r="AE13" s="246" t="str">
        <f t="shared" si="4"/>
        <v/>
      </c>
      <c r="AF13" s="97"/>
      <c r="AG13" s="253"/>
      <c r="AH13" s="253"/>
      <c r="AI13" s="246" t="str">
        <f t="shared" si="5"/>
        <v/>
      </c>
      <c r="AJ13" s="97"/>
      <c r="AK13" s="253"/>
      <c r="AL13" s="253"/>
      <c r="AM13" s="246" t="str">
        <f t="shared" si="6"/>
        <v/>
      </c>
      <c r="AN13" s="97"/>
      <c r="AO13" s="253"/>
      <c r="AP13" s="253"/>
      <c r="AQ13" s="246" t="str">
        <f t="shared" si="7"/>
        <v/>
      </c>
      <c r="AR13" s="97"/>
      <c r="AS13" s="253"/>
      <c r="AT13" s="253"/>
      <c r="AU13" s="246" t="str">
        <f t="shared" si="8"/>
        <v/>
      </c>
      <c r="AV13" s="97"/>
      <c r="AW13" s="253"/>
      <c r="AX13" s="253"/>
      <c r="AY13" s="246" t="str">
        <f t="shared" si="9"/>
        <v/>
      </c>
      <c r="AZ13" s="97"/>
      <c r="BA13" s="253"/>
      <c r="BB13" s="253"/>
      <c r="BC13" s="246" t="str">
        <f t="shared" si="10"/>
        <v/>
      </c>
      <c r="BD13" s="97"/>
      <c r="BE13" s="253"/>
      <c r="BF13" s="253"/>
      <c r="BG13" s="246" t="str">
        <f t="shared" si="11"/>
        <v/>
      </c>
      <c r="BH13" s="97"/>
      <c r="BI13" s="253"/>
      <c r="BJ13" s="253"/>
      <c r="BK13" s="246" t="str">
        <f t="shared" si="12"/>
        <v/>
      </c>
      <c r="BL13" s="97"/>
      <c r="BM13" s="253"/>
      <c r="BN13" s="253"/>
      <c r="BO13" s="246" t="str">
        <f t="shared" si="13"/>
        <v/>
      </c>
      <c r="BP13" s="97"/>
      <c r="BQ13" s="253"/>
      <c r="BR13" s="253"/>
      <c r="BS13" s="246" t="str">
        <f t="shared" si="14"/>
        <v/>
      </c>
      <c r="BT13" s="97"/>
      <c r="BU13" s="253"/>
      <c r="BV13" s="253"/>
      <c r="BW13" s="246" t="str">
        <f t="shared" si="15"/>
        <v/>
      </c>
    </row>
    <row r="14" spans="1:75">
      <c r="A14" s="88">
        <v>8</v>
      </c>
      <c r="B14" s="50"/>
      <c r="C14" s="62" t="s">
        <v>707</v>
      </c>
      <c r="D14" s="260"/>
      <c r="E14" s="126" t="s">
        <v>745</v>
      </c>
      <c r="F14" s="261"/>
      <c r="G14" s="20"/>
      <c r="H14" s="20"/>
      <c r="I14" s="262" t="s">
        <v>772</v>
      </c>
      <c r="J14" s="246" t="str">
        <f t="shared" si="16"/>
        <v>*</v>
      </c>
      <c r="K14" s="7"/>
      <c r="L14" s="97"/>
      <c r="M14" s="257"/>
      <c r="N14" s="253"/>
      <c r="O14" s="246" t="str">
        <f t="shared" si="0"/>
        <v/>
      </c>
      <c r="P14" s="97"/>
      <c r="Q14" s="253"/>
      <c r="R14" s="253"/>
      <c r="S14" s="246" t="str">
        <f t="shared" si="1"/>
        <v/>
      </c>
      <c r="T14" s="97"/>
      <c r="U14" s="253"/>
      <c r="V14" s="253"/>
      <c r="W14" s="246" t="str">
        <f t="shared" si="2"/>
        <v/>
      </c>
      <c r="X14" s="97"/>
      <c r="Y14" s="23"/>
      <c r="Z14" s="23"/>
      <c r="AA14" s="246" t="str">
        <f t="shared" si="3"/>
        <v/>
      </c>
      <c r="AB14" s="97"/>
      <c r="AC14" s="253"/>
      <c r="AD14" s="253"/>
      <c r="AE14" s="246" t="str">
        <f t="shared" si="4"/>
        <v/>
      </c>
      <c r="AF14" s="97"/>
      <c r="AG14" s="253"/>
      <c r="AH14" s="253"/>
      <c r="AI14" s="246" t="str">
        <f t="shared" si="5"/>
        <v/>
      </c>
      <c r="AJ14" s="97"/>
      <c r="AK14" s="253"/>
      <c r="AL14" s="253"/>
      <c r="AM14" s="246" t="str">
        <f t="shared" si="6"/>
        <v/>
      </c>
      <c r="AN14" s="97"/>
      <c r="AO14" s="253"/>
      <c r="AP14" s="253"/>
      <c r="AQ14" s="246" t="str">
        <f t="shared" si="7"/>
        <v/>
      </c>
      <c r="AR14" s="97"/>
      <c r="AS14" s="253"/>
      <c r="AT14" s="253"/>
      <c r="AU14" s="246" t="str">
        <f t="shared" si="8"/>
        <v/>
      </c>
      <c r="AV14" s="97"/>
      <c r="AW14" s="253"/>
      <c r="AX14" s="253"/>
      <c r="AY14" s="246" t="str">
        <f t="shared" si="9"/>
        <v/>
      </c>
      <c r="AZ14" s="97"/>
      <c r="BA14" s="253"/>
      <c r="BB14" s="253"/>
      <c r="BC14" s="246" t="str">
        <f t="shared" si="10"/>
        <v/>
      </c>
      <c r="BD14" s="97"/>
      <c r="BE14" s="253"/>
      <c r="BF14" s="253"/>
      <c r="BG14" s="246" t="str">
        <f t="shared" si="11"/>
        <v/>
      </c>
      <c r="BH14" s="97"/>
      <c r="BI14" s="253"/>
      <c r="BJ14" s="253"/>
      <c r="BK14" s="246" t="str">
        <f t="shared" si="12"/>
        <v/>
      </c>
      <c r="BL14" s="97"/>
      <c r="BM14" s="253"/>
      <c r="BN14" s="253"/>
      <c r="BO14" s="246" t="str">
        <f t="shared" si="13"/>
        <v/>
      </c>
      <c r="BP14" s="97"/>
      <c r="BQ14" s="253"/>
      <c r="BR14" s="253"/>
      <c r="BS14" s="246" t="str">
        <f t="shared" si="14"/>
        <v/>
      </c>
      <c r="BT14" s="97"/>
      <c r="BU14" s="253"/>
      <c r="BV14" s="253"/>
      <c r="BW14" s="246" t="str">
        <f t="shared" si="15"/>
        <v/>
      </c>
    </row>
    <row r="15" spans="1:75">
      <c r="A15" s="88">
        <v>9</v>
      </c>
      <c r="B15" s="50"/>
      <c r="C15" s="62" t="s">
        <v>708</v>
      </c>
      <c r="D15" s="260"/>
      <c r="E15" s="126" t="s">
        <v>745</v>
      </c>
      <c r="F15" s="261"/>
      <c r="G15" s="20"/>
      <c r="H15" s="20"/>
      <c r="I15" s="262" t="s">
        <v>770</v>
      </c>
      <c r="J15" s="246" t="str">
        <f t="shared" si="16"/>
        <v>*</v>
      </c>
      <c r="K15" s="7"/>
      <c r="L15" s="97"/>
      <c r="M15" s="257"/>
      <c r="N15" s="253"/>
      <c r="O15" s="246" t="str">
        <f t="shared" si="0"/>
        <v/>
      </c>
      <c r="P15" s="97"/>
      <c r="Q15" s="253"/>
      <c r="R15" s="253"/>
      <c r="S15" s="246" t="str">
        <f t="shared" si="1"/>
        <v/>
      </c>
      <c r="T15" s="97"/>
      <c r="U15" s="253"/>
      <c r="V15" s="253"/>
      <c r="W15" s="246" t="str">
        <f t="shared" si="2"/>
        <v/>
      </c>
      <c r="X15" s="97"/>
      <c r="Y15" s="23"/>
      <c r="Z15" s="23"/>
      <c r="AA15" s="246" t="str">
        <f t="shared" si="3"/>
        <v/>
      </c>
      <c r="AB15" s="97"/>
      <c r="AC15" s="253"/>
      <c r="AD15" s="253"/>
      <c r="AE15" s="246" t="str">
        <f t="shared" si="4"/>
        <v/>
      </c>
      <c r="AF15" s="97"/>
      <c r="AG15" s="253"/>
      <c r="AH15" s="253"/>
      <c r="AI15" s="246" t="str">
        <f t="shared" si="5"/>
        <v/>
      </c>
      <c r="AJ15" s="97"/>
      <c r="AK15" s="253"/>
      <c r="AL15" s="253"/>
      <c r="AM15" s="246" t="str">
        <f t="shared" si="6"/>
        <v/>
      </c>
      <c r="AN15" s="97"/>
      <c r="AO15" s="253"/>
      <c r="AP15" s="253"/>
      <c r="AQ15" s="246" t="str">
        <f t="shared" si="7"/>
        <v/>
      </c>
      <c r="AR15" s="97"/>
      <c r="AS15" s="253"/>
      <c r="AT15" s="253"/>
      <c r="AU15" s="246" t="str">
        <f t="shared" si="8"/>
        <v/>
      </c>
      <c r="AV15" s="97"/>
      <c r="AW15" s="253"/>
      <c r="AX15" s="253"/>
      <c r="AY15" s="246" t="str">
        <f t="shared" si="9"/>
        <v/>
      </c>
      <c r="AZ15" s="97"/>
      <c r="BA15" s="253"/>
      <c r="BB15" s="253"/>
      <c r="BC15" s="246" t="str">
        <f t="shared" si="10"/>
        <v/>
      </c>
      <c r="BD15" s="97"/>
      <c r="BE15" s="253"/>
      <c r="BF15" s="253"/>
      <c r="BG15" s="246" t="str">
        <f t="shared" si="11"/>
        <v/>
      </c>
      <c r="BH15" s="97"/>
      <c r="BI15" s="253"/>
      <c r="BJ15" s="253"/>
      <c r="BK15" s="246" t="str">
        <f t="shared" si="12"/>
        <v/>
      </c>
      <c r="BL15" s="97"/>
      <c r="BM15" s="253"/>
      <c r="BN15" s="253"/>
      <c r="BO15" s="246" t="str">
        <f t="shared" si="13"/>
        <v/>
      </c>
      <c r="BP15" s="97"/>
      <c r="BQ15" s="253"/>
      <c r="BR15" s="253"/>
      <c r="BS15" s="246" t="str">
        <f t="shared" si="14"/>
        <v/>
      </c>
      <c r="BT15" s="97"/>
      <c r="BU15" s="253"/>
      <c r="BV15" s="253"/>
      <c r="BW15" s="246" t="str">
        <f t="shared" si="15"/>
        <v/>
      </c>
    </row>
    <row r="16" spans="1:75">
      <c r="A16" s="88">
        <v>10</v>
      </c>
      <c r="B16" s="50"/>
      <c r="C16" s="62" t="s">
        <v>709</v>
      </c>
      <c r="D16" s="260"/>
      <c r="E16" s="126" t="s">
        <v>746</v>
      </c>
      <c r="F16" s="261"/>
      <c r="G16" s="20"/>
      <c r="H16" s="20"/>
      <c r="I16" s="262" t="s">
        <v>773</v>
      </c>
      <c r="J16" s="246" t="str">
        <f t="shared" si="16"/>
        <v>*</v>
      </c>
      <c r="K16" s="7"/>
      <c r="L16" s="97"/>
      <c r="M16" s="257"/>
      <c r="N16" s="253"/>
      <c r="O16" s="246" t="str">
        <f t="shared" si="0"/>
        <v/>
      </c>
      <c r="P16" s="97"/>
      <c r="Q16" s="253"/>
      <c r="R16" s="253"/>
      <c r="S16" s="246" t="str">
        <f t="shared" si="1"/>
        <v/>
      </c>
      <c r="T16" s="97"/>
      <c r="U16" s="253"/>
      <c r="V16" s="253"/>
      <c r="W16" s="246" t="str">
        <f t="shared" si="2"/>
        <v/>
      </c>
      <c r="X16" s="97"/>
      <c r="Y16" s="23"/>
      <c r="Z16" s="23"/>
      <c r="AA16" s="246" t="str">
        <f t="shared" si="3"/>
        <v/>
      </c>
      <c r="AB16" s="97"/>
      <c r="AC16" s="253"/>
      <c r="AD16" s="253"/>
      <c r="AE16" s="246" t="str">
        <f t="shared" si="4"/>
        <v/>
      </c>
      <c r="AF16" s="97"/>
      <c r="AG16" s="253"/>
      <c r="AH16" s="253"/>
      <c r="AI16" s="246" t="str">
        <f t="shared" si="5"/>
        <v/>
      </c>
      <c r="AJ16" s="97"/>
      <c r="AK16" s="253"/>
      <c r="AL16" s="253"/>
      <c r="AM16" s="246" t="str">
        <f t="shared" si="6"/>
        <v/>
      </c>
      <c r="AN16" s="97"/>
      <c r="AO16" s="253"/>
      <c r="AP16" s="253"/>
      <c r="AQ16" s="246" t="str">
        <f t="shared" si="7"/>
        <v/>
      </c>
      <c r="AR16" s="97"/>
      <c r="AS16" s="253"/>
      <c r="AT16" s="253"/>
      <c r="AU16" s="246" t="str">
        <f t="shared" si="8"/>
        <v/>
      </c>
      <c r="AV16" s="97"/>
      <c r="AW16" s="253"/>
      <c r="AX16" s="253"/>
      <c r="AY16" s="246" t="str">
        <f t="shared" si="9"/>
        <v/>
      </c>
      <c r="AZ16" s="97"/>
      <c r="BA16" s="253"/>
      <c r="BB16" s="253"/>
      <c r="BC16" s="246" t="str">
        <f t="shared" si="10"/>
        <v/>
      </c>
      <c r="BD16" s="97"/>
      <c r="BE16" s="253"/>
      <c r="BF16" s="253"/>
      <c r="BG16" s="246" t="str">
        <f t="shared" si="11"/>
        <v/>
      </c>
      <c r="BH16" s="97"/>
      <c r="BI16" s="253"/>
      <c r="BJ16" s="253"/>
      <c r="BK16" s="246" t="str">
        <f t="shared" si="12"/>
        <v/>
      </c>
      <c r="BL16" s="97"/>
      <c r="BM16" s="253"/>
      <c r="BN16" s="253"/>
      <c r="BO16" s="246" t="str">
        <f t="shared" si="13"/>
        <v/>
      </c>
      <c r="BP16" s="97"/>
      <c r="BQ16" s="253"/>
      <c r="BR16" s="253"/>
      <c r="BS16" s="246" t="str">
        <f t="shared" si="14"/>
        <v/>
      </c>
      <c r="BT16" s="97"/>
      <c r="BU16" s="253"/>
      <c r="BV16" s="253"/>
      <c r="BW16" s="246" t="str">
        <f t="shared" si="15"/>
        <v/>
      </c>
    </row>
    <row r="17" spans="1:75">
      <c r="A17" s="88">
        <v>11</v>
      </c>
      <c r="B17" s="50"/>
      <c r="C17" s="62" t="s">
        <v>710</v>
      </c>
      <c r="D17" s="260"/>
      <c r="E17" s="126" t="s">
        <v>747</v>
      </c>
      <c r="F17" s="261"/>
      <c r="G17" s="20"/>
      <c r="H17" s="20"/>
      <c r="I17" s="262" t="s">
        <v>773</v>
      </c>
      <c r="J17" s="246" t="str">
        <f t="shared" si="16"/>
        <v>*</v>
      </c>
      <c r="K17" s="7"/>
      <c r="L17" s="97"/>
      <c r="M17" s="257"/>
      <c r="N17" s="253"/>
      <c r="O17" s="246" t="str">
        <f t="shared" si="0"/>
        <v/>
      </c>
      <c r="P17" s="97"/>
      <c r="Q17" s="253"/>
      <c r="R17" s="253"/>
      <c r="S17" s="246" t="str">
        <f t="shared" si="1"/>
        <v/>
      </c>
      <c r="T17" s="97"/>
      <c r="U17" s="253"/>
      <c r="V17" s="253"/>
      <c r="W17" s="246" t="str">
        <f t="shared" si="2"/>
        <v/>
      </c>
      <c r="X17" s="97"/>
      <c r="Y17" s="23"/>
      <c r="Z17" s="23"/>
      <c r="AA17" s="246" t="str">
        <f t="shared" si="3"/>
        <v/>
      </c>
      <c r="AB17" s="97"/>
      <c r="AC17" s="253"/>
      <c r="AD17" s="253"/>
      <c r="AE17" s="246" t="str">
        <f t="shared" si="4"/>
        <v/>
      </c>
      <c r="AF17" s="97"/>
      <c r="AG17" s="253"/>
      <c r="AH17" s="253"/>
      <c r="AI17" s="246" t="str">
        <f t="shared" si="5"/>
        <v/>
      </c>
      <c r="AJ17" s="97"/>
      <c r="AK17" s="253"/>
      <c r="AL17" s="253"/>
      <c r="AM17" s="246" t="str">
        <f t="shared" si="6"/>
        <v/>
      </c>
      <c r="AN17" s="97"/>
      <c r="AO17" s="253"/>
      <c r="AP17" s="253"/>
      <c r="AQ17" s="246" t="str">
        <f t="shared" si="7"/>
        <v/>
      </c>
      <c r="AR17" s="97"/>
      <c r="AS17" s="253"/>
      <c r="AT17" s="253"/>
      <c r="AU17" s="246" t="str">
        <f t="shared" si="8"/>
        <v/>
      </c>
      <c r="AV17" s="97"/>
      <c r="AW17" s="253"/>
      <c r="AX17" s="253"/>
      <c r="AY17" s="246" t="str">
        <f t="shared" si="9"/>
        <v/>
      </c>
      <c r="AZ17" s="97"/>
      <c r="BA17" s="253"/>
      <c r="BB17" s="253"/>
      <c r="BC17" s="246" t="str">
        <f t="shared" si="10"/>
        <v/>
      </c>
      <c r="BD17" s="97"/>
      <c r="BE17" s="253"/>
      <c r="BF17" s="253"/>
      <c r="BG17" s="246" t="str">
        <f t="shared" si="11"/>
        <v/>
      </c>
      <c r="BH17" s="97"/>
      <c r="BI17" s="253"/>
      <c r="BJ17" s="253"/>
      <c r="BK17" s="246" t="str">
        <f t="shared" si="12"/>
        <v/>
      </c>
      <c r="BL17" s="97"/>
      <c r="BM17" s="253"/>
      <c r="BN17" s="253"/>
      <c r="BO17" s="246" t="str">
        <f t="shared" si="13"/>
        <v/>
      </c>
      <c r="BP17" s="97"/>
      <c r="BQ17" s="253"/>
      <c r="BR17" s="253"/>
      <c r="BS17" s="246" t="str">
        <f t="shared" si="14"/>
        <v/>
      </c>
      <c r="BT17" s="97"/>
      <c r="BU17" s="253"/>
      <c r="BV17" s="253"/>
      <c r="BW17" s="246" t="str">
        <f t="shared" si="15"/>
        <v/>
      </c>
    </row>
    <row r="18" spans="1:75">
      <c r="A18" s="88">
        <v>12</v>
      </c>
      <c r="B18" s="50"/>
      <c r="C18" s="62" t="s">
        <v>711</v>
      </c>
      <c r="D18" s="260"/>
      <c r="E18" s="126" t="s">
        <v>748</v>
      </c>
      <c r="F18" s="261"/>
      <c r="G18" s="20"/>
      <c r="H18" s="20"/>
      <c r="I18" s="262" t="s">
        <v>773</v>
      </c>
      <c r="J18" s="246" t="str">
        <f t="shared" si="16"/>
        <v>*</v>
      </c>
      <c r="K18" s="7"/>
      <c r="L18" s="97"/>
      <c r="M18" s="257"/>
      <c r="N18" s="253"/>
      <c r="O18" s="246" t="str">
        <f t="shared" si="0"/>
        <v/>
      </c>
      <c r="P18" s="97"/>
      <c r="Q18" s="253"/>
      <c r="R18" s="253"/>
      <c r="S18" s="246" t="str">
        <f t="shared" si="1"/>
        <v/>
      </c>
      <c r="T18" s="97"/>
      <c r="U18" s="253"/>
      <c r="V18" s="253"/>
      <c r="W18" s="246" t="str">
        <f t="shared" si="2"/>
        <v/>
      </c>
      <c r="X18" s="97"/>
      <c r="Y18" s="23"/>
      <c r="Z18" s="23"/>
      <c r="AA18" s="246" t="str">
        <f t="shared" si="3"/>
        <v/>
      </c>
      <c r="AB18" s="97"/>
      <c r="AC18" s="253"/>
      <c r="AD18" s="253"/>
      <c r="AE18" s="246" t="str">
        <f t="shared" si="4"/>
        <v/>
      </c>
      <c r="AF18" s="97"/>
      <c r="AG18" s="253"/>
      <c r="AH18" s="253"/>
      <c r="AI18" s="246" t="str">
        <f t="shared" si="5"/>
        <v/>
      </c>
      <c r="AJ18" s="97"/>
      <c r="AK18" s="253"/>
      <c r="AL18" s="253"/>
      <c r="AM18" s="246" t="str">
        <f t="shared" si="6"/>
        <v/>
      </c>
      <c r="AN18" s="97"/>
      <c r="AO18" s="253"/>
      <c r="AP18" s="253"/>
      <c r="AQ18" s="246" t="str">
        <f t="shared" si="7"/>
        <v/>
      </c>
      <c r="AR18" s="97"/>
      <c r="AS18" s="253"/>
      <c r="AT18" s="253"/>
      <c r="AU18" s="246" t="str">
        <f t="shared" si="8"/>
        <v/>
      </c>
      <c r="AV18" s="97"/>
      <c r="AW18" s="253"/>
      <c r="AX18" s="253"/>
      <c r="AY18" s="246" t="str">
        <f t="shared" si="9"/>
        <v/>
      </c>
      <c r="AZ18" s="97"/>
      <c r="BA18" s="253"/>
      <c r="BB18" s="253"/>
      <c r="BC18" s="246" t="str">
        <f t="shared" si="10"/>
        <v/>
      </c>
      <c r="BD18" s="97"/>
      <c r="BE18" s="253"/>
      <c r="BF18" s="253"/>
      <c r="BG18" s="246" t="str">
        <f t="shared" si="11"/>
        <v/>
      </c>
      <c r="BH18" s="97"/>
      <c r="BI18" s="253"/>
      <c r="BJ18" s="253"/>
      <c r="BK18" s="246" t="str">
        <f t="shared" si="12"/>
        <v/>
      </c>
      <c r="BL18" s="97"/>
      <c r="BM18" s="253"/>
      <c r="BN18" s="253"/>
      <c r="BO18" s="246" t="str">
        <f t="shared" si="13"/>
        <v/>
      </c>
      <c r="BP18" s="97"/>
      <c r="BQ18" s="253"/>
      <c r="BR18" s="253"/>
      <c r="BS18" s="246" t="str">
        <f t="shared" si="14"/>
        <v/>
      </c>
      <c r="BT18" s="97"/>
      <c r="BU18" s="253"/>
      <c r="BV18" s="253"/>
      <c r="BW18" s="246" t="str">
        <f t="shared" si="15"/>
        <v/>
      </c>
    </row>
    <row r="19" spans="1:75">
      <c r="A19" s="88">
        <v>13</v>
      </c>
      <c r="B19" s="50"/>
      <c r="C19" s="62" t="s">
        <v>712</v>
      </c>
      <c r="D19" s="260"/>
      <c r="E19" s="126" t="s">
        <v>749</v>
      </c>
      <c r="F19" s="261"/>
      <c r="G19" s="20"/>
      <c r="H19" s="20"/>
      <c r="I19" s="262" t="s">
        <v>773</v>
      </c>
      <c r="J19" s="246" t="str">
        <f t="shared" si="16"/>
        <v>*</v>
      </c>
      <c r="K19" s="7"/>
      <c r="L19" s="97"/>
      <c r="M19" s="257"/>
      <c r="N19" s="253"/>
      <c r="O19" s="246" t="str">
        <f t="shared" si="0"/>
        <v/>
      </c>
      <c r="P19" s="97"/>
      <c r="Q19" s="253"/>
      <c r="R19" s="253"/>
      <c r="S19" s="246" t="str">
        <f t="shared" si="1"/>
        <v/>
      </c>
      <c r="T19" s="97"/>
      <c r="U19" s="253"/>
      <c r="V19" s="253"/>
      <c r="W19" s="246" t="str">
        <f t="shared" si="2"/>
        <v/>
      </c>
      <c r="X19" s="97"/>
      <c r="Y19" s="23"/>
      <c r="Z19" s="23"/>
      <c r="AA19" s="246" t="str">
        <f t="shared" si="3"/>
        <v/>
      </c>
      <c r="AB19" s="97"/>
      <c r="AC19" s="253"/>
      <c r="AD19" s="253"/>
      <c r="AE19" s="246" t="str">
        <f t="shared" si="4"/>
        <v/>
      </c>
      <c r="AF19" s="97"/>
      <c r="AG19" s="253"/>
      <c r="AH19" s="253"/>
      <c r="AI19" s="246" t="str">
        <f t="shared" si="5"/>
        <v/>
      </c>
      <c r="AJ19" s="97"/>
      <c r="AK19" s="253"/>
      <c r="AL19" s="253"/>
      <c r="AM19" s="246" t="str">
        <f t="shared" si="6"/>
        <v/>
      </c>
      <c r="AN19" s="97"/>
      <c r="AO19" s="253"/>
      <c r="AP19" s="253"/>
      <c r="AQ19" s="246" t="str">
        <f t="shared" si="7"/>
        <v/>
      </c>
      <c r="AR19" s="97"/>
      <c r="AS19" s="253"/>
      <c r="AT19" s="253"/>
      <c r="AU19" s="246" t="str">
        <f t="shared" si="8"/>
        <v/>
      </c>
      <c r="AV19" s="97"/>
      <c r="AW19" s="253"/>
      <c r="AX19" s="253"/>
      <c r="AY19" s="246" t="str">
        <f t="shared" si="9"/>
        <v/>
      </c>
      <c r="AZ19" s="97"/>
      <c r="BA19" s="253"/>
      <c r="BB19" s="253"/>
      <c r="BC19" s="246" t="str">
        <f t="shared" si="10"/>
        <v/>
      </c>
      <c r="BD19" s="97"/>
      <c r="BE19" s="253"/>
      <c r="BF19" s="253"/>
      <c r="BG19" s="246" t="str">
        <f t="shared" si="11"/>
        <v/>
      </c>
      <c r="BH19" s="97"/>
      <c r="BI19" s="253"/>
      <c r="BJ19" s="253"/>
      <c r="BK19" s="246" t="str">
        <f t="shared" si="12"/>
        <v/>
      </c>
      <c r="BL19" s="97"/>
      <c r="BM19" s="253"/>
      <c r="BN19" s="253"/>
      <c r="BO19" s="246" t="str">
        <f t="shared" si="13"/>
        <v/>
      </c>
      <c r="BP19" s="97"/>
      <c r="BQ19" s="253"/>
      <c r="BR19" s="253"/>
      <c r="BS19" s="246" t="str">
        <f t="shared" si="14"/>
        <v/>
      </c>
      <c r="BT19" s="97"/>
      <c r="BU19" s="253"/>
      <c r="BV19" s="253"/>
      <c r="BW19" s="246" t="str">
        <f t="shared" si="15"/>
        <v/>
      </c>
    </row>
    <row r="20" spans="1:75">
      <c r="A20" s="88">
        <v>14</v>
      </c>
      <c r="B20" s="50"/>
      <c r="C20" s="62" t="s">
        <v>713</v>
      </c>
      <c r="D20" s="260"/>
      <c r="E20" s="126" t="s">
        <v>745</v>
      </c>
      <c r="F20" s="261"/>
      <c r="G20" s="20"/>
      <c r="H20" s="20"/>
      <c r="I20" s="262" t="s">
        <v>770</v>
      </c>
      <c r="J20" s="246" t="str">
        <f t="shared" si="16"/>
        <v>*</v>
      </c>
      <c r="K20" s="7"/>
      <c r="L20" s="97"/>
      <c r="M20" s="257"/>
      <c r="N20" s="253"/>
      <c r="O20" s="246" t="str">
        <f t="shared" si="0"/>
        <v/>
      </c>
      <c r="P20" s="97"/>
      <c r="Q20" s="253"/>
      <c r="R20" s="253"/>
      <c r="S20" s="246" t="str">
        <f t="shared" si="1"/>
        <v/>
      </c>
      <c r="T20" s="97"/>
      <c r="U20" s="253"/>
      <c r="V20" s="253"/>
      <c r="W20" s="246" t="str">
        <f t="shared" si="2"/>
        <v/>
      </c>
      <c r="X20" s="97"/>
      <c r="Y20" s="23"/>
      <c r="Z20" s="23"/>
      <c r="AA20" s="246" t="str">
        <f t="shared" si="3"/>
        <v/>
      </c>
      <c r="AB20" s="97"/>
      <c r="AC20" s="253"/>
      <c r="AD20" s="253"/>
      <c r="AE20" s="246" t="str">
        <f t="shared" si="4"/>
        <v/>
      </c>
      <c r="AF20" s="97"/>
      <c r="AG20" s="253"/>
      <c r="AH20" s="253"/>
      <c r="AI20" s="246" t="str">
        <f t="shared" si="5"/>
        <v/>
      </c>
      <c r="AJ20" s="97"/>
      <c r="AK20" s="253"/>
      <c r="AL20" s="253"/>
      <c r="AM20" s="246" t="str">
        <f t="shared" si="6"/>
        <v/>
      </c>
      <c r="AN20" s="97"/>
      <c r="AO20" s="253"/>
      <c r="AP20" s="253"/>
      <c r="AQ20" s="246" t="str">
        <f t="shared" si="7"/>
        <v/>
      </c>
      <c r="AR20" s="97"/>
      <c r="AS20" s="253"/>
      <c r="AT20" s="253"/>
      <c r="AU20" s="246" t="str">
        <f t="shared" si="8"/>
        <v/>
      </c>
      <c r="AV20" s="97"/>
      <c r="AW20" s="253"/>
      <c r="AX20" s="253"/>
      <c r="AY20" s="246" t="str">
        <f t="shared" si="9"/>
        <v/>
      </c>
      <c r="AZ20" s="97"/>
      <c r="BA20" s="253"/>
      <c r="BB20" s="253"/>
      <c r="BC20" s="246" t="str">
        <f t="shared" si="10"/>
        <v/>
      </c>
      <c r="BD20" s="97"/>
      <c r="BE20" s="253"/>
      <c r="BF20" s="253"/>
      <c r="BG20" s="246" t="str">
        <f t="shared" si="11"/>
        <v/>
      </c>
      <c r="BH20" s="97"/>
      <c r="BI20" s="253"/>
      <c r="BJ20" s="253"/>
      <c r="BK20" s="246" t="str">
        <f t="shared" si="12"/>
        <v/>
      </c>
      <c r="BL20" s="97"/>
      <c r="BM20" s="253"/>
      <c r="BN20" s="253"/>
      <c r="BO20" s="246" t="str">
        <f t="shared" si="13"/>
        <v/>
      </c>
      <c r="BP20" s="97"/>
      <c r="BQ20" s="253"/>
      <c r="BR20" s="253"/>
      <c r="BS20" s="246" t="str">
        <f t="shared" si="14"/>
        <v/>
      </c>
      <c r="BT20" s="97"/>
      <c r="BU20" s="253"/>
      <c r="BV20" s="253"/>
      <c r="BW20" s="246" t="str">
        <f t="shared" si="15"/>
        <v/>
      </c>
    </row>
    <row r="21" spans="1:75">
      <c r="A21" s="88">
        <v>15</v>
      </c>
      <c r="B21" s="50"/>
      <c r="C21" s="62" t="s">
        <v>714</v>
      </c>
      <c r="D21" s="260"/>
      <c r="E21" s="126" t="s">
        <v>750</v>
      </c>
      <c r="F21" s="261"/>
      <c r="G21" s="20"/>
      <c r="H21" s="20"/>
      <c r="I21" s="262" t="s">
        <v>770</v>
      </c>
      <c r="J21" s="246" t="str">
        <f t="shared" si="16"/>
        <v>*</v>
      </c>
      <c r="K21" s="7"/>
      <c r="L21" s="97"/>
      <c r="M21" s="257"/>
      <c r="N21" s="253"/>
      <c r="O21" s="246" t="str">
        <f t="shared" si="0"/>
        <v/>
      </c>
      <c r="P21" s="97"/>
      <c r="Q21" s="253"/>
      <c r="R21" s="253"/>
      <c r="S21" s="246" t="str">
        <f t="shared" si="1"/>
        <v/>
      </c>
      <c r="T21" s="97"/>
      <c r="U21" s="253"/>
      <c r="V21" s="253"/>
      <c r="W21" s="246" t="str">
        <f t="shared" si="2"/>
        <v/>
      </c>
      <c r="X21" s="97"/>
      <c r="Y21" s="23"/>
      <c r="Z21" s="23"/>
      <c r="AA21" s="246" t="str">
        <f t="shared" si="3"/>
        <v/>
      </c>
      <c r="AB21" s="97"/>
      <c r="AC21" s="253"/>
      <c r="AD21" s="253"/>
      <c r="AE21" s="246" t="str">
        <f t="shared" si="4"/>
        <v/>
      </c>
      <c r="AF21" s="97"/>
      <c r="AG21" s="253"/>
      <c r="AH21" s="253"/>
      <c r="AI21" s="246" t="str">
        <f t="shared" si="5"/>
        <v/>
      </c>
      <c r="AJ21" s="97"/>
      <c r="AK21" s="253"/>
      <c r="AL21" s="253"/>
      <c r="AM21" s="246" t="str">
        <f t="shared" si="6"/>
        <v/>
      </c>
      <c r="AN21" s="97"/>
      <c r="AO21" s="253"/>
      <c r="AP21" s="253"/>
      <c r="AQ21" s="246" t="str">
        <f t="shared" si="7"/>
        <v/>
      </c>
      <c r="AR21" s="97"/>
      <c r="AS21" s="253"/>
      <c r="AT21" s="253"/>
      <c r="AU21" s="246" t="str">
        <f t="shared" si="8"/>
        <v/>
      </c>
      <c r="AV21" s="97"/>
      <c r="AW21" s="253"/>
      <c r="AX21" s="253"/>
      <c r="AY21" s="246" t="str">
        <f t="shared" si="9"/>
        <v/>
      </c>
      <c r="AZ21" s="97"/>
      <c r="BA21" s="253"/>
      <c r="BB21" s="253"/>
      <c r="BC21" s="246" t="str">
        <f t="shared" si="10"/>
        <v/>
      </c>
      <c r="BD21" s="97"/>
      <c r="BE21" s="253"/>
      <c r="BF21" s="253"/>
      <c r="BG21" s="246" t="str">
        <f t="shared" si="11"/>
        <v/>
      </c>
      <c r="BH21" s="97"/>
      <c r="BI21" s="253"/>
      <c r="BJ21" s="253"/>
      <c r="BK21" s="246" t="str">
        <f t="shared" si="12"/>
        <v/>
      </c>
      <c r="BL21" s="97"/>
      <c r="BM21" s="253"/>
      <c r="BN21" s="253"/>
      <c r="BO21" s="246" t="str">
        <f t="shared" si="13"/>
        <v/>
      </c>
      <c r="BP21" s="97"/>
      <c r="BQ21" s="253"/>
      <c r="BR21" s="253"/>
      <c r="BS21" s="246" t="str">
        <f t="shared" si="14"/>
        <v/>
      </c>
      <c r="BT21" s="97"/>
      <c r="BU21" s="253"/>
      <c r="BV21" s="253"/>
      <c r="BW21" s="246" t="str">
        <f t="shared" si="15"/>
        <v/>
      </c>
    </row>
    <row r="22" spans="1:75">
      <c r="A22" s="88">
        <v>16</v>
      </c>
      <c r="B22" s="50"/>
      <c r="C22" s="62" t="s">
        <v>715</v>
      </c>
      <c r="D22" s="260"/>
      <c r="E22" s="126" t="s">
        <v>745</v>
      </c>
      <c r="F22" s="261"/>
      <c r="G22" s="20"/>
      <c r="H22" s="20"/>
      <c r="I22" s="19" t="s">
        <v>774</v>
      </c>
      <c r="J22" s="246" t="str">
        <f t="shared" si="16"/>
        <v>*</v>
      </c>
      <c r="K22" s="7"/>
      <c r="L22" s="97"/>
      <c r="M22" s="257"/>
      <c r="N22" s="253"/>
      <c r="O22" s="246" t="str">
        <f t="shared" si="0"/>
        <v/>
      </c>
      <c r="P22" s="97"/>
      <c r="Q22" s="253"/>
      <c r="R22" s="253"/>
      <c r="S22" s="246" t="str">
        <f t="shared" si="1"/>
        <v/>
      </c>
      <c r="T22" s="97"/>
      <c r="U22" s="253"/>
      <c r="V22" s="253"/>
      <c r="W22" s="246" t="str">
        <f t="shared" si="2"/>
        <v/>
      </c>
      <c r="X22" s="97"/>
      <c r="Y22" s="23"/>
      <c r="Z22" s="23"/>
      <c r="AA22" s="246" t="str">
        <f t="shared" si="3"/>
        <v/>
      </c>
      <c r="AB22" s="97"/>
      <c r="AC22" s="253"/>
      <c r="AD22" s="253"/>
      <c r="AE22" s="246" t="str">
        <f t="shared" si="4"/>
        <v/>
      </c>
      <c r="AF22" s="97"/>
      <c r="AG22" s="253"/>
      <c r="AH22" s="253"/>
      <c r="AI22" s="246" t="str">
        <f t="shared" si="5"/>
        <v/>
      </c>
      <c r="AJ22" s="97"/>
      <c r="AK22" s="253"/>
      <c r="AL22" s="253"/>
      <c r="AM22" s="246" t="str">
        <f t="shared" si="6"/>
        <v/>
      </c>
      <c r="AN22" s="97"/>
      <c r="AO22" s="253"/>
      <c r="AP22" s="253"/>
      <c r="AQ22" s="246" t="str">
        <f t="shared" si="7"/>
        <v/>
      </c>
      <c r="AR22" s="97"/>
      <c r="AS22" s="253"/>
      <c r="AT22" s="253"/>
      <c r="AU22" s="246" t="str">
        <f t="shared" si="8"/>
        <v/>
      </c>
      <c r="AV22" s="97"/>
      <c r="AW22" s="253"/>
      <c r="AX22" s="253"/>
      <c r="AY22" s="246" t="str">
        <f t="shared" si="9"/>
        <v/>
      </c>
      <c r="AZ22" s="97"/>
      <c r="BA22" s="253"/>
      <c r="BB22" s="253"/>
      <c r="BC22" s="246" t="str">
        <f t="shared" si="10"/>
        <v/>
      </c>
      <c r="BD22" s="97"/>
      <c r="BE22" s="253"/>
      <c r="BF22" s="253"/>
      <c r="BG22" s="246" t="str">
        <f t="shared" si="11"/>
        <v/>
      </c>
      <c r="BH22" s="97"/>
      <c r="BI22" s="253"/>
      <c r="BJ22" s="253"/>
      <c r="BK22" s="246" t="str">
        <f t="shared" si="12"/>
        <v/>
      </c>
      <c r="BL22" s="97"/>
      <c r="BM22" s="253"/>
      <c r="BN22" s="253"/>
      <c r="BO22" s="246" t="str">
        <f t="shared" si="13"/>
        <v/>
      </c>
      <c r="BP22" s="97"/>
      <c r="BQ22" s="253"/>
      <c r="BR22" s="253"/>
      <c r="BS22" s="246" t="str">
        <f t="shared" si="14"/>
        <v/>
      </c>
      <c r="BT22" s="97"/>
      <c r="BU22" s="253"/>
      <c r="BV22" s="253"/>
      <c r="BW22" s="246" t="str">
        <f t="shared" si="15"/>
        <v/>
      </c>
    </row>
    <row r="23" spans="1:75">
      <c r="A23" s="88">
        <v>17</v>
      </c>
      <c r="B23" s="50"/>
      <c r="C23" s="62" t="s">
        <v>716</v>
      </c>
      <c r="D23" s="260"/>
      <c r="E23" s="126" t="s">
        <v>751</v>
      </c>
      <c r="F23" s="261"/>
      <c r="G23" s="20"/>
      <c r="H23" s="20"/>
      <c r="I23" s="262" t="s">
        <v>770</v>
      </c>
      <c r="J23" s="246" t="str">
        <f t="shared" si="16"/>
        <v>*</v>
      </c>
      <c r="K23" s="7"/>
      <c r="L23" s="97"/>
      <c r="M23" s="257"/>
      <c r="N23" s="253"/>
      <c r="O23" s="246" t="str">
        <f t="shared" si="0"/>
        <v/>
      </c>
      <c r="P23" s="97"/>
      <c r="Q23" s="253"/>
      <c r="R23" s="253"/>
      <c r="S23" s="246" t="str">
        <f t="shared" si="1"/>
        <v/>
      </c>
      <c r="T23" s="97"/>
      <c r="U23" s="253"/>
      <c r="V23" s="253"/>
      <c r="W23" s="246" t="str">
        <f t="shared" si="2"/>
        <v/>
      </c>
      <c r="X23" s="97"/>
      <c r="Y23" s="23"/>
      <c r="Z23" s="23"/>
      <c r="AA23" s="246" t="str">
        <f t="shared" si="3"/>
        <v/>
      </c>
      <c r="AB23" s="97"/>
      <c r="AC23" s="253"/>
      <c r="AD23" s="253"/>
      <c r="AE23" s="246" t="str">
        <f t="shared" si="4"/>
        <v/>
      </c>
      <c r="AF23" s="97"/>
      <c r="AG23" s="253"/>
      <c r="AH23" s="253"/>
      <c r="AI23" s="246" t="str">
        <f t="shared" si="5"/>
        <v/>
      </c>
      <c r="AJ23" s="97"/>
      <c r="AK23" s="253"/>
      <c r="AL23" s="253"/>
      <c r="AM23" s="246" t="str">
        <f t="shared" si="6"/>
        <v/>
      </c>
      <c r="AN23" s="97"/>
      <c r="AO23" s="253"/>
      <c r="AP23" s="253"/>
      <c r="AQ23" s="246" t="str">
        <f t="shared" si="7"/>
        <v/>
      </c>
      <c r="AR23" s="97"/>
      <c r="AS23" s="253"/>
      <c r="AT23" s="253"/>
      <c r="AU23" s="246" t="str">
        <f t="shared" si="8"/>
        <v/>
      </c>
      <c r="AV23" s="97"/>
      <c r="AW23" s="253"/>
      <c r="AX23" s="253"/>
      <c r="AY23" s="246" t="str">
        <f t="shared" si="9"/>
        <v/>
      </c>
      <c r="AZ23" s="97"/>
      <c r="BA23" s="253"/>
      <c r="BB23" s="253"/>
      <c r="BC23" s="246" t="str">
        <f t="shared" si="10"/>
        <v/>
      </c>
      <c r="BD23" s="97"/>
      <c r="BE23" s="253"/>
      <c r="BF23" s="253"/>
      <c r="BG23" s="246" t="str">
        <f t="shared" si="11"/>
        <v/>
      </c>
      <c r="BH23" s="97"/>
      <c r="BI23" s="253"/>
      <c r="BJ23" s="253"/>
      <c r="BK23" s="246" t="str">
        <f t="shared" si="12"/>
        <v/>
      </c>
      <c r="BL23" s="97"/>
      <c r="BM23" s="253"/>
      <c r="BN23" s="253"/>
      <c r="BO23" s="246" t="str">
        <f t="shared" si="13"/>
        <v/>
      </c>
      <c r="BP23" s="97"/>
      <c r="BQ23" s="253"/>
      <c r="BR23" s="253"/>
      <c r="BS23" s="246" t="str">
        <f t="shared" si="14"/>
        <v/>
      </c>
      <c r="BT23" s="97"/>
      <c r="BU23" s="253"/>
      <c r="BV23" s="253"/>
      <c r="BW23" s="246" t="str">
        <f t="shared" si="15"/>
        <v/>
      </c>
    </row>
    <row r="24" spans="1:75">
      <c r="A24" s="88">
        <v>18</v>
      </c>
      <c r="B24" s="50"/>
      <c r="C24" s="62" t="s">
        <v>717</v>
      </c>
      <c r="D24" s="260"/>
      <c r="E24" s="126" t="s">
        <v>752</v>
      </c>
      <c r="F24" s="261"/>
      <c r="G24" s="20"/>
      <c r="H24" s="20"/>
      <c r="I24" s="262" t="s">
        <v>774</v>
      </c>
      <c r="J24" s="246" t="str">
        <f t="shared" si="16"/>
        <v>*</v>
      </c>
      <c r="K24" s="7"/>
      <c r="L24" s="97"/>
      <c r="M24" s="257"/>
      <c r="N24" s="253"/>
      <c r="O24" s="246" t="str">
        <f t="shared" si="0"/>
        <v/>
      </c>
      <c r="P24" s="97"/>
      <c r="Q24" s="253"/>
      <c r="R24" s="253"/>
      <c r="S24" s="246" t="str">
        <f t="shared" si="1"/>
        <v/>
      </c>
      <c r="T24" s="97"/>
      <c r="U24" s="253"/>
      <c r="V24" s="253"/>
      <c r="W24" s="246" t="str">
        <f t="shared" si="2"/>
        <v/>
      </c>
      <c r="X24" s="97"/>
      <c r="Y24" s="23"/>
      <c r="Z24" s="23"/>
      <c r="AA24" s="246" t="str">
        <f t="shared" si="3"/>
        <v/>
      </c>
      <c r="AB24" s="97"/>
      <c r="AC24" s="253"/>
      <c r="AD24" s="253"/>
      <c r="AE24" s="246" t="str">
        <f t="shared" si="4"/>
        <v/>
      </c>
      <c r="AF24" s="97"/>
      <c r="AG24" s="253"/>
      <c r="AH24" s="253"/>
      <c r="AI24" s="246" t="str">
        <f t="shared" si="5"/>
        <v/>
      </c>
      <c r="AJ24" s="97"/>
      <c r="AK24" s="253"/>
      <c r="AL24" s="253"/>
      <c r="AM24" s="246" t="str">
        <f t="shared" si="6"/>
        <v/>
      </c>
      <c r="AN24" s="97"/>
      <c r="AO24" s="253"/>
      <c r="AP24" s="253"/>
      <c r="AQ24" s="246" t="str">
        <f t="shared" si="7"/>
        <v/>
      </c>
      <c r="AR24" s="97"/>
      <c r="AS24" s="253"/>
      <c r="AT24" s="253"/>
      <c r="AU24" s="246" t="str">
        <f t="shared" si="8"/>
        <v/>
      </c>
      <c r="AV24" s="97"/>
      <c r="AW24" s="253"/>
      <c r="AX24" s="253"/>
      <c r="AY24" s="246" t="str">
        <f t="shared" si="9"/>
        <v/>
      </c>
      <c r="AZ24" s="97"/>
      <c r="BA24" s="253"/>
      <c r="BB24" s="253"/>
      <c r="BC24" s="246" t="str">
        <f t="shared" si="10"/>
        <v/>
      </c>
      <c r="BD24" s="97"/>
      <c r="BE24" s="253"/>
      <c r="BF24" s="253"/>
      <c r="BG24" s="246" t="str">
        <f t="shared" si="11"/>
        <v/>
      </c>
      <c r="BH24" s="97"/>
      <c r="BI24" s="253"/>
      <c r="BJ24" s="253"/>
      <c r="BK24" s="246" t="str">
        <f t="shared" si="12"/>
        <v/>
      </c>
      <c r="BL24" s="97"/>
      <c r="BM24" s="253"/>
      <c r="BN24" s="253"/>
      <c r="BO24" s="246" t="str">
        <f t="shared" si="13"/>
        <v/>
      </c>
      <c r="BP24" s="97"/>
      <c r="BQ24" s="253"/>
      <c r="BR24" s="253"/>
      <c r="BS24" s="246" t="str">
        <f t="shared" si="14"/>
        <v/>
      </c>
      <c r="BT24" s="97"/>
      <c r="BU24" s="253"/>
      <c r="BV24" s="253"/>
      <c r="BW24" s="246" t="str">
        <f t="shared" si="15"/>
        <v/>
      </c>
    </row>
    <row r="25" spans="1:75">
      <c r="A25" s="88">
        <v>19</v>
      </c>
      <c r="B25" s="50"/>
      <c r="C25" s="62" t="s">
        <v>718</v>
      </c>
      <c r="D25" s="260"/>
      <c r="E25" s="126" t="s">
        <v>753</v>
      </c>
      <c r="F25" s="261"/>
      <c r="G25" s="20"/>
      <c r="H25" s="20"/>
      <c r="I25" s="262" t="s">
        <v>775</v>
      </c>
      <c r="J25" s="246" t="str">
        <f t="shared" si="16"/>
        <v>*</v>
      </c>
      <c r="K25" s="7"/>
      <c r="L25" s="97"/>
      <c r="M25" s="257"/>
      <c r="N25" s="253"/>
      <c r="O25" s="246" t="str">
        <f t="shared" si="0"/>
        <v/>
      </c>
      <c r="P25" s="97"/>
      <c r="Q25" s="253"/>
      <c r="R25" s="253"/>
      <c r="S25" s="246" t="str">
        <f t="shared" si="1"/>
        <v/>
      </c>
      <c r="T25" s="97"/>
      <c r="U25" s="253"/>
      <c r="V25" s="253"/>
      <c r="W25" s="246" t="str">
        <f t="shared" si="2"/>
        <v/>
      </c>
      <c r="X25" s="97"/>
      <c r="Y25" s="23"/>
      <c r="Z25" s="23"/>
      <c r="AA25" s="246" t="str">
        <f t="shared" si="3"/>
        <v/>
      </c>
      <c r="AB25" s="97"/>
      <c r="AC25" s="253"/>
      <c r="AD25" s="253"/>
      <c r="AE25" s="246" t="str">
        <f t="shared" si="4"/>
        <v/>
      </c>
      <c r="AF25" s="97"/>
      <c r="AG25" s="253"/>
      <c r="AH25" s="253"/>
      <c r="AI25" s="246" t="str">
        <f t="shared" si="5"/>
        <v/>
      </c>
      <c r="AJ25" s="97"/>
      <c r="AK25" s="253"/>
      <c r="AL25" s="253"/>
      <c r="AM25" s="246" t="str">
        <f t="shared" si="6"/>
        <v/>
      </c>
      <c r="AN25" s="97"/>
      <c r="AO25" s="253"/>
      <c r="AP25" s="253"/>
      <c r="AQ25" s="246" t="str">
        <f t="shared" si="7"/>
        <v/>
      </c>
      <c r="AR25" s="97"/>
      <c r="AS25" s="253"/>
      <c r="AT25" s="253"/>
      <c r="AU25" s="246" t="str">
        <f t="shared" si="8"/>
        <v/>
      </c>
      <c r="AV25" s="97"/>
      <c r="AW25" s="253"/>
      <c r="AX25" s="253"/>
      <c r="AY25" s="246" t="str">
        <f t="shared" si="9"/>
        <v/>
      </c>
      <c r="AZ25" s="97"/>
      <c r="BA25" s="253"/>
      <c r="BB25" s="253"/>
      <c r="BC25" s="246" t="str">
        <f t="shared" si="10"/>
        <v/>
      </c>
      <c r="BD25" s="97"/>
      <c r="BE25" s="253"/>
      <c r="BF25" s="253"/>
      <c r="BG25" s="246" t="str">
        <f t="shared" si="11"/>
        <v/>
      </c>
      <c r="BH25" s="97"/>
      <c r="BI25" s="253"/>
      <c r="BJ25" s="253"/>
      <c r="BK25" s="246" t="str">
        <f t="shared" si="12"/>
        <v/>
      </c>
      <c r="BL25" s="97"/>
      <c r="BM25" s="253"/>
      <c r="BN25" s="253"/>
      <c r="BO25" s="246" t="str">
        <f t="shared" si="13"/>
        <v/>
      </c>
      <c r="BP25" s="97"/>
      <c r="BQ25" s="253"/>
      <c r="BR25" s="253"/>
      <c r="BS25" s="246" t="str">
        <f t="shared" si="14"/>
        <v/>
      </c>
      <c r="BT25" s="97"/>
      <c r="BU25" s="253"/>
      <c r="BV25" s="253"/>
      <c r="BW25" s="246" t="str">
        <f t="shared" si="15"/>
        <v/>
      </c>
    </row>
    <row r="26" spans="1:75">
      <c r="A26" s="88">
        <v>20</v>
      </c>
      <c r="B26" s="50"/>
      <c r="C26" s="62" t="s">
        <v>719</v>
      </c>
      <c r="D26" s="260"/>
      <c r="E26" s="126" t="s">
        <v>754</v>
      </c>
      <c r="F26" s="261"/>
      <c r="G26" s="20"/>
      <c r="H26" s="20"/>
      <c r="I26" s="262" t="s">
        <v>775</v>
      </c>
      <c r="J26" s="246" t="str">
        <f t="shared" si="16"/>
        <v>*</v>
      </c>
      <c r="K26" s="7"/>
      <c r="L26" s="97"/>
      <c r="M26" s="257"/>
      <c r="N26" s="253"/>
      <c r="O26" s="246" t="str">
        <f t="shared" si="0"/>
        <v/>
      </c>
      <c r="P26" s="97"/>
      <c r="Q26" s="253"/>
      <c r="R26" s="253"/>
      <c r="S26" s="246" t="str">
        <f t="shared" si="1"/>
        <v/>
      </c>
      <c r="T26" s="97"/>
      <c r="U26" s="253"/>
      <c r="V26" s="253"/>
      <c r="W26" s="246" t="str">
        <f t="shared" si="2"/>
        <v/>
      </c>
      <c r="X26" s="97"/>
      <c r="Y26" s="23"/>
      <c r="Z26" s="23"/>
      <c r="AA26" s="246" t="str">
        <f t="shared" si="3"/>
        <v/>
      </c>
      <c r="AB26" s="97"/>
      <c r="AC26" s="253"/>
      <c r="AD26" s="253"/>
      <c r="AE26" s="246" t="str">
        <f t="shared" si="4"/>
        <v/>
      </c>
      <c r="AF26" s="97"/>
      <c r="AG26" s="253"/>
      <c r="AH26" s="253"/>
      <c r="AI26" s="246" t="str">
        <f t="shared" si="5"/>
        <v/>
      </c>
      <c r="AJ26" s="97"/>
      <c r="AK26" s="253"/>
      <c r="AL26" s="253"/>
      <c r="AM26" s="246" t="str">
        <f t="shared" si="6"/>
        <v/>
      </c>
      <c r="AN26" s="97"/>
      <c r="AO26" s="253"/>
      <c r="AP26" s="253"/>
      <c r="AQ26" s="246" t="str">
        <f t="shared" si="7"/>
        <v/>
      </c>
      <c r="AR26" s="97"/>
      <c r="AS26" s="253"/>
      <c r="AT26" s="253"/>
      <c r="AU26" s="246" t="str">
        <f t="shared" si="8"/>
        <v/>
      </c>
      <c r="AV26" s="97"/>
      <c r="AW26" s="253"/>
      <c r="AX26" s="253"/>
      <c r="AY26" s="246" t="str">
        <f t="shared" si="9"/>
        <v/>
      </c>
      <c r="AZ26" s="97"/>
      <c r="BA26" s="253"/>
      <c r="BB26" s="253"/>
      <c r="BC26" s="246" t="str">
        <f t="shared" si="10"/>
        <v/>
      </c>
      <c r="BD26" s="97"/>
      <c r="BE26" s="253"/>
      <c r="BF26" s="253"/>
      <c r="BG26" s="246" t="str">
        <f t="shared" si="11"/>
        <v/>
      </c>
      <c r="BH26" s="97"/>
      <c r="BI26" s="253"/>
      <c r="BJ26" s="253"/>
      <c r="BK26" s="246" t="str">
        <f t="shared" si="12"/>
        <v/>
      </c>
      <c r="BL26" s="97"/>
      <c r="BM26" s="253"/>
      <c r="BN26" s="253"/>
      <c r="BO26" s="246" t="str">
        <f t="shared" si="13"/>
        <v/>
      </c>
      <c r="BP26" s="97"/>
      <c r="BQ26" s="253"/>
      <c r="BR26" s="253"/>
      <c r="BS26" s="246" t="str">
        <f t="shared" si="14"/>
        <v/>
      </c>
      <c r="BT26" s="97"/>
      <c r="BU26" s="253"/>
      <c r="BV26" s="253"/>
      <c r="BW26" s="246" t="str">
        <f t="shared" si="15"/>
        <v/>
      </c>
    </row>
    <row r="27" spans="1:75">
      <c r="A27" s="88">
        <v>21</v>
      </c>
      <c r="B27" s="50"/>
      <c r="C27" s="62" t="s">
        <v>720</v>
      </c>
      <c r="D27" s="260"/>
      <c r="E27" s="126" t="s">
        <v>755</v>
      </c>
      <c r="F27" s="261"/>
      <c r="G27" s="20"/>
      <c r="H27" s="20"/>
      <c r="I27" s="262" t="s">
        <v>776</v>
      </c>
      <c r="J27" s="246" t="str">
        <f t="shared" si="16"/>
        <v>*</v>
      </c>
      <c r="K27" s="7"/>
      <c r="L27" s="97"/>
      <c r="M27" s="257"/>
      <c r="N27" s="253"/>
      <c r="O27" s="246" t="str">
        <f t="shared" si="0"/>
        <v/>
      </c>
      <c r="P27" s="97"/>
      <c r="Q27" s="253"/>
      <c r="R27" s="253"/>
      <c r="S27" s="246" t="str">
        <f t="shared" si="1"/>
        <v/>
      </c>
      <c r="T27" s="97"/>
      <c r="U27" s="253"/>
      <c r="V27" s="253"/>
      <c r="W27" s="246" t="str">
        <f t="shared" si="2"/>
        <v/>
      </c>
      <c r="X27" s="97"/>
      <c r="Y27" s="23"/>
      <c r="Z27" s="23"/>
      <c r="AA27" s="246" t="str">
        <f t="shared" si="3"/>
        <v/>
      </c>
      <c r="AB27" s="97"/>
      <c r="AC27" s="253"/>
      <c r="AD27" s="253"/>
      <c r="AE27" s="246" t="str">
        <f t="shared" si="4"/>
        <v/>
      </c>
      <c r="AF27" s="97"/>
      <c r="AG27" s="253"/>
      <c r="AH27" s="253"/>
      <c r="AI27" s="246" t="str">
        <f t="shared" si="5"/>
        <v/>
      </c>
      <c r="AJ27" s="97"/>
      <c r="AK27" s="253"/>
      <c r="AL27" s="253"/>
      <c r="AM27" s="246" t="str">
        <f t="shared" si="6"/>
        <v/>
      </c>
      <c r="AN27" s="97"/>
      <c r="AO27" s="253"/>
      <c r="AP27" s="253"/>
      <c r="AQ27" s="246" t="str">
        <f t="shared" si="7"/>
        <v/>
      </c>
      <c r="AR27" s="97"/>
      <c r="AS27" s="253"/>
      <c r="AT27" s="253"/>
      <c r="AU27" s="246" t="str">
        <f t="shared" si="8"/>
        <v/>
      </c>
      <c r="AV27" s="97"/>
      <c r="AW27" s="253"/>
      <c r="AX27" s="253"/>
      <c r="AY27" s="246" t="str">
        <f t="shared" si="9"/>
        <v/>
      </c>
      <c r="AZ27" s="97"/>
      <c r="BA27" s="253"/>
      <c r="BB27" s="253"/>
      <c r="BC27" s="246" t="str">
        <f t="shared" si="10"/>
        <v/>
      </c>
      <c r="BD27" s="97"/>
      <c r="BE27" s="253"/>
      <c r="BF27" s="253"/>
      <c r="BG27" s="246" t="str">
        <f t="shared" si="11"/>
        <v/>
      </c>
      <c r="BH27" s="97"/>
      <c r="BI27" s="253"/>
      <c r="BJ27" s="253"/>
      <c r="BK27" s="246" t="str">
        <f t="shared" si="12"/>
        <v/>
      </c>
      <c r="BL27" s="97"/>
      <c r="BM27" s="253"/>
      <c r="BN27" s="253"/>
      <c r="BO27" s="246" t="str">
        <f t="shared" si="13"/>
        <v/>
      </c>
      <c r="BP27" s="97"/>
      <c r="BQ27" s="253"/>
      <c r="BR27" s="253"/>
      <c r="BS27" s="246" t="str">
        <f t="shared" si="14"/>
        <v/>
      </c>
      <c r="BT27" s="97"/>
      <c r="BU27" s="253"/>
      <c r="BV27" s="253"/>
      <c r="BW27" s="246" t="str">
        <f t="shared" si="15"/>
        <v/>
      </c>
    </row>
    <row r="28" spans="1:75">
      <c r="A28" s="88">
        <v>22</v>
      </c>
      <c r="B28" s="50"/>
      <c r="C28" s="62" t="s">
        <v>721</v>
      </c>
      <c r="D28" s="260"/>
      <c r="E28" s="126" t="s">
        <v>754</v>
      </c>
      <c r="F28" s="261"/>
      <c r="G28" s="20"/>
      <c r="H28" s="20"/>
      <c r="I28" s="262" t="s">
        <v>777</v>
      </c>
      <c r="J28" s="246" t="str">
        <f t="shared" si="16"/>
        <v>*</v>
      </c>
      <c r="K28" s="7"/>
      <c r="L28" s="97"/>
      <c r="M28" s="257"/>
      <c r="N28" s="253"/>
      <c r="O28" s="246" t="str">
        <f t="shared" si="0"/>
        <v/>
      </c>
      <c r="P28" s="97"/>
      <c r="Q28" s="253"/>
      <c r="R28" s="253"/>
      <c r="S28" s="246" t="str">
        <f t="shared" si="1"/>
        <v/>
      </c>
      <c r="T28" s="97"/>
      <c r="U28" s="253"/>
      <c r="V28" s="253"/>
      <c r="W28" s="246" t="str">
        <f t="shared" si="2"/>
        <v/>
      </c>
      <c r="X28" s="97"/>
      <c r="Y28" s="23"/>
      <c r="Z28" s="23"/>
      <c r="AA28" s="246" t="str">
        <f t="shared" si="3"/>
        <v/>
      </c>
      <c r="AB28" s="97"/>
      <c r="AC28" s="253"/>
      <c r="AD28" s="253"/>
      <c r="AE28" s="246" t="str">
        <f t="shared" si="4"/>
        <v/>
      </c>
      <c r="AF28" s="97"/>
      <c r="AG28" s="253"/>
      <c r="AH28" s="253"/>
      <c r="AI28" s="246" t="str">
        <f t="shared" si="5"/>
        <v/>
      </c>
      <c r="AJ28" s="97"/>
      <c r="AK28" s="253"/>
      <c r="AL28" s="253"/>
      <c r="AM28" s="246" t="str">
        <f t="shared" si="6"/>
        <v/>
      </c>
      <c r="AN28" s="97"/>
      <c r="AO28" s="253"/>
      <c r="AP28" s="253"/>
      <c r="AQ28" s="246" t="str">
        <f t="shared" si="7"/>
        <v/>
      </c>
      <c r="AR28" s="97"/>
      <c r="AS28" s="253"/>
      <c r="AT28" s="253"/>
      <c r="AU28" s="246" t="str">
        <f t="shared" si="8"/>
        <v/>
      </c>
      <c r="AV28" s="97"/>
      <c r="AW28" s="253"/>
      <c r="AX28" s="253"/>
      <c r="AY28" s="246" t="str">
        <f t="shared" si="9"/>
        <v/>
      </c>
      <c r="AZ28" s="97"/>
      <c r="BA28" s="253"/>
      <c r="BB28" s="253"/>
      <c r="BC28" s="246" t="str">
        <f t="shared" si="10"/>
        <v/>
      </c>
      <c r="BD28" s="97"/>
      <c r="BE28" s="253"/>
      <c r="BF28" s="253"/>
      <c r="BG28" s="246" t="str">
        <f t="shared" si="11"/>
        <v/>
      </c>
      <c r="BH28" s="97"/>
      <c r="BI28" s="253"/>
      <c r="BJ28" s="253"/>
      <c r="BK28" s="246" t="str">
        <f t="shared" si="12"/>
        <v/>
      </c>
      <c r="BL28" s="97"/>
      <c r="BM28" s="253"/>
      <c r="BN28" s="253"/>
      <c r="BO28" s="246" t="str">
        <f t="shared" si="13"/>
        <v/>
      </c>
      <c r="BP28" s="97"/>
      <c r="BQ28" s="253"/>
      <c r="BR28" s="253"/>
      <c r="BS28" s="246" t="str">
        <f t="shared" si="14"/>
        <v/>
      </c>
      <c r="BT28" s="97"/>
      <c r="BU28" s="253"/>
      <c r="BV28" s="253"/>
      <c r="BW28" s="246" t="str">
        <f t="shared" si="15"/>
        <v/>
      </c>
    </row>
    <row r="29" spans="1:75">
      <c r="A29" s="88">
        <v>23</v>
      </c>
      <c r="B29" s="50"/>
      <c r="C29" s="62" t="s">
        <v>722</v>
      </c>
      <c r="D29" s="260"/>
      <c r="E29" s="126" t="s">
        <v>756</v>
      </c>
      <c r="F29" s="261"/>
      <c r="G29" s="20"/>
      <c r="H29" s="20"/>
      <c r="I29" s="262" t="s">
        <v>771</v>
      </c>
      <c r="J29" s="246" t="str">
        <f t="shared" si="16"/>
        <v>*</v>
      </c>
      <c r="K29" s="7"/>
      <c r="L29" s="97"/>
      <c r="M29" s="257"/>
      <c r="N29" s="253"/>
      <c r="O29" s="246" t="str">
        <f t="shared" si="0"/>
        <v/>
      </c>
      <c r="P29" s="97"/>
      <c r="Q29" s="253"/>
      <c r="R29" s="253"/>
      <c r="S29" s="246" t="str">
        <f t="shared" si="1"/>
        <v/>
      </c>
      <c r="T29" s="97"/>
      <c r="U29" s="253"/>
      <c r="V29" s="253"/>
      <c r="W29" s="246" t="str">
        <f t="shared" si="2"/>
        <v/>
      </c>
      <c r="X29" s="97"/>
      <c r="Y29" s="23"/>
      <c r="Z29" s="23"/>
      <c r="AA29" s="246" t="str">
        <f t="shared" si="3"/>
        <v/>
      </c>
      <c r="AB29" s="97"/>
      <c r="AC29" s="253"/>
      <c r="AD29" s="253"/>
      <c r="AE29" s="246" t="str">
        <f t="shared" si="4"/>
        <v/>
      </c>
      <c r="AF29" s="97"/>
      <c r="AG29" s="253"/>
      <c r="AH29" s="253"/>
      <c r="AI29" s="246" t="str">
        <f t="shared" si="5"/>
        <v/>
      </c>
      <c r="AJ29" s="97"/>
      <c r="AK29" s="253"/>
      <c r="AL29" s="253"/>
      <c r="AM29" s="246" t="str">
        <f t="shared" si="6"/>
        <v/>
      </c>
      <c r="AN29" s="97"/>
      <c r="AO29" s="253"/>
      <c r="AP29" s="253"/>
      <c r="AQ29" s="246" t="str">
        <f t="shared" si="7"/>
        <v/>
      </c>
      <c r="AR29" s="97"/>
      <c r="AS29" s="253"/>
      <c r="AT29" s="253"/>
      <c r="AU29" s="246" t="str">
        <f t="shared" si="8"/>
        <v/>
      </c>
      <c r="AV29" s="97"/>
      <c r="AW29" s="253"/>
      <c r="AX29" s="253"/>
      <c r="AY29" s="246" t="str">
        <f t="shared" si="9"/>
        <v/>
      </c>
      <c r="AZ29" s="97"/>
      <c r="BA29" s="253"/>
      <c r="BB29" s="253"/>
      <c r="BC29" s="246" t="str">
        <f t="shared" si="10"/>
        <v/>
      </c>
      <c r="BD29" s="97"/>
      <c r="BE29" s="253"/>
      <c r="BF29" s="253"/>
      <c r="BG29" s="246" t="str">
        <f t="shared" si="11"/>
        <v/>
      </c>
      <c r="BH29" s="97"/>
      <c r="BI29" s="253"/>
      <c r="BJ29" s="253"/>
      <c r="BK29" s="246" t="str">
        <f t="shared" si="12"/>
        <v/>
      </c>
      <c r="BL29" s="97"/>
      <c r="BM29" s="253"/>
      <c r="BN29" s="253"/>
      <c r="BO29" s="246" t="str">
        <f t="shared" si="13"/>
        <v/>
      </c>
      <c r="BP29" s="97"/>
      <c r="BQ29" s="253"/>
      <c r="BR29" s="253"/>
      <c r="BS29" s="246" t="str">
        <f t="shared" si="14"/>
        <v/>
      </c>
      <c r="BT29" s="97"/>
      <c r="BU29" s="253"/>
      <c r="BV29" s="253"/>
      <c r="BW29" s="246" t="str">
        <f t="shared" si="15"/>
        <v/>
      </c>
    </row>
    <row r="30" spans="1:75">
      <c r="A30" s="88">
        <v>24</v>
      </c>
      <c r="B30" s="50"/>
      <c r="C30" s="62" t="s">
        <v>723</v>
      </c>
      <c r="D30" s="260"/>
      <c r="E30" s="126" t="s">
        <v>757</v>
      </c>
      <c r="F30" s="261"/>
      <c r="G30" s="20"/>
      <c r="H30" s="20"/>
      <c r="I30" s="262" t="s">
        <v>771</v>
      </c>
      <c r="J30" s="246" t="str">
        <f t="shared" si="16"/>
        <v>*</v>
      </c>
      <c r="K30" s="7"/>
      <c r="L30" s="97"/>
      <c r="M30" s="257"/>
      <c r="N30" s="253"/>
      <c r="O30" s="246" t="str">
        <f t="shared" si="0"/>
        <v/>
      </c>
      <c r="P30" s="97"/>
      <c r="Q30" s="253"/>
      <c r="R30" s="253"/>
      <c r="S30" s="246" t="str">
        <f t="shared" si="1"/>
        <v/>
      </c>
      <c r="T30" s="97"/>
      <c r="U30" s="253"/>
      <c r="V30" s="253"/>
      <c r="W30" s="246" t="str">
        <f t="shared" si="2"/>
        <v/>
      </c>
      <c r="X30" s="97"/>
      <c r="Y30" s="23"/>
      <c r="Z30" s="23"/>
      <c r="AA30" s="246" t="str">
        <f t="shared" si="3"/>
        <v/>
      </c>
      <c r="AB30" s="97"/>
      <c r="AC30" s="253"/>
      <c r="AD30" s="253"/>
      <c r="AE30" s="246" t="str">
        <f t="shared" si="4"/>
        <v/>
      </c>
      <c r="AF30" s="97"/>
      <c r="AG30" s="253"/>
      <c r="AH30" s="253"/>
      <c r="AI30" s="246" t="str">
        <f t="shared" si="5"/>
        <v/>
      </c>
      <c r="AJ30" s="97"/>
      <c r="AK30" s="253"/>
      <c r="AL30" s="253"/>
      <c r="AM30" s="246" t="str">
        <f t="shared" si="6"/>
        <v/>
      </c>
      <c r="AN30" s="97"/>
      <c r="AO30" s="253"/>
      <c r="AP30" s="253"/>
      <c r="AQ30" s="246" t="str">
        <f t="shared" si="7"/>
        <v/>
      </c>
      <c r="AR30" s="97"/>
      <c r="AS30" s="253"/>
      <c r="AT30" s="253"/>
      <c r="AU30" s="246" t="str">
        <f t="shared" si="8"/>
        <v/>
      </c>
      <c r="AV30" s="97"/>
      <c r="AW30" s="253"/>
      <c r="AX30" s="253"/>
      <c r="AY30" s="246" t="str">
        <f t="shared" si="9"/>
        <v/>
      </c>
      <c r="AZ30" s="97"/>
      <c r="BA30" s="253"/>
      <c r="BB30" s="253"/>
      <c r="BC30" s="246" t="str">
        <f t="shared" si="10"/>
        <v/>
      </c>
      <c r="BD30" s="97"/>
      <c r="BE30" s="253"/>
      <c r="BF30" s="253"/>
      <c r="BG30" s="246" t="str">
        <f t="shared" si="11"/>
        <v/>
      </c>
      <c r="BH30" s="97"/>
      <c r="BI30" s="253"/>
      <c r="BJ30" s="253"/>
      <c r="BK30" s="246" t="str">
        <f t="shared" si="12"/>
        <v/>
      </c>
      <c r="BL30" s="97"/>
      <c r="BM30" s="253"/>
      <c r="BN30" s="253"/>
      <c r="BO30" s="246" t="str">
        <f t="shared" si="13"/>
        <v/>
      </c>
      <c r="BP30" s="97"/>
      <c r="BQ30" s="253"/>
      <c r="BR30" s="253"/>
      <c r="BS30" s="246" t="str">
        <f t="shared" si="14"/>
        <v/>
      </c>
      <c r="BT30" s="97"/>
      <c r="BU30" s="253"/>
      <c r="BV30" s="253"/>
      <c r="BW30" s="246" t="str">
        <f t="shared" si="15"/>
        <v/>
      </c>
    </row>
    <row r="31" spans="1:75">
      <c r="A31" s="88">
        <v>25</v>
      </c>
      <c r="B31" s="50"/>
      <c r="C31" s="62" t="s">
        <v>724</v>
      </c>
      <c r="D31" s="260"/>
      <c r="E31" s="126" t="s">
        <v>740</v>
      </c>
      <c r="F31" s="263"/>
      <c r="G31" s="20"/>
      <c r="H31" s="20"/>
      <c r="I31" s="19" t="s">
        <v>768</v>
      </c>
      <c r="J31" s="246" t="str">
        <f t="shared" si="16"/>
        <v>*</v>
      </c>
      <c r="K31" s="7"/>
      <c r="L31" s="97"/>
      <c r="M31" s="257"/>
      <c r="N31" s="253"/>
      <c r="O31" s="246" t="str">
        <f t="shared" si="0"/>
        <v/>
      </c>
      <c r="P31" s="97"/>
      <c r="Q31" s="253"/>
      <c r="R31" s="253"/>
      <c r="S31" s="246" t="str">
        <f t="shared" si="1"/>
        <v/>
      </c>
      <c r="T31" s="97"/>
      <c r="U31" s="253"/>
      <c r="V31" s="253"/>
      <c r="W31" s="246" t="str">
        <f t="shared" si="2"/>
        <v/>
      </c>
      <c r="X31" s="97"/>
      <c r="Y31" s="23"/>
      <c r="Z31" s="23"/>
      <c r="AA31" s="246" t="str">
        <f t="shared" si="3"/>
        <v/>
      </c>
      <c r="AB31" s="97"/>
      <c r="AC31" s="253"/>
      <c r="AD31" s="253"/>
      <c r="AE31" s="246" t="str">
        <f t="shared" si="4"/>
        <v/>
      </c>
      <c r="AF31" s="97"/>
      <c r="AG31" s="253"/>
      <c r="AH31" s="253"/>
      <c r="AI31" s="246" t="str">
        <f t="shared" si="5"/>
        <v/>
      </c>
      <c r="AJ31" s="97"/>
      <c r="AK31" s="253"/>
      <c r="AL31" s="253"/>
      <c r="AM31" s="246" t="str">
        <f t="shared" si="6"/>
        <v/>
      </c>
      <c r="AN31" s="97"/>
      <c r="AO31" s="253"/>
      <c r="AP31" s="253"/>
      <c r="AQ31" s="246" t="str">
        <f t="shared" si="7"/>
        <v/>
      </c>
      <c r="AR31" s="97"/>
      <c r="AS31" s="253"/>
      <c r="AT31" s="253"/>
      <c r="AU31" s="246" t="str">
        <f t="shared" si="8"/>
        <v/>
      </c>
      <c r="AV31" s="97"/>
      <c r="AW31" s="253"/>
      <c r="AX31" s="253"/>
      <c r="AY31" s="246" t="str">
        <f t="shared" si="9"/>
        <v/>
      </c>
      <c r="AZ31" s="97"/>
      <c r="BA31" s="253"/>
      <c r="BB31" s="253"/>
      <c r="BC31" s="246" t="str">
        <f t="shared" si="10"/>
        <v/>
      </c>
      <c r="BD31" s="97"/>
      <c r="BE31" s="253"/>
      <c r="BF31" s="253"/>
      <c r="BG31" s="246" t="str">
        <f t="shared" si="11"/>
        <v/>
      </c>
      <c r="BH31" s="97"/>
      <c r="BI31" s="253"/>
      <c r="BJ31" s="253"/>
      <c r="BK31" s="246" t="str">
        <f t="shared" si="12"/>
        <v/>
      </c>
      <c r="BL31" s="97"/>
      <c r="BM31" s="253"/>
      <c r="BN31" s="253"/>
      <c r="BO31" s="246" t="str">
        <f t="shared" si="13"/>
        <v/>
      </c>
      <c r="BP31" s="97"/>
      <c r="BQ31" s="253"/>
      <c r="BR31" s="253"/>
      <c r="BS31" s="246" t="str">
        <f t="shared" si="14"/>
        <v/>
      </c>
      <c r="BT31" s="97"/>
      <c r="BU31" s="253"/>
      <c r="BV31" s="253"/>
      <c r="BW31" s="246" t="str">
        <f t="shared" si="15"/>
        <v/>
      </c>
    </row>
    <row r="32" spans="1:75">
      <c r="A32" s="88">
        <v>26</v>
      </c>
      <c r="B32" s="50"/>
      <c r="C32" s="62" t="s">
        <v>725</v>
      </c>
      <c r="D32" s="260"/>
      <c r="E32" s="126" t="s">
        <v>758</v>
      </c>
      <c r="F32" s="261"/>
      <c r="G32" s="20"/>
      <c r="H32" s="20"/>
      <c r="I32" s="262" t="s">
        <v>770</v>
      </c>
      <c r="J32" s="246" t="str">
        <f t="shared" si="16"/>
        <v>*</v>
      </c>
      <c r="K32" s="7"/>
      <c r="L32" s="97"/>
      <c r="M32" s="257"/>
      <c r="N32" s="253"/>
      <c r="O32" s="246" t="str">
        <f t="shared" si="0"/>
        <v/>
      </c>
      <c r="P32" s="97"/>
      <c r="Q32" s="253"/>
      <c r="R32" s="253"/>
      <c r="S32" s="246" t="str">
        <f t="shared" si="1"/>
        <v/>
      </c>
      <c r="T32" s="97"/>
      <c r="U32" s="253"/>
      <c r="V32" s="253"/>
      <c r="W32" s="246" t="str">
        <f t="shared" si="2"/>
        <v/>
      </c>
      <c r="X32" s="97"/>
      <c r="Y32" s="23"/>
      <c r="Z32" s="23"/>
      <c r="AA32" s="246" t="str">
        <f t="shared" si="3"/>
        <v/>
      </c>
      <c r="AB32" s="97"/>
      <c r="AC32" s="253"/>
      <c r="AD32" s="253"/>
      <c r="AE32" s="246" t="str">
        <f t="shared" si="4"/>
        <v/>
      </c>
      <c r="AF32" s="97"/>
      <c r="AG32" s="253"/>
      <c r="AH32" s="253"/>
      <c r="AI32" s="246" t="str">
        <f t="shared" si="5"/>
        <v/>
      </c>
      <c r="AJ32" s="97"/>
      <c r="AK32" s="253"/>
      <c r="AL32" s="253"/>
      <c r="AM32" s="246" t="str">
        <f t="shared" si="6"/>
        <v/>
      </c>
      <c r="AN32" s="97"/>
      <c r="AO32" s="253"/>
      <c r="AP32" s="253"/>
      <c r="AQ32" s="246" t="str">
        <f t="shared" si="7"/>
        <v/>
      </c>
      <c r="AR32" s="97"/>
      <c r="AS32" s="253"/>
      <c r="AT32" s="253"/>
      <c r="AU32" s="246" t="str">
        <f t="shared" si="8"/>
        <v/>
      </c>
      <c r="AV32" s="97"/>
      <c r="AW32" s="253"/>
      <c r="AX32" s="253"/>
      <c r="AY32" s="246" t="str">
        <f t="shared" si="9"/>
        <v/>
      </c>
      <c r="AZ32" s="97"/>
      <c r="BA32" s="253"/>
      <c r="BB32" s="253"/>
      <c r="BC32" s="246" t="str">
        <f t="shared" si="10"/>
        <v/>
      </c>
      <c r="BD32" s="97"/>
      <c r="BE32" s="253"/>
      <c r="BF32" s="253"/>
      <c r="BG32" s="246" t="str">
        <f t="shared" si="11"/>
        <v/>
      </c>
      <c r="BH32" s="97"/>
      <c r="BI32" s="253"/>
      <c r="BJ32" s="253"/>
      <c r="BK32" s="246" t="str">
        <f t="shared" si="12"/>
        <v/>
      </c>
      <c r="BL32" s="97"/>
      <c r="BM32" s="253"/>
      <c r="BN32" s="253"/>
      <c r="BO32" s="246" t="str">
        <f t="shared" si="13"/>
        <v/>
      </c>
      <c r="BP32" s="97"/>
      <c r="BQ32" s="253"/>
      <c r="BR32" s="253"/>
      <c r="BS32" s="246" t="str">
        <f t="shared" si="14"/>
        <v/>
      </c>
      <c r="BT32" s="97"/>
      <c r="BU32" s="253"/>
      <c r="BV32" s="253"/>
      <c r="BW32" s="246" t="str">
        <f t="shared" si="15"/>
        <v/>
      </c>
    </row>
    <row r="33" spans="1:75">
      <c r="A33" s="88">
        <v>27</v>
      </c>
      <c r="B33" s="50"/>
      <c r="C33" s="62" t="s">
        <v>726</v>
      </c>
      <c r="D33" s="260"/>
      <c r="E33" s="126" t="s">
        <v>759</v>
      </c>
      <c r="F33" s="261"/>
      <c r="G33" s="20"/>
      <c r="H33" s="20"/>
      <c r="I33" s="262" t="s">
        <v>778</v>
      </c>
      <c r="J33" s="246" t="str">
        <f t="shared" si="16"/>
        <v>*</v>
      </c>
      <c r="K33" s="7"/>
      <c r="L33" s="97"/>
      <c r="M33" s="257"/>
      <c r="N33" s="253"/>
      <c r="O33" s="246" t="str">
        <f t="shared" si="0"/>
        <v/>
      </c>
      <c r="P33" s="97"/>
      <c r="Q33" s="253"/>
      <c r="R33" s="253"/>
      <c r="S33" s="246" t="str">
        <f t="shared" si="1"/>
        <v/>
      </c>
      <c r="T33" s="97"/>
      <c r="U33" s="253"/>
      <c r="V33" s="253"/>
      <c r="W33" s="246" t="str">
        <f t="shared" si="2"/>
        <v/>
      </c>
      <c r="X33" s="97"/>
      <c r="Y33" s="23"/>
      <c r="Z33" s="23"/>
      <c r="AA33" s="246" t="str">
        <f t="shared" si="3"/>
        <v/>
      </c>
      <c r="AB33" s="97"/>
      <c r="AC33" s="253"/>
      <c r="AD33" s="253"/>
      <c r="AE33" s="246" t="str">
        <f t="shared" si="4"/>
        <v/>
      </c>
      <c r="AF33" s="97"/>
      <c r="AG33" s="253"/>
      <c r="AH33" s="253"/>
      <c r="AI33" s="246" t="str">
        <f t="shared" si="5"/>
        <v/>
      </c>
      <c r="AJ33" s="97"/>
      <c r="AK33" s="253"/>
      <c r="AL33" s="253"/>
      <c r="AM33" s="246" t="str">
        <f t="shared" si="6"/>
        <v/>
      </c>
      <c r="AN33" s="97"/>
      <c r="AO33" s="253"/>
      <c r="AP33" s="253"/>
      <c r="AQ33" s="246" t="str">
        <f t="shared" si="7"/>
        <v/>
      </c>
      <c r="AR33" s="97"/>
      <c r="AS33" s="253"/>
      <c r="AT33" s="253"/>
      <c r="AU33" s="246" t="str">
        <f t="shared" si="8"/>
        <v/>
      </c>
      <c r="AV33" s="97"/>
      <c r="AW33" s="253"/>
      <c r="AX33" s="253"/>
      <c r="AY33" s="246" t="str">
        <f t="shared" si="9"/>
        <v/>
      </c>
      <c r="AZ33" s="97"/>
      <c r="BA33" s="253"/>
      <c r="BB33" s="253"/>
      <c r="BC33" s="246" t="str">
        <f t="shared" si="10"/>
        <v/>
      </c>
      <c r="BD33" s="97"/>
      <c r="BE33" s="253"/>
      <c r="BF33" s="253"/>
      <c r="BG33" s="246" t="str">
        <f t="shared" si="11"/>
        <v/>
      </c>
      <c r="BH33" s="97"/>
      <c r="BI33" s="253"/>
      <c r="BJ33" s="253"/>
      <c r="BK33" s="246" t="str">
        <f t="shared" si="12"/>
        <v/>
      </c>
      <c r="BL33" s="97"/>
      <c r="BM33" s="253"/>
      <c r="BN33" s="253"/>
      <c r="BO33" s="246" t="str">
        <f t="shared" si="13"/>
        <v/>
      </c>
      <c r="BP33" s="97"/>
      <c r="BQ33" s="253"/>
      <c r="BR33" s="253"/>
      <c r="BS33" s="246" t="str">
        <f t="shared" si="14"/>
        <v/>
      </c>
      <c r="BT33" s="97"/>
      <c r="BU33" s="253"/>
      <c r="BV33" s="253"/>
      <c r="BW33" s="246" t="str">
        <f t="shared" si="15"/>
        <v/>
      </c>
    </row>
    <row r="34" spans="1:75">
      <c r="A34" s="88">
        <v>28</v>
      </c>
      <c r="B34" s="50"/>
      <c r="C34" s="62" t="s">
        <v>727</v>
      </c>
      <c r="D34" s="260"/>
      <c r="E34" s="126" t="s">
        <v>743</v>
      </c>
      <c r="F34" s="261"/>
      <c r="G34" s="20"/>
      <c r="H34" s="20"/>
      <c r="I34" s="262" t="s">
        <v>770</v>
      </c>
      <c r="J34" s="246" t="str">
        <f t="shared" si="16"/>
        <v>*</v>
      </c>
      <c r="K34" s="7"/>
      <c r="L34" s="97"/>
      <c r="M34" s="257"/>
      <c r="N34" s="253"/>
      <c r="O34" s="246" t="str">
        <f t="shared" si="0"/>
        <v/>
      </c>
      <c r="P34" s="97"/>
      <c r="Q34" s="253"/>
      <c r="R34" s="253"/>
      <c r="S34" s="246" t="str">
        <f t="shared" si="1"/>
        <v/>
      </c>
      <c r="T34" s="97"/>
      <c r="U34" s="253"/>
      <c r="V34" s="253"/>
      <c r="W34" s="246" t="str">
        <f t="shared" si="2"/>
        <v/>
      </c>
      <c r="X34" s="97"/>
      <c r="Y34" s="23"/>
      <c r="Z34" s="23"/>
      <c r="AA34" s="246" t="str">
        <f t="shared" si="3"/>
        <v/>
      </c>
      <c r="AB34" s="97"/>
      <c r="AC34" s="253"/>
      <c r="AD34" s="253"/>
      <c r="AE34" s="246" t="str">
        <f t="shared" si="4"/>
        <v/>
      </c>
      <c r="AF34" s="97"/>
      <c r="AG34" s="253"/>
      <c r="AH34" s="253"/>
      <c r="AI34" s="246" t="str">
        <f t="shared" si="5"/>
        <v/>
      </c>
      <c r="AJ34" s="97"/>
      <c r="AK34" s="253"/>
      <c r="AL34" s="253"/>
      <c r="AM34" s="246" t="str">
        <f t="shared" si="6"/>
        <v/>
      </c>
      <c r="AN34" s="97"/>
      <c r="AO34" s="253"/>
      <c r="AP34" s="253"/>
      <c r="AQ34" s="246" t="str">
        <f t="shared" si="7"/>
        <v/>
      </c>
      <c r="AR34" s="97"/>
      <c r="AS34" s="253"/>
      <c r="AT34" s="253"/>
      <c r="AU34" s="246" t="str">
        <f t="shared" si="8"/>
        <v/>
      </c>
      <c r="AV34" s="97"/>
      <c r="AW34" s="253"/>
      <c r="AX34" s="253"/>
      <c r="AY34" s="246" t="str">
        <f t="shared" si="9"/>
        <v/>
      </c>
      <c r="AZ34" s="97"/>
      <c r="BA34" s="253"/>
      <c r="BB34" s="253"/>
      <c r="BC34" s="246" t="str">
        <f t="shared" si="10"/>
        <v/>
      </c>
      <c r="BD34" s="97"/>
      <c r="BE34" s="253"/>
      <c r="BF34" s="253"/>
      <c r="BG34" s="246" t="str">
        <f t="shared" si="11"/>
        <v/>
      </c>
      <c r="BH34" s="97"/>
      <c r="BI34" s="253"/>
      <c r="BJ34" s="253"/>
      <c r="BK34" s="246" t="str">
        <f t="shared" si="12"/>
        <v/>
      </c>
      <c r="BL34" s="97"/>
      <c r="BM34" s="253"/>
      <c r="BN34" s="253"/>
      <c r="BO34" s="246" t="str">
        <f t="shared" si="13"/>
        <v/>
      </c>
      <c r="BP34" s="97"/>
      <c r="BQ34" s="253"/>
      <c r="BR34" s="253"/>
      <c r="BS34" s="246" t="str">
        <f t="shared" si="14"/>
        <v/>
      </c>
      <c r="BT34" s="97"/>
      <c r="BU34" s="253"/>
      <c r="BV34" s="253"/>
      <c r="BW34" s="246" t="str">
        <f t="shared" si="15"/>
        <v/>
      </c>
    </row>
    <row r="35" spans="1:75">
      <c r="A35" s="88">
        <v>29</v>
      </c>
      <c r="B35" s="50"/>
      <c r="C35" s="62" t="s">
        <v>727</v>
      </c>
      <c r="D35" s="260"/>
      <c r="E35" s="126" t="s">
        <v>743</v>
      </c>
      <c r="F35" s="261"/>
      <c r="G35" s="20"/>
      <c r="H35" s="20"/>
      <c r="I35" s="262" t="s">
        <v>770</v>
      </c>
      <c r="J35" s="246" t="str">
        <f t="shared" si="16"/>
        <v>*</v>
      </c>
      <c r="K35" s="7"/>
      <c r="L35" s="97"/>
      <c r="M35" s="257"/>
      <c r="N35" s="253"/>
      <c r="O35" s="246" t="str">
        <f t="shared" si="0"/>
        <v/>
      </c>
      <c r="P35" s="97"/>
      <c r="Q35" s="253"/>
      <c r="R35" s="253"/>
      <c r="S35" s="246" t="str">
        <f t="shared" si="1"/>
        <v/>
      </c>
      <c r="T35" s="97"/>
      <c r="U35" s="253"/>
      <c r="V35" s="253"/>
      <c r="W35" s="246" t="str">
        <f t="shared" si="2"/>
        <v/>
      </c>
      <c r="X35" s="97"/>
      <c r="Y35" s="23"/>
      <c r="Z35" s="23"/>
      <c r="AA35" s="246" t="str">
        <f t="shared" si="3"/>
        <v/>
      </c>
      <c r="AB35" s="97"/>
      <c r="AC35" s="253"/>
      <c r="AD35" s="253"/>
      <c r="AE35" s="246" t="str">
        <f t="shared" si="4"/>
        <v/>
      </c>
      <c r="AF35" s="97"/>
      <c r="AG35" s="253"/>
      <c r="AH35" s="253"/>
      <c r="AI35" s="246" t="str">
        <f t="shared" si="5"/>
        <v/>
      </c>
      <c r="AJ35" s="97"/>
      <c r="AK35" s="253"/>
      <c r="AL35" s="253"/>
      <c r="AM35" s="246" t="str">
        <f t="shared" si="6"/>
        <v/>
      </c>
      <c r="AN35" s="97"/>
      <c r="AO35" s="253"/>
      <c r="AP35" s="253"/>
      <c r="AQ35" s="246" t="str">
        <f t="shared" si="7"/>
        <v/>
      </c>
      <c r="AR35" s="97"/>
      <c r="AS35" s="253"/>
      <c r="AT35" s="253"/>
      <c r="AU35" s="246" t="str">
        <f t="shared" si="8"/>
        <v/>
      </c>
      <c r="AV35" s="97"/>
      <c r="AW35" s="253"/>
      <c r="AX35" s="253"/>
      <c r="AY35" s="246" t="str">
        <f t="shared" si="9"/>
        <v/>
      </c>
      <c r="AZ35" s="97"/>
      <c r="BA35" s="253"/>
      <c r="BB35" s="253"/>
      <c r="BC35" s="246" t="str">
        <f t="shared" si="10"/>
        <v/>
      </c>
      <c r="BD35" s="97"/>
      <c r="BE35" s="253"/>
      <c r="BF35" s="253"/>
      <c r="BG35" s="246" t="str">
        <f t="shared" si="11"/>
        <v/>
      </c>
      <c r="BH35" s="97"/>
      <c r="BI35" s="253"/>
      <c r="BJ35" s="253"/>
      <c r="BK35" s="246" t="str">
        <f t="shared" si="12"/>
        <v/>
      </c>
      <c r="BL35" s="97"/>
      <c r="BM35" s="253"/>
      <c r="BN35" s="253"/>
      <c r="BO35" s="246" t="str">
        <f t="shared" si="13"/>
        <v/>
      </c>
      <c r="BP35" s="97"/>
      <c r="BQ35" s="253"/>
      <c r="BR35" s="253"/>
      <c r="BS35" s="246" t="str">
        <f t="shared" si="14"/>
        <v/>
      </c>
      <c r="BT35" s="97"/>
      <c r="BU35" s="253"/>
      <c r="BV35" s="253"/>
      <c r="BW35" s="246" t="str">
        <f t="shared" si="15"/>
        <v/>
      </c>
    </row>
    <row r="36" spans="1:75">
      <c r="A36" s="88">
        <v>30</v>
      </c>
      <c r="B36" s="50"/>
      <c r="C36" s="62" t="s">
        <v>728</v>
      </c>
      <c r="D36" s="260"/>
      <c r="E36" s="126" t="s">
        <v>740</v>
      </c>
      <c r="F36" s="261"/>
      <c r="G36" s="20"/>
      <c r="H36" s="20"/>
      <c r="I36" s="262" t="s">
        <v>770</v>
      </c>
      <c r="J36" s="246" t="str">
        <f t="shared" si="16"/>
        <v>*</v>
      </c>
      <c r="K36" s="7"/>
      <c r="L36" s="97"/>
      <c r="M36" s="257"/>
      <c r="N36" s="253"/>
      <c r="O36" s="246" t="str">
        <f t="shared" si="0"/>
        <v/>
      </c>
      <c r="P36" s="97"/>
      <c r="Q36" s="253"/>
      <c r="R36" s="253"/>
      <c r="S36" s="246" t="str">
        <f t="shared" si="1"/>
        <v/>
      </c>
      <c r="T36" s="97"/>
      <c r="U36" s="253"/>
      <c r="V36" s="253"/>
      <c r="W36" s="246" t="str">
        <f t="shared" si="2"/>
        <v/>
      </c>
      <c r="X36" s="97"/>
      <c r="Y36" s="23"/>
      <c r="Z36" s="23"/>
      <c r="AA36" s="246" t="str">
        <f t="shared" si="3"/>
        <v/>
      </c>
      <c r="AB36" s="97"/>
      <c r="AC36" s="253"/>
      <c r="AD36" s="253"/>
      <c r="AE36" s="246" t="str">
        <f t="shared" si="4"/>
        <v/>
      </c>
      <c r="AF36" s="97"/>
      <c r="AG36" s="253"/>
      <c r="AH36" s="253"/>
      <c r="AI36" s="246" t="str">
        <f t="shared" si="5"/>
        <v/>
      </c>
      <c r="AJ36" s="97"/>
      <c r="AK36" s="253"/>
      <c r="AL36" s="253"/>
      <c r="AM36" s="246" t="str">
        <f t="shared" si="6"/>
        <v/>
      </c>
      <c r="AN36" s="97"/>
      <c r="AO36" s="253"/>
      <c r="AP36" s="253"/>
      <c r="AQ36" s="246" t="str">
        <f t="shared" si="7"/>
        <v/>
      </c>
      <c r="AR36" s="97"/>
      <c r="AS36" s="253"/>
      <c r="AT36" s="253"/>
      <c r="AU36" s="246" t="str">
        <f t="shared" si="8"/>
        <v/>
      </c>
      <c r="AV36" s="97"/>
      <c r="AW36" s="253"/>
      <c r="AX36" s="253"/>
      <c r="AY36" s="246" t="str">
        <f t="shared" si="9"/>
        <v/>
      </c>
      <c r="AZ36" s="97"/>
      <c r="BA36" s="253"/>
      <c r="BB36" s="253"/>
      <c r="BC36" s="246" t="str">
        <f t="shared" si="10"/>
        <v/>
      </c>
      <c r="BD36" s="97"/>
      <c r="BE36" s="253"/>
      <c r="BF36" s="253"/>
      <c r="BG36" s="246" t="str">
        <f t="shared" si="11"/>
        <v/>
      </c>
      <c r="BH36" s="97"/>
      <c r="BI36" s="253"/>
      <c r="BJ36" s="253"/>
      <c r="BK36" s="246" t="str">
        <f t="shared" si="12"/>
        <v/>
      </c>
      <c r="BL36" s="97"/>
      <c r="BM36" s="253"/>
      <c r="BN36" s="253"/>
      <c r="BO36" s="246" t="str">
        <f t="shared" si="13"/>
        <v/>
      </c>
      <c r="BP36" s="97"/>
      <c r="BQ36" s="253"/>
      <c r="BR36" s="253"/>
      <c r="BS36" s="246" t="str">
        <f t="shared" si="14"/>
        <v/>
      </c>
      <c r="BT36" s="97"/>
      <c r="BU36" s="253"/>
      <c r="BV36" s="253"/>
      <c r="BW36" s="246" t="str">
        <f t="shared" si="15"/>
        <v/>
      </c>
    </row>
    <row r="37" spans="1:75">
      <c r="A37" s="88">
        <v>31</v>
      </c>
      <c r="B37" s="50"/>
      <c r="C37" s="62" t="s">
        <v>727</v>
      </c>
      <c r="D37" s="260"/>
      <c r="E37" s="126" t="s">
        <v>743</v>
      </c>
      <c r="F37" s="261"/>
      <c r="G37" s="20"/>
      <c r="H37" s="20"/>
      <c r="I37" s="262" t="s">
        <v>770</v>
      </c>
      <c r="J37" s="246" t="str">
        <f t="shared" si="16"/>
        <v>*</v>
      </c>
      <c r="K37" s="7"/>
      <c r="L37" s="97"/>
      <c r="M37" s="257"/>
      <c r="N37" s="253"/>
      <c r="O37" s="246" t="str">
        <f t="shared" si="0"/>
        <v/>
      </c>
      <c r="P37" s="97"/>
      <c r="Q37" s="253"/>
      <c r="R37" s="253"/>
      <c r="S37" s="246" t="str">
        <f t="shared" si="1"/>
        <v/>
      </c>
      <c r="T37" s="97"/>
      <c r="U37" s="253"/>
      <c r="V37" s="253"/>
      <c r="W37" s="246" t="str">
        <f t="shared" si="2"/>
        <v/>
      </c>
      <c r="X37" s="97"/>
      <c r="Y37" s="23"/>
      <c r="Z37" s="23"/>
      <c r="AA37" s="246" t="str">
        <f t="shared" si="3"/>
        <v/>
      </c>
      <c r="AB37" s="97"/>
      <c r="AC37" s="253"/>
      <c r="AD37" s="253"/>
      <c r="AE37" s="246" t="str">
        <f t="shared" si="4"/>
        <v/>
      </c>
      <c r="AF37" s="97"/>
      <c r="AG37" s="253"/>
      <c r="AH37" s="253"/>
      <c r="AI37" s="246" t="str">
        <f t="shared" si="5"/>
        <v/>
      </c>
      <c r="AJ37" s="97"/>
      <c r="AK37" s="253"/>
      <c r="AL37" s="253"/>
      <c r="AM37" s="246" t="str">
        <f t="shared" si="6"/>
        <v/>
      </c>
      <c r="AN37" s="97"/>
      <c r="AO37" s="253"/>
      <c r="AP37" s="253"/>
      <c r="AQ37" s="246" t="str">
        <f t="shared" si="7"/>
        <v/>
      </c>
      <c r="AR37" s="97"/>
      <c r="AS37" s="253"/>
      <c r="AT37" s="253"/>
      <c r="AU37" s="246" t="str">
        <f t="shared" si="8"/>
        <v/>
      </c>
      <c r="AV37" s="97"/>
      <c r="AW37" s="253"/>
      <c r="AX37" s="253"/>
      <c r="AY37" s="246" t="str">
        <f t="shared" si="9"/>
        <v/>
      </c>
      <c r="AZ37" s="97"/>
      <c r="BA37" s="253"/>
      <c r="BB37" s="253"/>
      <c r="BC37" s="246" t="str">
        <f t="shared" si="10"/>
        <v/>
      </c>
      <c r="BD37" s="97"/>
      <c r="BE37" s="253"/>
      <c r="BF37" s="253"/>
      <c r="BG37" s="246" t="str">
        <f t="shared" si="11"/>
        <v/>
      </c>
      <c r="BH37" s="97"/>
      <c r="BI37" s="253"/>
      <c r="BJ37" s="253"/>
      <c r="BK37" s="246" t="str">
        <f t="shared" si="12"/>
        <v/>
      </c>
      <c r="BL37" s="97"/>
      <c r="BM37" s="253"/>
      <c r="BN37" s="253"/>
      <c r="BO37" s="246" t="str">
        <f t="shared" si="13"/>
        <v/>
      </c>
      <c r="BP37" s="97"/>
      <c r="BQ37" s="253"/>
      <c r="BR37" s="253"/>
      <c r="BS37" s="246" t="str">
        <f t="shared" si="14"/>
        <v/>
      </c>
      <c r="BT37" s="97"/>
      <c r="BU37" s="253"/>
      <c r="BV37" s="253"/>
      <c r="BW37" s="246" t="str">
        <f t="shared" si="15"/>
        <v/>
      </c>
    </row>
    <row r="38" spans="1:75">
      <c r="A38" s="88">
        <v>32</v>
      </c>
      <c r="B38" s="50"/>
      <c r="C38" s="62" t="s">
        <v>727</v>
      </c>
      <c r="D38" s="260"/>
      <c r="E38" s="126" t="s">
        <v>760</v>
      </c>
      <c r="F38" s="261"/>
      <c r="G38" s="20"/>
      <c r="H38" s="20"/>
      <c r="I38" s="262" t="s">
        <v>770</v>
      </c>
      <c r="J38" s="246" t="str">
        <f t="shared" si="16"/>
        <v>*</v>
      </c>
      <c r="K38" s="7"/>
      <c r="L38" s="97"/>
      <c r="M38" s="257"/>
      <c r="N38" s="253"/>
      <c r="O38" s="246" t="str">
        <f t="shared" si="0"/>
        <v/>
      </c>
      <c r="P38" s="97"/>
      <c r="Q38" s="253"/>
      <c r="R38" s="253"/>
      <c r="S38" s="246" t="str">
        <f t="shared" si="1"/>
        <v/>
      </c>
      <c r="T38" s="97"/>
      <c r="U38" s="253"/>
      <c r="V38" s="253"/>
      <c r="W38" s="246" t="str">
        <f t="shared" si="2"/>
        <v/>
      </c>
      <c r="X38" s="97"/>
      <c r="Y38" s="23"/>
      <c r="Z38" s="23"/>
      <c r="AA38" s="246" t="str">
        <f t="shared" si="3"/>
        <v/>
      </c>
      <c r="AB38" s="97"/>
      <c r="AC38" s="253"/>
      <c r="AD38" s="253"/>
      <c r="AE38" s="246" t="str">
        <f t="shared" si="4"/>
        <v/>
      </c>
      <c r="AF38" s="97"/>
      <c r="AG38" s="253"/>
      <c r="AH38" s="253"/>
      <c r="AI38" s="246" t="str">
        <f t="shared" si="5"/>
        <v/>
      </c>
      <c r="AJ38" s="97"/>
      <c r="AK38" s="253"/>
      <c r="AL38" s="253"/>
      <c r="AM38" s="246" t="str">
        <f t="shared" si="6"/>
        <v/>
      </c>
      <c r="AN38" s="97"/>
      <c r="AO38" s="253"/>
      <c r="AP38" s="253"/>
      <c r="AQ38" s="246" t="str">
        <f t="shared" si="7"/>
        <v/>
      </c>
      <c r="AR38" s="97"/>
      <c r="AS38" s="253"/>
      <c r="AT38" s="253"/>
      <c r="AU38" s="246" t="str">
        <f t="shared" si="8"/>
        <v/>
      </c>
      <c r="AV38" s="97"/>
      <c r="AW38" s="253"/>
      <c r="AX38" s="253"/>
      <c r="AY38" s="246" t="str">
        <f t="shared" si="9"/>
        <v/>
      </c>
      <c r="AZ38" s="97"/>
      <c r="BA38" s="253"/>
      <c r="BB38" s="253"/>
      <c r="BC38" s="246" t="str">
        <f t="shared" si="10"/>
        <v/>
      </c>
      <c r="BD38" s="97"/>
      <c r="BE38" s="253"/>
      <c r="BF38" s="253"/>
      <c r="BG38" s="246" t="str">
        <f t="shared" si="11"/>
        <v/>
      </c>
      <c r="BH38" s="97"/>
      <c r="BI38" s="253"/>
      <c r="BJ38" s="253"/>
      <c r="BK38" s="246" t="str">
        <f t="shared" si="12"/>
        <v/>
      </c>
      <c r="BL38" s="97"/>
      <c r="BM38" s="253"/>
      <c r="BN38" s="253"/>
      <c r="BO38" s="246" t="str">
        <f t="shared" si="13"/>
        <v/>
      </c>
      <c r="BP38" s="97"/>
      <c r="BQ38" s="253"/>
      <c r="BR38" s="253"/>
      <c r="BS38" s="246" t="str">
        <f t="shared" si="14"/>
        <v/>
      </c>
      <c r="BT38" s="97"/>
      <c r="BU38" s="253"/>
      <c r="BV38" s="253"/>
      <c r="BW38" s="246" t="str">
        <f t="shared" si="15"/>
        <v/>
      </c>
    </row>
    <row r="39" spans="1:75">
      <c r="A39" s="88">
        <v>33</v>
      </c>
      <c r="B39" s="50"/>
      <c r="C39" s="62" t="s">
        <v>727</v>
      </c>
      <c r="D39" s="260"/>
      <c r="E39" s="126" t="s">
        <v>743</v>
      </c>
      <c r="F39" s="261"/>
      <c r="G39" s="20"/>
      <c r="H39" s="20"/>
      <c r="I39" s="262" t="s">
        <v>770</v>
      </c>
      <c r="J39" s="246" t="str">
        <f t="shared" si="16"/>
        <v>*</v>
      </c>
      <c r="K39" s="7"/>
      <c r="L39" s="97"/>
      <c r="M39" s="257"/>
      <c r="N39" s="253"/>
      <c r="O39" s="246" t="str">
        <f t="shared" ref="O39:O70" si="17">IF(K$4="","",IF($C39="","",IF(AND($B39="",M39=""),"*",IF(AND($B39="v",NOT(M39="")),"*",IF(AND($B39="",NOT(M39="")),"",IF(AND($B39="v",M39=""),""))))))</f>
        <v/>
      </c>
      <c r="P39" s="97"/>
      <c r="Q39" s="253"/>
      <c r="R39" s="253"/>
      <c r="S39" s="246" t="str">
        <f t="shared" ref="S39:S70" si="18">IF(O$4="","",IF($C39="","",IF(AND($B39="",Q39=""),"*",IF(AND($B39="v",NOT(Q39="")),"*",IF(AND($B39="",NOT(Q39="")),"",IF(AND($B39="v",Q39=""),""))))))</f>
        <v/>
      </c>
      <c r="T39" s="97"/>
      <c r="U39" s="253"/>
      <c r="V39" s="253"/>
      <c r="W39" s="246" t="str">
        <f t="shared" ref="W39:W70" si="19">IF(S$4="","",IF($C39="","",IF(AND($B39="",U39=""),"*",IF(AND($B39="v",NOT(U39="")),"*",IF(AND($B39="",NOT(U39="")),"",IF(AND($B39="v",U39=""),""))))))</f>
        <v/>
      </c>
      <c r="X39" s="97"/>
      <c r="Y39" s="23"/>
      <c r="Z39" s="23"/>
      <c r="AA39" s="246" t="str">
        <f t="shared" ref="AA39:AA70" si="20">IF(W$4="","",IF($C39="","",IF(AND($B39="",Y39=""),"*",IF(AND($B39="v",NOT(Y39="")),"*",IF(AND($B39="",NOT(Y39="")),"",IF(AND($B39="v",Y39=""),""))))))</f>
        <v/>
      </c>
      <c r="AB39" s="97"/>
      <c r="AC39" s="253"/>
      <c r="AD39" s="253"/>
      <c r="AE39" s="246" t="str">
        <f t="shared" ref="AE39:AE70" si="21">IF(AA$4="","",IF($C39="","",IF(AND($B39="",AC39=""),"*",IF(AND($B39="v",NOT(AC39="")),"*",IF(AND($B39="",NOT(AC39="")),"",IF(AND($B39="v",AC39=""),""))))))</f>
        <v/>
      </c>
      <c r="AF39" s="97"/>
      <c r="AG39" s="253"/>
      <c r="AH39" s="253"/>
      <c r="AI39" s="246" t="str">
        <f t="shared" ref="AI39:AI70" si="22">IF(AE$4="","",IF($C39="","",IF(AND($B39="",AG39=""),"*",IF(AND($B39="v",NOT(AG39="")),"*",IF(AND($B39="",NOT(AG39="")),"",IF(AND($B39="v",AG39=""),""))))))</f>
        <v/>
      </c>
      <c r="AJ39" s="97"/>
      <c r="AK39" s="253"/>
      <c r="AL39" s="253"/>
      <c r="AM39" s="246" t="str">
        <f t="shared" ref="AM39:AM70" si="23">IF(AI$4="","",IF($C39="","",IF(AND($B39="",AK39=""),"*",IF(AND($B39="v",NOT(AK39="")),"*",IF(AND($B39="",NOT(AK39="")),"",IF(AND($B39="v",AK39=""),""))))))</f>
        <v/>
      </c>
      <c r="AN39" s="97"/>
      <c r="AO39" s="253"/>
      <c r="AP39" s="253"/>
      <c r="AQ39" s="246" t="str">
        <f t="shared" ref="AQ39:AQ70" si="24">IF(AM$4="","",IF($C39="","",IF(AND($B39="",AO39=""),"*",IF(AND($B39="v",NOT(AO39="")),"*",IF(AND($B39="",NOT(AO39="")),"",IF(AND($B39="v",AO39=""),""))))))</f>
        <v/>
      </c>
      <c r="AR39" s="97"/>
      <c r="AS39" s="253"/>
      <c r="AT39" s="253"/>
      <c r="AU39" s="246" t="str">
        <f t="shared" ref="AU39:AU70" si="25">IF(AQ$4="","",IF($C39="","",IF(AND($B39="",AS39=""),"*",IF(AND($B39="v",NOT(AS39="")),"*",IF(AND($B39="",NOT(AS39="")),"",IF(AND($B39="v",AS39=""),""))))))</f>
        <v/>
      </c>
      <c r="AV39" s="97"/>
      <c r="AW39" s="253"/>
      <c r="AX39" s="253"/>
      <c r="AY39" s="246" t="str">
        <f t="shared" ref="AY39:AY70" si="26">IF(AU$4="","",IF($C39="","",IF(AND($B39="",AW39=""),"*",IF(AND($B39="v",NOT(AW39="")),"*",IF(AND($B39="",NOT(AW39="")),"",IF(AND($B39="v",AW39=""),""))))))</f>
        <v/>
      </c>
      <c r="AZ39" s="97"/>
      <c r="BA39" s="253"/>
      <c r="BB39" s="253"/>
      <c r="BC39" s="246" t="str">
        <f t="shared" ref="BC39:BC70" si="27">IF(AY$4="","",IF($C39="","",IF(AND($B39="",BA39=""),"*",IF(AND($B39="v",NOT(BA39="")),"*",IF(AND($B39="",NOT(BA39="")),"",IF(AND($B39="v",BA39=""),""))))))</f>
        <v/>
      </c>
      <c r="BD39" s="97"/>
      <c r="BE39" s="253"/>
      <c r="BF39" s="253"/>
      <c r="BG39" s="246" t="str">
        <f t="shared" ref="BG39:BG70" si="28">IF(BC$4="","",IF($C39="","",IF(AND($B39="",BE39=""),"*",IF(AND($B39="v",NOT(BE39="")),"*",IF(AND($B39="",NOT(BE39="")),"",IF(AND($B39="v",BE39=""),""))))))</f>
        <v/>
      </c>
      <c r="BH39" s="97"/>
      <c r="BI39" s="253"/>
      <c r="BJ39" s="253"/>
      <c r="BK39" s="246" t="str">
        <f t="shared" ref="BK39:BK70" si="29">IF(BG$4="","",IF($C39="","",IF(AND($B39="",BI39=""),"*",IF(AND($B39="v",NOT(BI39="")),"*",IF(AND($B39="",NOT(BI39="")),"",IF(AND($B39="v",BI39=""),""))))))</f>
        <v/>
      </c>
      <c r="BL39" s="97"/>
      <c r="BM39" s="253"/>
      <c r="BN39" s="253"/>
      <c r="BO39" s="246" t="str">
        <f t="shared" ref="BO39:BO70" si="30">IF(BK$4="","",IF($C39="","",IF(AND($B39="",BM39=""),"*",IF(AND($B39="v",NOT(BM39="")),"*",IF(AND($B39="",NOT(BM39="")),"",IF(AND($B39="v",BM39=""),""))))))</f>
        <v/>
      </c>
      <c r="BP39" s="97"/>
      <c r="BQ39" s="253"/>
      <c r="BR39" s="253"/>
      <c r="BS39" s="246" t="str">
        <f t="shared" ref="BS39:BS70" si="31">IF(BO$4="","",IF($C39="","",IF(AND($B39="",BQ39=""),"*",IF(AND($B39="v",NOT(BQ39="")),"*",IF(AND($B39="",NOT(BQ39="")),"",IF(AND($B39="v",BQ39=""),""))))))</f>
        <v/>
      </c>
      <c r="BT39" s="97"/>
      <c r="BU39" s="253"/>
      <c r="BV39" s="253"/>
      <c r="BW39" s="246" t="str">
        <f t="shared" ref="BW39:BW70" si="32">IF(BS$4="","",IF($C39="","",IF(AND($B39="",BU39=""),"*",IF(AND($B39="v",NOT(BU39="")),"*",IF(AND($B39="",NOT(BU39="")),"",IF(AND($B39="v",BU39=""),""))))))</f>
        <v/>
      </c>
    </row>
    <row r="40" spans="1:75">
      <c r="A40" s="88">
        <v>34</v>
      </c>
      <c r="B40" s="50"/>
      <c r="C40" s="62" t="s">
        <v>729</v>
      </c>
      <c r="D40" s="260"/>
      <c r="E40" s="126" t="s">
        <v>761</v>
      </c>
      <c r="F40" s="261"/>
      <c r="G40" s="20"/>
      <c r="H40" s="20"/>
      <c r="I40" s="262" t="s">
        <v>777</v>
      </c>
      <c r="J40" s="246" t="str">
        <f t="shared" si="16"/>
        <v>*</v>
      </c>
      <c r="K40" s="7"/>
      <c r="L40" s="97"/>
      <c r="M40" s="257"/>
      <c r="N40" s="253"/>
      <c r="O40" s="246" t="str">
        <f t="shared" si="17"/>
        <v/>
      </c>
      <c r="P40" s="97"/>
      <c r="Q40" s="253"/>
      <c r="R40" s="253"/>
      <c r="S40" s="246" t="str">
        <f t="shared" si="18"/>
        <v/>
      </c>
      <c r="T40" s="97"/>
      <c r="U40" s="253"/>
      <c r="V40" s="253"/>
      <c r="W40" s="246" t="str">
        <f t="shared" si="19"/>
        <v/>
      </c>
      <c r="X40" s="97"/>
      <c r="Y40" s="23"/>
      <c r="Z40" s="23"/>
      <c r="AA40" s="246" t="str">
        <f t="shared" si="20"/>
        <v/>
      </c>
      <c r="AB40" s="97"/>
      <c r="AC40" s="253"/>
      <c r="AD40" s="253"/>
      <c r="AE40" s="246" t="str">
        <f t="shared" si="21"/>
        <v/>
      </c>
      <c r="AF40" s="97"/>
      <c r="AG40" s="253"/>
      <c r="AH40" s="253"/>
      <c r="AI40" s="246" t="str">
        <f t="shared" si="22"/>
        <v/>
      </c>
      <c r="AJ40" s="97"/>
      <c r="AK40" s="253"/>
      <c r="AL40" s="253"/>
      <c r="AM40" s="246" t="str">
        <f t="shared" si="23"/>
        <v/>
      </c>
      <c r="AN40" s="97"/>
      <c r="AO40" s="253"/>
      <c r="AP40" s="253"/>
      <c r="AQ40" s="246" t="str">
        <f t="shared" si="24"/>
        <v/>
      </c>
      <c r="AR40" s="97"/>
      <c r="AS40" s="253"/>
      <c r="AT40" s="253"/>
      <c r="AU40" s="246" t="str">
        <f t="shared" si="25"/>
        <v/>
      </c>
      <c r="AV40" s="97"/>
      <c r="AW40" s="253"/>
      <c r="AX40" s="253"/>
      <c r="AY40" s="246" t="str">
        <f t="shared" si="26"/>
        <v/>
      </c>
      <c r="AZ40" s="97"/>
      <c r="BA40" s="253"/>
      <c r="BB40" s="253"/>
      <c r="BC40" s="246" t="str">
        <f t="shared" si="27"/>
        <v/>
      </c>
      <c r="BD40" s="97"/>
      <c r="BE40" s="253"/>
      <c r="BF40" s="253"/>
      <c r="BG40" s="246" t="str">
        <f t="shared" si="28"/>
        <v/>
      </c>
      <c r="BH40" s="97"/>
      <c r="BI40" s="253"/>
      <c r="BJ40" s="253"/>
      <c r="BK40" s="246" t="str">
        <f t="shared" si="29"/>
        <v/>
      </c>
      <c r="BL40" s="97"/>
      <c r="BM40" s="253"/>
      <c r="BN40" s="253"/>
      <c r="BO40" s="246" t="str">
        <f t="shared" si="30"/>
        <v/>
      </c>
      <c r="BP40" s="97"/>
      <c r="BQ40" s="253"/>
      <c r="BR40" s="253"/>
      <c r="BS40" s="246" t="str">
        <f t="shared" si="31"/>
        <v/>
      </c>
      <c r="BT40" s="97"/>
      <c r="BU40" s="253"/>
      <c r="BV40" s="253"/>
      <c r="BW40" s="246" t="str">
        <f t="shared" si="32"/>
        <v/>
      </c>
    </row>
    <row r="41" spans="1:75">
      <c r="A41" s="88">
        <v>35</v>
      </c>
      <c r="B41" s="50"/>
      <c r="C41" s="62" t="s">
        <v>730</v>
      </c>
      <c r="D41" s="260"/>
      <c r="E41" s="126" t="s">
        <v>762</v>
      </c>
      <c r="F41" s="261"/>
      <c r="G41" s="20"/>
      <c r="H41" s="20"/>
      <c r="I41" s="262" t="s">
        <v>779</v>
      </c>
      <c r="J41" s="246" t="str">
        <f t="shared" si="16"/>
        <v>*</v>
      </c>
      <c r="K41" s="7"/>
      <c r="L41" s="97"/>
      <c r="M41" s="257"/>
      <c r="N41" s="253"/>
      <c r="O41" s="246" t="str">
        <f t="shared" si="17"/>
        <v/>
      </c>
      <c r="P41" s="97"/>
      <c r="Q41" s="253"/>
      <c r="R41" s="253"/>
      <c r="S41" s="246" t="str">
        <f t="shared" si="18"/>
        <v/>
      </c>
      <c r="T41" s="97"/>
      <c r="U41" s="253"/>
      <c r="V41" s="253"/>
      <c r="W41" s="246" t="str">
        <f t="shared" si="19"/>
        <v/>
      </c>
      <c r="X41" s="97"/>
      <c r="Y41" s="23"/>
      <c r="Z41" s="23"/>
      <c r="AA41" s="246" t="str">
        <f t="shared" si="20"/>
        <v/>
      </c>
      <c r="AB41" s="97"/>
      <c r="AC41" s="253"/>
      <c r="AD41" s="253"/>
      <c r="AE41" s="246" t="str">
        <f t="shared" si="21"/>
        <v/>
      </c>
      <c r="AF41" s="97"/>
      <c r="AG41" s="253"/>
      <c r="AH41" s="253"/>
      <c r="AI41" s="246" t="str">
        <f t="shared" si="22"/>
        <v/>
      </c>
      <c r="AJ41" s="97"/>
      <c r="AK41" s="253"/>
      <c r="AL41" s="253"/>
      <c r="AM41" s="246" t="str">
        <f t="shared" si="23"/>
        <v/>
      </c>
      <c r="AN41" s="97"/>
      <c r="AO41" s="253"/>
      <c r="AP41" s="253"/>
      <c r="AQ41" s="246" t="str">
        <f t="shared" si="24"/>
        <v/>
      </c>
      <c r="AR41" s="97"/>
      <c r="AS41" s="253"/>
      <c r="AT41" s="253"/>
      <c r="AU41" s="246" t="str">
        <f t="shared" si="25"/>
        <v/>
      </c>
      <c r="AV41" s="97"/>
      <c r="AW41" s="253"/>
      <c r="AX41" s="253"/>
      <c r="AY41" s="246" t="str">
        <f t="shared" si="26"/>
        <v/>
      </c>
      <c r="AZ41" s="97"/>
      <c r="BA41" s="253"/>
      <c r="BB41" s="253"/>
      <c r="BC41" s="246" t="str">
        <f t="shared" si="27"/>
        <v/>
      </c>
      <c r="BD41" s="97"/>
      <c r="BE41" s="253"/>
      <c r="BF41" s="253"/>
      <c r="BG41" s="246" t="str">
        <f t="shared" si="28"/>
        <v/>
      </c>
      <c r="BH41" s="97"/>
      <c r="BI41" s="253"/>
      <c r="BJ41" s="253"/>
      <c r="BK41" s="246" t="str">
        <f t="shared" si="29"/>
        <v/>
      </c>
      <c r="BL41" s="97"/>
      <c r="BM41" s="253"/>
      <c r="BN41" s="253"/>
      <c r="BO41" s="246" t="str">
        <f t="shared" si="30"/>
        <v/>
      </c>
      <c r="BP41" s="97"/>
      <c r="BQ41" s="253"/>
      <c r="BR41" s="253"/>
      <c r="BS41" s="246" t="str">
        <f t="shared" si="31"/>
        <v/>
      </c>
      <c r="BT41" s="97"/>
      <c r="BU41" s="253"/>
      <c r="BV41" s="253"/>
      <c r="BW41" s="246" t="str">
        <f t="shared" si="32"/>
        <v/>
      </c>
    </row>
    <row r="42" spans="1:75">
      <c r="A42" s="88">
        <v>36</v>
      </c>
      <c r="B42" s="50"/>
      <c r="C42" s="62" t="s">
        <v>731</v>
      </c>
      <c r="D42" s="260"/>
      <c r="E42" s="126" t="s">
        <v>744</v>
      </c>
      <c r="F42" s="261"/>
      <c r="G42" s="20"/>
      <c r="H42" s="20"/>
      <c r="I42" s="19" t="s">
        <v>771</v>
      </c>
      <c r="J42" s="246" t="str">
        <f t="shared" si="16"/>
        <v>*</v>
      </c>
      <c r="K42" s="7"/>
      <c r="L42" s="97"/>
      <c r="M42" s="257"/>
      <c r="N42" s="253"/>
      <c r="O42" s="246" t="str">
        <f t="shared" si="17"/>
        <v/>
      </c>
      <c r="P42" s="97"/>
      <c r="Q42" s="253"/>
      <c r="R42" s="253"/>
      <c r="S42" s="246" t="str">
        <f t="shared" si="18"/>
        <v/>
      </c>
      <c r="T42" s="97"/>
      <c r="U42" s="253"/>
      <c r="V42" s="253"/>
      <c r="W42" s="246" t="str">
        <f t="shared" si="19"/>
        <v/>
      </c>
      <c r="X42" s="97"/>
      <c r="Y42" s="23"/>
      <c r="Z42" s="23"/>
      <c r="AA42" s="246" t="str">
        <f t="shared" si="20"/>
        <v/>
      </c>
      <c r="AB42" s="97"/>
      <c r="AC42" s="253"/>
      <c r="AD42" s="253"/>
      <c r="AE42" s="246" t="str">
        <f t="shared" si="21"/>
        <v/>
      </c>
      <c r="AF42" s="97"/>
      <c r="AG42" s="253"/>
      <c r="AH42" s="253"/>
      <c r="AI42" s="246" t="str">
        <f t="shared" si="22"/>
        <v/>
      </c>
      <c r="AJ42" s="97"/>
      <c r="AK42" s="253"/>
      <c r="AL42" s="253"/>
      <c r="AM42" s="246" t="str">
        <f t="shared" si="23"/>
        <v/>
      </c>
      <c r="AN42" s="97"/>
      <c r="AO42" s="253"/>
      <c r="AP42" s="253"/>
      <c r="AQ42" s="246" t="str">
        <f t="shared" si="24"/>
        <v/>
      </c>
      <c r="AR42" s="97"/>
      <c r="AS42" s="253"/>
      <c r="AT42" s="253"/>
      <c r="AU42" s="246" t="str">
        <f t="shared" si="25"/>
        <v/>
      </c>
      <c r="AV42" s="97"/>
      <c r="AW42" s="253"/>
      <c r="AX42" s="253"/>
      <c r="AY42" s="246" t="str">
        <f t="shared" si="26"/>
        <v/>
      </c>
      <c r="AZ42" s="97"/>
      <c r="BA42" s="253"/>
      <c r="BB42" s="253"/>
      <c r="BC42" s="246" t="str">
        <f t="shared" si="27"/>
        <v/>
      </c>
      <c r="BD42" s="97"/>
      <c r="BE42" s="253"/>
      <c r="BF42" s="253"/>
      <c r="BG42" s="246" t="str">
        <f t="shared" si="28"/>
        <v/>
      </c>
      <c r="BH42" s="97"/>
      <c r="BI42" s="253"/>
      <c r="BJ42" s="253"/>
      <c r="BK42" s="246" t="str">
        <f t="shared" si="29"/>
        <v/>
      </c>
      <c r="BL42" s="97"/>
      <c r="BM42" s="253"/>
      <c r="BN42" s="253"/>
      <c r="BO42" s="246" t="str">
        <f t="shared" si="30"/>
        <v/>
      </c>
      <c r="BP42" s="97"/>
      <c r="BQ42" s="253"/>
      <c r="BR42" s="253"/>
      <c r="BS42" s="246" t="str">
        <f t="shared" si="31"/>
        <v/>
      </c>
      <c r="BT42" s="97"/>
      <c r="BU42" s="253"/>
      <c r="BV42" s="253"/>
      <c r="BW42" s="246" t="str">
        <f t="shared" si="32"/>
        <v/>
      </c>
    </row>
    <row r="43" spans="1:75">
      <c r="A43" s="88">
        <v>37</v>
      </c>
      <c r="B43" s="50"/>
      <c r="C43" s="62" t="s">
        <v>732</v>
      </c>
      <c r="D43" s="260"/>
      <c r="E43" s="126" t="s">
        <v>763</v>
      </c>
      <c r="F43" s="261"/>
      <c r="G43" s="20"/>
      <c r="H43" s="20"/>
      <c r="I43" s="262" t="s">
        <v>780</v>
      </c>
      <c r="J43" s="246" t="str">
        <f t="shared" si="16"/>
        <v>*</v>
      </c>
      <c r="K43" s="7"/>
      <c r="L43" s="97"/>
      <c r="M43" s="257"/>
      <c r="N43" s="253"/>
      <c r="O43" s="246" t="str">
        <f t="shared" si="17"/>
        <v/>
      </c>
      <c r="P43" s="97"/>
      <c r="Q43" s="253"/>
      <c r="R43" s="253"/>
      <c r="S43" s="246" t="str">
        <f t="shared" si="18"/>
        <v/>
      </c>
      <c r="T43" s="97"/>
      <c r="U43" s="253"/>
      <c r="V43" s="253"/>
      <c r="W43" s="246" t="str">
        <f t="shared" si="19"/>
        <v/>
      </c>
      <c r="X43" s="97"/>
      <c r="Y43" s="23"/>
      <c r="Z43" s="23"/>
      <c r="AA43" s="246" t="str">
        <f t="shared" si="20"/>
        <v/>
      </c>
      <c r="AB43" s="97"/>
      <c r="AC43" s="253"/>
      <c r="AD43" s="253"/>
      <c r="AE43" s="246" t="str">
        <f t="shared" si="21"/>
        <v/>
      </c>
      <c r="AF43" s="97"/>
      <c r="AG43" s="253"/>
      <c r="AH43" s="253"/>
      <c r="AI43" s="246" t="str">
        <f t="shared" si="22"/>
        <v/>
      </c>
      <c r="AJ43" s="97"/>
      <c r="AK43" s="253"/>
      <c r="AL43" s="253"/>
      <c r="AM43" s="246" t="str">
        <f t="shared" si="23"/>
        <v/>
      </c>
      <c r="AN43" s="97"/>
      <c r="AO43" s="253"/>
      <c r="AP43" s="253"/>
      <c r="AQ43" s="246" t="str">
        <f t="shared" si="24"/>
        <v/>
      </c>
      <c r="AR43" s="97"/>
      <c r="AS43" s="253"/>
      <c r="AT43" s="253"/>
      <c r="AU43" s="246" t="str">
        <f t="shared" si="25"/>
        <v/>
      </c>
      <c r="AV43" s="97"/>
      <c r="AW43" s="253"/>
      <c r="AX43" s="253"/>
      <c r="AY43" s="246" t="str">
        <f t="shared" si="26"/>
        <v/>
      </c>
      <c r="AZ43" s="97"/>
      <c r="BA43" s="253"/>
      <c r="BB43" s="253"/>
      <c r="BC43" s="246" t="str">
        <f t="shared" si="27"/>
        <v/>
      </c>
      <c r="BD43" s="97"/>
      <c r="BE43" s="253"/>
      <c r="BF43" s="253"/>
      <c r="BG43" s="246" t="str">
        <f t="shared" si="28"/>
        <v/>
      </c>
      <c r="BH43" s="97"/>
      <c r="BI43" s="253"/>
      <c r="BJ43" s="253"/>
      <c r="BK43" s="246" t="str">
        <f t="shared" si="29"/>
        <v/>
      </c>
      <c r="BL43" s="97"/>
      <c r="BM43" s="253"/>
      <c r="BN43" s="253"/>
      <c r="BO43" s="246" t="str">
        <f t="shared" si="30"/>
        <v/>
      </c>
      <c r="BP43" s="97"/>
      <c r="BQ43" s="253"/>
      <c r="BR43" s="253"/>
      <c r="BS43" s="246" t="str">
        <f t="shared" si="31"/>
        <v/>
      </c>
      <c r="BT43" s="97"/>
      <c r="BU43" s="253"/>
      <c r="BV43" s="253"/>
      <c r="BW43" s="246" t="str">
        <f t="shared" si="32"/>
        <v/>
      </c>
    </row>
    <row r="44" spans="1:75">
      <c r="A44" s="88">
        <v>38</v>
      </c>
      <c r="B44" s="50"/>
      <c r="C44" s="62" t="s">
        <v>733</v>
      </c>
      <c r="D44" s="260"/>
      <c r="E44" s="126" t="s">
        <v>764</v>
      </c>
      <c r="F44" s="261"/>
      <c r="G44" s="20"/>
      <c r="H44" s="20"/>
      <c r="I44" s="262" t="s">
        <v>780</v>
      </c>
      <c r="J44" s="246" t="str">
        <f t="shared" si="16"/>
        <v>*</v>
      </c>
      <c r="K44" s="7"/>
      <c r="L44" s="97"/>
      <c r="M44" s="257"/>
      <c r="N44" s="253"/>
      <c r="O44" s="246" t="str">
        <f t="shared" si="17"/>
        <v/>
      </c>
      <c r="P44" s="97"/>
      <c r="Q44" s="253"/>
      <c r="R44" s="253"/>
      <c r="S44" s="246" t="str">
        <f t="shared" si="18"/>
        <v/>
      </c>
      <c r="T44" s="97"/>
      <c r="U44" s="253"/>
      <c r="V44" s="253"/>
      <c r="W44" s="246" t="str">
        <f t="shared" si="19"/>
        <v/>
      </c>
      <c r="X44" s="97"/>
      <c r="Y44" s="23"/>
      <c r="Z44" s="23"/>
      <c r="AA44" s="246" t="str">
        <f t="shared" si="20"/>
        <v/>
      </c>
      <c r="AB44" s="97"/>
      <c r="AC44" s="253"/>
      <c r="AD44" s="253"/>
      <c r="AE44" s="246" t="str">
        <f t="shared" si="21"/>
        <v/>
      </c>
      <c r="AF44" s="97"/>
      <c r="AG44" s="253"/>
      <c r="AH44" s="253"/>
      <c r="AI44" s="246" t="str">
        <f t="shared" si="22"/>
        <v/>
      </c>
      <c r="AJ44" s="97"/>
      <c r="AK44" s="253"/>
      <c r="AL44" s="253"/>
      <c r="AM44" s="246" t="str">
        <f t="shared" si="23"/>
        <v/>
      </c>
      <c r="AN44" s="97"/>
      <c r="AO44" s="253"/>
      <c r="AP44" s="253"/>
      <c r="AQ44" s="246" t="str">
        <f t="shared" si="24"/>
        <v/>
      </c>
      <c r="AR44" s="97"/>
      <c r="AS44" s="253"/>
      <c r="AT44" s="253"/>
      <c r="AU44" s="246" t="str">
        <f t="shared" si="25"/>
        <v/>
      </c>
      <c r="AV44" s="97"/>
      <c r="AW44" s="253"/>
      <c r="AX44" s="253"/>
      <c r="AY44" s="246" t="str">
        <f t="shared" si="26"/>
        <v/>
      </c>
      <c r="AZ44" s="97"/>
      <c r="BA44" s="253"/>
      <c r="BB44" s="253"/>
      <c r="BC44" s="246" t="str">
        <f t="shared" si="27"/>
        <v/>
      </c>
      <c r="BD44" s="97"/>
      <c r="BE44" s="253"/>
      <c r="BF44" s="253"/>
      <c r="BG44" s="246" t="str">
        <f t="shared" si="28"/>
        <v/>
      </c>
      <c r="BH44" s="97"/>
      <c r="BI44" s="253"/>
      <c r="BJ44" s="253"/>
      <c r="BK44" s="246" t="str">
        <f t="shared" si="29"/>
        <v/>
      </c>
      <c r="BL44" s="97"/>
      <c r="BM44" s="253"/>
      <c r="BN44" s="253"/>
      <c r="BO44" s="246" t="str">
        <f t="shared" si="30"/>
        <v/>
      </c>
      <c r="BP44" s="97"/>
      <c r="BQ44" s="253"/>
      <c r="BR44" s="253"/>
      <c r="BS44" s="246" t="str">
        <f t="shared" si="31"/>
        <v/>
      </c>
      <c r="BT44" s="97"/>
      <c r="BU44" s="253"/>
      <c r="BV44" s="253"/>
      <c r="BW44" s="246" t="str">
        <f t="shared" si="32"/>
        <v/>
      </c>
    </row>
    <row r="45" spans="1:75">
      <c r="A45" s="88">
        <v>39</v>
      </c>
      <c r="B45" s="50"/>
      <c r="C45" s="62" t="s">
        <v>734</v>
      </c>
      <c r="D45" s="260"/>
      <c r="E45" s="126" t="s">
        <v>740</v>
      </c>
      <c r="F45" s="263"/>
      <c r="G45" s="20"/>
      <c r="H45" s="20"/>
      <c r="I45" s="262" t="s">
        <v>781</v>
      </c>
      <c r="J45" s="246" t="str">
        <f t="shared" si="16"/>
        <v>*</v>
      </c>
      <c r="K45" s="7"/>
      <c r="L45" s="97"/>
      <c r="M45" s="257"/>
      <c r="N45" s="253"/>
      <c r="O45" s="246" t="str">
        <f t="shared" si="17"/>
        <v/>
      </c>
      <c r="P45" s="97"/>
      <c r="Q45" s="253"/>
      <c r="R45" s="253"/>
      <c r="S45" s="246" t="str">
        <f t="shared" si="18"/>
        <v/>
      </c>
      <c r="T45" s="97"/>
      <c r="U45" s="253"/>
      <c r="V45" s="253"/>
      <c r="W45" s="246" t="str">
        <f t="shared" si="19"/>
        <v/>
      </c>
      <c r="X45" s="97"/>
      <c r="Y45" s="23"/>
      <c r="Z45" s="23"/>
      <c r="AA45" s="246" t="str">
        <f t="shared" si="20"/>
        <v/>
      </c>
      <c r="AB45" s="97"/>
      <c r="AC45" s="253"/>
      <c r="AD45" s="253"/>
      <c r="AE45" s="246" t="str">
        <f t="shared" si="21"/>
        <v/>
      </c>
      <c r="AF45" s="97"/>
      <c r="AG45" s="253"/>
      <c r="AH45" s="253"/>
      <c r="AI45" s="246" t="str">
        <f t="shared" si="22"/>
        <v/>
      </c>
      <c r="AJ45" s="97"/>
      <c r="AK45" s="253"/>
      <c r="AL45" s="253"/>
      <c r="AM45" s="246" t="str">
        <f t="shared" si="23"/>
        <v/>
      </c>
      <c r="AN45" s="97"/>
      <c r="AO45" s="253"/>
      <c r="AP45" s="253"/>
      <c r="AQ45" s="246" t="str">
        <f t="shared" si="24"/>
        <v/>
      </c>
      <c r="AR45" s="97"/>
      <c r="AS45" s="253"/>
      <c r="AT45" s="253"/>
      <c r="AU45" s="246" t="str">
        <f t="shared" si="25"/>
        <v/>
      </c>
      <c r="AV45" s="97"/>
      <c r="AW45" s="253"/>
      <c r="AX45" s="253"/>
      <c r="AY45" s="246" t="str">
        <f t="shared" si="26"/>
        <v/>
      </c>
      <c r="AZ45" s="97"/>
      <c r="BA45" s="253"/>
      <c r="BB45" s="253"/>
      <c r="BC45" s="246" t="str">
        <f t="shared" si="27"/>
        <v/>
      </c>
      <c r="BD45" s="97"/>
      <c r="BE45" s="253"/>
      <c r="BF45" s="253"/>
      <c r="BG45" s="246" t="str">
        <f t="shared" si="28"/>
        <v/>
      </c>
      <c r="BH45" s="97"/>
      <c r="BI45" s="253"/>
      <c r="BJ45" s="253"/>
      <c r="BK45" s="246" t="str">
        <f t="shared" si="29"/>
        <v/>
      </c>
      <c r="BL45" s="97"/>
      <c r="BM45" s="253"/>
      <c r="BN45" s="253"/>
      <c r="BO45" s="246" t="str">
        <f t="shared" si="30"/>
        <v/>
      </c>
      <c r="BP45" s="97"/>
      <c r="BQ45" s="253"/>
      <c r="BR45" s="253"/>
      <c r="BS45" s="246" t="str">
        <f t="shared" si="31"/>
        <v/>
      </c>
      <c r="BT45" s="97"/>
      <c r="BU45" s="253"/>
      <c r="BV45" s="253"/>
      <c r="BW45" s="246" t="str">
        <f t="shared" si="32"/>
        <v/>
      </c>
    </row>
    <row r="46" spans="1:75">
      <c r="A46" s="88">
        <v>40</v>
      </c>
      <c r="B46" s="50"/>
      <c r="C46" s="62" t="s">
        <v>735</v>
      </c>
      <c r="D46" s="260"/>
      <c r="E46" s="126" t="s">
        <v>765</v>
      </c>
      <c r="F46" s="261"/>
      <c r="G46" s="20"/>
      <c r="H46" s="20"/>
      <c r="I46" s="262" t="s">
        <v>782</v>
      </c>
      <c r="J46" s="246" t="str">
        <f t="shared" si="16"/>
        <v>*</v>
      </c>
      <c r="K46" s="7"/>
      <c r="L46" s="97"/>
      <c r="M46" s="257"/>
      <c r="N46" s="253"/>
      <c r="O46" s="246" t="str">
        <f t="shared" si="17"/>
        <v/>
      </c>
      <c r="P46" s="97"/>
      <c r="Q46" s="253"/>
      <c r="R46" s="253"/>
      <c r="S46" s="246" t="str">
        <f t="shared" si="18"/>
        <v/>
      </c>
      <c r="T46" s="97"/>
      <c r="U46" s="253"/>
      <c r="V46" s="253"/>
      <c r="W46" s="246" t="str">
        <f t="shared" si="19"/>
        <v/>
      </c>
      <c r="X46" s="97"/>
      <c r="Y46" s="23"/>
      <c r="Z46" s="23"/>
      <c r="AA46" s="246" t="str">
        <f t="shared" si="20"/>
        <v/>
      </c>
      <c r="AB46" s="97"/>
      <c r="AC46" s="253"/>
      <c r="AD46" s="253"/>
      <c r="AE46" s="246" t="str">
        <f t="shared" si="21"/>
        <v/>
      </c>
      <c r="AF46" s="97"/>
      <c r="AG46" s="253"/>
      <c r="AH46" s="253"/>
      <c r="AI46" s="246" t="str">
        <f t="shared" si="22"/>
        <v/>
      </c>
      <c r="AJ46" s="97"/>
      <c r="AK46" s="253"/>
      <c r="AL46" s="253"/>
      <c r="AM46" s="246" t="str">
        <f t="shared" si="23"/>
        <v/>
      </c>
      <c r="AN46" s="97"/>
      <c r="AO46" s="253"/>
      <c r="AP46" s="253"/>
      <c r="AQ46" s="246" t="str">
        <f t="shared" si="24"/>
        <v/>
      </c>
      <c r="AR46" s="97"/>
      <c r="AS46" s="253"/>
      <c r="AT46" s="253"/>
      <c r="AU46" s="246" t="str">
        <f t="shared" si="25"/>
        <v/>
      </c>
      <c r="AV46" s="97"/>
      <c r="AW46" s="253"/>
      <c r="AX46" s="253"/>
      <c r="AY46" s="246" t="str">
        <f t="shared" si="26"/>
        <v/>
      </c>
      <c r="AZ46" s="97"/>
      <c r="BA46" s="253"/>
      <c r="BB46" s="253"/>
      <c r="BC46" s="246" t="str">
        <f t="shared" si="27"/>
        <v/>
      </c>
      <c r="BD46" s="97"/>
      <c r="BE46" s="253"/>
      <c r="BF46" s="253"/>
      <c r="BG46" s="246" t="str">
        <f t="shared" si="28"/>
        <v/>
      </c>
      <c r="BH46" s="97"/>
      <c r="BI46" s="253"/>
      <c r="BJ46" s="253"/>
      <c r="BK46" s="246" t="str">
        <f t="shared" si="29"/>
        <v/>
      </c>
      <c r="BL46" s="97"/>
      <c r="BM46" s="253"/>
      <c r="BN46" s="253"/>
      <c r="BO46" s="246" t="str">
        <f t="shared" si="30"/>
        <v/>
      </c>
      <c r="BP46" s="97"/>
      <c r="BQ46" s="253"/>
      <c r="BR46" s="253"/>
      <c r="BS46" s="246" t="str">
        <f t="shared" si="31"/>
        <v/>
      </c>
      <c r="BT46" s="97"/>
      <c r="BU46" s="253"/>
      <c r="BV46" s="253"/>
      <c r="BW46" s="246" t="str">
        <f t="shared" si="32"/>
        <v/>
      </c>
    </row>
    <row r="47" spans="1:75">
      <c r="A47" s="88">
        <v>41</v>
      </c>
      <c r="B47" s="50"/>
      <c r="C47" s="62" t="s">
        <v>736</v>
      </c>
      <c r="D47" s="260"/>
      <c r="E47" s="126" t="s">
        <v>740</v>
      </c>
      <c r="F47" s="261"/>
      <c r="G47" s="20"/>
      <c r="H47" s="20"/>
      <c r="I47" s="19" t="s">
        <v>770</v>
      </c>
      <c r="J47" s="246" t="str">
        <f t="shared" si="16"/>
        <v>*</v>
      </c>
      <c r="K47" s="7"/>
      <c r="L47" s="97"/>
      <c r="M47" s="257"/>
      <c r="N47" s="253"/>
      <c r="O47" s="246" t="str">
        <f t="shared" si="17"/>
        <v/>
      </c>
      <c r="P47" s="97"/>
      <c r="Q47" s="253"/>
      <c r="R47" s="253"/>
      <c r="S47" s="246" t="str">
        <f t="shared" si="18"/>
        <v/>
      </c>
      <c r="T47" s="97"/>
      <c r="U47" s="253"/>
      <c r="V47" s="253"/>
      <c r="W47" s="246" t="str">
        <f t="shared" si="19"/>
        <v/>
      </c>
      <c r="X47" s="97"/>
      <c r="Y47" s="23"/>
      <c r="Z47" s="23"/>
      <c r="AA47" s="246" t="str">
        <f t="shared" si="20"/>
        <v/>
      </c>
      <c r="AB47" s="97"/>
      <c r="AC47" s="253"/>
      <c r="AD47" s="253"/>
      <c r="AE47" s="246" t="str">
        <f t="shared" si="21"/>
        <v/>
      </c>
      <c r="AF47" s="97"/>
      <c r="AG47" s="253"/>
      <c r="AH47" s="253"/>
      <c r="AI47" s="246" t="str">
        <f t="shared" si="22"/>
        <v/>
      </c>
      <c r="AJ47" s="97"/>
      <c r="AK47" s="253"/>
      <c r="AL47" s="253"/>
      <c r="AM47" s="246" t="str">
        <f t="shared" si="23"/>
        <v/>
      </c>
      <c r="AN47" s="97"/>
      <c r="AO47" s="253"/>
      <c r="AP47" s="253"/>
      <c r="AQ47" s="246" t="str">
        <f t="shared" si="24"/>
        <v/>
      </c>
      <c r="AR47" s="97"/>
      <c r="AS47" s="253"/>
      <c r="AT47" s="253"/>
      <c r="AU47" s="246" t="str">
        <f t="shared" si="25"/>
        <v/>
      </c>
      <c r="AV47" s="97"/>
      <c r="AW47" s="253"/>
      <c r="AX47" s="253"/>
      <c r="AY47" s="246" t="str">
        <f t="shared" si="26"/>
        <v/>
      </c>
      <c r="AZ47" s="97"/>
      <c r="BA47" s="253"/>
      <c r="BB47" s="253"/>
      <c r="BC47" s="246" t="str">
        <f t="shared" si="27"/>
        <v/>
      </c>
      <c r="BD47" s="97"/>
      <c r="BE47" s="253"/>
      <c r="BF47" s="253"/>
      <c r="BG47" s="246" t="str">
        <f t="shared" si="28"/>
        <v/>
      </c>
      <c r="BH47" s="97"/>
      <c r="BI47" s="253"/>
      <c r="BJ47" s="253"/>
      <c r="BK47" s="246" t="str">
        <f t="shared" si="29"/>
        <v/>
      </c>
      <c r="BL47" s="97"/>
      <c r="BM47" s="253"/>
      <c r="BN47" s="253"/>
      <c r="BO47" s="246" t="str">
        <f t="shared" si="30"/>
        <v/>
      </c>
      <c r="BP47" s="97"/>
      <c r="BQ47" s="253"/>
      <c r="BR47" s="253"/>
      <c r="BS47" s="246" t="str">
        <f t="shared" si="31"/>
        <v/>
      </c>
      <c r="BT47" s="97"/>
      <c r="BU47" s="253"/>
      <c r="BV47" s="253"/>
      <c r="BW47" s="246" t="str">
        <f t="shared" si="32"/>
        <v/>
      </c>
    </row>
    <row r="48" spans="1:75">
      <c r="A48" s="88">
        <v>42</v>
      </c>
      <c r="B48" s="50"/>
      <c r="C48" s="62" t="s">
        <v>736</v>
      </c>
      <c r="D48" s="260"/>
      <c r="E48" s="126" t="s">
        <v>760</v>
      </c>
      <c r="F48" s="261"/>
      <c r="G48" s="20"/>
      <c r="H48" s="20"/>
      <c r="I48" s="19" t="s">
        <v>770</v>
      </c>
      <c r="J48" s="246" t="str">
        <f t="shared" si="16"/>
        <v>*</v>
      </c>
      <c r="K48" s="7"/>
      <c r="L48" s="97"/>
      <c r="M48" s="257"/>
      <c r="N48" s="253"/>
      <c r="O48" s="246" t="str">
        <f t="shared" si="17"/>
        <v/>
      </c>
      <c r="P48" s="97"/>
      <c r="Q48" s="253"/>
      <c r="R48" s="253"/>
      <c r="S48" s="246" t="str">
        <f t="shared" si="18"/>
        <v/>
      </c>
      <c r="T48" s="97"/>
      <c r="U48" s="253"/>
      <c r="V48" s="253"/>
      <c r="W48" s="246" t="str">
        <f t="shared" si="19"/>
        <v/>
      </c>
      <c r="X48" s="97"/>
      <c r="Y48" s="23"/>
      <c r="Z48" s="23"/>
      <c r="AA48" s="246" t="str">
        <f t="shared" si="20"/>
        <v/>
      </c>
      <c r="AB48" s="97"/>
      <c r="AC48" s="253"/>
      <c r="AD48" s="253"/>
      <c r="AE48" s="246" t="str">
        <f t="shared" si="21"/>
        <v/>
      </c>
      <c r="AF48" s="97"/>
      <c r="AG48" s="253"/>
      <c r="AH48" s="253"/>
      <c r="AI48" s="246" t="str">
        <f t="shared" si="22"/>
        <v/>
      </c>
      <c r="AJ48" s="97"/>
      <c r="AK48" s="253"/>
      <c r="AL48" s="253"/>
      <c r="AM48" s="246" t="str">
        <f t="shared" si="23"/>
        <v/>
      </c>
      <c r="AN48" s="97"/>
      <c r="AO48" s="253"/>
      <c r="AP48" s="253"/>
      <c r="AQ48" s="246" t="str">
        <f t="shared" si="24"/>
        <v/>
      </c>
      <c r="AR48" s="97"/>
      <c r="AS48" s="253"/>
      <c r="AT48" s="253"/>
      <c r="AU48" s="246" t="str">
        <f t="shared" si="25"/>
        <v/>
      </c>
      <c r="AV48" s="97"/>
      <c r="AW48" s="253"/>
      <c r="AX48" s="253"/>
      <c r="AY48" s="246" t="str">
        <f t="shared" si="26"/>
        <v/>
      </c>
      <c r="AZ48" s="97"/>
      <c r="BA48" s="253"/>
      <c r="BB48" s="253"/>
      <c r="BC48" s="246" t="str">
        <f t="shared" si="27"/>
        <v/>
      </c>
      <c r="BD48" s="97"/>
      <c r="BE48" s="253"/>
      <c r="BF48" s="253"/>
      <c r="BG48" s="246" t="str">
        <f t="shared" si="28"/>
        <v/>
      </c>
      <c r="BH48" s="97"/>
      <c r="BI48" s="253"/>
      <c r="BJ48" s="253"/>
      <c r="BK48" s="246" t="str">
        <f t="shared" si="29"/>
        <v/>
      </c>
      <c r="BL48" s="97"/>
      <c r="BM48" s="253"/>
      <c r="BN48" s="253"/>
      <c r="BO48" s="246" t="str">
        <f t="shared" si="30"/>
        <v/>
      </c>
      <c r="BP48" s="97"/>
      <c r="BQ48" s="253"/>
      <c r="BR48" s="253"/>
      <c r="BS48" s="246" t="str">
        <f t="shared" si="31"/>
        <v/>
      </c>
      <c r="BT48" s="97"/>
      <c r="BU48" s="253"/>
      <c r="BV48" s="253"/>
      <c r="BW48" s="246" t="str">
        <f t="shared" si="32"/>
        <v/>
      </c>
    </row>
    <row r="49" spans="1:75">
      <c r="A49" s="88">
        <v>43</v>
      </c>
      <c r="B49" s="50"/>
      <c r="C49" s="62" t="s">
        <v>737</v>
      </c>
      <c r="D49" s="260"/>
      <c r="E49" s="126" t="s">
        <v>761</v>
      </c>
      <c r="F49" s="261"/>
      <c r="G49" s="20"/>
      <c r="H49" s="20"/>
      <c r="I49" s="262" t="s">
        <v>777</v>
      </c>
      <c r="J49" s="246" t="str">
        <f t="shared" si="16"/>
        <v>*</v>
      </c>
      <c r="K49" s="7"/>
      <c r="L49" s="97"/>
      <c r="M49" s="257"/>
      <c r="N49" s="253"/>
      <c r="O49" s="246" t="str">
        <f t="shared" si="17"/>
        <v/>
      </c>
      <c r="P49" s="97"/>
      <c r="Q49" s="253"/>
      <c r="R49" s="253"/>
      <c r="S49" s="246" t="str">
        <f t="shared" si="18"/>
        <v/>
      </c>
      <c r="T49" s="97"/>
      <c r="U49" s="253"/>
      <c r="V49" s="253"/>
      <c r="W49" s="246" t="str">
        <f t="shared" si="19"/>
        <v/>
      </c>
      <c r="X49" s="97"/>
      <c r="Y49" s="23"/>
      <c r="Z49" s="23"/>
      <c r="AA49" s="246" t="str">
        <f t="shared" si="20"/>
        <v/>
      </c>
      <c r="AB49" s="97"/>
      <c r="AC49" s="253"/>
      <c r="AD49" s="253"/>
      <c r="AE49" s="246" t="str">
        <f t="shared" si="21"/>
        <v/>
      </c>
      <c r="AF49" s="97"/>
      <c r="AG49" s="253"/>
      <c r="AH49" s="253"/>
      <c r="AI49" s="246" t="str">
        <f t="shared" si="22"/>
        <v/>
      </c>
      <c r="AJ49" s="97"/>
      <c r="AK49" s="253"/>
      <c r="AL49" s="253"/>
      <c r="AM49" s="246" t="str">
        <f t="shared" si="23"/>
        <v/>
      </c>
      <c r="AN49" s="97"/>
      <c r="AO49" s="253"/>
      <c r="AP49" s="253"/>
      <c r="AQ49" s="246" t="str">
        <f t="shared" si="24"/>
        <v/>
      </c>
      <c r="AR49" s="97"/>
      <c r="AS49" s="253"/>
      <c r="AT49" s="253"/>
      <c r="AU49" s="246" t="str">
        <f t="shared" si="25"/>
        <v/>
      </c>
      <c r="AV49" s="97"/>
      <c r="AW49" s="253"/>
      <c r="AX49" s="253"/>
      <c r="AY49" s="246" t="str">
        <f t="shared" si="26"/>
        <v/>
      </c>
      <c r="AZ49" s="97"/>
      <c r="BA49" s="253"/>
      <c r="BB49" s="253"/>
      <c r="BC49" s="246" t="str">
        <f t="shared" si="27"/>
        <v/>
      </c>
      <c r="BD49" s="97"/>
      <c r="BE49" s="253"/>
      <c r="BF49" s="253"/>
      <c r="BG49" s="246" t="str">
        <f t="shared" si="28"/>
        <v/>
      </c>
      <c r="BH49" s="97"/>
      <c r="BI49" s="253"/>
      <c r="BJ49" s="253"/>
      <c r="BK49" s="246" t="str">
        <f t="shared" si="29"/>
        <v/>
      </c>
      <c r="BL49" s="97"/>
      <c r="BM49" s="253"/>
      <c r="BN49" s="253"/>
      <c r="BO49" s="246" t="str">
        <f t="shared" si="30"/>
        <v/>
      </c>
      <c r="BP49" s="97"/>
      <c r="BQ49" s="253"/>
      <c r="BR49" s="253"/>
      <c r="BS49" s="246" t="str">
        <f t="shared" si="31"/>
        <v/>
      </c>
      <c r="BT49" s="97"/>
      <c r="BU49" s="253"/>
      <c r="BV49" s="253"/>
      <c r="BW49" s="246" t="str">
        <f t="shared" si="32"/>
        <v/>
      </c>
    </row>
    <row r="50" spans="1:75">
      <c r="A50" s="88">
        <v>44</v>
      </c>
      <c r="B50" s="50"/>
      <c r="C50" s="62" t="s">
        <v>738</v>
      </c>
      <c r="D50" s="260"/>
      <c r="E50" s="126" t="s">
        <v>744</v>
      </c>
      <c r="F50" s="261"/>
      <c r="G50" s="20"/>
      <c r="H50" s="20"/>
      <c r="I50" s="262" t="s">
        <v>777</v>
      </c>
      <c r="J50" s="246" t="str">
        <f t="shared" si="16"/>
        <v>*</v>
      </c>
      <c r="K50" s="7"/>
      <c r="L50" s="97"/>
      <c r="M50" s="257"/>
      <c r="N50" s="253"/>
      <c r="O50" s="246" t="str">
        <f t="shared" si="17"/>
        <v/>
      </c>
      <c r="P50" s="97"/>
      <c r="Q50" s="253"/>
      <c r="R50" s="253"/>
      <c r="S50" s="246" t="str">
        <f t="shared" si="18"/>
        <v/>
      </c>
      <c r="T50" s="97"/>
      <c r="U50" s="253"/>
      <c r="V50" s="253"/>
      <c r="W50" s="246" t="str">
        <f t="shared" si="19"/>
        <v/>
      </c>
      <c r="X50" s="97"/>
      <c r="Y50" s="23"/>
      <c r="Z50" s="23"/>
      <c r="AA50" s="246" t="str">
        <f t="shared" si="20"/>
        <v/>
      </c>
      <c r="AB50" s="97"/>
      <c r="AC50" s="253"/>
      <c r="AD50" s="253"/>
      <c r="AE50" s="246" t="str">
        <f t="shared" si="21"/>
        <v/>
      </c>
      <c r="AF50" s="97"/>
      <c r="AG50" s="253"/>
      <c r="AH50" s="253"/>
      <c r="AI50" s="246" t="str">
        <f t="shared" si="22"/>
        <v/>
      </c>
      <c r="AJ50" s="97"/>
      <c r="AK50" s="253"/>
      <c r="AL50" s="253"/>
      <c r="AM50" s="246" t="str">
        <f t="shared" si="23"/>
        <v/>
      </c>
      <c r="AN50" s="97"/>
      <c r="AO50" s="253"/>
      <c r="AP50" s="253"/>
      <c r="AQ50" s="246" t="str">
        <f t="shared" si="24"/>
        <v/>
      </c>
      <c r="AR50" s="97"/>
      <c r="AS50" s="253"/>
      <c r="AT50" s="253"/>
      <c r="AU50" s="246" t="str">
        <f t="shared" si="25"/>
        <v/>
      </c>
      <c r="AV50" s="97"/>
      <c r="AW50" s="253"/>
      <c r="AX50" s="253"/>
      <c r="AY50" s="246" t="str">
        <f t="shared" si="26"/>
        <v/>
      </c>
      <c r="AZ50" s="97"/>
      <c r="BA50" s="253"/>
      <c r="BB50" s="253"/>
      <c r="BC50" s="246" t="str">
        <f t="shared" si="27"/>
        <v/>
      </c>
      <c r="BD50" s="97"/>
      <c r="BE50" s="253"/>
      <c r="BF50" s="253"/>
      <c r="BG50" s="246" t="str">
        <f t="shared" si="28"/>
        <v/>
      </c>
      <c r="BH50" s="97"/>
      <c r="BI50" s="253"/>
      <c r="BJ50" s="253"/>
      <c r="BK50" s="246" t="str">
        <f t="shared" si="29"/>
        <v/>
      </c>
      <c r="BL50" s="97"/>
      <c r="BM50" s="253"/>
      <c r="BN50" s="253"/>
      <c r="BO50" s="246" t="str">
        <f t="shared" si="30"/>
        <v/>
      </c>
      <c r="BP50" s="97"/>
      <c r="BQ50" s="253"/>
      <c r="BR50" s="253"/>
      <c r="BS50" s="246" t="str">
        <f t="shared" si="31"/>
        <v/>
      </c>
      <c r="BT50" s="97"/>
      <c r="BU50" s="253"/>
      <c r="BV50" s="253"/>
      <c r="BW50" s="246" t="str">
        <f t="shared" si="32"/>
        <v/>
      </c>
    </row>
    <row r="51" spans="1:75">
      <c r="A51" s="88">
        <v>45</v>
      </c>
      <c r="B51" s="50"/>
      <c r="C51" s="62" t="s">
        <v>739</v>
      </c>
      <c r="D51" s="260"/>
      <c r="E51" s="126" t="s">
        <v>766</v>
      </c>
      <c r="F51" s="261"/>
      <c r="G51" s="20"/>
      <c r="H51" s="20"/>
      <c r="I51" s="19" t="s">
        <v>777</v>
      </c>
      <c r="J51" s="246" t="str">
        <f t="shared" si="16"/>
        <v>*</v>
      </c>
      <c r="K51" s="7"/>
      <c r="L51" s="97"/>
      <c r="M51" s="257"/>
      <c r="N51" s="253"/>
      <c r="O51" s="246" t="str">
        <f t="shared" si="17"/>
        <v/>
      </c>
      <c r="P51" s="97"/>
      <c r="Q51" s="253"/>
      <c r="R51" s="253"/>
      <c r="S51" s="246" t="str">
        <f t="shared" si="18"/>
        <v/>
      </c>
      <c r="T51" s="97"/>
      <c r="U51" s="253"/>
      <c r="V51" s="253"/>
      <c r="W51" s="246" t="str">
        <f t="shared" si="19"/>
        <v/>
      </c>
      <c r="X51" s="97"/>
      <c r="Y51" s="23"/>
      <c r="Z51" s="23"/>
      <c r="AA51" s="246" t="str">
        <f t="shared" si="20"/>
        <v/>
      </c>
      <c r="AB51" s="97"/>
      <c r="AC51" s="253"/>
      <c r="AD51" s="253"/>
      <c r="AE51" s="246" t="str">
        <f t="shared" si="21"/>
        <v/>
      </c>
      <c r="AF51" s="97"/>
      <c r="AG51" s="253"/>
      <c r="AH51" s="253"/>
      <c r="AI51" s="246" t="str">
        <f t="shared" si="22"/>
        <v/>
      </c>
      <c r="AJ51" s="97"/>
      <c r="AK51" s="253"/>
      <c r="AL51" s="253"/>
      <c r="AM51" s="246" t="str">
        <f t="shared" si="23"/>
        <v/>
      </c>
      <c r="AN51" s="97"/>
      <c r="AO51" s="253"/>
      <c r="AP51" s="253"/>
      <c r="AQ51" s="246" t="str">
        <f t="shared" si="24"/>
        <v/>
      </c>
      <c r="AR51" s="97"/>
      <c r="AS51" s="253"/>
      <c r="AT51" s="253"/>
      <c r="AU51" s="246" t="str">
        <f t="shared" si="25"/>
        <v/>
      </c>
      <c r="AV51" s="97"/>
      <c r="AW51" s="253"/>
      <c r="AX51" s="253"/>
      <c r="AY51" s="246" t="str">
        <f t="shared" si="26"/>
        <v/>
      </c>
      <c r="AZ51" s="97"/>
      <c r="BA51" s="253"/>
      <c r="BB51" s="253"/>
      <c r="BC51" s="246" t="str">
        <f t="shared" si="27"/>
        <v/>
      </c>
      <c r="BD51" s="97"/>
      <c r="BE51" s="253"/>
      <c r="BF51" s="253"/>
      <c r="BG51" s="246" t="str">
        <f t="shared" si="28"/>
        <v/>
      </c>
      <c r="BH51" s="97"/>
      <c r="BI51" s="253"/>
      <c r="BJ51" s="253"/>
      <c r="BK51" s="246" t="str">
        <f t="shared" si="29"/>
        <v/>
      </c>
      <c r="BL51" s="97"/>
      <c r="BM51" s="253"/>
      <c r="BN51" s="253"/>
      <c r="BO51" s="246" t="str">
        <f t="shared" si="30"/>
        <v/>
      </c>
      <c r="BP51" s="97"/>
      <c r="BQ51" s="253"/>
      <c r="BR51" s="253"/>
      <c r="BS51" s="246" t="str">
        <f t="shared" si="31"/>
        <v/>
      </c>
      <c r="BT51" s="97"/>
      <c r="BU51" s="253"/>
      <c r="BV51" s="253"/>
      <c r="BW51" s="246" t="str">
        <f t="shared" si="32"/>
        <v/>
      </c>
    </row>
    <row r="52" spans="1:75">
      <c r="A52" s="88">
        <v>46</v>
      </c>
      <c r="B52" s="50"/>
      <c r="C52" s="62" t="s">
        <v>738</v>
      </c>
      <c r="D52" s="260"/>
      <c r="E52" s="126" t="s">
        <v>767</v>
      </c>
      <c r="F52" s="261"/>
      <c r="G52" s="20"/>
      <c r="H52" s="20"/>
      <c r="I52" s="262" t="s">
        <v>777</v>
      </c>
      <c r="J52" s="246" t="str">
        <f t="shared" si="16"/>
        <v>*</v>
      </c>
      <c r="K52" s="7"/>
      <c r="L52" s="97"/>
      <c r="M52" s="257"/>
      <c r="N52" s="253"/>
      <c r="O52" s="246" t="str">
        <f t="shared" si="17"/>
        <v/>
      </c>
      <c r="P52" s="97"/>
      <c r="Q52" s="253"/>
      <c r="R52" s="253"/>
      <c r="S52" s="246" t="str">
        <f t="shared" si="18"/>
        <v/>
      </c>
      <c r="T52" s="97"/>
      <c r="U52" s="253"/>
      <c r="V52" s="253"/>
      <c r="W52" s="246" t="str">
        <f t="shared" si="19"/>
        <v/>
      </c>
      <c r="X52" s="97"/>
      <c r="Y52" s="23"/>
      <c r="Z52" s="23"/>
      <c r="AA52" s="246" t="str">
        <f t="shared" si="20"/>
        <v/>
      </c>
      <c r="AB52" s="97"/>
      <c r="AC52" s="253"/>
      <c r="AD52" s="253"/>
      <c r="AE52" s="246" t="str">
        <f t="shared" si="21"/>
        <v/>
      </c>
      <c r="AF52" s="97"/>
      <c r="AG52" s="253"/>
      <c r="AH52" s="253"/>
      <c r="AI52" s="246" t="str">
        <f t="shared" si="22"/>
        <v/>
      </c>
      <c r="AJ52" s="97"/>
      <c r="AK52" s="253"/>
      <c r="AL52" s="253"/>
      <c r="AM52" s="246" t="str">
        <f t="shared" si="23"/>
        <v/>
      </c>
      <c r="AN52" s="97"/>
      <c r="AO52" s="253"/>
      <c r="AP52" s="253"/>
      <c r="AQ52" s="246" t="str">
        <f t="shared" si="24"/>
        <v/>
      </c>
      <c r="AR52" s="97"/>
      <c r="AS52" s="253"/>
      <c r="AT52" s="253"/>
      <c r="AU52" s="246" t="str">
        <f t="shared" si="25"/>
        <v/>
      </c>
      <c r="AV52" s="97"/>
      <c r="AW52" s="253"/>
      <c r="AX52" s="253"/>
      <c r="AY52" s="246" t="str">
        <f t="shared" si="26"/>
        <v/>
      </c>
      <c r="AZ52" s="97"/>
      <c r="BA52" s="253"/>
      <c r="BB52" s="253"/>
      <c r="BC52" s="246" t="str">
        <f t="shared" si="27"/>
        <v/>
      </c>
      <c r="BD52" s="97"/>
      <c r="BE52" s="253"/>
      <c r="BF52" s="253"/>
      <c r="BG52" s="246" t="str">
        <f t="shared" si="28"/>
        <v/>
      </c>
      <c r="BH52" s="97"/>
      <c r="BI52" s="253"/>
      <c r="BJ52" s="253"/>
      <c r="BK52" s="246" t="str">
        <f t="shared" si="29"/>
        <v/>
      </c>
      <c r="BL52" s="97"/>
      <c r="BM52" s="253"/>
      <c r="BN52" s="253"/>
      <c r="BO52" s="246" t="str">
        <f t="shared" si="30"/>
        <v/>
      </c>
      <c r="BP52" s="97"/>
      <c r="BQ52" s="253"/>
      <c r="BR52" s="253"/>
      <c r="BS52" s="246" t="str">
        <f t="shared" si="31"/>
        <v/>
      </c>
      <c r="BT52" s="97"/>
      <c r="BU52" s="253"/>
      <c r="BV52" s="253"/>
      <c r="BW52" s="246" t="str">
        <f t="shared" si="32"/>
        <v/>
      </c>
    </row>
    <row r="53" spans="1:75">
      <c r="A53" s="88">
        <v>47</v>
      </c>
      <c r="B53" s="50"/>
      <c r="C53" s="62" t="s">
        <v>738</v>
      </c>
      <c r="D53" s="260"/>
      <c r="E53" s="126" t="s">
        <v>751</v>
      </c>
      <c r="F53" s="261"/>
      <c r="G53" s="20"/>
      <c r="H53" s="20"/>
      <c r="I53" s="262" t="s">
        <v>777</v>
      </c>
      <c r="J53" s="246" t="str">
        <f t="shared" si="16"/>
        <v>*</v>
      </c>
      <c r="K53" s="7"/>
      <c r="L53" s="97"/>
      <c r="M53" s="257"/>
      <c r="N53" s="253"/>
      <c r="O53" s="246" t="str">
        <f t="shared" si="17"/>
        <v/>
      </c>
      <c r="P53" s="97"/>
      <c r="Q53" s="253"/>
      <c r="R53" s="253"/>
      <c r="S53" s="246" t="str">
        <f t="shared" si="18"/>
        <v/>
      </c>
      <c r="T53" s="97"/>
      <c r="U53" s="253"/>
      <c r="V53" s="253"/>
      <c r="W53" s="246" t="str">
        <f t="shared" si="19"/>
        <v/>
      </c>
      <c r="X53" s="97"/>
      <c r="Y53" s="23"/>
      <c r="Z53" s="23"/>
      <c r="AA53" s="246" t="str">
        <f t="shared" si="20"/>
        <v/>
      </c>
      <c r="AB53" s="97"/>
      <c r="AC53" s="253"/>
      <c r="AD53" s="253"/>
      <c r="AE53" s="246" t="str">
        <f t="shared" si="21"/>
        <v/>
      </c>
      <c r="AF53" s="97"/>
      <c r="AG53" s="253"/>
      <c r="AH53" s="253"/>
      <c r="AI53" s="246" t="str">
        <f t="shared" si="22"/>
        <v/>
      </c>
      <c r="AJ53" s="97"/>
      <c r="AK53" s="253"/>
      <c r="AL53" s="253"/>
      <c r="AM53" s="246" t="str">
        <f t="shared" si="23"/>
        <v/>
      </c>
      <c r="AN53" s="97"/>
      <c r="AO53" s="253"/>
      <c r="AP53" s="253"/>
      <c r="AQ53" s="246" t="str">
        <f t="shared" si="24"/>
        <v/>
      </c>
      <c r="AR53" s="97"/>
      <c r="AS53" s="253"/>
      <c r="AT53" s="253"/>
      <c r="AU53" s="246" t="str">
        <f t="shared" si="25"/>
        <v/>
      </c>
      <c r="AV53" s="97"/>
      <c r="AW53" s="253"/>
      <c r="AX53" s="253"/>
      <c r="AY53" s="246" t="str">
        <f t="shared" si="26"/>
        <v/>
      </c>
      <c r="AZ53" s="97"/>
      <c r="BA53" s="253"/>
      <c r="BB53" s="253"/>
      <c r="BC53" s="246" t="str">
        <f t="shared" si="27"/>
        <v/>
      </c>
      <c r="BD53" s="97"/>
      <c r="BE53" s="253"/>
      <c r="BF53" s="253"/>
      <c r="BG53" s="246" t="str">
        <f t="shared" si="28"/>
        <v/>
      </c>
      <c r="BH53" s="97"/>
      <c r="BI53" s="253"/>
      <c r="BJ53" s="253"/>
      <c r="BK53" s="246" t="str">
        <f t="shared" si="29"/>
        <v/>
      </c>
      <c r="BL53" s="97"/>
      <c r="BM53" s="253"/>
      <c r="BN53" s="253"/>
      <c r="BO53" s="246" t="str">
        <f t="shared" si="30"/>
        <v/>
      </c>
      <c r="BP53" s="97"/>
      <c r="BQ53" s="253"/>
      <c r="BR53" s="253"/>
      <c r="BS53" s="246" t="str">
        <f t="shared" si="31"/>
        <v/>
      </c>
      <c r="BT53" s="97"/>
      <c r="BU53" s="253"/>
      <c r="BV53" s="253"/>
      <c r="BW53" s="246" t="str">
        <f t="shared" si="32"/>
        <v/>
      </c>
    </row>
    <row r="54" spans="1:75">
      <c r="A54" s="88">
        <v>48</v>
      </c>
      <c r="B54" s="50"/>
      <c r="C54" s="62" t="s">
        <v>738</v>
      </c>
      <c r="D54" s="260"/>
      <c r="E54" s="126" t="s">
        <v>751</v>
      </c>
      <c r="F54" s="261"/>
      <c r="G54" s="20"/>
      <c r="H54" s="20"/>
      <c r="I54" s="262" t="s">
        <v>777</v>
      </c>
      <c r="J54" s="246" t="str">
        <f t="shared" si="16"/>
        <v>*</v>
      </c>
      <c r="K54" s="7"/>
      <c r="L54" s="97"/>
      <c r="M54" s="257"/>
      <c r="N54" s="253"/>
      <c r="O54" s="246" t="str">
        <f t="shared" si="17"/>
        <v/>
      </c>
      <c r="P54" s="97"/>
      <c r="Q54" s="253"/>
      <c r="R54" s="253"/>
      <c r="S54" s="246" t="str">
        <f t="shared" si="18"/>
        <v/>
      </c>
      <c r="T54" s="97"/>
      <c r="U54" s="253"/>
      <c r="V54" s="253"/>
      <c r="W54" s="246" t="str">
        <f t="shared" si="19"/>
        <v/>
      </c>
      <c r="X54" s="97"/>
      <c r="Y54" s="23"/>
      <c r="Z54" s="23"/>
      <c r="AA54" s="246" t="str">
        <f t="shared" si="20"/>
        <v/>
      </c>
      <c r="AB54" s="97"/>
      <c r="AC54" s="253"/>
      <c r="AD54" s="253"/>
      <c r="AE54" s="246" t="str">
        <f t="shared" si="21"/>
        <v/>
      </c>
      <c r="AF54" s="97"/>
      <c r="AG54" s="253"/>
      <c r="AH54" s="253"/>
      <c r="AI54" s="246" t="str">
        <f t="shared" si="22"/>
        <v/>
      </c>
      <c r="AJ54" s="97"/>
      <c r="AK54" s="253"/>
      <c r="AL54" s="253"/>
      <c r="AM54" s="246" t="str">
        <f t="shared" si="23"/>
        <v/>
      </c>
      <c r="AN54" s="97"/>
      <c r="AO54" s="253"/>
      <c r="AP54" s="253"/>
      <c r="AQ54" s="246" t="str">
        <f t="shared" si="24"/>
        <v/>
      </c>
      <c r="AR54" s="97"/>
      <c r="AS54" s="253"/>
      <c r="AT54" s="253"/>
      <c r="AU54" s="246" t="str">
        <f t="shared" si="25"/>
        <v/>
      </c>
      <c r="AV54" s="97"/>
      <c r="AW54" s="253"/>
      <c r="AX54" s="253"/>
      <c r="AY54" s="246" t="str">
        <f t="shared" si="26"/>
        <v/>
      </c>
      <c r="AZ54" s="97"/>
      <c r="BA54" s="253"/>
      <c r="BB54" s="253"/>
      <c r="BC54" s="246" t="str">
        <f t="shared" si="27"/>
        <v/>
      </c>
      <c r="BD54" s="97"/>
      <c r="BE54" s="253"/>
      <c r="BF54" s="253"/>
      <c r="BG54" s="246" t="str">
        <f t="shared" si="28"/>
        <v/>
      </c>
      <c r="BH54" s="97"/>
      <c r="BI54" s="253"/>
      <c r="BJ54" s="253"/>
      <c r="BK54" s="246" t="str">
        <f t="shared" si="29"/>
        <v/>
      </c>
      <c r="BL54" s="97"/>
      <c r="BM54" s="253"/>
      <c r="BN54" s="253"/>
      <c r="BO54" s="246" t="str">
        <f t="shared" si="30"/>
        <v/>
      </c>
      <c r="BP54" s="97"/>
      <c r="BQ54" s="253"/>
      <c r="BR54" s="253"/>
      <c r="BS54" s="246" t="str">
        <f t="shared" si="31"/>
        <v/>
      </c>
      <c r="BT54" s="97"/>
      <c r="BU54" s="253"/>
      <c r="BV54" s="253"/>
      <c r="BW54" s="246" t="str">
        <f t="shared" si="32"/>
        <v/>
      </c>
    </row>
    <row r="55" spans="1:75">
      <c r="A55" s="88">
        <v>49</v>
      </c>
      <c r="B55" s="50"/>
      <c r="C55" s="62" t="s">
        <v>738</v>
      </c>
      <c r="D55" s="260"/>
      <c r="E55" s="126" t="s">
        <v>751</v>
      </c>
      <c r="F55" s="261"/>
      <c r="G55" s="20"/>
      <c r="H55" s="20"/>
      <c r="I55" s="262" t="s">
        <v>777</v>
      </c>
      <c r="J55" s="246" t="str">
        <f t="shared" si="16"/>
        <v>*</v>
      </c>
      <c r="K55" s="7"/>
      <c r="L55" s="97"/>
      <c r="M55" s="257"/>
      <c r="N55" s="253"/>
      <c r="O55" s="246" t="str">
        <f t="shared" si="17"/>
        <v/>
      </c>
      <c r="P55" s="97"/>
      <c r="Q55" s="253"/>
      <c r="R55" s="253"/>
      <c r="S55" s="246" t="str">
        <f t="shared" si="18"/>
        <v/>
      </c>
      <c r="T55" s="97"/>
      <c r="U55" s="253"/>
      <c r="V55" s="253"/>
      <c r="W55" s="246" t="str">
        <f t="shared" si="19"/>
        <v/>
      </c>
      <c r="X55" s="97"/>
      <c r="Y55" s="23"/>
      <c r="Z55" s="23"/>
      <c r="AA55" s="246" t="str">
        <f t="shared" si="20"/>
        <v/>
      </c>
      <c r="AB55" s="97"/>
      <c r="AC55" s="253"/>
      <c r="AD55" s="253"/>
      <c r="AE55" s="246" t="str">
        <f t="shared" si="21"/>
        <v/>
      </c>
      <c r="AF55" s="97"/>
      <c r="AG55" s="253"/>
      <c r="AH55" s="253"/>
      <c r="AI55" s="246" t="str">
        <f t="shared" si="22"/>
        <v/>
      </c>
      <c r="AJ55" s="97"/>
      <c r="AK55" s="253"/>
      <c r="AL55" s="253"/>
      <c r="AM55" s="246" t="str">
        <f t="shared" si="23"/>
        <v/>
      </c>
      <c r="AN55" s="97"/>
      <c r="AO55" s="253"/>
      <c r="AP55" s="253"/>
      <c r="AQ55" s="246" t="str">
        <f t="shared" si="24"/>
        <v/>
      </c>
      <c r="AR55" s="97"/>
      <c r="AS55" s="253"/>
      <c r="AT55" s="253"/>
      <c r="AU55" s="246" t="str">
        <f t="shared" si="25"/>
        <v/>
      </c>
      <c r="AV55" s="97"/>
      <c r="AW55" s="253"/>
      <c r="AX55" s="253"/>
      <c r="AY55" s="246" t="str">
        <f t="shared" si="26"/>
        <v/>
      </c>
      <c r="AZ55" s="97"/>
      <c r="BA55" s="253"/>
      <c r="BB55" s="253"/>
      <c r="BC55" s="246" t="str">
        <f t="shared" si="27"/>
        <v/>
      </c>
      <c r="BD55" s="97"/>
      <c r="BE55" s="253"/>
      <c r="BF55" s="253"/>
      <c r="BG55" s="246" t="str">
        <f t="shared" si="28"/>
        <v/>
      </c>
      <c r="BH55" s="97"/>
      <c r="BI55" s="253"/>
      <c r="BJ55" s="253"/>
      <c r="BK55" s="246" t="str">
        <f t="shared" si="29"/>
        <v/>
      </c>
      <c r="BL55" s="97"/>
      <c r="BM55" s="253"/>
      <c r="BN55" s="253"/>
      <c r="BO55" s="246" t="str">
        <f t="shared" si="30"/>
        <v/>
      </c>
      <c r="BP55" s="97"/>
      <c r="BQ55" s="253"/>
      <c r="BR55" s="253"/>
      <c r="BS55" s="246" t="str">
        <f t="shared" si="31"/>
        <v/>
      </c>
      <c r="BT55" s="97"/>
      <c r="BU55" s="253"/>
      <c r="BV55" s="253"/>
      <c r="BW55" s="246" t="str">
        <f t="shared" si="32"/>
        <v/>
      </c>
    </row>
    <row r="56" spans="1:75">
      <c r="A56" s="88">
        <v>50</v>
      </c>
      <c r="B56" s="50"/>
      <c r="C56" s="62" t="s">
        <v>738</v>
      </c>
      <c r="D56" s="260"/>
      <c r="E56" s="126" t="s">
        <v>745</v>
      </c>
      <c r="F56" s="261"/>
      <c r="G56" s="20"/>
      <c r="H56" s="20"/>
      <c r="I56" s="262" t="s">
        <v>777</v>
      </c>
      <c r="J56" s="246" t="str">
        <f t="shared" si="16"/>
        <v>*</v>
      </c>
      <c r="K56" s="7"/>
      <c r="L56" s="97"/>
      <c r="M56" s="257"/>
      <c r="N56" s="253"/>
      <c r="O56" s="246" t="str">
        <f t="shared" si="17"/>
        <v/>
      </c>
      <c r="P56" s="97"/>
      <c r="Q56" s="253"/>
      <c r="R56" s="253"/>
      <c r="S56" s="246" t="str">
        <f t="shared" si="18"/>
        <v/>
      </c>
      <c r="T56" s="97"/>
      <c r="U56" s="253"/>
      <c r="V56" s="253"/>
      <c r="W56" s="246" t="str">
        <f t="shared" si="19"/>
        <v/>
      </c>
      <c r="X56" s="97"/>
      <c r="Y56" s="23"/>
      <c r="Z56" s="23"/>
      <c r="AA56" s="246" t="str">
        <f t="shared" si="20"/>
        <v/>
      </c>
      <c r="AB56" s="97"/>
      <c r="AC56" s="253"/>
      <c r="AD56" s="253"/>
      <c r="AE56" s="246" t="str">
        <f t="shared" si="21"/>
        <v/>
      </c>
      <c r="AF56" s="97"/>
      <c r="AG56" s="253"/>
      <c r="AH56" s="253"/>
      <c r="AI56" s="246" t="str">
        <f t="shared" si="22"/>
        <v/>
      </c>
      <c r="AJ56" s="97"/>
      <c r="AK56" s="253"/>
      <c r="AL56" s="253"/>
      <c r="AM56" s="246" t="str">
        <f t="shared" si="23"/>
        <v/>
      </c>
      <c r="AN56" s="97"/>
      <c r="AO56" s="253"/>
      <c r="AP56" s="253"/>
      <c r="AQ56" s="246" t="str">
        <f t="shared" si="24"/>
        <v/>
      </c>
      <c r="AR56" s="97"/>
      <c r="AS56" s="253"/>
      <c r="AT56" s="253"/>
      <c r="AU56" s="246" t="str">
        <f t="shared" si="25"/>
        <v/>
      </c>
      <c r="AV56" s="97"/>
      <c r="AW56" s="253"/>
      <c r="AX56" s="253"/>
      <c r="AY56" s="246" t="str">
        <f t="shared" si="26"/>
        <v/>
      </c>
      <c r="AZ56" s="97"/>
      <c r="BA56" s="253"/>
      <c r="BB56" s="253"/>
      <c r="BC56" s="246" t="str">
        <f t="shared" si="27"/>
        <v/>
      </c>
      <c r="BD56" s="97"/>
      <c r="BE56" s="253"/>
      <c r="BF56" s="253"/>
      <c r="BG56" s="246" t="str">
        <f t="shared" si="28"/>
        <v/>
      </c>
      <c r="BH56" s="97"/>
      <c r="BI56" s="253"/>
      <c r="BJ56" s="253"/>
      <c r="BK56" s="246" t="str">
        <f t="shared" si="29"/>
        <v/>
      </c>
      <c r="BL56" s="97"/>
      <c r="BM56" s="253"/>
      <c r="BN56" s="253"/>
      <c r="BO56" s="246" t="str">
        <f t="shared" si="30"/>
        <v/>
      </c>
      <c r="BP56" s="97"/>
      <c r="BQ56" s="253"/>
      <c r="BR56" s="253"/>
      <c r="BS56" s="246" t="str">
        <f t="shared" si="31"/>
        <v/>
      </c>
      <c r="BT56" s="97"/>
      <c r="BU56" s="253"/>
      <c r="BV56" s="253"/>
      <c r="BW56" s="246" t="str">
        <f t="shared" si="32"/>
        <v/>
      </c>
    </row>
    <row r="57" spans="1:75">
      <c r="A57" s="88">
        <v>51</v>
      </c>
      <c r="B57" s="50"/>
      <c r="C57" s="62"/>
      <c r="D57" s="117"/>
      <c r="E57" s="126"/>
      <c r="F57" s="190"/>
      <c r="G57" s="20"/>
      <c r="H57" s="20"/>
      <c r="I57" s="19"/>
      <c r="J57" s="246" t="str">
        <f t="shared" si="16"/>
        <v/>
      </c>
      <c r="K57" s="7"/>
      <c r="L57" s="97"/>
      <c r="M57" s="257"/>
      <c r="N57" s="253"/>
      <c r="O57" s="246" t="str">
        <f t="shared" si="17"/>
        <v/>
      </c>
      <c r="P57" s="97"/>
      <c r="Q57" s="253"/>
      <c r="R57" s="253"/>
      <c r="S57" s="246" t="str">
        <f t="shared" si="18"/>
        <v/>
      </c>
      <c r="T57" s="97"/>
      <c r="U57" s="253"/>
      <c r="V57" s="253"/>
      <c r="W57" s="246" t="str">
        <f t="shared" si="19"/>
        <v/>
      </c>
      <c r="X57" s="97"/>
      <c r="Y57" s="23"/>
      <c r="Z57" s="23"/>
      <c r="AA57" s="246" t="str">
        <f t="shared" si="20"/>
        <v/>
      </c>
      <c r="AB57" s="97"/>
      <c r="AC57" s="253"/>
      <c r="AD57" s="253"/>
      <c r="AE57" s="246" t="str">
        <f t="shared" si="21"/>
        <v/>
      </c>
      <c r="AF57" s="97"/>
      <c r="AG57" s="253"/>
      <c r="AH57" s="253"/>
      <c r="AI57" s="246" t="str">
        <f t="shared" si="22"/>
        <v/>
      </c>
      <c r="AJ57" s="97"/>
      <c r="AK57" s="253"/>
      <c r="AL57" s="253"/>
      <c r="AM57" s="246" t="str">
        <f t="shared" si="23"/>
        <v/>
      </c>
      <c r="AN57" s="97"/>
      <c r="AO57" s="253"/>
      <c r="AP57" s="253"/>
      <c r="AQ57" s="246" t="str">
        <f t="shared" si="24"/>
        <v/>
      </c>
      <c r="AR57" s="97"/>
      <c r="AS57" s="253"/>
      <c r="AT57" s="253"/>
      <c r="AU57" s="246" t="str">
        <f t="shared" si="25"/>
        <v/>
      </c>
      <c r="AV57" s="97"/>
      <c r="AW57" s="253"/>
      <c r="AX57" s="253"/>
      <c r="AY57" s="246" t="str">
        <f t="shared" si="26"/>
        <v/>
      </c>
      <c r="AZ57" s="97"/>
      <c r="BA57" s="253"/>
      <c r="BB57" s="253"/>
      <c r="BC57" s="246" t="str">
        <f t="shared" si="27"/>
        <v/>
      </c>
      <c r="BD57" s="97"/>
      <c r="BE57" s="253"/>
      <c r="BF57" s="253"/>
      <c r="BG57" s="246" t="str">
        <f t="shared" si="28"/>
        <v/>
      </c>
      <c r="BH57" s="97"/>
      <c r="BI57" s="253"/>
      <c r="BJ57" s="253"/>
      <c r="BK57" s="246" t="str">
        <f t="shared" si="29"/>
        <v/>
      </c>
      <c r="BL57" s="97"/>
      <c r="BM57" s="253"/>
      <c r="BN57" s="253"/>
      <c r="BO57" s="246" t="str">
        <f t="shared" si="30"/>
        <v/>
      </c>
      <c r="BP57" s="97"/>
      <c r="BQ57" s="253"/>
      <c r="BR57" s="253"/>
      <c r="BS57" s="246" t="str">
        <f t="shared" si="31"/>
        <v/>
      </c>
      <c r="BT57" s="97"/>
      <c r="BU57" s="253"/>
      <c r="BV57" s="253"/>
      <c r="BW57" s="246" t="str">
        <f t="shared" si="32"/>
        <v/>
      </c>
    </row>
    <row r="58" spans="1:75">
      <c r="A58" s="88">
        <v>52</v>
      </c>
      <c r="B58" s="50"/>
      <c r="C58" s="62"/>
      <c r="D58" s="117"/>
      <c r="E58" s="126"/>
      <c r="F58" s="190"/>
      <c r="G58" s="20"/>
      <c r="H58" s="20"/>
      <c r="I58" s="19"/>
      <c r="J58" s="246" t="str">
        <f t="shared" si="16"/>
        <v/>
      </c>
      <c r="K58" s="7"/>
      <c r="L58" s="97"/>
      <c r="M58" s="257"/>
      <c r="N58" s="253"/>
      <c r="O58" s="246" t="str">
        <f t="shared" si="17"/>
        <v/>
      </c>
      <c r="P58" s="97"/>
      <c r="Q58" s="253"/>
      <c r="R58" s="253"/>
      <c r="S58" s="246" t="str">
        <f t="shared" si="18"/>
        <v/>
      </c>
      <c r="T58" s="97"/>
      <c r="U58" s="253"/>
      <c r="V58" s="253"/>
      <c r="W58" s="246" t="str">
        <f t="shared" si="19"/>
        <v/>
      </c>
      <c r="X58" s="97"/>
      <c r="Y58" s="23"/>
      <c r="Z58" s="23"/>
      <c r="AA58" s="246" t="str">
        <f t="shared" si="20"/>
        <v/>
      </c>
      <c r="AB58" s="97"/>
      <c r="AC58" s="253"/>
      <c r="AD58" s="253"/>
      <c r="AE58" s="246" t="str">
        <f t="shared" si="21"/>
        <v/>
      </c>
      <c r="AF58" s="97"/>
      <c r="AG58" s="253"/>
      <c r="AH58" s="253"/>
      <c r="AI58" s="246" t="str">
        <f t="shared" si="22"/>
        <v/>
      </c>
      <c r="AJ58" s="97"/>
      <c r="AK58" s="253"/>
      <c r="AL58" s="253"/>
      <c r="AM58" s="246" t="str">
        <f t="shared" si="23"/>
        <v/>
      </c>
      <c r="AN58" s="97"/>
      <c r="AO58" s="253"/>
      <c r="AP58" s="253"/>
      <c r="AQ58" s="246" t="str">
        <f t="shared" si="24"/>
        <v/>
      </c>
      <c r="AR58" s="97"/>
      <c r="AS58" s="253"/>
      <c r="AT58" s="253"/>
      <c r="AU58" s="246" t="str">
        <f t="shared" si="25"/>
        <v/>
      </c>
      <c r="AV58" s="97"/>
      <c r="AW58" s="253"/>
      <c r="AX58" s="253"/>
      <c r="AY58" s="246" t="str">
        <f t="shared" si="26"/>
        <v/>
      </c>
      <c r="AZ58" s="97"/>
      <c r="BA58" s="253"/>
      <c r="BB58" s="253"/>
      <c r="BC58" s="246" t="str">
        <f t="shared" si="27"/>
        <v/>
      </c>
      <c r="BD58" s="97"/>
      <c r="BE58" s="253"/>
      <c r="BF58" s="253"/>
      <c r="BG58" s="246" t="str">
        <f t="shared" si="28"/>
        <v/>
      </c>
      <c r="BH58" s="97"/>
      <c r="BI58" s="253"/>
      <c r="BJ58" s="253"/>
      <c r="BK58" s="246" t="str">
        <f t="shared" si="29"/>
        <v/>
      </c>
      <c r="BL58" s="97"/>
      <c r="BM58" s="253"/>
      <c r="BN58" s="253"/>
      <c r="BO58" s="246" t="str">
        <f t="shared" si="30"/>
        <v/>
      </c>
      <c r="BP58" s="97"/>
      <c r="BQ58" s="253"/>
      <c r="BR58" s="253"/>
      <c r="BS58" s="246" t="str">
        <f t="shared" si="31"/>
        <v/>
      </c>
      <c r="BT58" s="97"/>
      <c r="BU58" s="253"/>
      <c r="BV58" s="253"/>
      <c r="BW58" s="246" t="str">
        <f t="shared" si="32"/>
        <v/>
      </c>
    </row>
    <row r="59" spans="1:75">
      <c r="A59" s="88">
        <v>53</v>
      </c>
      <c r="B59" s="50"/>
      <c r="C59" s="62"/>
      <c r="D59" s="117"/>
      <c r="E59" s="126"/>
      <c r="F59" s="190"/>
      <c r="G59" s="20"/>
      <c r="H59" s="20"/>
      <c r="I59" s="19"/>
      <c r="J59" s="246" t="str">
        <f t="shared" si="16"/>
        <v/>
      </c>
      <c r="K59" s="7"/>
      <c r="L59" s="97"/>
      <c r="M59" s="257"/>
      <c r="N59" s="253"/>
      <c r="O59" s="246" t="str">
        <f t="shared" si="17"/>
        <v/>
      </c>
      <c r="P59" s="97"/>
      <c r="Q59" s="253"/>
      <c r="R59" s="253"/>
      <c r="S59" s="246" t="str">
        <f t="shared" si="18"/>
        <v/>
      </c>
      <c r="T59" s="97"/>
      <c r="U59" s="253"/>
      <c r="V59" s="253"/>
      <c r="W59" s="246" t="str">
        <f t="shared" si="19"/>
        <v/>
      </c>
      <c r="X59" s="97"/>
      <c r="Y59" s="23"/>
      <c r="Z59" s="23"/>
      <c r="AA59" s="246" t="str">
        <f t="shared" si="20"/>
        <v/>
      </c>
      <c r="AB59" s="97"/>
      <c r="AC59" s="253"/>
      <c r="AD59" s="253"/>
      <c r="AE59" s="246" t="str">
        <f t="shared" si="21"/>
        <v/>
      </c>
      <c r="AF59" s="97"/>
      <c r="AG59" s="253"/>
      <c r="AH59" s="253"/>
      <c r="AI59" s="246" t="str">
        <f t="shared" si="22"/>
        <v/>
      </c>
      <c r="AJ59" s="97"/>
      <c r="AK59" s="253"/>
      <c r="AL59" s="253"/>
      <c r="AM59" s="246" t="str">
        <f t="shared" si="23"/>
        <v/>
      </c>
      <c r="AN59" s="97"/>
      <c r="AO59" s="253"/>
      <c r="AP59" s="253"/>
      <c r="AQ59" s="246" t="str">
        <f t="shared" si="24"/>
        <v/>
      </c>
      <c r="AR59" s="97"/>
      <c r="AS59" s="253"/>
      <c r="AT59" s="253"/>
      <c r="AU59" s="246" t="str">
        <f t="shared" si="25"/>
        <v/>
      </c>
      <c r="AV59" s="97"/>
      <c r="AW59" s="253"/>
      <c r="AX59" s="253"/>
      <c r="AY59" s="246" t="str">
        <f t="shared" si="26"/>
        <v/>
      </c>
      <c r="AZ59" s="97"/>
      <c r="BA59" s="253"/>
      <c r="BB59" s="253"/>
      <c r="BC59" s="246" t="str">
        <f t="shared" si="27"/>
        <v/>
      </c>
      <c r="BD59" s="97"/>
      <c r="BE59" s="253"/>
      <c r="BF59" s="253"/>
      <c r="BG59" s="246" t="str">
        <f t="shared" si="28"/>
        <v/>
      </c>
      <c r="BH59" s="97"/>
      <c r="BI59" s="253"/>
      <c r="BJ59" s="253"/>
      <c r="BK59" s="246" t="str">
        <f t="shared" si="29"/>
        <v/>
      </c>
      <c r="BL59" s="97"/>
      <c r="BM59" s="253"/>
      <c r="BN59" s="253"/>
      <c r="BO59" s="246" t="str">
        <f t="shared" si="30"/>
        <v/>
      </c>
      <c r="BP59" s="97"/>
      <c r="BQ59" s="253"/>
      <c r="BR59" s="253"/>
      <c r="BS59" s="246" t="str">
        <f t="shared" si="31"/>
        <v/>
      </c>
      <c r="BT59" s="97"/>
      <c r="BU59" s="253"/>
      <c r="BV59" s="253"/>
      <c r="BW59" s="246" t="str">
        <f t="shared" si="32"/>
        <v/>
      </c>
    </row>
    <row r="60" spans="1:75">
      <c r="A60" s="88">
        <v>54</v>
      </c>
      <c r="B60" s="50"/>
      <c r="C60" s="62"/>
      <c r="D60" s="117"/>
      <c r="E60" s="126"/>
      <c r="F60" s="190"/>
      <c r="G60" s="20"/>
      <c r="H60" s="20"/>
      <c r="I60" s="19"/>
      <c r="J60" s="246" t="str">
        <f t="shared" si="16"/>
        <v/>
      </c>
      <c r="K60" s="7"/>
      <c r="L60" s="97"/>
      <c r="M60" s="257"/>
      <c r="N60" s="253"/>
      <c r="O60" s="246" t="str">
        <f t="shared" si="17"/>
        <v/>
      </c>
      <c r="P60" s="97"/>
      <c r="Q60" s="253"/>
      <c r="R60" s="253"/>
      <c r="S60" s="246" t="str">
        <f t="shared" si="18"/>
        <v/>
      </c>
      <c r="T60" s="97"/>
      <c r="U60" s="253"/>
      <c r="V60" s="253"/>
      <c r="W60" s="246" t="str">
        <f t="shared" si="19"/>
        <v/>
      </c>
      <c r="X60" s="97"/>
      <c r="Y60" s="23"/>
      <c r="Z60" s="23"/>
      <c r="AA60" s="246" t="str">
        <f t="shared" si="20"/>
        <v/>
      </c>
      <c r="AB60" s="97"/>
      <c r="AC60" s="253"/>
      <c r="AD60" s="253"/>
      <c r="AE60" s="246" t="str">
        <f t="shared" si="21"/>
        <v/>
      </c>
      <c r="AF60" s="97"/>
      <c r="AG60" s="253"/>
      <c r="AH60" s="253"/>
      <c r="AI60" s="246" t="str">
        <f t="shared" si="22"/>
        <v/>
      </c>
      <c r="AJ60" s="97"/>
      <c r="AK60" s="253"/>
      <c r="AL60" s="253"/>
      <c r="AM60" s="246" t="str">
        <f t="shared" si="23"/>
        <v/>
      </c>
      <c r="AN60" s="97"/>
      <c r="AO60" s="253"/>
      <c r="AP60" s="253"/>
      <c r="AQ60" s="246" t="str">
        <f t="shared" si="24"/>
        <v/>
      </c>
      <c r="AR60" s="97"/>
      <c r="AS60" s="253"/>
      <c r="AT60" s="253"/>
      <c r="AU60" s="246" t="str">
        <f t="shared" si="25"/>
        <v/>
      </c>
      <c r="AV60" s="97"/>
      <c r="AW60" s="253"/>
      <c r="AX60" s="253"/>
      <c r="AY60" s="246" t="str">
        <f t="shared" si="26"/>
        <v/>
      </c>
      <c r="AZ60" s="97"/>
      <c r="BA60" s="253"/>
      <c r="BB60" s="253"/>
      <c r="BC60" s="246" t="str">
        <f t="shared" si="27"/>
        <v/>
      </c>
      <c r="BD60" s="97"/>
      <c r="BE60" s="253"/>
      <c r="BF60" s="253"/>
      <c r="BG60" s="246" t="str">
        <f t="shared" si="28"/>
        <v/>
      </c>
      <c r="BH60" s="97"/>
      <c r="BI60" s="253"/>
      <c r="BJ60" s="253"/>
      <c r="BK60" s="246" t="str">
        <f t="shared" si="29"/>
        <v/>
      </c>
      <c r="BL60" s="97"/>
      <c r="BM60" s="253"/>
      <c r="BN60" s="253"/>
      <c r="BO60" s="246" t="str">
        <f t="shared" si="30"/>
        <v/>
      </c>
      <c r="BP60" s="97"/>
      <c r="BQ60" s="253"/>
      <c r="BR60" s="253"/>
      <c r="BS60" s="246" t="str">
        <f t="shared" si="31"/>
        <v/>
      </c>
      <c r="BT60" s="97"/>
      <c r="BU60" s="253"/>
      <c r="BV60" s="253"/>
      <c r="BW60" s="246" t="str">
        <f t="shared" si="32"/>
        <v/>
      </c>
    </row>
    <row r="61" spans="1:75">
      <c r="A61" s="88">
        <v>55</v>
      </c>
      <c r="B61" s="50"/>
      <c r="C61" s="62"/>
      <c r="D61" s="117"/>
      <c r="E61" s="126"/>
      <c r="F61" s="190"/>
      <c r="G61" s="20"/>
      <c r="H61" s="20"/>
      <c r="I61" s="19"/>
      <c r="J61" s="246" t="str">
        <f t="shared" si="16"/>
        <v/>
      </c>
      <c r="K61" s="7"/>
      <c r="L61" s="97"/>
      <c r="M61" s="257"/>
      <c r="N61" s="253"/>
      <c r="O61" s="246" t="str">
        <f t="shared" si="17"/>
        <v/>
      </c>
      <c r="P61" s="97"/>
      <c r="Q61" s="253"/>
      <c r="R61" s="253"/>
      <c r="S61" s="246" t="str">
        <f t="shared" si="18"/>
        <v/>
      </c>
      <c r="T61" s="97"/>
      <c r="U61" s="253"/>
      <c r="V61" s="253"/>
      <c r="W61" s="246" t="str">
        <f t="shared" si="19"/>
        <v/>
      </c>
      <c r="X61" s="97"/>
      <c r="Y61" s="23"/>
      <c r="Z61" s="23"/>
      <c r="AA61" s="246" t="str">
        <f t="shared" si="20"/>
        <v/>
      </c>
      <c r="AB61" s="97"/>
      <c r="AC61" s="253"/>
      <c r="AD61" s="253"/>
      <c r="AE61" s="246" t="str">
        <f t="shared" si="21"/>
        <v/>
      </c>
      <c r="AF61" s="97"/>
      <c r="AG61" s="253"/>
      <c r="AH61" s="253"/>
      <c r="AI61" s="246" t="str">
        <f t="shared" si="22"/>
        <v/>
      </c>
      <c r="AJ61" s="97"/>
      <c r="AK61" s="253"/>
      <c r="AL61" s="253"/>
      <c r="AM61" s="246" t="str">
        <f t="shared" si="23"/>
        <v/>
      </c>
      <c r="AN61" s="97"/>
      <c r="AO61" s="253"/>
      <c r="AP61" s="253"/>
      <c r="AQ61" s="246" t="str">
        <f t="shared" si="24"/>
        <v/>
      </c>
      <c r="AR61" s="97"/>
      <c r="AS61" s="253"/>
      <c r="AT61" s="253"/>
      <c r="AU61" s="246" t="str">
        <f t="shared" si="25"/>
        <v/>
      </c>
      <c r="AV61" s="97"/>
      <c r="AW61" s="253"/>
      <c r="AX61" s="253"/>
      <c r="AY61" s="246" t="str">
        <f t="shared" si="26"/>
        <v/>
      </c>
      <c r="AZ61" s="97"/>
      <c r="BA61" s="253"/>
      <c r="BB61" s="253"/>
      <c r="BC61" s="246" t="str">
        <f t="shared" si="27"/>
        <v/>
      </c>
      <c r="BD61" s="97"/>
      <c r="BE61" s="253"/>
      <c r="BF61" s="253"/>
      <c r="BG61" s="246" t="str">
        <f t="shared" si="28"/>
        <v/>
      </c>
      <c r="BH61" s="97"/>
      <c r="BI61" s="253"/>
      <c r="BJ61" s="253"/>
      <c r="BK61" s="246" t="str">
        <f t="shared" si="29"/>
        <v/>
      </c>
      <c r="BL61" s="97"/>
      <c r="BM61" s="253"/>
      <c r="BN61" s="253"/>
      <c r="BO61" s="246" t="str">
        <f t="shared" si="30"/>
        <v/>
      </c>
      <c r="BP61" s="97"/>
      <c r="BQ61" s="253"/>
      <c r="BR61" s="253"/>
      <c r="BS61" s="246" t="str">
        <f t="shared" si="31"/>
        <v/>
      </c>
      <c r="BT61" s="97"/>
      <c r="BU61" s="253"/>
      <c r="BV61" s="253"/>
      <c r="BW61" s="246" t="str">
        <f t="shared" si="32"/>
        <v/>
      </c>
    </row>
    <row r="62" spans="1:75">
      <c r="A62" s="88">
        <v>56</v>
      </c>
      <c r="B62" s="50"/>
      <c r="C62" s="62"/>
      <c r="D62" s="117"/>
      <c r="E62" s="126"/>
      <c r="F62" s="190"/>
      <c r="G62" s="20"/>
      <c r="H62" s="20"/>
      <c r="I62" s="19"/>
      <c r="J62" s="246" t="str">
        <f t="shared" si="16"/>
        <v/>
      </c>
      <c r="K62" s="7"/>
      <c r="L62" s="97"/>
      <c r="M62" s="257"/>
      <c r="N62" s="253"/>
      <c r="O62" s="246" t="str">
        <f t="shared" si="17"/>
        <v/>
      </c>
      <c r="P62" s="97"/>
      <c r="Q62" s="253"/>
      <c r="R62" s="253"/>
      <c r="S62" s="246" t="str">
        <f t="shared" si="18"/>
        <v/>
      </c>
      <c r="T62" s="97"/>
      <c r="U62" s="253"/>
      <c r="V62" s="253"/>
      <c r="W62" s="246" t="str">
        <f t="shared" si="19"/>
        <v/>
      </c>
      <c r="X62" s="97"/>
      <c r="Y62" s="23"/>
      <c r="Z62" s="23"/>
      <c r="AA62" s="246" t="str">
        <f t="shared" si="20"/>
        <v/>
      </c>
      <c r="AB62" s="97"/>
      <c r="AC62" s="253"/>
      <c r="AD62" s="253"/>
      <c r="AE62" s="246" t="str">
        <f t="shared" si="21"/>
        <v/>
      </c>
      <c r="AF62" s="97"/>
      <c r="AG62" s="253"/>
      <c r="AH62" s="253"/>
      <c r="AI62" s="246" t="str">
        <f t="shared" si="22"/>
        <v/>
      </c>
      <c r="AJ62" s="97"/>
      <c r="AK62" s="253"/>
      <c r="AL62" s="253"/>
      <c r="AM62" s="246" t="str">
        <f t="shared" si="23"/>
        <v/>
      </c>
      <c r="AN62" s="97"/>
      <c r="AO62" s="253"/>
      <c r="AP62" s="253"/>
      <c r="AQ62" s="246" t="str">
        <f t="shared" si="24"/>
        <v/>
      </c>
      <c r="AR62" s="97"/>
      <c r="AS62" s="253"/>
      <c r="AT62" s="253"/>
      <c r="AU62" s="246" t="str">
        <f t="shared" si="25"/>
        <v/>
      </c>
      <c r="AV62" s="97"/>
      <c r="AW62" s="253"/>
      <c r="AX62" s="253"/>
      <c r="AY62" s="246" t="str">
        <f t="shared" si="26"/>
        <v/>
      </c>
      <c r="AZ62" s="97"/>
      <c r="BA62" s="253"/>
      <c r="BB62" s="253"/>
      <c r="BC62" s="246" t="str">
        <f t="shared" si="27"/>
        <v/>
      </c>
      <c r="BD62" s="97"/>
      <c r="BE62" s="253"/>
      <c r="BF62" s="253"/>
      <c r="BG62" s="246" t="str">
        <f t="shared" si="28"/>
        <v/>
      </c>
      <c r="BH62" s="97"/>
      <c r="BI62" s="253"/>
      <c r="BJ62" s="253"/>
      <c r="BK62" s="246" t="str">
        <f t="shared" si="29"/>
        <v/>
      </c>
      <c r="BL62" s="97"/>
      <c r="BM62" s="253"/>
      <c r="BN62" s="253"/>
      <c r="BO62" s="246" t="str">
        <f t="shared" si="30"/>
        <v/>
      </c>
      <c r="BP62" s="97"/>
      <c r="BQ62" s="253"/>
      <c r="BR62" s="253"/>
      <c r="BS62" s="246" t="str">
        <f t="shared" si="31"/>
        <v/>
      </c>
      <c r="BT62" s="97"/>
      <c r="BU62" s="253"/>
      <c r="BV62" s="253"/>
      <c r="BW62" s="246" t="str">
        <f t="shared" si="32"/>
        <v/>
      </c>
    </row>
    <row r="63" spans="1:75">
      <c r="A63" s="88">
        <v>57</v>
      </c>
      <c r="B63" s="50"/>
      <c r="C63" s="62"/>
      <c r="D63" s="117"/>
      <c r="E63" s="126"/>
      <c r="F63" s="190"/>
      <c r="G63" s="20"/>
      <c r="H63" s="20"/>
      <c r="I63" s="19"/>
      <c r="J63" s="246" t="str">
        <f t="shared" si="16"/>
        <v/>
      </c>
      <c r="K63" s="7"/>
      <c r="L63" s="97"/>
      <c r="M63" s="257"/>
      <c r="N63" s="253"/>
      <c r="O63" s="246" t="str">
        <f t="shared" si="17"/>
        <v/>
      </c>
      <c r="P63" s="97"/>
      <c r="Q63" s="253"/>
      <c r="R63" s="253"/>
      <c r="S63" s="246" t="str">
        <f t="shared" si="18"/>
        <v/>
      </c>
      <c r="T63" s="97"/>
      <c r="U63" s="253"/>
      <c r="V63" s="253"/>
      <c r="W63" s="246" t="str">
        <f t="shared" si="19"/>
        <v/>
      </c>
      <c r="X63" s="97"/>
      <c r="Y63" s="23"/>
      <c r="Z63" s="23"/>
      <c r="AA63" s="246" t="str">
        <f t="shared" si="20"/>
        <v/>
      </c>
      <c r="AB63" s="97"/>
      <c r="AC63" s="253"/>
      <c r="AD63" s="253"/>
      <c r="AE63" s="246" t="str">
        <f t="shared" si="21"/>
        <v/>
      </c>
      <c r="AF63" s="97"/>
      <c r="AG63" s="253"/>
      <c r="AH63" s="253"/>
      <c r="AI63" s="246" t="str">
        <f t="shared" si="22"/>
        <v/>
      </c>
      <c r="AJ63" s="97"/>
      <c r="AK63" s="253"/>
      <c r="AL63" s="253"/>
      <c r="AM63" s="246" t="str">
        <f t="shared" si="23"/>
        <v/>
      </c>
      <c r="AN63" s="97"/>
      <c r="AO63" s="253"/>
      <c r="AP63" s="253"/>
      <c r="AQ63" s="246" t="str">
        <f t="shared" si="24"/>
        <v/>
      </c>
      <c r="AR63" s="97"/>
      <c r="AS63" s="253"/>
      <c r="AT63" s="253"/>
      <c r="AU63" s="246" t="str">
        <f t="shared" si="25"/>
        <v/>
      </c>
      <c r="AV63" s="97"/>
      <c r="AW63" s="253"/>
      <c r="AX63" s="253"/>
      <c r="AY63" s="246" t="str">
        <f t="shared" si="26"/>
        <v/>
      </c>
      <c r="AZ63" s="97"/>
      <c r="BA63" s="253"/>
      <c r="BB63" s="253"/>
      <c r="BC63" s="246" t="str">
        <f t="shared" si="27"/>
        <v/>
      </c>
      <c r="BD63" s="97"/>
      <c r="BE63" s="253"/>
      <c r="BF63" s="253"/>
      <c r="BG63" s="246" t="str">
        <f t="shared" si="28"/>
        <v/>
      </c>
      <c r="BH63" s="97"/>
      <c r="BI63" s="253"/>
      <c r="BJ63" s="253"/>
      <c r="BK63" s="246" t="str">
        <f t="shared" si="29"/>
        <v/>
      </c>
      <c r="BL63" s="97"/>
      <c r="BM63" s="253"/>
      <c r="BN63" s="253"/>
      <c r="BO63" s="246" t="str">
        <f t="shared" si="30"/>
        <v/>
      </c>
      <c r="BP63" s="97"/>
      <c r="BQ63" s="253"/>
      <c r="BR63" s="253"/>
      <c r="BS63" s="246" t="str">
        <f t="shared" si="31"/>
        <v/>
      </c>
      <c r="BT63" s="97"/>
      <c r="BU63" s="253"/>
      <c r="BV63" s="253"/>
      <c r="BW63" s="246" t="str">
        <f t="shared" si="32"/>
        <v/>
      </c>
    </row>
    <row r="64" spans="1:75">
      <c r="A64" s="88">
        <v>58</v>
      </c>
      <c r="B64" s="50"/>
      <c r="C64" s="62"/>
      <c r="D64" s="117"/>
      <c r="E64" s="126"/>
      <c r="F64" s="190"/>
      <c r="G64" s="20"/>
      <c r="H64" s="20"/>
      <c r="I64" s="19"/>
      <c r="J64" s="246" t="str">
        <f t="shared" si="16"/>
        <v/>
      </c>
      <c r="K64" s="7"/>
      <c r="L64" s="97"/>
      <c r="M64" s="257"/>
      <c r="N64" s="253"/>
      <c r="O64" s="246" t="str">
        <f t="shared" si="17"/>
        <v/>
      </c>
      <c r="P64" s="97"/>
      <c r="Q64" s="253"/>
      <c r="R64" s="253"/>
      <c r="S64" s="246" t="str">
        <f t="shared" si="18"/>
        <v/>
      </c>
      <c r="T64" s="97"/>
      <c r="U64" s="253"/>
      <c r="V64" s="253"/>
      <c r="W64" s="246" t="str">
        <f t="shared" si="19"/>
        <v/>
      </c>
      <c r="X64" s="97"/>
      <c r="Y64" s="23"/>
      <c r="Z64" s="23"/>
      <c r="AA64" s="246" t="str">
        <f t="shared" si="20"/>
        <v/>
      </c>
      <c r="AB64" s="97"/>
      <c r="AC64" s="253"/>
      <c r="AD64" s="253"/>
      <c r="AE64" s="246" t="str">
        <f t="shared" si="21"/>
        <v/>
      </c>
      <c r="AF64" s="97"/>
      <c r="AG64" s="253"/>
      <c r="AH64" s="253"/>
      <c r="AI64" s="246" t="str">
        <f t="shared" si="22"/>
        <v/>
      </c>
      <c r="AJ64" s="97"/>
      <c r="AK64" s="253"/>
      <c r="AL64" s="253"/>
      <c r="AM64" s="246" t="str">
        <f t="shared" si="23"/>
        <v/>
      </c>
      <c r="AN64" s="97"/>
      <c r="AO64" s="253"/>
      <c r="AP64" s="253"/>
      <c r="AQ64" s="246" t="str">
        <f t="shared" si="24"/>
        <v/>
      </c>
      <c r="AR64" s="97"/>
      <c r="AS64" s="253"/>
      <c r="AT64" s="253"/>
      <c r="AU64" s="246" t="str">
        <f t="shared" si="25"/>
        <v/>
      </c>
      <c r="AV64" s="97"/>
      <c r="AW64" s="253"/>
      <c r="AX64" s="253"/>
      <c r="AY64" s="246" t="str">
        <f t="shared" si="26"/>
        <v/>
      </c>
      <c r="AZ64" s="97"/>
      <c r="BA64" s="253"/>
      <c r="BB64" s="253"/>
      <c r="BC64" s="246" t="str">
        <f t="shared" si="27"/>
        <v/>
      </c>
      <c r="BD64" s="97"/>
      <c r="BE64" s="253"/>
      <c r="BF64" s="253"/>
      <c r="BG64" s="246" t="str">
        <f t="shared" si="28"/>
        <v/>
      </c>
      <c r="BH64" s="97"/>
      <c r="BI64" s="253"/>
      <c r="BJ64" s="253"/>
      <c r="BK64" s="246" t="str">
        <f t="shared" si="29"/>
        <v/>
      </c>
      <c r="BL64" s="97"/>
      <c r="BM64" s="253"/>
      <c r="BN64" s="253"/>
      <c r="BO64" s="246" t="str">
        <f t="shared" si="30"/>
        <v/>
      </c>
      <c r="BP64" s="97"/>
      <c r="BQ64" s="253"/>
      <c r="BR64" s="253"/>
      <c r="BS64" s="246" t="str">
        <f t="shared" si="31"/>
        <v/>
      </c>
      <c r="BT64" s="97"/>
      <c r="BU64" s="253"/>
      <c r="BV64" s="253"/>
      <c r="BW64" s="246" t="str">
        <f t="shared" si="32"/>
        <v/>
      </c>
    </row>
    <row r="65" spans="1:75">
      <c r="A65" s="88">
        <v>59</v>
      </c>
      <c r="B65" s="50"/>
      <c r="C65" s="62"/>
      <c r="D65" s="117"/>
      <c r="E65" s="126"/>
      <c r="F65" s="190"/>
      <c r="G65" s="20"/>
      <c r="H65" s="20"/>
      <c r="I65" s="19"/>
      <c r="J65" s="246" t="str">
        <f t="shared" si="16"/>
        <v/>
      </c>
      <c r="K65" s="7"/>
      <c r="L65" s="97"/>
      <c r="M65" s="257"/>
      <c r="N65" s="253"/>
      <c r="O65" s="246" t="str">
        <f t="shared" si="17"/>
        <v/>
      </c>
      <c r="P65" s="97"/>
      <c r="Q65" s="253"/>
      <c r="R65" s="253"/>
      <c r="S65" s="246" t="str">
        <f t="shared" si="18"/>
        <v/>
      </c>
      <c r="T65" s="97"/>
      <c r="U65" s="253"/>
      <c r="V65" s="253"/>
      <c r="W65" s="246" t="str">
        <f t="shared" si="19"/>
        <v/>
      </c>
      <c r="X65" s="97"/>
      <c r="Y65" s="23"/>
      <c r="Z65" s="23"/>
      <c r="AA65" s="246" t="str">
        <f t="shared" si="20"/>
        <v/>
      </c>
      <c r="AB65" s="97"/>
      <c r="AC65" s="253"/>
      <c r="AD65" s="253"/>
      <c r="AE65" s="246" t="str">
        <f t="shared" si="21"/>
        <v/>
      </c>
      <c r="AF65" s="97"/>
      <c r="AG65" s="253"/>
      <c r="AH65" s="253"/>
      <c r="AI65" s="246" t="str">
        <f t="shared" si="22"/>
        <v/>
      </c>
      <c r="AJ65" s="97"/>
      <c r="AK65" s="253"/>
      <c r="AL65" s="253"/>
      <c r="AM65" s="246" t="str">
        <f t="shared" si="23"/>
        <v/>
      </c>
      <c r="AN65" s="97"/>
      <c r="AO65" s="253"/>
      <c r="AP65" s="253"/>
      <c r="AQ65" s="246" t="str">
        <f t="shared" si="24"/>
        <v/>
      </c>
      <c r="AR65" s="97"/>
      <c r="AS65" s="253"/>
      <c r="AT65" s="253"/>
      <c r="AU65" s="246" t="str">
        <f t="shared" si="25"/>
        <v/>
      </c>
      <c r="AV65" s="97"/>
      <c r="AW65" s="253"/>
      <c r="AX65" s="253"/>
      <c r="AY65" s="246" t="str">
        <f t="shared" si="26"/>
        <v/>
      </c>
      <c r="AZ65" s="97"/>
      <c r="BA65" s="253"/>
      <c r="BB65" s="253"/>
      <c r="BC65" s="246" t="str">
        <f t="shared" si="27"/>
        <v/>
      </c>
      <c r="BD65" s="97"/>
      <c r="BE65" s="253"/>
      <c r="BF65" s="253"/>
      <c r="BG65" s="246" t="str">
        <f t="shared" si="28"/>
        <v/>
      </c>
      <c r="BH65" s="97"/>
      <c r="BI65" s="253"/>
      <c r="BJ65" s="253"/>
      <c r="BK65" s="246" t="str">
        <f t="shared" si="29"/>
        <v/>
      </c>
      <c r="BL65" s="97"/>
      <c r="BM65" s="253"/>
      <c r="BN65" s="253"/>
      <c r="BO65" s="246" t="str">
        <f t="shared" si="30"/>
        <v/>
      </c>
      <c r="BP65" s="97"/>
      <c r="BQ65" s="253"/>
      <c r="BR65" s="253"/>
      <c r="BS65" s="246" t="str">
        <f t="shared" si="31"/>
        <v/>
      </c>
      <c r="BT65" s="97"/>
      <c r="BU65" s="253"/>
      <c r="BV65" s="253"/>
      <c r="BW65" s="246" t="str">
        <f t="shared" si="32"/>
        <v/>
      </c>
    </row>
    <row r="66" spans="1:75">
      <c r="A66" s="88">
        <v>60</v>
      </c>
      <c r="B66" s="50"/>
      <c r="C66" s="62"/>
      <c r="D66" s="117"/>
      <c r="E66" s="126"/>
      <c r="F66" s="190"/>
      <c r="G66" s="20"/>
      <c r="H66" s="20"/>
      <c r="I66" s="19"/>
      <c r="J66" s="246" t="str">
        <f t="shared" si="16"/>
        <v/>
      </c>
      <c r="K66" s="7"/>
      <c r="L66" s="97"/>
      <c r="M66" s="257"/>
      <c r="N66" s="253"/>
      <c r="O66" s="246" t="str">
        <f t="shared" si="17"/>
        <v/>
      </c>
      <c r="P66" s="97"/>
      <c r="Q66" s="253"/>
      <c r="R66" s="253"/>
      <c r="S66" s="246" t="str">
        <f t="shared" si="18"/>
        <v/>
      </c>
      <c r="T66" s="97"/>
      <c r="U66" s="253"/>
      <c r="V66" s="253"/>
      <c r="W66" s="246" t="str">
        <f t="shared" si="19"/>
        <v/>
      </c>
      <c r="X66" s="97"/>
      <c r="Y66" s="23"/>
      <c r="Z66" s="23"/>
      <c r="AA66" s="246" t="str">
        <f t="shared" si="20"/>
        <v/>
      </c>
      <c r="AB66" s="97"/>
      <c r="AC66" s="253"/>
      <c r="AD66" s="253"/>
      <c r="AE66" s="246" t="str">
        <f t="shared" si="21"/>
        <v/>
      </c>
      <c r="AF66" s="97"/>
      <c r="AG66" s="253"/>
      <c r="AH66" s="253"/>
      <c r="AI66" s="246" t="str">
        <f t="shared" si="22"/>
        <v/>
      </c>
      <c r="AJ66" s="97"/>
      <c r="AK66" s="253"/>
      <c r="AL66" s="253"/>
      <c r="AM66" s="246" t="str">
        <f t="shared" si="23"/>
        <v/>
      </c>
      <c r="AN66" s="97"/>
      <c r="AO66" s="253"/>
      <c r="AP66" s="253"/>
      <c r="AQ66" s="246" t="str">
        <f t="shared" si="24"/>
        <v/>
      </c>
      <c r="AR66" s="97"/>
      <c r="AS66" s="253"/>
      <c r="AT66" s="253"/>
      <c r="AU66" s="246" t="str">
        <f t="shared" si="25"/>
        <v/>
      </c>
      <c r="AV66" s="97"/>
      <c r="AW66" s="253"/>
      <c r="AX66" s="253"/>
      <c r="AY66" s="246" t="str">
        <f t="shared" si="26"/>
        <v/>
      </c>
      <c r="AZ66" s="97"/>
      <c r="BA66" s="253"/>
      <c r="BB66" s="253"/>
      <c r="BC66" s="246" t="str">
        <f t="shared" si="27"/>
        <v/>
      </c>
      <c r="BD66" s="97"/>
      <c r="BE66" s="253"/>
      <c r="BF66" s="253"/>
      <c r="BG66" s="246" t="str">
        <f t="shared" si="28"/>
        <v/>
      </c>
      <c r="BH66" s="97"/>
      <c r="BI66" s="253"/>
      <c r="BJ66" s="253"/>
      <c r="BK66" s="246" t="str">
        <f t="shared" si="29"/>
        <v/>
      </c>
      <c r="BL66" s="97"/>
      <c r="BM66" s="253"/>
      <c r="BN66" s="253"/>
      <c r="BO66" s="246" t="str">
        <f t="shared" si="30"/>
        <v/>
      </c>
      <c r="BP66" s="97"/>
      <c r="BQ66" s="253"/>
      <c r="BR66" s="253"/>
      <c r="BS66" s="246" t="str">
        <f t="shared" si="31"/>
        <v/>
      </c>
      <c r="BT66" s="97"/>
      <c r="BU66" s="253"/>
      <c r="BV66" s="253"/>
      <c r="BW66" s="246" t="str">
        <f t="shared" si="32"/>
        <v/>
      </c>
    </row>
    <row r="67" spans="1:75">
      <c r="A67" s="88">
        <v>61</v>
      </c>
      <c r="B67" s="50"/>
      <c r="C67" s="62"/>
      <c r="D67" s="117"/>
      <c r="E67" s="126"/>
      <c r="F67" s="190"/>
      <c r="G67" s="20"/>
      <c r="H67" s="20"/>
      <c r="I67" s="19"/>
      <c r="J67" s="246" t="str">
        <f t="shared" si="16"/>
        <v/>
      </c>
      <c r="K67" s="7"/>
      <c r="L67" s="97"/>
      <c r="M67" s="257"/>
      <c r="N67" s="253"/>
      <c r="O67" s="246" t="str">
        <f t="shared" si="17"/>
        <v/>
      </c>
      <c r="P67" s="97"/>
      <c r="Q67" s="253"/>
      <c r="R67" s="253"/>
      <c r="S67" s="246" t="str">
        <f t="shared" si="18"/>
        <v/>
      </c>
      <c r="T67" s="97"/>
      <c r="U67" s="253"/>
      <c r="V67" s="253"/>
      <c r="W67" s="246" t="str">
        <f t="shared" si="19"/>
        <v/>
      </c>
      <c r="X67" s="97"/>
      <c r="Y67" s="23"/>
      <c r="Z67" s="23"/>
      <c r="AA67" s="246" t="str">
        <f t="shared" si="20"/>
        <v/>
      </c>
      <c r="AB67" s="97"/>
      <c r="AC67" s="253"/>
      <c r="AD67" s="253"/>
      <c r="AE67" s="246" t="str">
        <f t="shared" si="21"/>
        <v/>
      </c>
      <c r="AF67" s="97"/>
      <c r="AG67" s="253"/>
      <c r="AH67" s="253"/>
      <c r="AI67" s="246" t="str">
        <f t="shared" si="22"/>
        <v/>
      </c>
      <c r="AJ67" s="97"/>
      <c r="AK67" s="253"/>
      <c r="AL67" s="253"/>
      <c r="AM67" s="246" t="str">
        <f t="shared" si="23"/>
        <v/>
      </c>
      <c r="AN67" s="97"/>
      <c r="AO67" s="253"/>
      <c r="AP67" s="253"/>
      <c r="AQ67" s="246" t="str">
        <f t="shared" si="24"/>
        <v/>
      </c>
      <c r="AR67" s="97"/>
      <c r="AS67" s="253"/>
      <c r="AT67" s="253"/>
      <c r="AU67" s="246" t="str">
        <f t="shared" si="25"/>
        <v/>
      </c>
      <c r="AV67" s="97"/>
      <c r="AW67" s="253"/>
      <c r="AX67" s="253"/>
      <c r="AY67" s="246" t="str">
        <f t="shared" si="26"/>
        <v/>
      </c>
      <c r="AZ67" s="97"/>
      <c r="BA67" s="253"/>
      <c r="BB67" s="253"/>
      <c r="BC67" s="246" t="str">
        <f t="shared" si="27"/>
        <v/>
      </c>
      <c r="BD67" s="97"/>
      <c r="BE67" s="253"/>
      <c r="BF67" s="253"/>
      <c r="BG67" s="246" t="str">
        <f t="shared" si="28"/>
        <v/>
      </c>
      <c r="BH67" s="97"/>
      <c r="BI67" s="253"/>
      <c r="BJ67" s="253"/>
      <c r="BK67" s="246" t="str">
        <f t="shared" si="29"/>
        <v/>
      </c>
      <c r="BL67" s="97"/>
      <c r="BM67" s="253"/>
      <c r="BN67" s="253"/>
      <c r="BO67" s="246" t="str">
        <f t="shared" si="30"/>
        <v/>
      </c>
      <c r="BP67" s="97"/>
      <c r="BQ67" s="253"/>
      <c r="BR67" s="253"/>
      <c r="BS67" s="246" t="str">
        <f t="shared" si="31"/>
        <v/>
      </c>
      <c r="BT67" s="97"/>
      <c r="BU67" s="253"/>
      <c r="BV67" s="253"/>
      <c r="BW67" s="246" t="str">
        <f t="shared" si="32"/>
        <v/>
      </c>
    </row>
    <row r="68" spans="1:75">
      <c r="A68" s="88">
        <v>62</v>
      </c>
      <c r="B68" s="50"/>
      <c r="C68" s="62"/>
      <c r="D68" s="117"/>
      <c r="E68" s="126"/>
      <c r="F68" s="190"/>
      <c r="G68" s="20"/>
      <c r="H68" s="20"/>
      <c r="I68" s="19"/>
      <c r="J68" s="246" t="str">
        <f t="shared" si="16"/>
        <v/>
      </c>
      <c r="K68" s="7"/>
      <c r="L68" s="97"/>
      <c r="M68" s="257"/>
      <c r="N68" s="253"/>
      <c r="O68" s="246" t="str">
        <f t="shared" si="17"/>
        <v/>
      </c>
      <c r="P68" s="97"/>
      <c r="Q68" s="253"/>
      <c r="R68" s="253"/>
      <c r="S68" s="246" t="str">
        <f t="shared" si="18"/>
        <v/>
      </c>
      <c r="T68" s="97"/>
      <c r="U68" s="253"/>
      <c r="V68" s="253"/>
      <c r="W68" s="246" t="str">
        <f t="shared" si="19"/>
        <v/>
      </c>
      <c r="X68" s="97"/>
      <c r="Y68" s="23"/>
      <c r="Z68" s="23"/>
      <c r="AA68" s="246" t="str">
        <f t="shared" si="20"/>
        <v/>
      </c>
      <c r="AB68" s="97"/>
      <c r="AC68" s="253"/>
      <c r="AD68" s="253"/>
      <c r="AE68" s="246" t="str">
        <f t="shared" si="21"/>
        <v/>
      </c>
      <c r="AF68" s="97"/>
      <c r="AG68" s="253"/>
      <c r="AH68" s="253"/>
      <c r="AI68" s="246" t="str">
        <f t="shared" si="22"/>
        <v/>
      </c>
      <c r="AJ68" s="97"/>
      <c r="AK68" s="253"/>
      <c r="AL68" s="253"/>
      <c r="AM68" s="246" t="str">
        <f t="shared" si="23"/>
        <v/>
      </c>
      <c r="AN68" s="97"/>
      <c r="AO68" s="253"/>
      <c r="AP68" s="253"/>
      <c r="AQ68" s="246" t="str">
        <f t="shared" si="24"/>
        <v/>
      </c>
      <c r="AR68" s="97"/>
      <c r="AS68" s="253"/>
      <c r="AT68" s="253"/>
      <c r="AU68" s="246" t="str">
        <f t="shared" si="25"/>
        <v/>
      </c>
      <c r="AV68" s="97"/>
      <c r="AW68" s="253"/>
      <c r="AX68" s="253"/>
      <c r="AY68" s="246" t="str">
        <f t="shared" si="26"/>
        <v/>
      </c>
      <c r="AZ68" s="97"/>
      <c r="BA68" s="253"/>
      <c r="BB68" s="253"/>
      <c r="BC68" s="246" t="str">
        <f t="shared" si="27"/>
        <v/>
      </c>
      <c r="BD68" s="97"/>
      <c r="BE68" s="253"/>
      <c r="BF68" s="253"/>
      <c r="BG68" s="246" t="str">
        <f t="shared" si="28"/>
        <v/>
      </c>
      <c r="BH68" s="97"/>
      <c r="BI68" s="253"/>
      <c r="BJ68" s="253"/>
      <c r="BK68" s="246" t="str">
        <f t="shared" si="29"/>
        <v/>
      </c>
      <c r="BL68" s="97"/>
      <c r="BM68" s="253"/>
      <c r="BN68" s="253"/>
      <c r="BO68" s="246" t="str">
        <f t="shared" si="30"/>
        <v/>
      </c>
      <c r="BP68" s="97"/>
      <c r="BQ68" s="253"/>
      <c r="BR68" s="253"/>
      <c r="BS68" s="246" t="str">
        <f t="shared" si="31"/>
        <v/>
      </c>
      <c r="BT68" s="97"/>
      <c r="BU68" s="253"/>
      <c r="BV68" s="253"/>
      <c r="BW68" s="246" t="str">
        <f t="shared" si="32"/>
        <v/>
      </c>
    </row>
    <row r="69" spans="1:75">
      <c r="A69" s="88">
        <v>63</v>
      </c>
      <c r="B69" s="50"/>
      <c r="C69" s="62"/>
      <c r="D69" s="117"/>
      <c r="E69" s="126"/>
      <c r="F69" s="190"/>
      <c r="G69" s="20"/>
      <c r="H69" s="20"/>
      <c r="I69" s="19"/>
      <c r="J69" s="246" t="str">
        <f t="shared" si="16"/>
        <v/>
      </c>
      <c r="K69" s="7"/>
      <c r="L69" s="97"/>
      <c r="M69" s="257"/>
      <c r="N69" s="253"/>
      <c r="O69" s="246" t="str">
        <f t="shared" si="17"/>
        <v/>
      </c>
      <c r="P69" s="97"/>
      <c r="Q69" s="253"/>
      <c r="R69" s="253"/>
      <c r="S69" s="246" t="str">
        <f t="shared" si="18"/>
        <v/>
      </c>
      <c r="T69" s="97"/>
      <c r="U69" s="253"/>
      <c r="V69" s="253"/>
      <c r="W69" s="246" t="str">
        <f t="shared" si="19"/>
        <v/>
      </c>
      <c r="X69" s="97"/>
      <c r="Y69" s="23"/>
      <c r="Z69" s="23"/>
      <c r="AA69" s="246" t="str">
        <f t="shared" si="20"/>
        <v/>
      </c>
      <c r="AB69" s="97"/>
      <c r="AC69" s="253"/>
      <c r="AD69" s="253"/>
      <c r="AE69" s="246" t="str">
        <f t="shared" si="21"/>
        <v/>
      </c>
      <c r="AF69" s="97"/>
      <c r="AG69" s="253"/>
      <c r="AH69" s="253"/>
      <c r="AI69" s="246" t="str">
        <f t="shared" si="22"/>
        <v/>
      </c>
      <c r="AJ69" s="97"/>
      <c r="AK69" s="253"/>
      <c r="AL69" s="253"/>
      <c r="AM69" s="246" t="str">
        <f t="shared" si="23"/>
        <v/>
      </c>
      <c r="AN69" s="97"/>
      <c r="AO69" s="253"/>
      <c r="AP69" s="253"/>
      <c r="AQ69" s="246" t="str">
        <f t="shared" si="24"/>
        <v/>
      </c>
      <c r="AR69" s="97"/>
      <c r="AS69" s="253"/>
      <c r="AT69" s="253"/>
      <c r="AU69" s="246" t="str">
        <f t="shared" si="25"/>
        <v/>
      </c>
      <c r="AV69" s="97"/>
      <c r="AW69" s="253"/>
      <c r="AX69" s="253"/>
      <c r="AY69" s="246" t="str">
        <f t="shared" si="26"/>
        <v/>
      </c>
      <c r="AZ69" s="97"/>
      <c r="BA69" s="253"/>
      <c r="BB69" s="253"/>
      <c r="BC69" s="246" t="str">
        <f t="shared" si="27"/>
        <v/>
      </c>
      <c r="BD69" s="97"/>
      <c r="BE69" s="253"/>
      <c r="BF69" s="253"/>
      <c r="BG69" s="246" t="str">
        <f t="shared" si="28"/>
        <v/>
      </c>
      <c r="BH69" s="97"/>
      <c r="BI69" s="253"/>
      <c r="BJ69" s="253"/>
      <c r="BK69" s="246" t="str">
        <f t="shared" si="29"/>
        <v/>
      </c>
      <c r="BL69" s="97"/>
      <c r="BM69" s="253"/>
      <c r="BN69" s="253"/>
      <c r="BO69" s="246" t="str">
        <f t="shared" si="30"/>
        <v/>
      </c>
      <c r="BP69" s="97"/>
      <c r="BQ69" s="253"/>
      <c r="BR69" s="253"/>
      <c r="BS69" s="246" t="str">
        <f t="shared" si="31"/>
        <v/>
      </c>
      <c r="BT69" s="97"/>
      <c r="BU69" s="253"/>
      <c r="BV69" s="253"/>
      <c r="BW69" s="246" t="str">
        <f t="shared" si="32"/>
        <v/>
      </c>
    </row>
    <row r="70" spans="1:75">
      <c r="A70" s="88">
        <v>64</v>
      </c>
      <c r="B70" s="50"/>
      <c r="C70" s="62"/>
      <c r="D70" s="117"/>
      <c r="E70" s="126"/>
      <c r="F70" s="190"/>
      <c r="G70" s="20"/>
      <c r="H70" s="20"/>
      <c r="I70" s="19"/>
      <c r="J70" s="246" t="str">
        <f t="shared" si="16"/>
        <v/>
      </c>
      <c r="K70" s="7"/>
      <c r="L70" s="97"/>
      <c r="M70" s="257"/>
      <c r="N70" s="253"/>
      <c r="O70" s="246" t="str">
        <f t="shared" si="17"/>
        <v/>
      </c>
      <c r="P70" s="97"/>
      <c r="Q70" s="253"/>
      <c r="R70" s="253"/>
      <c r="S70" s="246" t="str">
        <f t="shared" si="18"/>
        <v/>
      </c>
      <c r="T70" s="97"/>
      <c r="U70" s="253"/>
      <c r="V70" s="253"/>
      <c r="W70" s="246" t="str">
        <f t="shared" si="19"/>
        <v/>
      </c>
      <c r="X70" s="97"/>
      <c r="Y70" s="23"/>
      <c r="Z70" s="23"/>
      <c r="AA70" s="246" t="str">
        <f t="shared" si="20"/>
        <v/>
      </c>
      <c r="AB70" s="97"/>
      <c r="AC70" s="253"/>
      <c r="AD70" s="253"/>
      <c r="AE70" s="246" t="str">
        <f t="shared" si="21"/>
        <v/>
      </c>
      <c r="AF70" s="97"/>
      <c r="AG70" s="253"/>
      <c r="AH70" s="253"/>
      <c r="AI70" s="246" t="str">
        <f t="shared" si="22"/>
        <v/>
      </c>
      <c r="AJ70" s="97"/>
      <c r="AK70" s="253"/>
      <c r="AL70" s="253"/>
      <c r="AM70" s="246" t="str">
        <f t="shared" si="23"/>
        <v/>
      </c>
      <c r="AN70" s="97"/>
      <c r="AO70" s="253"/>
      <c r="AP70" s="253"/>
      <c r="AQ70" s="246" t="str">
        <f t="shared" si="24"/>
        <v/>
      </c>
      <c r="AR70" s="97"/>
      <c r="AS70" s="253"/>
      <c r="AT70" s="253"/>
      <c r="AU70" s="246" t="str">
        <f t="shared" si="25"/>
        <v/>
      </c>
      <c r="AV70" s="97"/>
      <c r="AW70" s="253"/>
      <c r="AX70" s="253"/>
      <c r="AY70" s="246" t="str">
        <f t="shared" si="26"/>
        <v/>
      </c>
      <c r="AZ70" s="97"/>
      <c r="BA70" s="253"/>
      <c r="BB70" s="253"/>
      <c r="BC70" s="246" t="str">
        <f t="shared" si="27"/>
        <v/>
      </c>
      <c r="BD70" s="97"/>
      <c r="BE70" s="253"/>
      <c r="BF70" s="253"/>
      <c r="BG70" s="246" t="str">
        <f t="shared" si="28"/>
        <v/>
      </c>
      <c r="BH70" s="97"/>
      <c r="BI70" s="253"/>
      <c r="BJ70" s="253"/>
      <c r="BK70" s="246" t="str">
        <f t="shared" si="29"/>
        <v/>
      </c>
      <c r="BL70" s="97"/>
      <c r="BM70" s="253"/>
      <c r="BN70" s="253"/>
      <c r="BO70" s="246" t="str">
        <f t="shared" si="30"/>
        <v/>
      </c>
      <c r="BP70" s="97"/>
      <c r="BQ70" s="253"/>
      <c r="BR70" s="253"/>
      <c r="BS70" s="246" t="str">
        <f t="shared" si="31"/>
        <v/>
      </c>
      <c r="BT70" s="97"/>
      <c r="BU70" s="253"/>
      <c r="BV70" s="253"/>
      <c r="BW70" s="246" t="str">
        <f t="shared" si="32"/>
        <v/>
      </c>
    </row>
    <row r="71" spans="1:75">
      <c r="A71" s="88">
        <v>65</v>
      </c>
      <c r="B71" s="50"/>
      <c r="C71" s="62"/>
      <c r="D71" s="117"/>
      <c r="E71" s="126"/>
      <c r="F71" s="191"/>
      <c r="G71" s="20"/>
      <c r="H71" s="20"/>
      <c r="I71" s="19"/>
      <c r="J71" s="246" t="str">
        <f t="shared" si="16"/>
        <v/>
      </c>
      <c r="K71" s="7"/>
      <c r="L71" s="97"/>
      <c r="M71" s="257"/>
      <c r="N71" s="253"/>
      <c r="O71" s="246" t="str">
        <f t="shared" ref="O71:O82" si="33">IF(K$4="","",IF($C71="","",IF(AND($B71="",M71=""),"*",IF(AND($B71="v",NOT(M71="")),"*",IF(AND($B71="",NOT(M71="")),"",IF(AND($B71="v",M71=""),""))))))</f>
        <v/>
      </c>
      <c r="P71" s="97"/>
      <c r="Q71" s="253"/>
      <c r="R71" s="253"/>
      <c r="S71" s="246" t="str">
        <f t="shared" ref="S71:S82" si="34">IF(O$4="","",IF($C71="","",IF(AND($B71="",Q71=""),"*",IF(AND($B71="v",NOT(Q71="")),"*",IF(AND($B71="",NOT(Q71="")),"",IF(AND($B71="v",Q71=""),""))))))</f>
        <v/>
      </c>
      <c r="T71" s="97"/>
      <c r="U71" s="253"/>
      <c r="V71" s="253"/>
      <c r="W71" s="246" t="str">
        <f t="shared" ref="W71:W82" si="35">IF(S$4="","",IF($C71="","",IF(AND($B71="",U71=""),"*",IF(AND($B71="v",NOT(U71="")),"*",IF(AND($B71="",NOT(U71="")),"",IF(AND($B71="v",U71=""),""))))))</f>
        <v/>
      </c>
      <c r="X71" s="97"/>
      <c r="Y71" s="23"/>
      <c r="Z71" s="23"/>
      <c r="AA71" s="246" t="str">
        <f t="shared" ref="AA71:AA82" si="36">IF(W$4="","",IF($C71="","",IF(AND($B71="",Y71=""),"*",IF(AND($B71="v",NOT(Y71="")),"*",IF(AND($B71="",NOT(Y71="")),"",IF(AND($B71="v",Y71=""),""))))))</f>
        <v/>
      </c>
      <c r="AB71" s="97"/>
      <c r="AC71" s="253"/>
      <c r="AD71" s="253"/>
      <c r="AE71" s="246" t="str">
        <f t="shared" ref="AE71:AE82" si="37">IF(AA$4="","",IF($C71="","",IF(AND($B71="",AC71=""),"*",IF(AND($B71="v",NOT(AC71="")),"*",IF(AND($B71="",NOT(AC71="")),"",IF(AND($B71="v",AC71=""),""))))))</f>
        <v/>
      </c>
      <c r="AF71" s="97"/>
      <c r="AG71" s="253"/>
      <c r="AH71" s="253"/>
      <c r="AI71" s="246" t="str">
        <f t="shared" ref="AI71:AI82" si="38">IF(AE$4="","",IF($C71="","",IF(AND($B71="",AG71=""),"*",IF(AND($B71="v",NOT(AG71="")),"*",IF(AND($B71="",NOT(AG71="")),"",IF(AND($B71="v",AG71=""),""))))))</f>
        <v/>
      </c>
      <c r="AJ71" s="97"/>
      <c r="AK71" s="253"/>
      <c r="AL71" s="253"/>
      <c r="AM71" s="246" t="str">
        <f t="shared" ref="AM71:AM82" si="39">IF(AI$4="","",IF($C71="","",IF(AND($B71="",AK71=""),"*",IF(AND($B71="v",NOT(AK71="")),"*",IF(AND($B71="",NOT(AK71="")),"",IF(AND($B71="v",AK71=""),""))))))</f>
        <v/>
      </c>
      <c r="AN71" s="97"/>
      <c r="AO71" s="253"/>
      <c r="AP71" s="253"/>
      <c r="AQ71" s="246" t="str">
        <f t="shared" ref="AQ71:AQ82" si="40">IF(AM$4="","",IF($C71="","",IF(AND($B71="",AO71=""),"*",IF(AND($B71="v",NOT(AO71="")),"*",IF(AND($B71="",NOT(AO71="")),"",IF(AND($B71="v",AO71=""),""))))))</f>
        <v/>
      </c>
      <c r="AR71" s="97"/>
      <c r="AS71" s="253"/>
      <c r="AT71" s="253"/>
      <c r="AU71" s="246" t="str">
        <f t="shared" ref="AU71:AU82" si="41">IF(AQ$4="","",IF($C71="","",IF(AND($B71="",AS71=""),"*",IF(AND($B71="v",NOT(AS71="")),"*",IF(AND($B71="",NOT(AS71="")),"",IF(AND($B71="v",AS71=""),""))))))</f>
        <v/>
      </c>
      <c r="AV71" s="97"/>
      <c r="AW71" s="253"/>
      <c r="AX71" s="253"/>
      <c r="AY71" s="246" t="str">
        <f t="shared" ref="AY71:AY82" si="42">IF(AU$4="","",IF($C71="","",IF(AND($B71="",AW71=""),"*",IF(AND($B71="v",NOT(AW71="")),"*",IF(AND($B71="",NOT(AW71="")),"",IF(AND($B71="v",AW71=""),""))))))</f>
        <v/>
      </c>
      <c r="AZ71" s="97"/>
      <c r="BA71" s="253"/>
      <c r="BB71" s="253"/>
      <c r="BC71" s="246" t="str">
        <f t="shared" ref="BC71:BC82" si="43">IF(AY$4="","",IF($C71="","",IF(AND($B71="",BA71=""),"*",IF(AND($B71="v",NOT(BA71="")),"*",IF(AND($B71="",NOT(BA71="")),"",IF(AND($B71="v",BA71=""),""))))))</f>
        <v/>
      </c>
      <c r="BD71" s="97"/>
      <c r="BE71" s="253"/>
      <c r="BF71" s="253"/>
      <c r="BG71" s="246" t="str">
        <f t="shared" ref="BG71:BG82" si="44">IF(BC$4="","",IF($C71="","",IF(AND($B71="",BE71=""),"*",IF(AND($B71="v",NOT(BE71="")),"*",IF(AND($B71="",NOT(BE71="")),"",IF(AND($B71="v",BE71=""),""))))))</f>
        <v/>
      </c>
      <c r="BH71" s="97"/>
      <c r="BI71" s="253"/>
      <c r="BJ71" s="253"/>
      <c r="BK71" s="246" t="str">
        <f t="shared" ref="BK71:BK82" si="45">IF(BG$4="","",IF($C71="","",IF(AND($B71="",BI71=""),"*",IF(AND($B71="v",NOT(BI71="")),"*",IF(AND($B71="",NOT(BI71="")),"",IF(AND($B71="v",BI71=""),""))))))</f>
        <v/>
      </c>
      <c r="BL71" s="97"/>
      <c r="BM71" s="253"/>
      <c r="BN71" s="253"/>
      <c r="BO71" s="246" t="str">
        <f t="shared" ref="BO71:BO82" si="46">IF(BK$4="","",IF($C71="","",IF(AND($B71="",BM71=""),"*",IF(AND($B71="v",NOT(BM71="")),"*",IF(AND($B71="",NOT(BM71="")),"",IF(AND($B71="v",BM71=""),""))))))</f>
        <v/>
      </c>
      <c r="BP71" s="97"/>
      <c r="BQ71" s="253"/>
      <c r="BR71" s="253"/>
      <c r="BS71" s="246" t="str">
        <f t="shared" ref="BS71:BS82" si="47">IF(BO$4="","",IF($C71="","",IF(AND($B71="",BQ71=""),"*",IF(AND($B71="v",NOT(BQ71="")),"*",IF(AND($B71="",NOT(BQ71="")),"",IF(AND($B71="v",BQ71=""),""))))))</f>
        <v/>
      </c>
      <c r="BT71" s="97"/>
      <c r="BU71" s="253"/>
      <c r="BV71" s="253"/>
      <c r="BW71" s="246" t="str">
        <f t="shared" ref="BW71:BW82" si="48">IF(BS$4="","",IF($C71="","",IF(AND($B71="",BU71=""),"*",IF(AND($B71="v",NOT(BU71="")),"*",IF(AND($B71="",NOT(BU71="")),"",IF(AND($B71="v",BU71=""),""))))))</f>
        <v/>
      </c>
    </row>
    <row r="72" spans="1:75">
      <c r="A72" s="88">
        <v>66</v>
      </c>
      <c r="B72" s="50"/>
      <c r="C72" s="62"/>
      <c r="D72" s="117"/>
      <c r="E72" s="126"/>
      <c r="F72" s="190"/>
      <c r="G72" s="20"/>
      <c r="H72" s="20"/>
      <c r="I72" s="19"/>
      <c r="J72" s="246" t="str">
        <f t="shared" ref="J72:J82" si="49">IF($C72="","",IF(AND($B72="",G72=""),"*",IF(AND($B72="v",NOT(G72="")),"*",IF(AND($B72="",NOT(G72="")),"",IF(AND($B72="v",G72=""),"")))))</f>
        <v/>
      </c>
      <c r="K72" s="7"/>
      <c r="L72" s="97"/>
      <c r="M72" s="257"/>
      <c r="N72" s="253"/>
      <c r="O72" s="246" t="str">
        <f t="shared" si="33"/>
        <v/>
      </c>
      <c r="P72" s="97"/>
      <c r="Q72" s="253"/>
      <c r="R72" s="253"/>
      <c r="S72" s="246" t="str">
        <f t="shared" si="34"/>
        <v/>
      </c>
      <c r="T72" s="97"/>
      <c r="U72" s="253"/>
      <c r="V72" s="253"/>
      <c r="W72" s="246" t="str">
        <f t="shared" si="35"/>
        <v/>
      </c>
      <c r="X72" s="97"/>
      <c r="Y72" s="23"/>
      <c r="Z72" s="23"/>
      <c r="AA72" s="246" t="str">
        <f t="shared" si="36"/>
        <v/>
      </c>
      <c r="AB72" s="97"/>
      <c r="AC72" s="253"/>
      <c r="AD72" s="253"/>
      <c r="AE72" s="246" t="str">
        <f t="shared" si="37"/>
        <v/>
      </c>
      <c r="AF72" s="97"/>
      <c r="AG72" s="253"/>
      <c r="AH72" s="253"/>
      <c r="AI72" s="246" t="str">
        <f t="shared" si="38"/>
        <v/>
      </c>
      <c r="AJ72" s="97"/>
      <c r="AK72" s="253"/>
      <c r="AL72" s="253"/>
      <c r="AM72" s="246" t="str">
        <f t="shared" si="39"/>
        <v/>
      </c>
      <c r="AN72" s="97"/>
      <c r="AO72" s="253"/>
      <c r="AP72" s="253"/>
      <c r="AQ72" s="246" t="str">
        <f t="shared" si="40"/>
        <v/>
      </c>
      <c r="AR72" s="97"/>
      <c r="AS72" s="253"/>
      <c r="AT72" s="253"/>
      <c r="AU72" s="246" t="str">
        <f t="shared" si="41"/>
        <v/>
      </c>
      <c r="AV72" s="97"/>
      <c r="AW72" s="253"/>
      <c r="AX72" s="253"/>
      <c r="AY72" s="246" t="str">
        <f t="shared" si="42"/>
        <v/>
      </c>
      <c r="AZ72" s="97"/>
      <c r="BA72" s="253"/>
      <c r="BB72" s="253"/>
      <c r="BC72" s="246" t="str">
        <f t="shared" si="43"/>
        <v/>
      </c>
      <c r="BD72" s="97"/>
      <c r="BE72" s="253"/>
      <c r="BF72" s="253"/>
      <c r="BG72" s="246" t="str">
        <f t="shared" si="44"/>
        <v/>
      </c>
      <c r="BH72" s="97"/>
      <c r="BI72" s="253"/>
      <c r="BJ72" s="253"/>
      <c r="BK72" s="246" t="str">
        <f t="shared" si="45"/>
        <v/>
      </c>
      <c r="BL72" s="97"/>
      <c r="BM72" s="253"/>
      <c r="BN72" s="253"/>
      <c r="BO72" s="246" t="str">
        <f t="shared" si="46"/>
        <v/>
      </c>
      <c r="BP72" s="97"/>
      <c r="BQ72" s="253"/>
      <c r="BR72" s="253"/>
      <c r="BS72" s="246" t="str">
        <f t="shared" si="47"/>
        <v/>
      </c>
      <c r="BT72" s="97"/>
      <c r="BU72" s="253"/>
      <c r="BV72" s="253"/>
      <c r="BW72" s="246" t="str">
        <f t="shared" si="48"/>
        <v/>
      </c>
    </row>
    <row r="73" spans="1:75">
      <c r="A73" s="88">
        <v>67</v>
      </c>
      <c r="B73" s="50"/>
      <c r="C73" s="62"/>
      <c r="D73" s="117"/>
      <c r="E73" s="126"/>
      <c r="F73" s="190"/>
      <c r="G73" s="20"/>
      <c r="H73" s="20"/>
      <c r="I73" s="19"/>
      <c r="J73" s="246" t="str">
        <f t="shared" si="49"/>
        <v/>
      </c>
      <c r="K73" s="7"/>
      <c r="L73" s="97"/>
      <c r="M73" s="257"/>
      <c r="N73" s="253"/>
      <c r="O73" s="246" t="str">
        <f t="shared" si="33"/>
        <v/>
      </c>
      <c r="P73" s="97"/>
      <c r="Q73" s="253"/>
      <c r="R73" s="253"/>
      <c r="S73" s="246" t="str">
        <f t="shared" si="34"/>
        <v/>
      </c>
      <c r="T73" s="97"/>
      <c r="U73" s="253"/>
      <c r="V73" s="253"/>
      <c r="W73" s="246" t="str">
        <f t="shared" si="35"/>
        <v/>
      </c>
      <c r="X73" s="97"/>
      <c r="Y73" s="23"/>
      <c r="Z73" s="23"/>
      <c r="AA73" s="246" t="str">
        <f t="shared" si="36"/>
        <v/>
      </c>
      <c r="AB73" s="97"/>
      <c r="AC73" s="253"/>
      <c r="AD73" s="253"/>
      <c r="AE73" s="246" t="str">
        <f t="shared" si="37"/>
        <v/>
      </c>
      <c r="AF73" s="97"/>
      <c r="AG73" s="253"/>
      <c r="AH73" s="253"/>
      <c r="AI73" s="246" t="str">
        <f t="shared" si="38"/>
        <v/>
      </c>
      <c r="AJ73" s="97"/>
      <c r="AK73" s="253"/>
      <c r="AL73" s="253"/>
      <c r="AM73" s="246" t="str">
        <f t="shared" si="39"/>
        <v/>
      </c>
      <c r="AN73" s="97"/>
      <c r="AO73" s="253"/>
      <c r="AP73" s="253"/>
      <c r="AQ73" s="246" t="str">
        <f t="shared" si="40"/>
        <v/>
      </c>
      <c r="AR73" s="97"/>
      <c r="AS73" s="253"/>
      <c r="AT73" s="253"/>
      <c r="AU73" s="246" t="str">
        <f t="shared" si="41"/>
        <v/>
      </c>
      <c r="AV73" s="97"/>
      <c r="AW73" s="253"/>
      <c r="AX73" s="253"/>
      <c r="AY73" s="246" t="str">
        <f t="shared" si="42"/>
        <v/>
      </c>
      <c r="AZ73" s="97"/>
      <c r="BA73" s="253"/>
      <c r="BB73" s="253"/>
      <c r="BC73" s="246" t="str">
        <f t="shared" si="43"/>
        <v/>
      </c>
      <c r="BD73" s="97"/>
      <c r="BE73" s="253"/>
      <c r="BF73" s="253"/>
      <c r="BG73" s="246" t="str">
        <f t="shared" si="44"/>
        <v/>
      </c>
      <c r="BH73" s="97"/>
      <c r="BI73" s="253"/>
      <c r="BJ73" s="253"/>
      <c r="BK73" s="246" t="str">
        <f t="shared" si="45"/>
        <v/>
      </c>
      <c r="BL73" s="97"/>
      <c r="BM73" s="253"/>
      <c r="BN73" s="253"/>
      <c r="BO73" s="246" t="str">
        <f t="shared" si="46"/>
        <v/>
      </c>
      <c r="BP73" s="97"/>
      <c r="BQ73" s="253"/>
      <c r="BR73" s="253"/>
      <c r="BS73" s="246" t="str">
        <f t="shared" si="47"/>
        <v/>
      </c>
      <c r="BT73" s="97"/>
      <c r="BU73" s="253"/>
      <c r="BV73" s="253"/>
      <c r="BW73" s="246" t="str">
        <f t="shared" si="48"/>
        <v/>
      </c>
    </row>
    <row r="74" spans="1:75">
      <c r="A74" s="88">
        <v>68</v>
      </c>
      <c r="B74" s="50"/>
      <c r="C74" s="62"/>
      <c r="D74" s="117"/>
      <c r="E74" s="126"/>
      <c r="F74" s="190"/>
      <c r="G74" s="20"/>
      <c r="H74" s="20"/>
      <c r="I74" s="19"/>
      <c r="J74" s="246" t="str">
        <f t="shared" si="49"/>
        <v/>
      </c>
      <c r="K74" s="7"/>
      <c r="L74" s="97"/>
      <c r="M74" s="257"/>
      <c r="N74" s="253"/>
      <c r="O74" s="246" t="str">
        <f t="shared" si="33"/>
        <v/>
      </c>
      <c r="P74" s="97"/>
      <c r="Q74" s="253"/>
      <c r="R74" s="253"/>
      <c r="S74" s="246" t="str">
        <f t="shared" si="34"/>
        <v/>
      </c>
      <c r="T74" s="97"/>
      <c r="U74" s="253"/>
      <c r="V74" s="253"/>
      <c r="W74" s="246" t="str">
        <f t="shared" si="35"/>
        <v/>
      </c>
      <c r="X74" s="97"/>
      <c r="Y74" s="23"/>
      <c r="Z74" s="23"/>
      <c r="AA74" s="246" t="str">
        <f t="shared" si="36"/>
        <v/>
      </c>
      <c r="AB74" s="97"/>
      <c r="AC74" s="253"/>
      <c r="AD74" s="253"/>
      <c r="AE74" s="246" t="str">
        <f t="shared" si="37"/>
        <v/>
      </c>
      <c r="AF74" s="97"/>
      <c r="AG74" s="253"/>
      <c r="AH74" s="253"/>
      <c r="AI74" s="246" t="str">
        <f t="shared" si="38"/>
        <v/>
      </c>
      <c r="AJ74" s="97"/>
      <c r="AK74" s="253"/>
      <c r="AL74" s="253"/>
      <c r="AM74" s="246" t="str">
        <f t="shared" si="39"/>
        <v/>
      </c>
      <c r="AN74" s="97"/>
      <c r="AO74" s="253"/>
      <c r="AP74" s="253"/>
      <c r="AQ74" s="246" t="str">
        <f t="shared" si="40"/>
        <v/>
      </c>
      <c r="AR74" s="97"/>
      <c r="AS74" s="253"/>
      <c r="AT74" s="253"/>
      <c r="AU74" s="246" t="str">
        <f t="shared" si="41"/>
        <v/>
      </c>
      <c r="AV74" s="97"/>
      <c r="AW74" s="253"/>
      <c r="AX74" s="253"/>
      <c r="AY74" s="246" t="str">
        <f t="shared" si="42"/>
        <v/>
      </c>
      <c r="AZ74" s="97"/>
      <c r="BA74" s="253"/>
      <c r="BB74" s="253"/>
      <c r="BC74" s="246" t="str">
        <f t="shared" si="43"/>
        <v/>
      </c>
      <c r="BD74" s="97"/>
      <c r="BE74" s="253"/>
      <c r="BF74" s="253"/>
      <c r="BG74" s="246" t="str">
        <f t="shared" si="44"/>
        <v/>
      </c>
      <c r="BH74" s="97"/>
      <c r="BI74" s="253"/>
      <c r="BJ74" s="253"/>
      <c r="BK74" s="246" t="str">
        <f t="shared" si="45"/>
        <v/>
      </c>
      <c r="BL74" s="97"/>
      <c r="BM74" s="253"/>
      <c r="BN74" s="253"/>
      <c r="BO74" s="246" t="str">
        <f t="shared" si="46"/>
        <v/>
      </c>
      <c r="BP74" s="97"/>
      <c r="BQ74" s="253"/>
      <c r="BR74" s="253"/>
      <c r="BS74" s="246" t="str">
        <f t="shared" si="47"/>
        <v/>
      </c>
      <c r="BT74" s="97"/>
      <c r="BU74" s="253"/>
      <c r="BV74" s="253"/>
      <c r="BW74" s="246" t="str">
        <f t="shared" si="48"/>
        <v/>
      </c>
    </row>
    <row r="75" spans="1:75">
      <c r="A75" s="88">
        <v>69</v>
      </c>
      <c r="B75" s="50"/>
      <c r="C75" s="62"/>
      <c r="D75" s="117"/>
      <c r="E75" s="126"/>
      <c r="F75" s="190"/>
      <c r="G75" s="20"/>
      <c r="H75" s="20"/>
      <c r="I75" s="19"/>
      <c r="J75" s="246" t="str">
        <f t="shared" si="49"/>
        <v/>
      </c>
      <c r="K75" s="7"/>
      <c r="L75" s="97"/>
      <c r="M75" s="257"/>
      <c r="N75" s="253"/>
      <c r="O75" s="246" t="str">
        <f t="shared" si="33"/>
        <v/>
      </c>
      <c r="P75" s="97"/>
      <c r="Q75" s="253"/>
      <c r="R75" s="253"/>
      <c r="S75" s="246" t="str">
        <f t="shared" si="34"/>
        <v/>
      </c>
      <c r="T75" s="97"/>
      <c r="U75" s="253"/>
      <c r="V75" s="253"/>
      <c r="W75" s="246" t="str">
        <f t="shared" si="35"/>
        <v/>
      </c>
      <c r="X75" s="97"/>
      <c r="Y75" s="23"/>
      <c r="Z75" s="23"/>
      <c r="AA75" s="246" t="str">
        <f t="shared" si="36"/>
        <v/>
      </c>
      <c r="AB75" s="97"/>
      <c r="AC75" s="253"/>
      <c r="AD75" s="253"/>
      <c r="AE75" s="246" t="str">
        <f t="shared" si="37"/>
        <v/>
      </c>
      <c r="AF75" s="97"/>
      <c r="AG75" s="253"/>
      <c r="AH75" s="253"/>
      <c r="AI75" s="246" t="str">
        <f t="shared" si="38"/>
        <v/>
      </c>
      <c r="AJ75" s="97"/>
      <c r="AK75" s="253"/>
      <c r="AL75" s="253"/>
      <c r="AM75" s="246" t="str">
        <f t="shared" si="39"/>
        <v/>
      </c>
      <c r="AN75" s="97"/>
      <c r="AO75" s="253"/>
      <c r="AP75" s="253"/>
      <c r="AQ75" s="246" t="str">
        <f t="shared" si="40"/>
        <v/>
      </c>
      <c r="AR75" s="97"/>
      <c r="AS75" s="253"/>
      <c r="AT75" s="253"/>
      <c r="AU75" s="246" t="str">
        <f t="shared" si="41"/>
        <v/>
      </c>
      <c r="AV75" s="97"/>
      <c r="AW75" s="253"/>
      <c r="AX75" s="253"/>
      <c r="AY75" s="246" t="str">
        <f t="shared" si="42"/>
        <v/>
      </c>
      <c r="AZ75" s="97"/>
      <c r="BA75" s="253"/>
      <c r="BB75" s="253"/>
      <c r="BC75" s="246" t="str">
        <f t="shared" si="43"/>
        <v/>
      </c>
      <c r="BD75" s="97"/>
      <c r="BE75" s="253"/>
      <c r="BF75" s="253"/>
      <c r="BG75" s="246" t="str">
        <f t="shared" si="44"/>
        <v/>
      </c>
      <c r="BH75" s="97"/>
      <c r="BI75" s="253"/>
      <c r="BJ75" s="253"/>
      <c r="BK75" s="246" t="str">
        <f t="shared" si="45"/>
        <v/>
      </c>
      <c r="BL75" s="97"/>
      <c r="BM75" s="253"/>
      <c r="BN75" s="253"/>
      <c r="BO75" s="246" t="str">
        <f t="shared" si="46"/>
        <v/>
      </c>
      <c r="BP75" s="97"/>
      <c r="BQ75" s="253"/>
      <c r="BR75" s="253"/>
      <c r="BS75" s="246" t="str">
        <f t="shared" si="47"/>
        <v/>
      </c>
      <c r="BT75" s="97"/>
      <c r="BU75" s="253"/>
      <c r="BV75" s="253"/>
      <c r="BW75" s="246" t="str">
        <f t="shared" si="48"/>
        <v/>
      </c>
    </row>
    <row r="76" spans="1:75">
      <c r="A76" s="88">
        <v>70</v>
      </c>
      <c r="B76" s="50"/>
      <c r="C76" s="62"/>
      <c r="D76" s="117"/>
      <c r="E76" s="126"/>
      <c r="F76" s="190"/>
      <c r="G76" s="20"/>
      <c r="H76" s="20"/>
      <c r="I76" s="19"/>
      <c r="J76" s="246" t="str">
        <f t="shared" si="49"/>
        <v/>
      </c>
      <c r="K76" s="7"/>
      <c r="L76" s="97"/>
      <c r="M76" s="257"/>
      <c r="N76" s="253"/>
      <c r="O76" s="246" t="str">
        <f t="shared" si="33"/>
        <v/>
      </c>
      <c r="P76" s="97"/>
      <c r="Q76" s="253"/>
      <c r="R76" s="253"/>
      <c r="S76" s="246" t="str">
        <f t="shared" si="34"/>
        <v/>
      </c>
      <c r="T76" s="97"/>
      <c r="U76" s="253"/>
      <c r="V76" s="253"/>
      <c r="W76" s="246" t="str">
        <f t="shared" si="35"/>
        <v/>
      </c>
      <c r="X76" s="97"/>
      <c r="Y76" s="23"/>
      <c r="Z76" s="23"/>
      <c r="AA76" s="246" t="str">
        <f t="shared" si="36"/>
        <v/>
      </c>
      <c r="AB76" s="97"/>
      <c r="AC76" s="253"/>
      <c r="AD76" s="253"/>
      <c r="AE76" s="246" t="str">
        <f t="shared" si="37"/>
        <v/>
      </c>
      <c r="AF76" s="97"/>
      <c r="AG76" s="253"/>
      <c r="AH76" s="253"/>
      <c r="AI76" s="246" t="str">
        <f t="shared" si="38"/>
        <v/>
      </c>
      <c r="AJ76" s="97"/>
      <c r="AK76" s="253"/>
      <c r="AL76" s="253"/>
      <c r="AM76" s="246" t="str">
        <f t="shared" si="39"/>
        <v/>
      </c>
      <c r="AN76" s="97"/>
      <c r="AO76" s="253"/>
      <c r="AP76" s="253"/>
      <c r="AQ76" s="246" t="str">
        <f t="shared" si="40"/>
        <v/>
      </c>
      <c r="AR76" s="97"/>
      <c r="AS76" s="253"/>
      <c r="AT76" s="253"/>
      <c r="AU76" s="246" t="str">
        <f t="shared" si="41"/>
        <v/>
      </c>
      <c r="AV76" s="97"/>
      <c r="AW76" s="253"/>
      <c r="AX76" s="253"/>
      <c r="AY76" s="246" t="str">
        <f t="shared" si="42"/>
        <v/>
      </c>
      <c r="AZ76" s="97"/>
      <c r="BA76" s="253"/>
      <c r="BB76" s="253"/>
      <c r="BC76" s="246" t="str">
        <f t="shared" si="43"/>
        <v/>
      </c>
      <c r="BD76" s="97"/>
      <c r="BE76" s="253"/>
      <c r="BF76" s="253"/>
      <c r="BG76" s="246" t="str">
        <f t="shared" si="44"/>
        <v/>
      </c>
      <c r="BH76" s="97"/>
      <c r="BI76" s="253"/>
      <c r="BJ76" s="253"/>
      <c r="BK76" s="246" t="str">
        <f t="shared" si="45"/>
        <v/>
      </c>
      <c r="BL76" s="97"/>
      <c r="BM76" s="253"/>
      <c r="BN76" s="253"/>
      <c r="BO76" s="246" t="str">
        <f t="shared" si="46"/>
        <v/>
      </c>
      <c r="BP76" s="97"/>
      <c r="BQ76" s="253"/>
      <c r="BR76" s="253"/>
      <c r="BS76" s="246" t="str">
        <f t="shared" si="47"/>
        <v/>
      </c>
      <c r="BT76" s="97"/>
      <c r="BU76" s="253"/>
      <c r="BV76" s="253"/>
      <c r="BW76" s="246" t="str">
        <f t="shared" si="48"/>
        <v/>
      </c>
    </row>
    <row r="77" spans="1:75">
      <c r="A77" s="88">
        <v>71</v>
      </c>
      <c r="B77" s="50"/>
      <c r="C77" s="62"/>
      <c r="D77" s="117"/>
      <c r="E77" s="126"/>
      <c r="F77" s="190"/>
      <c r="G77" s="20"/>
      <c r="H77" s="20"/>
      <c r="I77" s="19"/>
      <c r="J77" s="246" t="str">
        <f t="shared" si="49"/>
        <v/>
      </c>
      <c r="K77" s="7"/>
      <c r="L77" s="97"/>
      <c r="M77" s="257"/>
      <c r="N77" s="253"/>
      <c r="O77" s="246" t="str">
        <f t="shared" si="33"/>
        <v/>
      </c>
      <c r="P77" s="97"/>
      <c r="Q77" s="253"/>
      <c r="R77" s="253"/>
      <c r="S77" s="246" t="str">
        <f t="shared" si="34"/>
        <v/>
      </c>
      <c r="T77" s="97"/>
      <c r="U77" s="253"/>
      <c r="V77" s="253"/>
      <c r="W77" s="246" t="str">
        <f t="shared" si="35"/>
        <v/>
      </c>
      <c r="X77" s="97"/>
      <c r="Y77" s="23"/>
      <c r="Z77" s="23"/>
      <c r="AA77" s="246" t="str">
        <f t="shared" si="36"/>
        <v/>
      </c>
      <c r="AB77" s="97"/>
      <c r="AC77" s="253"/>
      <c r="AD77" s="253"/>
      <c r="AE77" s="246" t="str">
        <f t="shared" si="37"/>
        <v/>
      </c>
      <c r="AF77" s="97"/>
      <c r="AG77" s="253"/>
      <c r="AH77" s="253"/>
      <c r="AI77" s="246" t="str">
        <f t="shared" si="38"/>
        <v/>
      </c>
      <c r="AJ77" s="97"/>
      <c r="AK77" s="253"/>
      <c r="AL77" s="253"/>
      <c r="AM77" s="246" t="str">
        <f t="shared" si="39"/>
        <v/>
      </c>
      <c r="AN77" s="97"/>
      <c r="AO77" s="253"/>
      <c r="AP77" s="253"/>
      <c r="AQ77" s="246" t="str">
        <f t="shared" si="40"/>
        <v/>
      </c>
      <c r="AR77" s="97"/>
      <c r="AS77" s="253"/>
      <c r="AT77" s="253"/>
      <c r="AU77" s="246" t="str">
        <f t="shared" si="41"/>
        <v/>
      </c>
      <c r="AV77" s="97"/>
      <c r="AW77" s="253"/>
      <c r="AX77" s="253"/>
      <c r="AY77" s="246" t="str">
        <f t="shared" si="42"/>
        <v/>
      </c>
      <c r="AZ77" s="97"/>
      <c r="BA77" s="253"/>
      <c r="BB77" s="253"/>
      <c r="BC77" s="246" t="str">
        <f t="shared" si="43"/>
        <v/>
      </c>
      <c r="BD77" s="97"/>
      <c r="BE77" s="253"/>
      <c r="BF77" s="253"/>
      <c r="BG77" s="246" t="str">
        <f t="shared" si="44"/>
        <v/>
      </c>
      <c r="BH77" s="97"/>
      <c r="BI77" s="253"/>
      <c r="BJ77" s="253"/>
      <c r="BK77" s="246" t="str">
        <f t="shared" si="45"/>
        <v/>
      </c>
      <c r="BL77" s="97"/>
      <c r="BM77" s="253"/>
      <c r="BN77" s="253"/>
      <c r="BO77" s="246" t="str">
        <f t="shared" si="46"/>
        <v/>
      </c>
      <c r="BP77" s="97"/>
      <c r="BQ77" s="253"/>
      <c r="BR77" s="253"/>
      <c r="BS77" s="246" t="str">
        <f t="shared" si="47"/>
        <v/>
      </c>
      <c r="BT77" s="97"/>
      <c r="BU77" s="253"/>
      <c r="BV77" s="253"/>
      <c r="BW77" s="246" t="str">
        <f t="shared" si="48"/>
        <v/>
      </c>
    </row>
    <row r="78" spans="1:75">
      <c r="A78" s="88">
        <v>72</v>
      </c>
      <c r="B78" s="50"/>
      <c r="C78" s="62"/>
      <c r="D78" s="117"/>
      <c r="E78" s="126"/>
      <c r="F78" s="190"/>
      <c r="G78" s="20"/>
      <c r="H78" s="20"/>
      <c r="I78" s="19"/>
      <c r="J78" s="246" t="str">
        <f t="shared" si="49"/>
        <v/>
      </c>
      <c r="K78" s="7"/>
      <c r="L78" s="97"/>
      <c r="M78" s="257"/>
      <c r="N78" s="253"/>
      <c r="O78" s="246" t="str">
        <f t="shared" si="33"/>
        <v/>
      </c>
      <c r="P78" s="97"/>
      <c r="Q78" s="253"/>
      <c r="R78" s="253"/>
      <c r="S78" s="246" t="str">
        <f t="shared" si="34"/>
        <v/>
      </c>
      <c r="T78" s="97"/>
      <c r="U78" s="253"/>
      <c r="V78" s="253"/>
      <c r="W78" s="246" t="str">
        <f t="shared" si="35"/>
        <v/>
      </c>
      <c r="X78" s="97"/>
      <c r="Y78" s="23"/>
      <c r="Z78" s="23"/>
      <c r="AA78" s="246" t="str">
        <f t="shared" si="36"/>
        <v/>
      </c>
      <c r="AB78" s="97"/>
      <c r="AC78" s="253"/>
      <c r="AD78" s="253"/>
      <c r="AE78" s="246" t="str">
        <f t="shared" si="37"/>
        <v/>
      </c>
      <c r="AF78" s="97"/>
      <c r="AG78" s="253"/>
      <c r="AH78" s="253"/>
      <c r="AI78" s="246" t="str">
        <f t="shared" si="38"/>
        <v/>
      </c>
      <c r="AJ78" s="97"/>
      <c r="AK78" s="253"/>
      <c r="AL78" s="253"/>
      <c r="AM78" s="246" t="str">
        <f t="shared" si="39"/>
        <v/>
      </c>
      <c r="AN78" s="97"/>
      <c r="AO78" s="253"/>
      <c r="AP78" s="253"/>
      <c r="AQ78" s="246" t="str">
        <f t="shared" si="40"/>
        <v/>
      </c>
      <c r="AR78" s="97"/>
      <c r="AS78" s="253"/>
      <c r="AT78" s="253"/>
      <c r="AU78" s="246" t="str">
        <f t="shared" si="41"/>
        <v/>
      </c>
      <c r="AV78" s="97"/>
      <c r="AW78" s="253"/>
      <c r="AX78" s="253"/>
      <c r="AY78" s="246" t="str">
        <f t="shared" si="42"/>
        <v/>
      </c>
      <c r="AZ78" s="97"/>
      <c r="BA78" s="253"/>
      <c r="BB78" s="253"/>
      <c r="BC78" s="246" t="str">
        <f t="shared" si="43"/>
        <v/>
      </c>
      <c r="BD78" s="97"/>
      <c r="BE78" s="253"/>
      <c r="BF78" s="253"/>
      <c r="BG78" s="246" t="str">
        <f t="shared" si="44"/>
        <v/>
      </c>
      <c r="BH78" s="97"/>
      <c r="BI78" s="253"/>
      <c r="BJ78" s="253"/>
      <c r="BK78" s="246" t="str">
        <f t="shared" si="45"/>
        <v/>
      </c>
      <c r="BL78" s="97"/>
      <c r="BM78" s="253"/>
      <c r="BN78" s="253"/>
      <c r="BO78" s="246" t="str">
        <f t="shared" si="46"/>
        <v/>
      </c>
      <c r="BP78" s="97"/>
      <c r="BQ78" s="253"/>
      <c r="BR78" s="253"/>
      <c r="BS78" s="246" t="str">
        <f t="shared" si="47"/>
        <v/>
      </c>
      <c r="BT78" s="97"/>
      <c r="BU78" s="253"/>
      <c r="BV78" s="253"/>
      <c r="BW78" s="246" t="str">
        <f t="shared" si="48"/>
        <v/>
      </c>
    </row>
    <row r="79" spans="1:75">
      <c r="A79" s="88">
        <v>73</v>
      </c>
      <c r="B79" s="50"/>
      <c r="C79" s="62"/>
      <c r="D79" s="117"/>
      <c r="E79" s="126"/>
      <c r="F79" s="190"/>
      <c r="G79" s="20"/>
      <c r="H79" s="20"/>
      <c r="I79" s="19"/>
      <c r="J79" s="246" t="str">
        <f t="shared" si="49"/>
        <v/>
      </c>
      <c r="K79" s="7"/>
      <c r="L79" s="97"/>
      <c r="M79" s="257"/>
      <c r="N79" s="253"/>
      <c r="O79" s="246" t="str">
        <f t="shared" si="33"/>
        <v/>
      </c>
      <c r="P79" s="97"/>
      <c r="Q79" s="253"/>
      <c r="R79" s="253"/>
      <c r="S79" s="246" t="str">
        <f t="shared" si="34"/>
        <v/>
      </c>
      <c r="T79" s="97"/>
      <c r="U79" s="253"/>
      <c r="V79" s="253"/>
      <c r="W79" s="246" t="str">
        <f t="shared" si="35"/>
        <v/>
      </c>
      <c r="X79" s="97"/>
      <c r="Y79" s="23"/>
      <c r="Z79" s="23"/>
      <c r="AA79" s="246" t="str">
        <f t="shared" si="36"/>
        <v/>
      </c>
      <c r="AB79" s="97"/>
      <c r="AC79" s="253"/>
      <c r="AD79" s="253"/>
      <c r="AE79" s="246" t="str">
        <f t="shared" si="37"/>
        <v/>
      </c>
      <c r="AF79" s="97"/>
      <c r="AG79" s="253"/>
      <c r="AH79" s="253"/>
      <c r="AI79" s="246" t="str">
        <f t="shared" si="38"/>
        <v/>
      </c>
      <c r="AJ79" s="97"/>
      <c r="AK79" s="253"/>
      <c r="AL79" s="253"/>
      <c r="AM79" s="246" t="str">
        <f t="shared" si="39"/>
        <v/>
      </c>
      <c r="AN79" s="97"/>
      <c r="AO79" s="253"/>
      <c r="AP79" s="253"/>
      <c r="AQ79" s="246" t="str">
        <f t="shared" si="40"/>
        <v/>
      </c>
      <c r="AR79" s="97"/>
      <c r="AS79" s="253"/>
      <c r="AT79" s="253"/>
      <c r="AU79" s="246" t="str">
        <f t="shared" si="41"/>
        <v/>
      </c>
      <c r="AV79" s="97"/>
      <c r="AW79" s="253"/>
      <c r="AX79" s="253"/>
      <c r="AY79" s="246" t="str">
        <f t="shared" si="42"/>
        <v/>
      </c>
      <c r="AZ79" s="97"/>
      <c r="BA79" s="253"/>
      <c r="BB79" s="253"/>
      <c r="BC79" s="246" t="str">
        <f t="shared" si="43"/>
        <v/>
      </c>
      <c r="BD79" s="97"/>
      <c r="BE79" s="253"/>
      <c r="BF79" s="253"/>
      <c r="BG79" s="246" t="str">
        <f t="shared" si="44"/>
        <v/>
      </c>
      <c r="BH79" s="97"/>
      <c r="BI79" s="253"/>
      <c r="BJ79" s="253"/>
      <c r="BK79" s="246" t="str">
        <f t="shared" si="45"/>
        <v/>
      </c>
      <c r="BL79" s="97"/>
      <c r="BM79" s="253"/>
      <c r="BN79" s="253"/>
      <c r="BO79" s="246" t="str">
        <f t="shared" si="46"/>
        <v/>
      </c>
      <c r="BP79" s="97"/>
      <c r="BQ79" s="253"/>
      <c r="BR79" s="253"/>
      <c r="BS79" s="246" t="str">
        <f t="shared" si="47"/>
        <v/>
      </c>
      <c r="BT79" s="97"/>
      <c r="BU79" s="253"/>
      <c r="BV79" s="253"/>
      <c r="BW79" s="246" t="str">
        <f t="shared" si="48"/>
        <v/>
      </c>
    </row>
    <row r="80" spans="1:75">
      <c r="A80" s="88">
        <v>74</v>
      </c>
      <c r="B80" s="50"/>
      <c r="C80" s="62"/>
      <c r="D80" s="117"/>
      <c r="E80" s="126"/>
      <c r="F80" s="190"/>
      <c r="G80" s="20"/>
      <c r="H80" s="20"/>
      <c r="I80" s="19"/>
      <c r="J80" s="246" t="str">
        <f t="shared" si="49"/>
        <v/>
      </c>
      <c r="K80" s="7"/>
      <c r="L80" s="97"/>
      <c r="M80" s="257"/>
      <c r="N80" s="253"/>
      <c r="O80" s="246" t="str">
        <f t="shared" si="33"/>
        <v/>
      </c>
      <c r="P80" s="97"/>
      <c r="Q80" s="253"/>
      <c r="R80" s="253"/>
      <c r="S80" s="246" t="str">
        <f t="shared" si="34"/>
        <v/>
      </c>
      <c r="T80" s="97"/>
      <c r="U80" s="253"/>
      <c r="V80" s="253"/>
      <c r="W80" s="246" t="str">
        <f t="shared" si="35"/>
        <v/>
      </c>
      <c r="X80" s="97"/>
      <c r="Y80" s="23"/>
      <c r="Z80" s="23"/>
      <c r="AA80" s="246" t="str">
        <f t="shared" si="36"/>
        <v/>
      </c>
      <c r="AB80" s="97"/>
      <c r="AC80" s="253"/>
      <c r="AD80" s="253"/>
      <c r="AE80" s="246" t="str">
        <f t="shared" si="37"/>
        <v/>
      </c>
      <c r="AF80" s="97"/>
      <c r="AG80" s="253"/>
      <c r="AH80" s="253"/>
      <c r="AI80" s="246" t="str">
        <f t="shared" si="38"/>
        <v/>
      </c>
      <c r="AJ80" s="97"/>
      <c r="AK80" s="253"/>
      <c r="AL80" s="253"/>
      <c r="AM80" s="246" t="str">
        <f t="shared" si="39"/>
        <v/>
      </c>
      <c r="AN80" s="97"/>
      <c r="AO80" s="253"/>
      <c r="AP80" s="253"/>
      <c r="AQ80" s="246" t="str">
        <f t="shared" si="40"/>
        <v/>
      </c>
      <c r="AR80" s="97"/>
      <c r="AS80" s="253"/>
      <c r="AT80" s="253"/>
      <c r="AU80" s="246" t="str">
        <f t="shared" si="41"/>
        <v/>
      </c>
      <c r="AV80" s="97"/>
      <c r="AW80" s="253"/>
      <c r="AX80" s="253"/>
      <c r="AY80" s="246" t="str">
        <f t="shared" si="42"/>
        <v/>
      </c>
      <c r="AZ80" s="97"/>
      <c r="BA80" s="253"/>
      <c r="BB80" s="253"/>
      <c r="BC80" s="246" t="str">
        <f t="shared" si="43"/>
        <v/>
      </c>
      <c r="BD80" s="97"/>
      <c r="BE80" s="253"/>
      <c r="BF80" s="253"/>
      <c r="BG80" s="246" t="str">
        <f t="shared" si="44"/>
        <v/>
      </c>
      <c r="BH80" s="97"/>
      <c r="BI80" s="253"/>
      <c r="BJ80" s="253"/>
      <c r="BK80" s="246" t="str">
        <f t="shared" si="45"/>
        <v/>
      </c>
      <c r="BL80" s="97"/>
      <c r="BM80" s="253"/>
      <c r="BN80" s="253"/>
      <c r="BO80" s="246" t="str">
        <f t="shared" si="46"/>
        <v/>
      </c>
      <c r="BP80" s="97"/>
      <c r="BQ80" s="253"/>
      <c r="BR80" s="253"/>
      <c r="BS80" s="246" t="str">
        <f t="shared" si="47"/>
        <v/>
      </c>
      <c r="BT80" s="97"/>
      <c r="BU80" s="253"/>
      <c r="BV80" s="253"/>
      <c r="BW80" s="246" t="str">
        <f t="shared" si="48"/>
        <v/>
      </c>
    </row>
    <row r="81" spans="1:75">
      <c r="A81" s="88">
        <v>75</v>
      </c>
      <c r="B81" s="50"/>
      <c r="C81" s="62"/>
      <c r="D81" s="117"/>
      <c r="E81" s="126"/>
      <c r="F81" s="190"/>
      <c r="G81" s="20"/>
      <c r="H81" s="20"/>
      <c r="I81" s="19"/>
      <c r="J81" s="246" t="str">
        <f t="shared" si="49"/>
        <v/>
      </c>
      <c r="K81" s="7"/>
      <c r="L81" s="97"/>
      <c r="M81" s="257"/>
      <c r="N81" s="253"/>
      <c r="O81" s="246" t="str">
        <f t="shared" si="33"/>
        <v/>
      </c>
      <c r="P81" s="97"/>
      <c r="Q81" s="253"/>
      <c r="R81" s="253"/>
      <c r="S81" s="246" t="str">
        <f t="shared" si="34"/>
        <v/>
      </c>
      <c r="T81" s="97"/>
      <c r="U81" s="253"/>
      <c r="V81" s="253"/>
      <c r="W81" s="246" t="str">
        <f t="shared" si="35"/>
        <v/>
      </c>
      <c r="X81" s="97"/>
      <c r="Y81" s="23"/>
      <c r="Z81" s="23"/>
      <c r="AA81" s="246" t="str">
        <f t="shared" si="36"/>
        <v/>
      </c>
      <c r="AB81" s="97"/>
      <c r="AC81" s="253"/>
      <c r="AD81" s="253"/>
      <c r="AE81" s="246" t="str">
        <f t="shared" si="37"/>
        <v/>
      </c>
      <c r="AF81" s="97"/>
      <c r="AG81" s="253"/>
      <c r="AH81" s="253"/>
      <c r="AI81" s="246" t="str">
        <f t="shared" si="38"/>
        <v/>
      </c>
      <c r="AJ81" s="97"/>
      <c r="AK81" s="253"/>
      <c r="AL81" s="253"/>
      <c r="AM81" s="246" t="str">
        <f t="shared" si="39"/>
        <v/>
      </c>
      <c r="AN81" s="97"/>
      <c r="AO81" s="253"/>
      <c r="AP81" s="253"/>
      <c r="AQ81" s="246" t="str">
        <f t="shared" si="40"/>
        <v/>
      </c>
      <c r="AR81" s="97"/>
      <c r="AS81" s="253"/>
      <c r="AT81" s="253"/>
      <c r="AU81" s="246" t="str">
        <f t="shared" si="41"/>
        <v/>
      </c>
      <c r="AV81" s="97"/>
      <c r="AW81" s="253"/>
      <c r="AX81" s="253"/>
      <c r="AY81" s="246" t="str">
        <f t="shared" si="42"/>
        <v/>
      </c>
      <c r="AZ81" s="97"/>
      <c r="BA81" s="253"/>
      <c r="BB81" s="253"/>
      <c r="BC81" s="246" t="str">
        <f t="shared" si="43"/>
        <v/>
      </c>
      <c r="BD81" s="97"/>
      <c r="BE81" s="253"/>
      <c r="BF81" s="253"/>
      <c r="BG81" s="246" t="str">
        <f t="shared" si="44"/>
        <v/>
      </c>
      <c r="BH81" s="97"/>
      <c r="BI81" s="253"/>
      <c r="BJ81" s="253"/>
      <c r="BK81" s="246" t="str">
        <f t="shared" si="45"/>
        <v/>
      </c>
      <c r="BL81" s="97"/>
      <c r="BM81" s="253"/>
      <c r="BN81" s="253"/>
      <c r="BO81" s="246" t="str">
        <f t="shared" si="46"/>
        <v/>
      </c>
      <c r="BP81" s="97"/>
      <c r="BQ81" s="253"/>
      <c r="BR81" s="253"/>
      <c r="BS81" s="246" t="str">
        <f t="shared" si="47"/>
        <v/>
      </c>
      <c r="BT81" s="97"/>
      <c r="BU81" s="253"/>
      <c r="BV81" s="253"/>
      <c r="BW81" s="246" t="str">
        <f t="shared" si="48"/>
        <v/>
      </c>
    </row>
    <row r="82" spans="1:75">
      <c r="A82" s="88">
        <v>76</v>
      </c>
      <c r="B82" s="50"/>
      <c r="C82" s="62"/>
      <c r="D82" s="117"/>
      <c r="E82" s="126"/>
      <c r="F82" s="190"/>
      <c r="G82" s="20"/>
      <c r="H82" s="20"/>
      <c r="I82" s="19"/>
      <c r="J82" s="246" t="str">
        <f t="shared" si="49"/>
        <v/>
      </c>
      <c r="K82" s="7"/>
      <c r="L82" s="97"/>
      <c r="M82" s="257"/>
      <c r="N82" s="253"/>
      <c r="O82" s="246" t="str">
        <f t="shared" si="33"/>
        <v/>
      </c>
      <c r="P82" s="97"/>
      <c r="Q82" s="253"/>
      <c r="R82" s="253"/>
      <c r="S82" s="246" t="str">
        <f t="shared" si="34"/>
        <v/>
      </c>
      <c r="T82" s="97"/>
      <c r="U82" s="253"/>
      <c r="V82" s="253"/>
      <c r="W82" s="246" t="str">
        <f t="shared" si="35"/>
        <v/>
      </c>
      <c r="X82" s="97"/>
      <c r="Y82" s="23"/>
      <c r="Z82" s="23"/>
      <c r="AA82" s="246" t="str">
        <f t="shared" si="36"/>
        <v/>
      </c>
      <c r="AB82" s="97"/>
      <c r="AC82" s="253"/>
      <c r="AD82" s="253"/>
      <c r="AE82" s="246" t="str">
        <f t="shared" si="37"/>
        <v/>
      </c>
      <c r="AF82" s="97"/>
      <c r="AG82" s="253"/>
      <c r="AH82" s="253"/>
      <c r="AI82" s="246" t="str">
        <f t="shared" si="38"/>
        <v/>
      </c>
      <c r="AJ82" s="97"/>
      <c r="AK82" s="253"/>
      <c r="AL82" s="253"/>
      <c r="AM82" s="246" t="str">
        <f t="shared" si="39"/>
        <v/>
      </c>
      <c r="AN82" s="97"/>
      <c r="AO82" s="253"/>
      <c r="AP82" s="253"/>
      <c r="AQ82" s="246" t="str">
        <f t="shared" si="40"/>
        <v/>
      </c>
      <c r="AR82" s="97"/>
      <c r="AS82" s="253"/>
      <c r="AT82" s="253"/>
      <c r="AU82" s="246" t="str">
        <f t="shared" si="41"/>
        <v/>
      </c>
      <c r="AV82" s="97"/>
      <c r="AW82" s="253"/>
      <c r="AX82" s="253"/>
      <c r="AY82" s="246" t="str">
        <f t="shared" si="42"/>
        <v/>
      </c>
      <c r="AZ82" s="97"/>
      <c r="BA82" s="253"/>
      <c r="BB82" s="253"/>
      <c r="BC82" s="246" t="str">
        <f t="shared" si="43"/>
        <v/>
      </c>
      <c r="BD82" s="97"/>
      <c r="BE82" s="253"/>
      <c r="BF82" s="253"/>
      <c r="BG82" s="246" t="str">
        <f t="shared" si="44"/>
        <v/>
      </c>
      <c r="BH82" s="97"/>
      <c r="BI82" s="253"/>
      <c r="BJ82" s="253"/>
      <c r="BK82" s="246" t="str">
        <f t="shared" si="45"/>
        <v/>
      </c>
      <c r="BL82" s="97"/>
      <c r="BM82" s="253"/>
      <c r="BN82" s="253"/>
      <c r="BO82" s="246" t="str">
        <f t="shared" si="46"/>
        <v/>
      </c>
      <c r="BP82" s="97"/>
      <c r="BQ82" s="253"/>
      <c r="BR82" s="253"/>
      <c r="BS82" s="246" t="str">
        <f t="shared" si="47"/>
        <v/>
      </c>
      <c r="BT82" s="97"/>
      <c r="BU82" s="253"/>
      <c r="BV82" s="253"/>
      <c r="BW82" s="246" t="str">
        <f t="shared" si="48"/>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98"/>
      <c r="D85" s="119"/>
      <c r="E85" s="119"/>
      <c r="F85" s="302"/>
      <c r="G85" s="302"/>
      <c r="H85" s="98"/>
      <c r="I85" s="98"/>
      <c r="J85" s="98"/>
      <c r="K85" s="12"/>
      <c r="L85" s="135"/>
      <c r="M85" s="135"/>
    </row>
    <row r="86" spans="1:75">
      <c r="A86" s="89"/>
      <c r="B86" s="67"/>
      <c r="C86" s="67"/>
      <c r="D86" s="120"/>
      <c r="E86" s="127"/>
      <c r="F86" s="49"/>
      <c r="G86" s="9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X3:Z3"/>
    <mergeCell ref="X5:Z5"/>
    <mergeCell ref="AB3:AD3"/>
    <mergeCell ref="AB5:AD5"/>
    <mergeCell ref="L3:N3"/>
    <mergeCell ref="P3:R3"/>
    <mergeCell ref="P5:R5"/>
    <mergeCell ref="T3:V3"/>
    <mergeCell ref="T5:V5"/>
    <mergeCell ref="F5:G5"/>
    <mergeCell ref="L5:N5"/>
    <mergeCell ref="U4:V4"/>
    <mergeCell ref="Y4:Z4"/>
    <mergeCell ref="AC4:AD4"/>
    <mergeCell ref="B1:C2"/>
    <mergeCell ref="F4:I4"/>
    <mergeCell ref="F3:I3"/>
    <mergeCell ref="M4:N4"/>
    <mergeCell ref="Q4:R4"/>
    <mergeCell ref="AF3:AH3"/>
    <mergeCell ref="AG4:AH4"/>
    <mergeCell ref="AF5:AH5"/>
    <mergeCell ref="AJ3:AL3"/>
    <mergeCell ref="AK4:AL4"/>
    <mergeCell ref="AJ5:AL5"/>
    <mergeCell ref="AN3:AP3"/>
    <mergeCell ref="AO4:AP4"/>
    <mergeCell ref="AN5:AP5"/>
    <mergeCell ref="AR3:AT3"/>
    <mergeCell ref="AS4:AT4"/>
    <mergeCell ref="AR5:AT5"/>
    <mergeCell ref="AV3:AX3"/>
    <mergeCell ref="AW4:AX4"/>
    <mergeCell ref="AV5:AX5"/>
    <mergeCell ref="AZ3:BB3"/>
    <mergeCell ref="BA4:BB4"/>
    <mergeCell ref="AZ5:BB5"/>
    <mergeCell ref="BD3:BF3"/>
    <mergeCell ref="BE4:BF4"/>
    <mergeCell ref="BD5:BF5"/>
    <mergeCell ref="BH3:BJ3"/>
    <mergeCell ref="BI4:BJ4"/>
    <mergeCell ref="BH5:BJ5"/>
    <mergeCell ref="BT3:BV3"/>
    <mergeCell ref="BU4:BV4"/>
    <mergeCell ref="BT5:BV5"/>
    <mergeCell ref="BL3:BN3"/>
    <mergeCell ref="BM4:BN4"/>
    <mergeCell ref="BL5:BN5"/>
    <mergeCell ref="BP3:BR3"/>
    <mergeCell ref="BQ4:BR4"/>
    <mergeCell ref="BP5:BR5"/>
  </mergeCells>
  <phoneticPr fontId="1" type="noConversion"/>
  <conditionalFormatting sqref="J2:J3">
    <cfRule type="expression" dxfId="2269" priority="319">
      <formula>$F$1=1</formula>
    </cfRule>
    <cfRule type="expression" priority="320">
      <formula>$F$1</formula>
    </cfRule>
  </conditionalFormatting>
  <conditionalFormatting sqref="J4">
    <cfRule type="expression" dxfId="2268" priority="321">
      <formula>$F$1=1</formula>
    </cfRule>
  </conditionalFormatting>
  <conditionalFormatting sqref="C7:G82">
    <cfRule type="expression" dxfId="2267" priority="85">
      <formula>$B7="v"</formula>
    </cfRule>
  </conditionalFormatting>
  <conditionalFormatting sqref="H7:H82">
    <cfRule type="expression" dxfId="2266" priority="188">
      <formula>$B7="v"</formula>
    </cfRule>
  </conditionalFormatting>
  <conditionalFormatting sqref="N7:N82">
    <cfRule type="expression" dxfId="2265" priority="187">
      <formula>$B7="v"</formula>
    </cfRule>
  </conditionalFormatting>
  <conditionalFormatting sqref="M7:M82">
    <cfRule type="expression" dxfId="2264" priority="186">
      <formula>$B7="v"</formula>
    </cfRule>
  </conditionalFormatting>
  <conditionalFormatting sqref="L7:L82">
    <cfRule type="expression" dxfId="2263" priority="323">
      <formula>$B7="v"</formula>
    </cfRule>
  </conditionalFormatting>
  <conditionalFormatting sqref="P7:Q82">
    <cfRule type="expression" dxfId="2262" priority="327">
      <formula>$B7="v"</formula>
    </cfRule>
  </conditionalFormatting>
  <conditionalFormatting sqref="R7:R82">
    <cfRule type="expression" dxfId="2261" priority="184">
      <formula>$B7="v"</formula>
    </cfRule>
  </conditionalFormatting>
  <conditionalFormatting sqref="Z7:Z82 V7:V82 AL7:AL82 AH7:AH82 AD7:AD82 AX7:AX82 AT7:AT82 AP7:AP82 BJ7:BJ82 BF7:BF82 BB7:BB82 BV7:BV82 BR7:BR82 BN7:BN82">
    <cfRule type="expression" dxfId="2260" priority="370">
      <formula>$B7="v"</formula>
    </cfRule>
  </conditionalFormatting>
  <conditionalFormatting sqref="X7:Y82 T7:U82 AJ7:AK82 AF7:AG82 AB7:AC82 AR7:AS82 AN7:AO82 BH7:BI82 BD7:BE82 AZ7:BA82 BT7:BU82 BP7:BQ82 BL7:BM82">
    <cfRule type="expression" dxfId="2259" priority="374">
      <formula>$B7="v"</formula>
    </cfRule>
  </conditionalFormatting>
  <conditionalFormatting sqref="AV7:AW82">
    <cfRule type="expression" dxfId="2258" priority="358">
      <formula>$B7="v"</formula>
    </cfRule>
  </conditionalFormatting>
  <conditionalFormatting sqref="F25">
    <cfRule type="expression" dxfId="2257" priority="160">
      <formula>$E$25="n/a"</formula>
    </cfRule>
  </conditionalFormatting>
  <conditionalFormatting sqref="F7">
    <cfRule type="expression" dxfId="2256" priority="159">
      <formula>$E$7="n/a"</formula>
    </cfRule>
  </conditionalFormatting>
  <conditionalFormatting sqref="F8">
    <cfRule type="expression" dxfId="2255" priority="189">
      <formula>$E$8="n/a"</formula>
    </cfRule>
  </conditionalFormatting>
  <conditionalFormatting sqref="F9">
    <cfRule type="expression" dxfId="2254" priority="158">
      <formula>$E$9="n/a"</formula>
    </cfRule>
  </conditionalFormatting>
  <conditionalFormatting sqref="F10">
    <cfRule type="expression" dxfId="2253" priority="157">
      <formula>$E$10="n/a"</formula>
    </cfRule>
  </conditionalFormatting>
  <conditionalFormatting sqref="F11">
    <cfRule type="expression" dxfId="2252" priority="156">
      <formula>$E$11="n/a"</formula>
    </cfRule>
  </conditionalFormatting>
  <conditionalFormatting sqref="F12">
    <cfRule type="expression" dxfId="2251" priority="155">
      <formula>$E$12="n/a"</formula>
    </cfRule>
  </conditionalFormatting>
  <conditionalFormatting sqref="F13">
    <cfRule type="expression" dxfId="2250" priority="154">
      <formula>$E$13="n/a"</formula>
    </cfRule>
  </conditionalFormatting>
  <conditionalFormatting sqref="F14">
    <cfRule type="expression" dxfId="2249" priority="153">
      <formula>$E$14="n/a"</formula>
    </cfRule>
  </conditionalFormatting>
  <conditionalFormatting sqref="F15">
    <cfRule type="expression" dxfId="2248" priority="152">
      <formula>$E$15="n/a"</formula>
    </cfRule>
  </conditionalFormatting>
  <conditionalFormatting sqref="F16">
    <cfRule type="expression" dxfId="2247" priority="151">
      <formula>$E$16="n/a"</formula>
    </cfRule>
  </conditionalFormatting>
  <conditionalFormatting sqref="F17">
    <cfRule type="expression" dxfId="2246" priority="150">
      <formula>$E$17="n/a"</formula>
    </cfRule>
  </conditionalFormatting>
  <conditionalFormatting sqref="F18">
    <cfRule type="expression" dxfId="2245" priority="149">
      <formula>$E$18="n/a"</formula>
    </cfRule>
  </conditionalFormatting>
  <conditionalFormatting sqref="F19">
    <cfRule type="expression" dxfId="2244" priority="148">
      <formula>$E$19="n/a"</formula>
    </cfRule>
  </conditionalFormatting>
  <conditionalFormatting sqref="F20">
    <cfRule type="expression" dxfId="2243" priority="147">
      <formula>$E$20="n/a"</formula>
    </cfRule>
  </conditionalFormatting>
  <conditionalFormatting sqref="F21">
    <cfRule type="expression" dxfId="2242" priority="146">
      <formula>$E$21="n/a"</formula>
    </cfRule>
  </conditionalFormatting>
  <conditionalFormatting sqref="F22">
    <cfRule type="expression" dxfId="2241" priority="145">
      <formula>$E$22="n/a"</formula>
    </cfRule>
  </conditionalFormatting>
  <conditionalFormatting sqref="F23">
    <cfRule type="expression" dxfId="2240" priority="144">
      <formula>$E$23="n/a"</formula>
    </cfRule>
  </conditionalFormatting>
  <conditionalFormatting sqref="F24">
    <cfRule type="expression" dxfId="2239" priority="143">
      <formula>$E$24="n/a"</formula>
    </cfRule>
  </conditionalFormatting>
  <conditionalFormatting sqref="F26">
    <cfRule type="expression" dxfId="2238" priority="142">
      <formula>$E$26="n/a"</formula>
    </cfRule>
  </conditionalFormatting>
  <conditionalFormatting sqref="F27">
    <cfRule type="expression" dxfId="2237" priority="141">
      <formula>$E$27="n/a"</formula>
    </cfRule>
  </conditionalFormatting>
  <conditionalFormatting sqref="F28">
    <cfRule type="expression" dxfId="2236" priority="140">
      <formula>$E$28="n/a"</formula>
    </cfRule>
  </conditionalFormatting>
  <conditionalFormatting sqref="F29">
    <cfRule type="expression" dxfId="2235" priority="139">
      <formula>$E$29="n/a"</formula>
    </cfRule>
  </conditionalFormatting>
  <conditionalFormatting sqref="F30">
    <cfRule type="expression" dxfId="2234" priority="138">
      <formula>$E$30="n/a"</formula>
    </cfRule>
  </conditionalFormatting>
  <conditionalFormatting sqref="F31">
    <cfRule type="expression" dxfId="2233" priority="137">
      <formula>$E$31="n/a"</formula>
    </cfRule>
  </conditionalFormatting>
  <conditionalFormatting sqref="F32">
    <cfRule type="expression" dxfId="2232" priority="136">
      <formula>$E$32="n/a"</formula>
    </cfRule>
  </conditionalFormatting>
  <conditionalFormatting sqref="F33">
    <cfRule type="expression" dxfId="2231" priority="135">
      <formula>$E$33="n/a"</formula>
    </cfRule>
  </conditionalFormatting>
  <conditionalFormatting sqref="F34">
    <cfRule type="expression" dxfId="2230" priority="134">
      <formula>$E$34="n/a"</formula>
    </cfRule>
  </conditionalFormatting>
  <conditionalFormatting sqref="F35">
    <cfRule type="expression" dxfId="2229" priority="133">
      <formula>$E$35="n/a"</formula>
    </cfRule>
  </conditionalFormatting>
  <conditionalFormatting sqref="F36">
    <cfRule type="expression" dxfId="2228" priority="132">
      <formula>$E$36="n/a"</formula>
    </cfRule>
  </conditionalFormatting>
  <conditionalFormatting sqref="F37">
    <cfRule type="expression" dxfId="2227" priority="131">
      <formula>$E$37="n/a"</formula>
    </cfRule>
  </conditionalFormatting>
  <conditionalFormatting sqref="F38">
    <cfRule type="expression" dxfId="2226" priority="130">
      <formula>$E$38="n/a"</formula>
    </cfRule>
  </conditionalFormatting>
  <conditionalFormatting sqref="F39">
    <cfRule type="expression" dxfId="2225" priority="129">
      <formula>$E$39="n/a"</formula>
    </cfRule>
  </conditionalFormatting>
  <conditionalFormatting sqref="F40">
    <cfRule type="expression" dxfId="2224" priority="128">
      <formula>$E$40="n/a"</formula>
    </cfRule>
  </conditionalFormatting>
  <conditionalFormatting sqref="F41">
    <cfRule type="expression" dxfId="2223" priority="127">
      <formula>$E$41="n/a"</formula>
    </cfRule>
  </conditionalFormatting>
  <conditionalFormatting sqref="F42">
    <cfRule type="expression" dxfId="2222" priority="126">
      <formula>$E$42="n/a"</formula>
    </cfRule>
  </conditionalFormatting>
  <conditionalFormatting sqref="F43">
    <cfRule type="expression" dxfId="2221" priority="125">
      <formula>$E$43="n/a"</formula>
    </cfRule>
  </conditionalFormatting>
  <conditionalFormatting sqref="F44">
    <cfRule type="expression" dxfId="2220" priority="124">
      <formula>$E$44="n/a"</formula>
    </cfRule>
  </conditionalFormatting>
  <conditionalFormatting sqref="F45">
    <cfRule type="expression" dxfId="2219" priority="123">
      <formula>$E$45="n/a"</formula>
    </cfRule>
  </conditionalFormatting>
  <conditionalFormatting sqref="F46">
    <cfRule type="expression" dxfId="2218" priority="122">
      <formula>$E$46="n/a"</formula>
    </cfRule>
  </conditionalFormatting>
  <conditionalFormatting sqref="F82">
    <cfRule type="expression" dxfId="2217" priority="120">
      <formula>$E$82="n/a"</formula>
    </cfRule>
  </conditionalFormatting>
  <conditionalFormatting sqref="F81">
    <cfRule type="expression" dxfId="2216" priority="119">
      <formula>$E$81="n/a"</formula>
    </cfRule>
  </conditionalFormatting>
  <conditionalFormatting sqref="F80">
    <cfRule type="expression" dxfId="2215" priority="118">
      <formula>$E$80="n/a"</formula>
    </cfRule>
  </conditionalFormatting>
  <conditionalFormatting sqref="F79">
    <cfRule type="expression" dxfId="2214" priority="117">
      <formula>$E$79="n/a"</formula>
    </cfRule>
  </conditionalFormatting>
  <conditionalFormatting sqref="F78">
    <cfRule type="expression" dxfId="2213" priority="116">
      <formula>$E$78="n/a"</formula>
    </cfRule>
  </conditionalFormatting>
  <conditionalFormatting sqref="F77">
    <cfRule type="expression" dxfId="2212" priority="115">
      <formula>$E$77="n/a"</formula>
    </cfRule>
  </conditionalFormatting>
  <conditionalFormatting sqref="F76">
    <cfRule type="expression" dxfId="2211" priority="114">
      <formula>$E$76="n/a"</formula>
    </cfRule>
  </conditionalFormatting>
  <conditionalFormatting sqref="F75">
    <cfRule type="expression" dxfId="2210" priority="113">
      <formula>$E$75="n/a"</formula>
    </cfRule>
  </conditionalFormatting>
  <conditionalFormatting sqref="F74">
    <cfRule type="expression" dxfId="2209" priority="112">
      <formula>$E$74="n/a"</formula>
    </cfRule>
  </conditionalFormatting>
  <conditionalFormatting sqref="F73">
    <cfRule type="expression" dxfId="2208" priority="110">
      <formula>$E$73="n/a"</formula>
    </cfRule>
  </conditionalFormatting>
  <conditionalFormatting sqref="F72">
    <cfRule type="expression" dxfId="2207" priority="86">
      <formula>$E$72="n/a"</formula>
    </cfRule>
  </conditionalFormatting>
  <conditionalFormatting sqref="F47">
    <cfRule type="expression" dxfId="2206" priority="121">
      <formula>$E$47="n/a"</formula>
    </cfRule>
  </conditionalFormatting>
  <conditionalFormatting sqref="F48">
    <cfRule type="expression" dxfId="2205" priority="111">
      <formula>$E$48="n/a"</formula>
    </cfRule>
  </conditionalFormatting>
  <conditionalFormatting sqref="F49">
    <cfRule type="expression" dxfId="2204" priority="109">
      <formula>$E$49="n/a"</formula>
    </cfRule>
  </conditionalFormatting>
  <conditionalFormatting sqref="F50">
    <cfRule type="expression" dxfId="2203" priority="108">
      <formula>$E$50="n/a"</formula>
    </cfRule>
  </conditionalFormatting>
  <conditionalFormatting sqref="F51">
    <cfRule type="expression" dxfId="2202" priority="107">
      <formula>$E$51="n/a"</formula>
    </cfRule>
  </conditionalFormatting>
  <conditionalFormatting sqref="F52">
    <cfRule type="expression" dxfId="2201" priority="106">
      <formula>$E$52="n/a"</formula>
    </cfRule>
  </conditionalFormatting>
  <conditionalFormatting sqref="F53">
    <cfRule type="expression" dxfId="2200" priority="105">
      <formula>$E$53="n/a"</formula>
    </cfRule>
  </conditionalFormatting>
  <conditionalFormatting sqref="F54">
    <cfRule type="expression" dxfId="2199" priority="104">
      <formula>$E$54="n/a"</formula>
    </cfRule>
  </conditionalFormatting>
  <conditionalFormatting sqref="F55">
    <cfRule type="expression" dxfId="2198" priority="103">
      <formula>$E$55="n/a"</formula>
    </cfRule>
  </conditionalFormatting>
  <conditionalFormatting sqref="F56">
    <cfRule type="expression" dxfId="2197" priority="102">
      <formula>$E$56="n/a"</formula>
    </cfRule>
  </conditionalFormatting>
  <conditionalFormatting sqref="F57">
    <cfRule type="expression" dxfId="2196" priority="101">
      <formula>$E$57="n/a"</formula>
    </cfRule>
  </conditionalFormatting>
  <conditionalFormatting sqref="F58">
    <cfRule type="expression" dxfId="2195" priority="100">
      <formula>$E$58="n/a"</formula>
    </cfRule>
  </conditionalFormatting>
  <conditionalFormatting sqref="F59">
    <cfRule type="expression" dxfId="2194" priority="99">
      <formula>$E$59="n/a"</formula>
    </cfRule>
  </conditionalFormatting>
  <conditionalFormatting sqref="F60">
    <cfRule type="expression" dxfId="2193" priority="98">
      <formula>$E$60="n/a"</formula>
    </cfRule>
  </conditionalFormatting>
  <conditionalFormatting sqref="F61">
    <cfRule type="expression" dxfId="2192" priority="97">
      <formula>$E$61="n/a"</formula>
    </cfRule>
  </conditionalFormatting>
  <conditionalFormatting sqref="F62">
    <cfRule type="expression" dxfId="2191" priority="96">
      <formula>$E$62="n/a"</formula>
    </cfRule>
  </conditionalFormatting>
  <conditionalFormatting sqref="F63">
    <cfRule type="expression" dxfId="2190" priority="95">
      <formula>$E$63="n/a"</formula>
    </cfRule>
  </conditionalFormatting>
  <conditionalFormatting sqref="F64">
    <cfRule type="expression" dxfId="2189" priority="94">
      <formula>$E$64="n/a"</formula>
    </cfRule>
  </conditionalFormatting>
  <conditionalFormatting sqref="F65">
    <cfRule type="expression" dxfId="2188" priority="93">
      <formula>$E$65="n/a"</formula>
    </cfRule>
  </conditionalFormatting>
  <conditionalFormatting sqref="F66">
    <cfRule type="expression" dxfId="2187" priority="92">
      <formula>$E$66="n/a"</formula>
    </cfRule>
  </conditionalFormatting>
  <conditionalFormatting sqref="F67">
    <cfRule type="expression" dxfId="2186" priority="91">
      <formula>$E$67="n/a"</formula>
    </cfRule>
  </conditionalFormatting>
  <conditionalFormatting sqref="F68">
    <cfRule type="expression" dxfId="2185" priority="90">
      <formula>$E$68="n/a"</formula>
    </cfRule>
  </conditionalFormatting>
  <conditionalFormatting sqref="F69">
    <cfRule type="expression" dxfId="2184" priority="89">
      <formula>$E$69="n/a"</formula>
    </cfRule>
  </conditionalFormatting>
  <conditionalFormatting sqref="F70">
    <cfRule type="expression" dxfId="2183" priority="88">
      <formula>$E$70="n/a"</formula>
    </cfRule>
  </conditionalFormatting>
  <conditionalFormatting sqref="F71">
    <cfRule type="expression" dxfId="2182" priority="87">
      <formula>$E$71="n/a"</formula>
    </cfRule>
  </conditionalFormatting>
  <conditionalFormatting sqref="I7">
    <cfRule type="expression" dxfId="2181" priority="83">
      <formula>$B$7="v"</formula>
    </cfRule>
  </conditionalFormatting>
  <conditionalFormatting sqref="I8">
    <cfRule type="expression" dxfId="2180" priority="82">
      <formula>$B$8="v"</formula>
    </cfRule>
  </conditionalFormatting>
  <conditionalFormatting sqref="I9">
    <cfRule type="expression" dxfId="2179" priority="81">
      <formula>$B$9="v"</formula>
    </cfRule>
  </conditionalFormatting>
  <conditionalFormatting sqref="I10">
    <cfRule type="expression" dxfId="2178" priority="80">
      <formula>$B$10="v"</formula>
    </cfRule>
  </conditionalFormatting>
  <conditionalFormatting sqref="I11">
    <cfRule type="expression" dxfId="2177" priority="79">
      <formula>$B$11="v"</formula>
    </cfRule>
  </conditionalFormatting>
  <conditionalFormatting sqref="I12">
    <cfRule type="expression" dxfId="2176" priority="78">
      <formula>$B$12="v"</formula>
    </cfRule>
  </conditionalFormatting>
  <conditionalFormatting sqref="I13">
    <cfRule type="expression" dxfId="2175" priority="77">
      <formula>$B$13="v"</formula>
    </cfRule>
  </conditionalFormatting>
  <conditionalFormatting sqref="I14">
    <cfRule type="expression" dxfId="2174" priority="76">
      <formula>$B$14="v"</formula>
    </cfRule>
  </conditionalFormatting>
  <conditionalFormatting sqref="I15">
    <cfRule type="expression" dxfId="2173" priority="75">
      <formula>$B$15="v"</formula>
    </cfRule>
  </conditionalFormatting>
  <conditionalFormatting sqref="I16">
    <cfRule type="expression" dxfId="2172" priority="74">
      <formula>$B$16="v"</formula>
    </cfRule>
  </conditionalFormatting>
  <conditionalFormatting sqref="I17">
    <cfRule type="expression" dxfId="2171" priority="73">
      <formula>$B$17="v"</formula>
    </cfRule>
  </conditionalFormatting>
  <conditionalFormatting sqref="I18">
    <cfRule type="expression" dxfId="2170" priority="72">
      <formula>$B$18="v"</formula>
    </cfRule>
  </conditionalFormatting>
  <conditionalFormatting sqref="I19">
    <cfRule type="expression" dxfId="2169" priority="71">
      <formula>$B$19="v"</formula>
    </cfRule>
  </conditionalFormatting>
  <conditionalFormatting sqref="I20">
    <cfRule type="expression" dxfId="2168" priority="70">
      <formula>$B$20="v"</formula>
    </cfRule>
  </conditionalFormatting>
  <conditionalFormatting sqref="I21">
    <cfRule type="expression" dxfId="2167" priority="69">
      <formula>$B$21="v"</formula>
    </cfRule>
  </conditionalFormatting>
  <conditionalFormatting sqref="I22">
    <cfRule type="expression" dxfId="2166" priority="68">
      <formula>$B$22="v"</formula>
    </cfRule>
  </conditionalFormatting>
  <conditionalFormatting sqref="I23">
    <cfRule type="expression" dxfId="2165" priority="67">
      <formula>$B$23="v"</formula>
    </cfRule>
  </conditionalFormatting>
  <conditionalFormatting sqref="I24">
    <cfRule type="expression" dxfId="2164" priority="66">
      <formula>$B$24="v"</formula>
    </cfRule>
  </conditionalFormatting>
  <conditionalFormatting sqref="I25">
    <cfRule type="expression" dxfId="2163" priority="65">
      <formula>$B$25="v"</formula>
    </cfRule>
  </conditionalFormatting>
  <conditionalFormatting sqref="I26">
    <cfRule type="expression" dxfId="2162" priority="64">
      <formula>$B$26="v"</formula>
    </cfRule>
  </conditionalFormatting>
  <conditionalFormatting sqref="I27">
    <cfRule type="expression" dxfId="2161" priority="63">
      <formula>$B$27="v"</formula>
    </cfRule>
  </conditionalFormatting>
  <conditionalFormatting sqref="I28">
    <cfRule type="expression" dxfId="2160" priority="62">
      <formula>$B$28="v"</formula>
    </cfRule>
  </conditionalFormatting>
  <conditionalFormatting sqref="I29">
    <cfRule type="expression" dxfId="2159" priority="61">
      <formula>$B$29="v"</formula>
    </cfRule>
  </conditionalFormatting>
  <conditionalFormatting sqref="I30">
    <cfRule type="expression" dxfId="2158" priority="60">
      <formula>$B$30="v"</formula>
    </cfRule>
  </conditionalFormatting>
  <conditionalFormatting sqref="I31">
    <cfRule type="expression" dxfId="2157" priority="59">
      <formula>$B$31="v"</formula>
    </cfRule>
  </conditionalFormatting>
  <conditionalFormatting sqref="I32">
    <cfRule type="expression" dxfId="2156" priority="58">
      <formula>$B$32="v"</formula>
    </cfRule>
  </conditionalFormatting>
  <conditionalFormatting sqref="I33">
    <cfRule type="expression" dxfId="2155" priority="57">
      <formula>$B$33="v"</formula>
    </cfRule>
  </conditionalFormatting>
  <conditionalFormatting sqref="I34">
    <cfRule type="expression" dxfId="2154" priority="56">
      <formula>$B$34="v"</formula>
    </cfRule>
  </conditionalFormatting>
  <conditionalFormatting sqref="I35">
    <cfRule type="expression" dxfId="2153" priority="55">
      <formula>$B$35="v"</formula>
    </cfRule>
  </conditionalFormatting>
  <conditionalFormatting sqref="I36">
    <cfRule type="expression" dxfId="2152" priority="54">
      <formula>$B$36="v"</formula>
    </cfRule>
  </conditionalFormatting>
  <conditionalFormatting sqref="I37">
    <cfRule type="expression" dxfId="2151" priority="53">
      <formula>$B$37="v"</formula>
    </cfRule>
  </conditionalFormatting>
  <conditionalFormatting sqref="I38">
    <cfRule type="expression" dxfId="2150" priority="52">
      <formula>$B$38="v"</formula>
    </cfRule>
  </conditionalFormatting>
  <conditionalFormatting sqref="I39">
    <cfRule type="expression" dxfId="2149" priority="51">
      <formula>$B$39="v"</formula>
    </cfRule>
  </conditionalFormatting>
  <conditionalFormatting sqref="I40">
    <cfRule type="expression" dxfId="2148" priority="50">
      <formula>$B$40="v"</formula>
    </cfRule>
  </conditionalFormatting>
  <conditionalFormatting sqref="I41">
    <cfRule type="expression" dxfId="2147" priority="49">
      <formula>$B$41="v"</formula>
    </cfRule>
  </conditionalFormatting>
  <conditionalFormatting sqref="I42">
    <cfRule type="expression" dxfId="2146" priority="48">
      <formula>$B$42="v"</formula>
    </cfRule>
  </conditionalFormatting>
  <conditionalFormatting sqref="I43">
    <cfRule type="expression" dxfId="2145" priority="47">
      <formula>$B$43="v"</formula>
    </cfRule>
  </conditionalFormatting>
  <conditionalFormatting sqref="I44">
    <cfRule type="expression" dxfId="2144" priority="46">
      <formula>$B$44="v"</formula>
    </cfRule>
  </conditionalFormatting>
  <conditionalFormatting sqref="I45">
    <cfRule type="expression" dxfId="2143" priority="45">
      <formula>$B$45="v"</formula>
    </cfRule>
  </conditionalFormatting>
  <conditionalFormatting sqref="I46">
    <cfRule type="expression" dxfId="2142" priority="44">
      <formula>$B$46="v"</formula>
    </cfRule>
  </conditionalFormatting>
  <conditionalFormatting sqref="I47">
    <cfRule type="expression" dxfId="2141" priority="43">
      <formula>$B$47="v"</formula>
    </cfRule>
  </conditionalFormatting>
  <conditionalFormatting sqref="I48">
    <cfRule type="expression" dxfId="2140" priority="42">
      <formula>$B$48="v"</formula>
    </cfRule>
  </conditionalFormatting>
  <conditionalFormatting sqref="I49">
    <cfRule type="expression" dxfId="2139" priority="41">
      <formula>$B$49="v"</formula>
    </cfRule>
  </conditionalFormatting>
  <conditionalFormatting sqref="I50">
    <cfRule type="expression" dxfId="2138" priority="40">
      <formula>$B$50="v"</formula>
    </cfRule>
  </conditionalFormatting>
  <conditionalFormatting sqref="I51">
    <cfRule type="expression" dxfId="2137" priority="39">
      <formula>$B$51="v"</formula>
    </cfRule>
  </conditionalFormatting>
  <conditionalFormatting sqref="I52">
    <cfRule type="expression" dxfId="2136" priority="38">
      <formula>$B$52="v"</formula>
    </cfRule>
  </conditionalFormatting>
  <conditionalFormatting sqref="I53">
    <cfRule type="expression" dxfId="2135" priority="37">
      <formula>$B$53="v"</formula>
    </cfRule>
  </conditionalFormatting>
  <conditionalFormatting sqref="I54">
    <cfRule type="expression" dxfId="2134" priority="36">
      <formula>$B$54="v"</formula>
    </cfRule>
  </conditionalFormatting>
  <conditionalFormatting sqref="I55">
    <cfRule type="expression" dxfId="2133" priority="35">
      <formula>$B$55="v"</formula>
    </cfRule>
  </conditionalFormatting>
  <conditionalFormatting sqref="I56">
    <cfRule type="expression" dxfId="2132" priority="34">
      <formula>$B$56="v"</formula>
    </cfRule>
  </conditionalFormatting>
  <conditionalFormatting sqref="I57">
    <cfRule type="expression" dxfId="2131" priority="33">
      <formula>$B$57="v"</formula>
    </cfRule>
  </conditionalFormatting>
  <conditionalFormatting sqref="I58">
    <cfRule type="expression" dxfId="2130" priority="32">
      <formula>$B$58="v"</formula>
    </cfRule>
  </conditionalFormatting>
  <conditionalFormatting sqref="I59">
    <cfRule type="expression" dxfId="2129" priority="31">
      <formula>$B$59="v"</formula>
    </cfRule>
  </conditionalFormatting>
  <conditionalFormatting sqref="I60">
    <cfRule type="expression" dxfId="2128" priority="30">
      <formula>$B$60="v"</formula>
    </cfRule>
  </conditionalFormatting>
  <conditionalFormatting sqref="I61">
    <cfRule type="expression" dxfId="2127" priority="29">
      <formula>$B$61="v"</formula>
    </cfRule>
  </conditionalFormatting>
  <conditionalFormatting sqref="I62">
    <cfRule type="expression" dxfId="2126" priority="28">
      <formula>$B$62="v"</formula>
    </cfRule>
  </conditionalFormatting>
  <conditionalFormatting sqref="I63">
    <cfRule type="expression" dxfId="2125" priority="27">
      <formula>$B$63="v"</formula>
    </cfRule>
  </conditionalFormatting>
  <conditionalFormatting sqref="I64">
    <cfRule type="expression" dxfId="2124" priority="26">
      <formula>$B$64="v"</formula>
    </cfRule>
  </conditionalFormatting>
  <conditionalFormatting sqref="I65">
    <cfRule type="expression" dxfId="2123" priority="25">
      <formula>$B$65="v"</formula>
    </cfRule>
  </conditionalFormatting>
  <conditionalFormatting sqref="I66">
    <cfRule type="expression" dxfId="2122" priority="24">
      <formula>$B$66="v"</formula>
    </cfRule>
  </conditionalFormatting>
  <conditionalFormatting sqref="I67">
    <cfRule type="expression" dxfId="2121" priority="23">
      <formula>$B$67="v"</formula>
    </cfRule>
  </conditionalFormatting>
  <conditionalFormatting sqref="I68">
    <cfRule type="expression" dxfId="2120" priority="22">
      <formula>$B$68="v"</formula>
    </cfRule>
  </conditionalFormatting>
  <conditionalFormatting sqref="I69">
    <cfRule type="expression" dxfId="2119" priority="21">
      <formula>$B$69="v"</formula>
    </cfRule>
  </conditionalFormatting>
  <conditionalFormatting sqref="I70">
    <cfRule type="expression" dxfId="2118" priority="20">
      <formula>$B$70="v"</formula>
    </cfRule>
  </conditionalFormatting>
  <conditionalFormatting sqref="I71">
    <cfRule type="expression" dxfId="2117" priority="19">
      <formula>$B$71="v"</formula>
    </cfRule>
  </conditionalFormatting>
  <conditionalFormatting sqref="I72">
    <cfRule type="expression" dxfId="2116" priority="18">
      <formula>$B$72="v"</formula>
    </cfRule>
  </conditionalFormatting>
  <conditionalFormatting sqref="I73">
    <cfRule type="expression" dxfId="2115" priority="17">
      <formula>$B$73="v"</formula>
    </cfRule>
  </conditionalFormatting>
  <conditionalFormatting sqref="I74">
    <cfRule type="expression" dxfId="2114" priority="16">
      <formula>$B$74="v"</formula>
    </cfRule>
  </conditionalFormatting>
  <conditionalFormatting sqref="I75">
    <cfRule type="expression" dxfId="2113" priority="15">
      <formula>$B$75="v"</formula>
    </cfRule>
  </conditionalFormatting>
  <conditionalFormatting sqref="I76">
    <cfRule type="expression" dxfId="2112" priority="14">
      <formula>$B$76="v"</formula>
    </cfRule>
  </conditionalFormatting>
  <conditionalFormatting sqref="I77">
    <cfRule type="expression" dxfId="2111" priority="13">
      <formula>$B$77="v"</formula>
    </cfRule>
  </conditionalFormatting>
  <conditionalFormatting sqref="I78">
    <cfRule type="expression" dxfId="2110" priority="12">
      <formula>$B$78="v"</formula>
    </cfRule>
  </conditionalFormatting>
  <conditionalFormatting sqref="I79">
    <cfRule type="expression" dxfId="2109" priority="11">
      <formula>$B$79="v"</formula>
    </cfRule>
  </conditionalFormatting>
  <conditionalFormatting sqref="I80">
    <cfRule type="expression" dxfId="2108" priority="10">
      <formula>$B$80="v"</formula>
    </cfRule>
  </conditionalFormatting>
  <conditionalFormatting sqref="I81">
    <cfRule type="expression" dxfId="2107" priority="9">
      <formula>$B$81="v"</formula>
    </cfRule>
  </conditionalFormatting>
  <conditionalFormatting sqref="I82">
    <cfRule type="expression" dxfId="2106" priority="8">
      <formula>$B$82="v"</formula>
    </cfRule>
  </conditionalFormatting>
  <conditionalFormatting sqref="L5:N6">
    <cfRule type="expression" dxfId="2105" priority="322">
      <formula>$K$4=1</formula>
    </cfRule>
  </conditionalFormatting>
  <conditionalFormatting sqref="L7:N82">
    <cfRule type="expression" dxfId="2104" priority="325">
      <formula>$K$4=1</formula>
    </cfRule>
  </conditionalFormatting>
  <conditionalFormatting sqref="M4:N4">
    <cfRule type="expression" dxfId="2103" priority="324">
      <formula>$K$4=1</formula>
    </cfRule>
  </conditionalFormatting>
  <conditionalFormatting sqref="L7:N82">
    <cfRule type="expression" dxfId="2102" priority="185">
      <formula>$K$4=""</formula>
    </cfRule>
  </conditionalFormatting>
  <conditionalFormatting sqref="P5:R6">
    <cfRule type="expression" dxfId="2101" priority="326">
      <formula>$O$4=1</formula>
    </cfRule>
  </conditionalFormatting>
  <conditionalFormatting sqref="P7:R82">
    <cfRule type="expression" dxfId="2100" priority="329">
      <formula>$O$4=1</formula>
    </cfRule>
  </conditionalFormatting>
  <conditionalFormatting sqref="Q4:R4">
    <cfRule type="expression" dxfId="2099" priority="328">
      <formula>$O$4=1</formula>
    </cfRule>
  </conditionalFormatting>
  <conditionalFormatting sqref="P7:R82">
    <cfRule type="expression" dxfId="2098" priority="183">
      <formula>$O$4=""</formula>
    </cfRule>
  </conditionalFormatting>
  <conditionalFormatting sqref="T5:V6">
    <cfRule type="expression" dxfId="2097" priority="330">
      <formula>$S$4=1</formula>
    </cfRule>
  </conditionalFormatting>
  <conditionalFormatting sqref="T7:V82">
    <cfRule type="expression" dxfId="2096" priority="382">
      <formula>$S$4=1</formula>
    </cfRule>
  </conditionalFormatting>
  <conditionalFormatting sqref="U4:V4">
    <cfRule type="expression" dxfId="2095" priority="332">
      <formula>$S$4=1</formula>
    </cfRule>
  </conditionalFormatting>
  <conditionalFormatting sqref="T7:V82">
    <cfRule type="expression" dxfId="2094" priority="181">
      <formula>$S$4=""</formula>
    </cfRule>
  </conditionalFormatting>
  <conditionalFormatting sqref="X5:Z6">
    <cfRule type="expression" dxfId="2093" priority="334">
      <formula>$W$4=1</formula>
    </cfRule>
  </conditionalFormatting>
  <conditionalFormatting sqref="X7:Z82">
    <cfRule type="expression" dxfId="2092" priority="378">
      <formula>$W$4=1</formula>
    </cfRule>
  </conditionalFormatting>
  <conditionalFormatting sqref="Y4:Z4">
    <cfRule type="expression" dxfId="2091" priority="336">
      <formula>$W$4=1</formula>
    </cfRule>
  </conditionalFormatting>
  <conditionalFormatting sqref="X7:Z82">
    <cfRule type="expression" dxfId="2090" priority="182">
      <formula>$W$4=""</formula>
    </cfRule>
  </conditionalFormatting>
  <conditionalFormatting sqref="AB5:AD6">
    <cfRule type="expression" dxfId="2089" priority="338">
      <formula>$AA$4=1</formula>
    </cfRule>
  </conditionalFormatting>
  <conditionalFormatting sqref="AB7:AD82">
    <cfRule type="expression" dxfId="2088" priority="341">
      <formula>$AA$4=1</formula>
    </cfRule>
  </conditionalFormatting>
  <conditionalFormatting sqref="AC4:AD4">
    <cfRule type="expression" dxfId="2087" priority="340">
      <formula>$AA$4=1</formula>
    </cfRule>
  </conditionalFormatting>
  <conditionalFormatting sqref="AB7:AD82">
    <cfRule type="expression" dxfId="2086" priority="331">
      <formula>$AA$4=""</formula>
    </cfRule>
  </conditionalFormatting>
  <conditionalFormatting sqref="AF5:AH6">
    <cfRule type="expression" dxfId="2085" priority="342">
      <formula>$AE$4=1</formula>
    </cfRule>
  </conditionalFormatting>
  <conditionalFormatting sqref="AF7:AH82">
    <cfRule type="expression" dxfId="2084" priority="345">
      <formula>$AE$4=1</formula>
    </cfRule>
  </conditionalFormatting>
  <conditionalFormatting sqref="AG4:AH4">
    <cfRule type="expression" dxfId="2083" priority="344">
      <formula>$AE$4=1</formula>
    </cfRule>
  </conditionalFormatting>
  <conditionalFormatting sqref="AF7:AH82">
    <cfRule type="expression" dxfId="2082" priority="333">
      <formula>$AE$4=""</formula>
    </cfRule>
  </conditionalFormatting>
  <conditionalFormatting sqref="AJ7:AL82">
    <cfRule type="expression" dxfId="2081" priority="349">
      <formula>$AI$4=1</formula>
    </cfRule>
  </conditionalFormatting>
  <conditionalFormatting sqref="AK4:AL4">
    <cfRule type="expression" dxfId="2080" priority="347">
      <formula>$AI$4=1</formula>
    </cfRule>
  </conditionalFormatting>
  <conditionalFormatting sqref="AJ5:AL6">
    <cfRule type="expression" dxfId="2079" priority="348">
      <formula>$AI$4=1</formula>
    </cfRule>
  </conditionalFormatting>
  <conditionalFormatting sqref="AJ7:AL82">
    <cfRule type="expression" dxfId="2078" priority="335">
      <formula>$AI$4=""</formula>
    </cfRule>
  </conditionalFormatting>
  <conditionalFormatting sqref="AN7:AP82">
    <cfRule type="expression" dxfId="2077" priority="353">
      <formula>$AM$4=1</formula>
    </cfRule>
  </conditionalFormatting>
  <conditionalFormatting sqref="AO4:AP4 AS4:AT4">
    <cfRule type="expression" dxfId="2076" priority="351">
      <formula>AQ$4=1</formula>
    </cfRule>
  </conditionalFormatting>
  <conditionalFormatting sqref="AN5:AP6">
    <cfRule type="expression" dxfId="2075" priority="352">
      <formula>$AM$4=1</formula>
    </cfRule>
  </conditionalFormatting>
  <conditionalFormatting sqref="AN7:AP82">
    <cfRule type="expression" dxfId="2074" priority="337">
      <formula>$AM$4=""</formula>
    </cfRule>
  </conditionalFormatting>
  <conditionalFormatting sqref="AR7:AT82">
    <cfRule type="expression" dxfId="2073" priority="357">
      <formula>$AQ$4=1</formula>
    </cfRule>
  </conditionalFormatting>
  <conditionalFormatting sqref="AR5:AT6">
    <cfRule type="expression" dxfId="2072" priority="356">
      <formula>$AQ$4=1</formula>
    </cfRule>
  </conditionalFormatting>
  <conditionalFormatting sqref="AR7:AT82">
    <cfRule type="expression" dxfId="2071" priority="339">
      <formula>$AQ$4=""</formula>
    </cfRule>
  </conditionalFormatting>
  <conditionalFormatting sqref="AV7:AX82">
    <cfRule type="expression" dxfId="2070" priority="361">
      <formula>$AU$4=1</formula>
    </cfRule>
  </conditionalFormatting>
  <conditionalFormatting sqref="AV5:AX6">
    <cfRule type="expression" dxfId="2069" priority="360">
      <formula>$AU$4=1</formula>
    </cfRule>
  </conditionalFormatting>
  <conditionalFormatting sqref="AV7:AX82">
    <cfRule type="expression" dxfId="2068" priority="180">
      <formula>$AU$4=""</formula>
    </cfRule>
  </conditionalFormatting>
  <conditionalFormatting sqref="AZ7:BB82">
    <cfRule type="expression" dxfId="2067" priority="365">
      <formula>$AY$4=1</formula>
    </cfRule>
  </conditionalFormatting>
  <conditionalFormatting sqref="AZ5:BB6">
    <cfRule type="expression" dxfId="2066" priority="364">
      <formula>$AY$4=1</formula>
    </cfRule>
  </conditionalFormatting>
  <conditionalFormatting sqref="AZ7:BB82">
    <cfRule type="expression" dxfId="2065" priority="343">
      <formula>$AY$4=""</formula>
    </cfRule>
  </conditionalFormatting>
  <conditionalFormatting sqref="BD7:BF82">
    <cfRule type="expression" dxfId="2064" priority="369">
      <formula>$BC$4=1</formula>
    </cfRule>
  </conditionalFormatting>
  <conditionalFormatting sqref="BD5:BF6">
    <cfRule type="expression" dxfId="2063" priority="368">
      <formula>$BC$4=1</formula>
    </cfRule>
  </conditionalFormatting>
  <conditionalFormatting sqref="BD7:BF82">
    <cfRule type="expression" dxfId="2062" priority="346">
      <formula>$BC$4=""</formula>
    </cfRule>
  </conditionalFormatting>
  <conditionalFormatting sqref="BH7:BJ82">
    <cfRule type="expression" dxfId="2061" priority="373">
      <formula>$BG$4=1</formula>
    </cfRule>
  </conditionalFormatting>
  <conditionalFormatting sqref="BH5:BJ6">
    <cfRule type="expression" dxfId="2060" priority="372">
      <formula>$BG$4=1</formula>
    </cfRule>
  </conditionalFormatting>
  <conditionalFormatting sqref="BH7:BJ82">
    <cfRule type="expression" dxfId="2059" priority="350">
      <formula>$BG$4=""</formula>
    </cfRule>
  </conditionalFormatting>
  <conditionalFormatting sqref="BL7:BN82">
    <cfRule type="expression" dxfId="2058" priority="377">
      <formula>$BK$4=1</formula>
    </cfRule>
  </conditionalFormatting>
  <conditionalFormatting sqref="BL5:BN6">
    <cfRule type="expression" dxfId="2057" priority="376">
      <formula>$BK$4=1</formula>
    </cfRule>
  </conditionalFormatting>
  <conditionalFormatting sqref="BL7:BN82">
    <cfRule type="expression" dxfId="2056" priority="354">
      <formula>$BK$4=""</formula>
    </cfRule>
  </conditionalFormatting>
  <conditionalFormatting sqref="BP7:BR82">
    <cfRule type="expression" dxfId="2055" priority="381">
      <formula>$BO$4=1</formula>
    </cfRule>
  </conditionalFormatting>
  <conditionalFormatting sqref="BP5:BR6">
    <cfRule type="expression" dxfId="2054" priority="380">
      <formula>$BO$4=1</formula>
    </cfRule>
  </conditionalFormatting>
  <conditionalFormatting sqref="BP7:BR82">
    <cfRule type="expression" dxfId="2053" priority="362">
      <formula>$BO$4=""</formula>
    </cfRule>
  </conditionalFormatting>
  <conditionalFormatting sqref="BT7:BV82">
    <cfRule type="expression" dxfId="2052" priority="385">
      <formula>$BS$4=1</formula>
    </cfRule>
  </conditionalFormatting>
  <conditionalFormatting sqref="BT5:BV6">
    <cfRule type="expression" dxfId="2051" priority="384">
      <formula>$BS$4=1</formula>
    </cfRule>
  </conditionalFormatting>
  <conditionalFormatting sqref="BT7:BV82">
    <cfRule type="expression" dxfId="2050" priority="366">
      <formula>$BS$4=""</formula>
    </cfRule>
  </conditionalFormatting>
  <conditionalFormatting sqref="AW4:AX4">
    <cfRule type="expression" dxfId="2049" priority="7">
      <formula>AU$4=1</formula>
    </cfRule>
  </conditionalFormatting>
  <conditionalFormatting sqref="BA4:BB4">
    <cfRule type="expression" dxfId="2048" priority="6">
      <formula>AY$4=1</formula>
    </cfRule>
  </conditionalFormatting>
  <conditionalFormatting sqref="BE4:BF4">
    <cfRule type="expression" dxfId="2047" priority="5">
      <formula>BC$4=1</formula>
    </cfRule>
  </conditionalFormatting>
  <conditionalFormatting sqref="BI4:BJ4">
    <cfRule type="expression" dxfId="2046" priority="4">
      <formula>BG$4=1</formula>
    </cfRule>
  </conditionalFormatting>
  <conditionalFormatting sqref="BM4:BN4">
    <cfRule type="expression" dxfId="2045" priority="3">
      <formula>BK$4=1</formula>
    </cfRule>
  </conditionalFormatting>
  <conditionalFormatting sqref="BQ4:BR4">
    <cfRule type="expression" dxfId="2044" priority="2">
      <formula>BO$4=1</formula>
    </cfRule>
  </conditionalFormatting>
  <conditionalFormatting sqref="BU4:BV4">
    <cfRule type="expression" dxfId="2043" priority="1">
      <formula>BS$4=1</formula>
    </cfRule>
  </conditionalFormatting>
  <dataValidations count="63">
    <dataValidation type="list" allowBlank="1" showInputMessage="1" showErrorMessage="1" sqref="BP7:BP82 AV7:AV82 BL7:BL82 BT7:BT82 BH7:BH82 BD7:BD82 AZ7:AZ82" xr:uid="{34CCCB37-94A7-465C-BF3D-62EC093D6352}">
      <formula1>"&lt;, &lt;=, &gt;, &gt;=, ="</formula1>
    </dataValidation>
    <dataValidation type="list" allowBlank="1" showInputMessage="1" showErrorMessage="1" sqref="B7:B82" xr:uid="{300A8BE7-D10F-4E9C-A075-C20281AD8B89}">
      <formula1>"v"</formula1>
    </dataValidation>
    <dataValidation type="list" allowBlank="1" showInputMessage="1" showErrorMessage="1" sqref="F2" xr:uid="{930AD3FC-A5C2-4727-AC27-F2C61C8879B0}">
      <formula1>"1, 2, 3, 4, 5, 6, 7, 8, 9, 10, 11, 12, 13, 14, 15, 16, 17"</formula1>
    </dataValidation>
    <dataValidation type="list" allowBlank="1" showInputMessage="1" showErrorMessage="1" sqref="D7" xr:uid="{1F270108-8C58-42E0-96C8-A2CDC5271C2A}">
      <formula1>"* ,[ASTM] D4176 Procedure 1"</formula1>
    </dataValidation>
    <dataValidation type="list" allowBlank="1" showInputMessage="1" showErrorMessage="1" sqref="D8 D12" xr:uid="{C39769F4-AD34-4BDF-BA22-4D385BE30D49}">
      <formula1>"* ,[OTHER] Visual"</formula1>
    </dataValidation>
    <dataValidation type="list" allowBlank="1" showInputMessage="1" showErrorMessage="1" sqref="D9" xr:uid="{FF56CB58-6AD8-40DD-8DD9-59B4361EB0DD}">
      <formula1>"* ,[ASTM] D6839,[ASTM] D5580,[ASTM] D5134,[ASTM] D1319,[ASTM] D5443"</formula1>
    </dataValidation>
    <dataValidation type="list" allowBlank="1" showInputMessage="1" showErrorMessage="1" sqref="D10" xr:uid="{D2952610-4710-4EDF-9528-4C7B503AEECC}">
      <formula1>"* ,[ASTM] D5580,[ASTM] D5443"</formula1>
    </dataValidation>
    <dataValidation type="list" allowBlank="1" showInputMessage="1" showErrorMessage="1" sqref="D11" xr:uid="{27A16197-2C36-4C42-9E54-A896AA9E2D73}">
      <formula1>"* ,[ASTM] D3606,[ASTM] D4053,[ASTM] D6839,[ASTM] D5580"</formula1>
    </dataValidation>
    <dataValidation type="list" allowBlank="1" showInputMessage="1" showErrorMessage="1" sqref="D13" xr:uid="{3C608DBF-B124-4A7E-A80E-0E3195845DE0}">
      <formula1>"* ,[ASTM] D130"</formula1>
    </dataValidation>
    <dataValidation type="list" allowBlank="1" showInputMessage="1" showErrorMessage="1" sqref="D14" xr:uid="{0A928F0A-B525-4415-A744-CA6A43BE319F}">
      <formula1>"* ,[ASTM] D1298,[ASTM] D4052"</formula1>
    </dataValidation>
    <dataValidation type="list" allowBlank="1" showInputMessage="1" showErrorMessage="1" sqref="D15 D16 D17 D18 D19 D20 D21" xr:uid="{C73F4958-0721-4E69-8E5A-5429EB7F88AC}">
      <formula1>"* ,[ASTM] D86"</formula1>
    </dataValidation>
    <dataValidation type="list" allowBlank="1" showInputMessage="1" showErrorMessage="1" sqref="D22" xr:uid="{685B5761-49AD-4602-AC83-6888A91B6668}">
      <formula1>"* ,[OTHER] CGSB 3.5"</formula1>
    </dataValidation>
    <dataValidation type="list" allowBlank="1" showInputMessage="1" showErrorMessage="1" sqref="D23 D33 D36" xr:uid="{7E133D84-DC57-473F-ACB1-72E090D16A4D}">
      <formula1>"* ,[ASTM] D4815-04"</formula1>
    </dataValidation>
    <dataValidation type="list" allowBlank="1" showInputMessage="1" showErrorMessage="1" sqref="D24" xr:uid="{E13D5A67-6D49-465A-9020-2F05CBA6BC49}">
      <formula1>"* ,[OTHER] Calculation"</formula1>
    </dataValidation>
    <dataValidation type="list" allowBlank="1" showInputMessage="1" showErrorMessage="1" sqref="D25 D26" xr:uid="{3AABBCCB-D4F1-4EBD-A2ED-0797696B898F}">
      <formula1>"* ,[ASTM] D381"</formula1>
    </dataValidation>
    <dataValidation type="list" allowBlank="1" showInputMessage="1" showErrorMessage="1" sqref="D27" xr:uid="{45596678-975E-427D-89DF-7EC5EC0CD16B}">
      <formula1>"* ,[ASTM] D525"</formula1>
    </dataValidation>
    <dataValidation type="list" allowBlank="1" showInputMessage="1" showErrorMessage="1" sqref="D28" xr:uid="{E3FDBDD5-A554-4A90-8906-F4D5C9F3C31A}">
      <formula1>"* ,[IP] IP 352,[ASTM] D3237,[ASTM] D5059"</formula1>
    </dataValidation>
    <dataValidation type="list" allowBlank="1" showInputMessage="1" showErrorMessage="1" sqref="D29" xr:uid="{0BC4AC3F-8785-4E7E-97D3-C7A30C8C5833}">
      <formula1>"* ,[ASTM] D2700"</formula1>
    </dataValidation>
    <dataValidation type="list" allowBlank="1" showInputMessage="1" showErrorMessage="1" sqref="D30" xr:uid="{B11567F5-E4C9-47AC-9A2D-C1FF3253BDD9}">
      <formula1>"* ,[ASTM] D2699"</formula1>
    </dataValidation>
    <dataValidation type="list" allowBlank="1" showInputMessage="1" showErrorMessage="1" sqref="D31" xr:uid="{86245A20-7E7A-40EF-82F0-E5A0510E4BEC}">
      <formula1>"* ,[OTHER] Odor"</formula1>
    </dataValidation>
    <dataValidation type="list" allowBlank="1" showInputMessage="1" showErrorMessage="1" sqref="D32" xr:uid="{B1C95290-7C38-425F-9682-99A6E9E07215}">
      <formula1>"* ,[ASTM] D1319"</formula1>
    </dataValidation>
    <dataValidation type="list" allowBlank="1" showInputMessage="1" showErrorMessage="1" sqref="D34 D35 D37 D38 D39" xr:uid="{AC5BC0BE-6D97-4F93-BB5F-F4A911275D33}">
      <formula1>"* ,[ASTM] D4815"</formula1>
    </dataValidation>
    <dataValidation type="list" allowBlank="1" showInputMessage="1" showErrorMessage="1" sqref="D40" xr:uid="{ED6241C6-2F44-4F57-A626-46D1D77AA444}">
      <formula1>"* ,[ASTM] D5452"</formula1>
    </dataValidation>
    <dataValidation type="list" allowBlank="1" showInputMessage="1" showErrorMessage="1" sqref="D41" xr:uid="{DC57FFDC-C6AD-40C7-8B5A-B64FD0891B28}">
      <formula1>"* ,[ASTM] D3231"</formula1>
    </dataValidation>
    <dataValidation type="list" allowBlank="1" showInputMessage="1" showErrorMessage="1" sqref="D42" xr:uid="{6E99815F-80C7-44EC-8144-DC075461F30F}">
      <formula1>"* ,[ASTM] D7671"</formula1>
    </dataValidation>
    <dataValidation type="list" allowBlank="1" showInputMessage="1" showErrorMessage="1" sqref="D43" xr:uid="{BB866A92-146B-40C8-BB36-3634A37529F2}">
      <formula1>"* ,[ASTM] D4294,[ASTM] D5453,[IP] IP 336"</formula1>
    </dataValidation>
    <dataValidation type="list" allowBlank="1" showInputMessage="1" showErrorMessage="1" sqref="D44" xr:uid="{6CB3A250-89D0-48C6-8BFA-8479D07814D6}">
      <formula1>"* ,[IP] IP 342,[ASTM] D3227"</formula1>
    </dataValidation>
    <dataValidation type="list" allowBlank="1" showInputMessage="1" showErrorMessage="1" sqref="D45" xr:uid="{64903527-5EAB-42B1-9AAE-43678CB0D16E}">
      <formula1>"* ,[ASTM] D4952,[IP] IP 30"</formula1>
    </dataValidation>
    <dataValidation type="list" allowBlank="1" showInputMessage="1" showErrorMessage="1" sqref="D46" xr:uid="{21F4171F-BD34-407F-B959-51C454E03FEE}">
      <formula1>"* ,[ASTM] D323,[ASTM] D5191 (ASTM)"</formula1>
    </dataValidation>
    <dataValidation type="list" allowBlank="1" showInputMessage="1" showErrorMessage="1" sqref="D47 D48" xr:uid="{E92CBDE5-4994-4C5F-A852-B31EA753165B}">
      <formula1>"* ,[OTHER] Declaration"</formula1>
    </dataValidation>
    <dataValidation type="list" allowBlank="1" showInputMessage="1" showErrorMessage="1" sqref="D49" xr:uid="{C39ABB4D-A3C7-465C-81FE-B83C8666B6D0}">
      <formula1>"* ,[OTHER] Not Listed"</formula1>
    </dataValidation>
    <dataValidation type="list" allowBlank="1" showInputMessage="1" showErrorMessage="1" sqref="D50 D52 D53 D54 D55 D56" xr:uid="{08201003-D394-4E7A-8126-6617593C7646}">
      <formula1>"* ,[OTHER] Additives (declaration)"</formula1>
    </dataValidation>
    <dataValidation type="list" allowBlank="1" showInputMessage="1" showErrorMessage="1" sqref="D51" xr:uid="{A16F28A1-9F72-4DE4-9872-03EFC94003FE}">
      <formula1>"* ,[OTHER] Additive - Antioxidant (declaration)"</formula1>
    </dataValidation>
    <dataValidation type="list" allowBlank="1" showInputMessage="1" showErrorMessage="1" sqref="I7 I8" xr:uid="{91D9220D-8FC3-45E9-A25B-0B0660C0CDA5}">
      <formula1>"pass/fail,visual"</formula1>
    </dataValidation>
    <dataValidation type="list" allowBlank="1" showInputMessage="1" showErrorMessage="1" sqref="I9 I10" xr:uid="{FBC056F3-4BD2-4B81-909A-557B4382C0B3}">
      <formula1>"ppm,%liq vol,%m/m,%mole,%vol"</formula1>
    </dataValidation>
    <dataValidation type="list" allowBlank="1" showInputMessage="1" showErrorMessage="1" sqref="I11" xr:uid="{5740135A-CAFB-4154-AE4C-479C661D48F6}">
      <formula1>"mg/kg,ppm v/v,ppm w/w,%wt,%vol"</formula1>
    </dataValidation>
    <dataValidation type="list" allowBlank="1" showInputMessage="1" showErrorMessage="1" sqref="I12" xr:uid="{465E686C-B15F-4B98-9C52-07E87227B9A8}">
      <formula1>"haze no,Pt/Co scale,pass/fail,rating,visual"</formula1>
    </dataValidation>
    <dataValidation type="list" allowBlank="1" showInputMessage="1" showErrorMessage="1" sqref="I13 I42" xr:uid="{1F8D1734-C1DF-413C-A93C-F9940EA8B383}">
      <formula1>"rating"</formula1>
    </dataValidation>
    <dataValidation type="list" allowBlank="1" showInputMessage="1" showErrorMessage="1" sqref="I14" xr:uid="{3E1D74A2-F9BC-42D8-B557-84B64C23B13C}">
      <formula1>"g/ cc,g/l,g/cm³,g/ml,kg/m³,kg/l,n/a,tonne/m³"</formula1>
    </dataValidation>
    <dataValidation type="list" allowBlank="1" showInputMessage="1" showErrorMessage="1" sqref="I15 I16 I17 I18 I19 I20 I21" xr:uid="{8F02E072-A8D5-46FA-A363-1DC869B44CD7}">
      <formula1>"°C,°F,%,%vol"</formula1>
    </dataValidation>
    <dataValidation type="list" allowBlank="1" showInputMessage="1" showErrorMessage="1" sqref="I22" xr:uid="{B4C7C5F0-E075-46DA-A7AC-6AE10A87E610}">
      <formula1>"calc"</formula1>
    </dataValidation>
    <dataValidation type="list" allowBlank="1" showInputMessage="1" showErrorMessage="1" sqref="I23" xr:uid="{432F0FA7-80C5-4AAB-82E3-25DC648F2B84}">
      <formula1>"ppm,%vol"</formula1>
    </dataValidation>
    <dataValidation type="list" allowBlank="1" showInputMessage="1" showErrorMessage="1" sqref="I24" xr:uid="{CDB18613-A619-48ED-AF02-52E0576CDCA8}">
      <formula1>"calc,Min,Max,min/max"</formula1>
    </dataValidation>
    <dataValidation type="list" allowBlank="1" showInputMessage="1" showErrorMessage="1" sqref="I25 I26" xr:uid="{D7950B7D-B71B-4AE5-8FF9-7750C62F64BE}">
      <formula1>"g/m³,mg/100ml,mg/l"</formula1>
    </dataValidation>
    <dataValidation type="list" allowBlank="1" showInputMessage="1" showErrorMessage="1" sqref="I27" xr:uid="{D33AB6C9-CFC2-4BDD-93E5-3CE4C7BAECA1}">
      <formula1>"g/cm³,hrs,kg/m³,mg/100ml,mg/l,mins,rating"</formula1>
    </dataValidation>
    <dataValidation type="list" allowBlank="1" showInputMessage="1" showErrorMessage="1" sqref="I28" xr:uid="{F0738BCB-EB34-4B68-9790-45359025CF3D}">
      <formula1>"g Pb/l,g Pb/US gal,g/US gal,mg/kg,mg/l,ppb,ppm,ppm w/w,%vol"</formula1>
    </dataValidation>
    <dataValidation type="list" allowBlank="1" showInputMessage="1" showErrorMessage="1" sqref="I29 I30" xr:uid="{2D8791C1-4215-4590-ABF2-C581F4747039}">
      <formula1>"mg/kg,mg/l,ppm,ppm w/w,%wt,rating"</formula1>
    </dataValidation>
    <dataValidation type="list" allowBlank="1" showInputMessage="1" showErrorMessage="1" sqref="I31" xr:uid="{C6C3CDF8-412E-4226-B6E9-EBC149292679}">
      <formula1>"pass/fail"</formula1>
    </dataValidation>
    <dataValidation type="list" allowBlank="1" showInputMessage="1" showErrorMessage="1" sqref="I32" xr:uid="{5F848629-73BA-46BD-9BA0-B0F729281AA0}">
      <formula1>"ppm,%liq vol,%m/m,%mole,%wt,%vol"</formula1>
    </dataValidation>
    <dataValidation type="list" allowBlank="1" showInputMessage="1" showErrorMessage="1" sqref="I33" xr:uid="{582F58F1-B5D5-4956-9452-03FEE4DB9C4B}">
      <formula1>"%m,%mole,%vol,ppm-mol"</formula1>
    </dataValidation>
    <dataValidation type="list" allowBlank="1" showInputMessage="1" showErrorMessage="1" sqref="I34 I35 I37 I38 I39" xr:uid="{E28EF84D-27A0-476A-BEC4-7B6627D8D0CD}">
      <formula1>"mg/100ml,mg/kg,ppm,ppm v/v,%m/m,%mole,%wt,%vol"</formula1>
    </dataValidation>
    <dataValidation type="list" allowBlank="1" showInputMessage="1" showErrorMessage="1" sqref="I36" xr:uid="{03CCF609-2D9F-436B-A4C2-D20F855CFC1B}">
      <formula1>"ppm w/w,%vol"</formula1>
    </dataValidation>
    <dataValidation type="list" allowBlank="1" showInputMessage="1" showErrorMessage="1" sqref="I40" xr:uid="{F70D7CF9-89B7-461B-A042-AE0125AF4EDE}">
      <formula1>"g/cm³,μm,mg/100ml,mg/kg,mg/l,mins,ppm,%liq vol"</formula1>
    </dataValidation>
    <dataValidation type="list" allowBlank="1" showInputMessage="1" showErrorMessage="1" sqref="I41" xr:uid="{5E2ADF89-1F92-4800-8718-137F5360C1D0}">
      <formula1>"g P/US gal,mg P/l"</formula1>
    </dataValidation>
    <dataValidation type="list" allowBlank="1" showInputMessage="1" showErrorMessage="1" sqref="I43" xr:uid="{FC91DE53-05A6-4AA2-9D75-58245A4D5EEE}">
      <formula1>"μg/g,mg/kg,mg/l,ppm,%m,%m/m,%wt"</formula1>
    </dataValidation>
    <dataValidation type="list" allowBlank="1" showInputMessage="1" showErrorMessage="1" sqref="I44" xr:uid="{F62E80FF-8BB4-47FF-8CD9-6DD0C644E634}">
      <formula1>"mg/kg,mg/m³,ppm,%m,%m/m,%mole,%wt,%vol"</formula1>
    </dataValidation>
    <dataValidation type="list" allowBlank="1" showInputMessage="1" showErrorMessage="1" sqref="I45" xr:uid="{22E092F0-8E64-42E6-9A19-8F20F6AE15A8}">
      <formula1>"pos/neg,pass/fail"</formula1>
    </dataValidation>
    <dataValidation type="list" allowBlank="1" showInputMessage="1" showErrorMessage="1" sqref="I46" xr:uid="{5D16B474-265C-4918-989D-4D3835AEDFE4}">
      <formula1>"kg/cm²,kPa,mm Hg,psi"</formula1>
    </dataValidation>
    <dataValidation type="list" allowBlank="1" showInputMessage="1" showErrorMessage="1" sqref="I47 I48" xr:uid="{49635BC1-F16B-4FBE-9E63-B6827883BD30}">
      <formula1>"%vol"</formula1>
    </dataValidation>
    <dataValidation type="list" allowBlank="1" showInputMessage="1" showErrorMessage="1" sqref="I49" xr:uid="{7EB7B03D-8E91-400D-9A23-51837EFB47DE}">
      <formula1>"mg/l,lb/1000 bbl"</formula1>
    </dataValidation>
    <dataValidation type="list" allowBlank="1" showInputMessage="1" showErrorMessage="1" sqref="I50 I52 I53 I54 I55 I56" xr:uid="{3AD99F1C-752B-48EC-B9EF-3FB14663BFFC}">
      <formula1>"mg/kg,mg/l,ppm"</formula1>
    </dataValidation>
    <dataValidation type="list" allowBlank="1" showInputMessage="1" showErrorMessage="1" sqref="I51" xr:uid="{37C8FFF5-3709-4E6E-9508-5EC9EF0B67D9}">
      <formula1>"mg/l"</formula1>
    </dataValidation>
    <dataValidation type="list" allowBlank="1" showInputMessage="1" showErrorMessage="1" sqref="F9 F10 F11 F13 F14 F15 F16 F17 F18 F19 F20 F21 F22 F23 F24 F25 F26 F27 F28 F29 F30 F32 F33 F34 F35 F36 F37 F38 F39 F40 F41 F42 F43 F44 F46 F47 F48 F49 F50 F51 F52 F53 F54 F55 F56" xr:uid="{5CE4989E-1D86-4CD8-B439-0C8AC7F2A975}">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E48C6BA-95E7-4AA2-81A4-8D0E6FD5A4E9}">
          <x14:formula1>
            <xm:f>Sheet3!$A$2:$A$49</xm:f>
          </x14:formula1>
          <xm:sqref>F3</xm:sqref>
        </x14:dataValidation>
        <x14:dataValidation type="list" allowBlank="1" showInputMessage="1" xr:uid="{7C1CA1EA-72C0-42D0-912E-736941DD9064}">
          <x14:formula1>
            <xm:f>Sheet3!$J$153:$J$168</xm:f>
          </x14:formula1>
          <xm:sqref>H7:H82 N7:N82 R7:R82 V7:V82 Z7:Z82 AD7:AD82 AH7:AH82 AL7:AL82 AP7:AP82 AT7:AT82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C51E5-DD20-442D-8EDF-32F06082F295}">
  <sheetPr codeName="Sheet13">
    <tabColor rgb="FFFFCCFF"/>
  </sheetPr>
  <dimension ref="A1:BW167"/>
  <sheetViews>
    <sheetView tabSelected="1"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230</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t="s">
        <v>311</v>
      </c>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702</v>
      </c>
      <c r="D7" s="260"/>
      <c r="E7" s="126" t="s">
        <v>740</v>
      </c>
      <c r="F7" s="263"/>
      <c r="G7" s="20"/>
      <c r="H7" s="20"/>
      <c r="I7" s="262" t="s">
        <v>768</v>
      </c>
      <c r="J7" s="246" t="str">
        <f>IF($C7="","",IF(AND($B7="",G7=""),"*",IF(AND($B7="v",NOT(G7="")),"*",IF(AND($B7="",NOT(G7="")),"",IF(AND($B7="v",G7=""),"")))))</f>
        <v>*</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t="s">
        <v>702</v>
      </c>
      <c r="D8" s="260"/>
      <c r="E8" s="126" t="s">
        <v>740</v>
      </c>
      <c r="F8" s="263"/>
      <c r="G8" s="20"/>
      <c r="H8" s="20"/>
      <c r="I8" s="262" t="s">
        <v>769</v>
      </c>
      <c r="J8" s="246" t="str">
        <f t="shared" ref="J8:J71" si="16">IF($C8="","",IF(AND($B8="",G8=""),"*",IF(AND($B8="v",NOT(G8="")),"*",IF(AND($B8="",NOT(G8="")),"",IF(AND($B8="v",G8=""),"")))))</f>
        <v>*</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t="s">
        <v>705</v>
      </c>
      <c r="D9" s="260"/>
      <c r="E9" s="126" t="s">
        <v>740</v>
      </c>
      <c r="F9" s="263"/>
      <c r="G9" s="20"/>
      <c r="H9" s="20"/>
      <c r="I9" s="262" t="s">
        <v>769</v>
      </c>
      <c r="J9" s="246" t="str">
        <f t="shared" si="16"/>
        <v>*</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t="s">
        <v>707</v>
      </c>
      <c r="D10" s="260"/>
      <c r="E10" s="126" t="s">
        <v>745</v>
      </c>
      <c r="F10" s="261"/>
      <c r="G10" s="20"/>
      <c r="H10" s="20"/>
      <c r="I10" s="262" t="s">
        <v>772</v>
      </c>
      <c r="J10" s="246" t="str">
        <f t="shared" si="16"/>
        <v>*</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t="s">
        <v>708</v>
      </c>
      <c r="D11" s="260"/>
      <c r="E11" s="126" t="s">
        <v>745</v>
      </c>
      <c r="F11" s="261"/>
      <c r="G11" s="20"/>
      <c r="H11" s="20"/>
      <c r="I11" s="262" t="s">
        <v>770</v>
      </c>
      <c r="J11" s="246" t="str">
        <f t="shared" si="16"/>
        <v>*</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t="s">
        <v>709</v>
      </c>
      <c r="D12" s="260"/>
      <c r="E12" s="126" t="s">
        <v>746</v>
      </c>
      <c r="F12" s="261"/>
      <c r="G12" s="20"/>
      <c r="H12" s="20"/>
      <c r="I12" s="262" t="s">
        <v>773</v>
      </c>
      <c r="J12" s="246" t="str">
        <f t="shared" si="16"/>
        <v>*</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t="s">
        <v>710</v>
      </c>
      <c r="D13" s="260"/>
      <c r="E13" s="126" t="s">
        <v>747</v>
      </c>
      <c r="F13" s="261"/>
      <c r="G13" s="20"/>
      <c r="H13" s="20"/>
      <c r="I13" s="262" t="s">
        <v>773</v>
      </c>
      <c r="J13" s="246" t="str">
        <f t="shared" si="16"/>
        <v>*</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t="s">
        <v>711</v>
      </c>
      <c r="D14" s="260"/>
      <c r="E14" s="126" t="s">
        <v>748</v>
      </c>
      <c r="F14" s="261"/>
      <c r="G14" s="20"/>
      <c r="H14" s="20"/>
      <c r="I14" s="262" t="s">
        <v>773</v>
      </c>
      <c r="J14" s="246" t="str">
        <f t="shared" si="16"/>
        <v>*</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t="s">
        <v>712</v>
      </c>
      <c r="D15" s="260"/>
      <c r="E15" s="126" t="s">
        <v>749</v>
      </c>
      <c r="F15" s="261"/>
      <c r="G15" s="20"/>
      <c r="H15" s="20"/>
      <c r="I15" s="262" t="s">
        <v>773</v>
      </c>
      <c r="J15" s="246" t="str">
        <f t="shared" si="16"/>
        <v>*</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t="s">
        <v>713</v>
      </c>
      <c r="D16" s="260"/>
      <c r="E16" s="126" t="s">
        <v>745</v>
      </c>
      <c r="F16" s="261"/>
      <c r="G16" s="20"/>
      <c r="H16" s="20"/>
      <c r="I16" s="262" t="s">
        <v>770</v>
      </c>
      <c r="J16" s="246" t="str">
        <f t="shared" si="16"/>
        <v>*</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t="s">
        <v>714</v>
      </c>
      <c r="D17" s="260"/>
      <c r="E17" s="126" t="s">
        <v>750</v>
      </c>
      <c r="F17" s="261"/>
      <c r="G17" s="20"/>
      <c r="H17" s="20"/>
      <c r="I17" s="262" t="s">
        <v>770</v>
      </c>
      <c r="J17" s="246" t="str">
        <f t="shared" si="16"/>
        <v>*</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t="s">
        <v>724</v>
      </c>
      <c r="D18" s="260"/>
      <c r="E18" s="126" t="s">
        <v>740</v>
      </c>
      <c r="F18" s="263"/>
      <c r="G18" s="20"/>
      <c r="H18" s="20"/>
      <c r="I18" s="19" t="s">
        <v>768</v>
      </c>
      <c r="J18" s="246" t="str">
        <f t="shared" si="16"/>
        <v>*</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2042" priority="170">
      <formula>$F$1=1</formula>
    </cfRule>
    <cfRule type="expression" priority="171">
      <formula>$F$1</formula>
    </cfRule>
  </conditionalFormatting>
  <conditionalFormatting sqref="J4">
    <cfRule type="expression" dxfId="2041" priority="172">
      <formula>$F$1=1</formula>
    </cfRule>
  </conditionalFormatting>
  <conditionalFormatting sqref="C7:G82">
    <cfRule type="expression" dxfId="2040" priority="84">
      <formula>$B7="v"</formula>
    </cfRule>
  </conditionalFormatting>
  <conditionalFormatting sqref="H7:H82">
    <cfRule type="expression" dxfId="2039" priority="168">
      <formula>$B7="v"</formula>
    </cfRule>
  </conditionalFormatting>
  <conditionalFormatting sqref="N7:N82">
    <cfRule type="expression" dxfId="2038" priority="167">
      <formula>$B7="v"</formula>
    </cfRule>
  </conditionalFormatting>
  <conditionalFormatting sqref="M7:M82">
    <cfRule type="expression" dxfId="2037" priority="166">
      <formula>$B7="v"</formula>
    </cfRule>
  </conditionalFormatting>
  <conditionalFormatting sqref="L7:L82">
    <cfRule type="expression" dxfId="2036" priority="174">
      <formula>$B7="v"</formula>
    </cfRule>
  </conditionalFormatting>
  <conditionalFormatting sqref="P7:Q82">
    <cfRule type="expression" dxfId="2035" priority="178">
      <formula>$B7="v"</formula>
    </cfRule>
  </conditionalFormatting>
  <conditionalFormatting sqref="R7:R82">
    <cfRule type="expression" dxfId="2034" priority="164">
      <formula>$B7="v"</formula>
    </cfRule>
  </conditionalFormatting>
  <conditionalFormatting sqref="Z7:Z82 V7:V82 AL7:AL82 AH7:AH82 AD7:AD82 AX7:AX82 AT7:AT82 AP7:AP82 BJ7:BJ82 BF7:BF82 BB7:BB82 BV7:BV82 BR7:BR82 BN7:BN82">
    <cfRule type="expression" dxfId="2033" priority="217">
      <formula>$B7="v"</formula>
    </cfRule>
  </conditionalFormatting>
  <conditionalFormatting sqref="X7:Y82 T7:U82 AJ7:AK82 AF7:AG82 AB7:AC82 AR7:AS82 AN7:AO82 BH7:BI82 BD7:BE82 AZ7:BA82 BT7:BU82 BP7:BQ82 BL7:BM82">
    <cfRule type="expression" dxfId="2032" priority="220">
      <formula>$B7="v"</formula>
    </cfRule>
  </conditionalFormatting>
  <conditionalFormatting sqref="AV7:AW82">
    <cfRule type="expression" dxfId="2031" priority="208">
      <formula>$B7="v"</formula>
    </cfRule>
  </conditionalFormatting>
  <conditionalFormatting sqref="F25">
    <cfRule type="expression" dxfId="2030" priority="159">
      <formula>$E$25="n/a"</formula>
    </cfRule>
  </conditionalFormatting>
  <conditionalFormatting sqref="F7">
    <cfRule type="expression" dxfId="2029" priority="158">
      <formula>$E$7="n/a"</formula>
    </cfRule>
  </conditionalFormatting>
  <conditionalFormatting sqref="F8">
    <cfRule type="expression" dxfId="2028" priority="169">
      <formula>$E$8="n/a"</formula>
    </cfRule>
  </conditionalFormatting>
  <conditionalFormatting sqref="F9">
    <cfRule type="expression" dxfId="2027" priority="157">
      <formula>$E$9="n/a"</formula>
    </cfRule>
  </conditionalFormatting>
  <conditionalFormatting sqref="F10">
    <cfRule type="expression" dxfId="2026" priority="156">
      <formula>$E$10="n/a"</formula>
    </cfRule>
  </conditionalFormatting>
  <conditionalFormatting sqref="F11">
    <cfRule type="expression" dxfId="2025" priority="155">
      <formula>$E$11="n/a"</formula>
    </cfRule>
  </conditionalFormatting>
  <conditionalFormatting sqref="F12">
    <cfRule type="expression" dxfId="2024" priority="154">
      <formula>$E$12="n/a"</formula>
    </cfRule>
  </conditionalFormatting>
  <conditionalFormatting sqref="F13">
    <cfRule type="expression" dxfId="2023" priority="153">
      <formula>$E$13="n/a"</formula>
    </cfRule>
  </conditionalFormatting>
  <conditionalFormatting sqref="F14">
    <cfRule type="expression" dxfId="2022" priority="152">
      <formula>$E$14="n/a"</formula>
    </cfRule>
  </conditionalFormatting>
  <conditionalFormatting sqref="F15">
    <cfRule type="expression" dxfId="2021" priority="151">
      <formula>$E$15="n/a"</formula>
    </cfRule>
  </conditionalFormatting>
  <conditionalFormatting sqref="F16">
    <cfRule type="expression" dxfId="2020" priority="150">
      <formula>$E$16="n/a"</formula>
    </cfRule>
  </conditionalFormatting>
  <conditionalFormatting sqref="F17">
    <cfRule type="expression" dxfId="2019" priority="149">
      <formula>$E$17="n/a"</formula>
    </cfRule>
  </conditionalFormatting>
  <conditionalFormatting sqref="F18">
    <cfRule type="expression" dxfId="2018" priority="148">
      <formula>$E$18="n/a"</formula>
    </cfRule>
  </conditionalFormatting>
  <conditionalFormatting sqref="F19">
    <cfRule type="expression" dxfId="2017" priority="147">
      <formula>$E$19="n/a"</formula>
    </cfRule>
  </conditionalFormatting>
  <conditionalFormatting sqref="F20">
    <cfRule type="expression" dxfId="2016" priority="146">
      <formula>$E$20="n/a"</formula>
    </cfRule>
  </conditionalFormatting>
  <conditionalFormatting sqref="F21">
    <cfRule type="expression" dxfId="2015" priority="145">
      <formula>$E$21="n/a"</formula>
    </cfRule>
  </conditionalFormatting>
  <conditionalFormatting sqref="F22">
    <cfRule type="expression" dxfId="2014" priority="144">
      <formula>$E$22="n/a"</formula>
    </cfRule>
  </conditionalFormatting>
  <conditionalFormatting sqref="F23">
    <cfRule type="expression" dxfId="2013" priority="143">
      <formula>$E$23="n/a"</formula>
    </cfRule>
  </conditionalFormatting>
  <conditionalFormatting sqref="F24">
    <cfRule type="expression" dxfId="2012" priority="142">
      <formula>$E$24="n/a"</formula>
    </cfRule>
  </conditionalFormatting>
  <conditionalFormatting sqref="F26">
    <cfRule type="expression" dxfId="2011" priority="141">
      <formula>$E$26="n/a"</formula>
    </cfRule>
  </conditionalFormatting>
  <conditionalFormatting sqref="F27">
    <cfRule type="expression" dxfId="2010" priority="140">
      <formula>$E$27="n/a"</formula>
    </cfRule>
  </conditionalFormatting>
  <conditionalFormatting sqref="F28">
    <cfRule type="expression" dxfId="2009" priority="139">
      <formula>$E$28="n/a"</formula>
    </cfRule>
  </conditionalFormatting>
  <conditionalFormatting sqref="F29">
    <cfRule type="expression" dxfId="2008" priority="138">
      <formula>$E$29="n/a"</formula>
    </cfRule>
  </conditionalFormatting>
  <conditionalFormatting sqref="F30">
    <cfRule type="expression" dxfId="2007" priority="137">
      <formula>$E$30="n/a"</formula>
    </cfRule>
  </conditionalFormatting>
  <conditionalFormatting sqref="F31">
    <cfRule type="expression" dxfId="2006" priority="136">
      <formula>$E$31="n/a"</formula>
    </cfRule>
  </conditionalFormatting>
  <conditionalFormatting sqref="F32">
    <cfRule type="expression" dxfId="2005" priority="135">
      <formula>$E$32="n/a"</formula>
    </cfRule>
  </conditionalFormatting>
  <conditionalFormatting sqref="F33">
    <cfRule type="expression" dxfId="2004" priority="134">
      <formula>$E$33="n/a"</formula>
    </cfRule>
  </conditionalFormatting>
  <conditionalFormatting sqref="F34">
    <cfRule type="expression" dxfId="2003" priority="133">
      <formula>$E$34="n/a"</formula>
    </cfRule>
  </conditionalFormatting>
  <conditionalFormatting sqref="F35">
    <cfRule type="expression" dxfId="2002" priority="132">
      <formula>$E$35="n/a"</formula>
    </cfRule>
  </conditionalFormatting>
  <conditionalFormatting sqref="F36">
    <cfRule type="expression" dxfId="2001" priority="131">
      <formula>$E$36="n/a"</formula>
    </cfRule>
  </conditionalFormatting>
  <conditionalFormatting sqref="F37">
    <cfRule type="expression" dxfId="2000" priority="130">
      <formula>$E$37="n/a"</formula>
    </cfRule>
  </conditionalFormatting>
  <conditionalFormatting sqref="F38">
    <cfRule type="expression" dxfId="1999" priority="129">
      <formula>$E$38="n/a"</formula>
    </cfRule>
  </conditionalFormatting>
  <conditionalFormatting sqref="F39">
    <cfRule type="expression" dxfId="1998" priority="128">
      <formula>$E$39="n/a"</formula>
    </cfRule>
  </conditionalFormatting>
  <conditionalFormatting sqref="F40">
    <cfRule type="expression" dxfId="1997" priority="127">
      <formula>$E$40="n/a"</formula>
    </cfRule>
  </conditionalFormatting>
  <conditionalFormatting sqref="F41">
    <cfRule type="expression" dxfId="1996" priority="126">
      <formula>$E$41="n/a"</formula>
    </cfRule>
  </conditionalFormatting>
  <conditionalFormatting sqref="F42">
    <cfRule type="expression" dxfId="1995" priority="125">
      <formula>$E$42="n/a"</formula>
    </cfRule>
  </conditionalFormatting>
  <conditionalFormatting sqref="F43">
    <cfRule type="expression" dxfId="1994" priority="124">
      <formula>$E$43="n/a"</formula>
    </cfRule>
  </conditionalFormatting>
  <conditionalFormatting sqref="F44">
    <cfRule type="expression" dxfId="1993" priority="123">
      <formula>$E$44="n/a"</formula>
    </cfRule>
  </conditionalFormatting>
  <conditionalFormatting sqref="F45">
    <cfRule type="expression" dxfId="1992" priority="122">
      <formula>$E$45="n/a"</formula>
    </cfRule>
  </conditionalFormatting>
  <conditionalFormatting sqref="F46">
    <cfRule type="expression" dxfId="1991" priority="121">
      <formula>$E$46="n/a"</formula>
    </cfRule>
  </conditionalFormatting>
  <conditionalFormatting sqref="F82">
    <cfRule type="expression" dxfId="1990" priority="119">
      <formula>$E$82="n/a"</formula>
    </cfRule>
  </conditionalFormatting>
  <conditionalFormatting sqref="F81">
    <cfRule type="expression" dxfId="1989" priority="118">
      <formula>$E$81="n/a"</formula>
    </cfRule>
  </conditionalFormatting>
  <conditionalFormatting sqref="F80">
    <cfRule type="expression" dxfId="1988" priority="117">
      <formula>$E$80="n/a"</formula>
    </cfRule>
  </conditionalFormatting>
  <conditionalFormatting sqref="F79">
    <cfRule type="expression" dxfId="1987" priority="116">
      <formula>$E$79="n/a"</formula>
    </cfRule>
  </conditionalFormatting>
  <conditionalFormatting sqref="F78">
    <cfRule type="expression" dxfId="1986" priority="115">
      <formula>$E$78="n/a"</formula>
    </cfRule>
  </conditionalFormatting>
  <conditionalFormatting sqref="F77">
    <cfRule type="expression" dxfId="1985" priority="114">
      <formula>$E$77="n/a"</formula>
    </cfRule>
  </conditionalFormatting>
  <conditionalFormatting sqref="F76">
    <cfRule type="expression" dxfId="1984" priority="113">
      <formula>$E$76="n/a"</formula>
    </cfRule>
  </conditionalFormatting>
  <conditionalFormatting sqref="F75">
    <cfRule type="expression" dxfId="1983" priority="112">
      <formula>$E$75="n/a"</formula>
    </cfRule>
  </conditionalFormatting>
  <conditionalFormatting sqref="F74">
    <cfRule type="expression" dxfId="1982" priority="111">
      <formula>$E$74="n/a"</formula>
    </cfRule>
  </conditionalFormatting>
  <conditionalFormatting sqref="F73">
    <cfRule type="expression" dxfId="1981" priority="109">
      <formula>$E$73="n/a"</formula>
    </cfRule>
  </conditionalFormatting>
  <conditionalFormatting sqref="F72">
    <cfRule type="expression" dxfId="1980" priority="85">
      <formula>$E$72="n/a"</formula>
    </cfRule>
  </conditionalFormatting>
  <conditionalFormatting sqref="F47">
    <cfRule type="expression" dxfId="1979" priority="120">
      <formula>$E$47="n/a"</formula>
    </cfRule>
  </conditionalFormatting>
  <conditionalFormatting sqref="F48">
    <cfRule type="expression" dxfId="1978" priority="110">
      <formula>$E$48="n/a"</formula>
    </cfRule>
  </conditionalFormatting>
  <conditionalFormatting sqref="F49">
    <cfRule type="expression" dxfId="1977" priority="108">
      <formula>$E$49="n/a"</formula>
    </cfRule>
  </conditionalFormatting>
  <conditionalFormatting sqref="F50">
    <cfRule type="expression" dxfId="1976" priority="107">
      <formula>$E$50="n/a"</formula>
    </cfRule>
  </conditionalFormatting>
  <conditionalFormatting sqref="F51">
    <cfRule type="expression" dxfId="1975" priority="106">
      <formula>$E$51="n/a"</formula>
    </cfRule>
  </conditionalFormatting>
  <conditionalFormatting sqref="F52">
    <cfRule type="expression" dxfId="1974" priority="105">
      <formula>$E$52="n/a"</formula>
    </cfRule>
  </conditionalFormatting>
  <conditionalFormatting sqref="F53">
    <cfRule type="expression" dxfId="1973" priority="104">
      <formula>$E$53="n/a"</formula>
    </cfRule>
  </conditionalFormatting>
  <conditionalFormatting sqref="F54">
    <cfRule type="expression" dxfId="1972" priority="103">
      <formula>$E$54="n/a"</formula>
    </cfRule>
  </conditionalFormatting>
  <conditionalFormatting sqref="F55">
    <cfRule type="expression" dxfId="1971" priority="102">
      <formula>$E$55="n/a"</formula>
    </cfRule>
  </conditionalFormatting>
  <conditionalFormatting sqref="F56">
    <cfRule type="expression" dxfId="1970" priority="101">
      <formula>$E$56="n/a"</formula>
    </cfRule>
  </conditionalFormatting>
  <conditionalFormatting sqref="F57">
    <cfRule type="expression" dxfId="1969" priority="100">
      <formula>$E$57="n/a"</formula>
    </cfRule>
  </conditionalFormatting>
  <conditionalFormatting sqref="F58">
    <cfRule type="expression" dxfId="1968" priority="99">
      <formula>$E$58="n/a"</formula>
    </cfRule>
  </conditionalFormatting>
  <conditionalFormatting sqref="F59">
    <cfRule type="expression" dxfId="1967" priority="98">
      <formula>$E$59="n/a"</formula>
    </cfRule>
  </conditionalFormatting>
  <conditionalFormatting sqref="F60">
    <cfRule type="expression" dxfId="1966" priority="97">
      <formula>$E$60="n/a"</formula>
    </cfRule>
  </conditionalFormatting>
  <conditionalFormatting sqref="F61">
    <cfRule type="expression" dxfId="1965" priority="96">
      <formula>$E$61="n/a"</formula>
    </cfRule>
  </conditionalFormatting>
  <conditionalFormatting sqref="F62">
    <cfRule type="expression" dxfId="1964" priority="95">
      <formula>$E$62="n/a"</formula>
    </cfRule>
  </conditionalFormatting>
  <conditionalFormatting sqref="F63">
    <cfRule type="expression" dxfId="1963" priority="94">
      <formula>$E$63="n/a"</formula>
    </cfRule>
  </conditionalFormatting>
  <conditionalFormatting sqref="F64">
    <cfRule type="expression" dxfId="1962" priority="93">
      <formula>$E$64="n/a"</formula>
    </cfRule>
  </conditionalFormatting>
  <conditionalFormatting sqref="F65">
    <cfRule type="expression" dxfId="1961" priority="92">
      <formula>$E$65="n/a"</formula>
    </cfRule>
  </conditionalFormatting>
  <conditionalFormatting sqref="F66">
    <cfRule type="expression" dxfId="1960" priority="91">
      <formula>$E$66="n/a"</formula>
    </cfRule>
  </conditionalFormatting>
  <conditionalFormatting sqref="F67">
    <cfRule type="expression" dxfId="1959" priority="90">
      <formula>$E$67="n/a"</formula>
    </cfRule>
  </conditionalFormatting>
  <conditionalFormatting sqref="F68">
    <cfRule type="expression" dxfId="1958" priority="89">
      <formula>$E$68="n/a"</formula>
    </cfRule>
  </conditionalFormatting>
  <conditionalFormatting sqref="F69">
    <cfRule type="expression" dxfId="1957" priority="88">
      <formula>$E$69="n/a"</formula>
    </cfRule>
  </conditionalFormatting>
  <conditionalFormatting sqref="F70">
    <cfRule type="expression" dxfId="1956" priority="87">
      <formula>$E$70="n/a"</formula>
    </cfRule>
  </conditionalFormatting>
  <conditionalFormatting sqref="F71">
    <cfRule type="expression" dxfId="1955" priority="86">
      <formula>$E$71="n/a"</formula>
    </cfRule>
  </conditionalFormatting>
  <conditionalFormatting sqref="I7">
    <cfRule type="expression" dxfId="1954" priority="83">
      <formula>$B$7="v"</formula>
    </cfRule>
  </conditionalFormatting>
  <conditionalFormatting sqref="I8">
    <cfRule type="expression" dxfId="1953" priority="82">
      <formula>$B$8="v"</formula>
    </cfRule>
  </conditionalFormatting>
  <conditionalFormatting sqref="I9">
    <cfRule type="expression" dxfId="1952" priority="81">
      <formula>$B$9="v"</formula>
    </cfRule>
  </conditionalFormatting>
  <conditionalFormatting sqref="I10">
    <cfRule type="expression" dxfId="1951" priority="80">
      <formula>$B$10="v"</formula>
    </cfRule>
  </conditionalFormatting>
  <conditionalFormatting sqref="I11">
    <cfRule type="expression" dxfId="1950" priority="79">
      <formula>$B$11="v"</formula>
    </cfRule>
  </conditionalFormatting>
  <conditionalFormatting sqref="I12">
    <cfRule type="expression" dxfId="1949" priority="78">
      <formula>$B$12="v"</formula>
    </cfRule>
  </conditionalFormatting>
  <conditionalFormatting sqref="I13">
    <cfRule type="expression" dxfId="1948" priority="77">
      <formula>$B$13="v"</formula>
    </cfRule>
  </conditionalFormatting>
  <conditionalFormatting sqref="I14">
    <cfRule type="expression" dxfId="1947" priority="76">
      <formula>$B$14="v"</formula>
    </cfRule>
  </conditionalFormatting>
  <conditionalFormatting sqref="I15">
    <cfRule type="expression" dxfId="1946" priority="75">
      <formula>$B$15="v"</formula>
    </cfRule>
  </conditionalFormatting>
  <conditionalFormatting sqref="I16">
    <cfRule type="expression" dxfId="1945" priority="74">
      <formula>$B$16="v"</formula>
    </cfRule>
  </conditionalFormatting>
  <conditionalFormatting sqref="I17">
    <cfRule type="expression" dxfId="1944" priority="73">
      <formula>$B$17="v"</formula>
    </cfRule>
  </conditionalFormatting>
  <conditionalFormatting sqref="I18">
    <cfRule type="expression" dxfId="1943" priority="72">
      <formula>$B$18="v"</formula>
    </cfRule>
  </conditionalFormatting>
  <conditionalFormatting sqref="I19">
    <cfRule type="expression" dxfId="1942" priority="71">
      <formula>$B$19="v"</formula>
    </cfRule>
  </conditionalFormatting>
  <conditionalFormatting sqref="I20">
    <cfRule type="expression" dxfId="1941" priority="70">
      <formula>$B$20="v"</formula>
    </cfRule>
  </conditionalFormatting>
  <conditionalFormatting sqref="I21">
    <cfRule type="expression" dxfId="1940" priority="69">
      <formula>$B$21="v"</formula>
    </cfRule>
  </conditionalFormatting>
  <conditionalFormatting sqref="I22">
    <cfRule type="expression" dxfId="1939" priority="68">
      <formula>$B$22="v"</formula>
    </cfRule>
  </conditionalFormatting>
  <conditionalFormatting sqref="I23">
    <cfRule type="expression" dxfId="1938" priority="67">
      <formula>$B$23="v"</formula>
    </cfRule>
  </conditionalFormatting>
  <conditionalFormatting sqref="I24">
    <cfRule type="expression" dxfId="1937" priority="66">
      <formula>$B$24="v"</formula>
    </cfRule>
  </conditionalFormatting>
  <conditionalFormatting sqref="I25">
    <cfRule type="expression" dxfId="1936" priority="65">
      <formula>$B$25="v"</formula>
    </cfRule>
  </conditionalFormatting>
  <conditionalFormatting sqref="I26">
    <cfRule type="expression" dxfId="1935" priority="64">
      <formula>$B$26="v"</formula>
    </cfRule>
  </conditionalFormatting>
  <conditionalFormatting sqref="I27">
    <cfRule type="expression" dxfId="1934" priority="63">
      <formula>$B$27="v"</formula>
    </cfRule>
  </conditionalFormatting>
  <conditionalFormatting sqref="I28">
    <cfRule type="expression" dxfId="1933" priority="62">
      <formula>$B$28="v"</formula>
    </cfRule>
  </conditionalFormatting>
  <conditionalFormatting sqref="I29">
    <cfRule type="expression" dxfId="1932" priority="61">
      <formula>$B$29="v"</formula>
    </cfRule>
  </conditionalFormatting>
  <conditionalFormatting sqref="I30">
    <cfRule type="expression" dxfId="1931" priority="60">
      <formula>$B$30="v"</formula>
    </cfRule>
  </conditionalFormatting>
  <conditionalFormatting sqref="I31">
    <cfRule type="expression" dxfId="1930" priority="59">
      <formula>$B$31="v"</formula>
    </cfRule>
  </conditionalFormatting>
  <conditionalFormatting sqref="I32">
    <cfRule type="expression" dxfId="1929" priority="58">
      <formula>$B$32="v"</formula>
    </cfRule>
  </conditionalFormatting>
  <conditionalFormatting sqref="I33">
    <cfRule type="expression" dxfId="1928" priority="57">
      <formula>$B$33="v"</formula>
    </cfRule>
  </conditionalFormatting>
  <conditionalFormatting sqref="I34">
    <cfRule type="expression" dxfId="1927" priority="56">
      <formula>$B$34="v"</formula>
    </cfRule>
  </conditionalFormatting>
  <conditionalFormatting sqref="I35">
    <cfRule type="expression" dxfId="1926" priority="55">
      <formula>$B$35="v"</formula>
    </cfRule>
  </conditionalFormatting>
  <conditionalFormatting sqref="I36">
    <cfRule type="expression" dxfId="1925" priority="54">
      <formula>$B$36="v"</formula>
    </cfRule>
  </conditionalFormatting>
  <conditionalFormatting sqref="I37">
    <cfRule type="expression" dxfId="1924" priority="53">
      <formula>$B$37="v"</formula>
    </cfRule>
  </conditionalFormatting>
  <conditionalFormatting sqref="I38">
    <cfRule type="expression" dxfId="1923" priority="52">
      <formula>$B$38="v"</formula>
    </cfRule>
  </conditionalFormatting>
  <conditionalFormatting sqref="I39">
    <cfRule type="expression" dxfId="1922" priority="51">
      <formula>$B$39="v"</formula>
    </cfRule>
  </conditionalFormatting>
  <conditionalFormatting sqref="I40">
    <cfRule type="expression" dxfId="1921" priority="50">
      <formula>$B$40="v"</formula>
    </cfRule>
  </conditionalFormatting>
  <conditionalFormatting sqref="I41">
    <cfRule type="expression" dxfId="1920" priority="49">
      <formula>$B$41="v"</formula>
    </cfRule>
  </conditionalFormatting>
  <conditionalFormatting sqref="I42">
    <cfRule type="expression" dxfId="1919" priority="48">
      <formula>$B$42="v"</formula>
    </cfRule>
  </conditionalFormatting>
  <conditionalFormatting sqref="I43">
    <cfRule type="expression" dxfId="1918" priority="47">
      <formula>$B$43="v"</formula>
    </cfRule>
  </conditionalFormatting>
  <conditionalFormatting sqref="I44">
    <cfRule type="expression" dxfId="1917" priority="46">
      <formula>$B$44="v"</formula>
    </cfRule>
  </conditionalFormatting>
  <conditionalFormatting sqref="I45">
    <cfRule type="expression" dxfId="1916" priority="45">
      <formula>$B$45="v"</formula>
    </cfRule>
  </conditionalFormatting>
  <conditionalFormatting sqref="I46">
    <cfRule type="expression" dxfId="1915" priority="44">
      <formula>$B$46="v"</formula>
    </cfRule>
  </conditionalFormatting>
  <conditionalFormatting sqref="I47">
    <cfRule type="expression" dxfId="1914" priority="43">
      <formula>$B$47="v"</formula>
    </cfRule>
  </conditionalFormatting>
  <conditionalFormatting sqref="I48">
    <cfRule type="expression" dxfId="1913" priority="42">
      <formula>$B$48="v"</formula>
    </cfRule>
  </conditionalFormatting>
  <conditionalFormatting sqref="I49">
    <cfRule type="expression" dxfId="1912" priority="41">
      <formula>$B$49="v"</formula>
    </cfRule>
  </conditionalFormatting>
  <conditionalFormatting sqref="I50">
    <cfRule type="expression" dxfId="1911" priority="40">
      <formula>$B$50="v"</formula>
    </cfRule>
  </conditionalFormatting>
  <conditionalFormatting sqref="I51">
    <cfRule type="expression" dxfId="1910" priority="39">
      <formula>$B$51="v"</formula>
    </cfRule>
  </conditionalFormatting>
  <conditionalFormatting sqref="I52">
    <cfRule type="expression" dxfId="1909" priority="38">
      <formula>$B$52="v"</formula>
    </cfRule>
  </conditionalFormatting>
  <conditionalFormatting sqref="I53">
    <cfRule type="expression" dxfId="1908" priority="37">
      <formula>$B$53="v"</formula>
    </cfRule>
  </conditionalFormatting>
  <conditionalFormatting sqref="I54">
    <cfRule type="expression" dxfId="1907" priority="36">
      <formula>$B$54="v"</formula>
    </cfRule>
  </conditionalFormatting>
  <conditionalFormatting sqref="I55">
    <cfRule type="expression" dxfId="1906" priority="35">
      <formula>$B$55="v"</formula>
    </cfRule>
  </conditionalFormatting>
  <conditionalFormatting sqref="I56">
    <cfRule type="expression" dxfId="1905" priority="34">
      <formula>$B$56="v"</formula>
    </cfRule>
  </conditionalFormatting>
  <conditionalFormatting sqref="I57">
    <cfRule type="expression" dxfId="1904" priority="33">
      <formula>$B$57="v"</formula>
    </cfRule>
  </conditionalFormatting>
  <conditionalFormatting sqref="I58">
    <cfRule type="expression" dxfId="1903" priority="32">
      <formula>$B$58="v"</formula>
    </cfRule>
  </conditionalFormatting>
  <conditionalFormatting sqref="I59">
    <cfRule type="expression" dxfId="1902" priority="31">
      <formula>$B$59="v"</formula>
    </cfRule>
  </conditionalFormatting>
  <conditionalFormatting sqref="I60">
    <cfRule type="expression" dxfId="1901" priority="30">
      <formula>$B$60="v"</formula>
    </cfRule>
  </conditionalFormatting>
  <conditionalFormatting sqref="I61">
    <cfRule type="expression" dxfId="1900" priority="29">
      <formula>$B$61="v"</formula>
    </cfRule>
  </conditionalFormatting>
  <conditionalFormatting sqref="I62">
    <cfRule type="expression" dxfId="1899" priority="28">
      <formula>$B$62="v"</formula>
    </cfRule>
  </conditionalFormatting>
  <conditionalFormatting sqref="I63">
    <cfRule type="expression" dxfId="1898" priority="27">
      <formula>$B$63="v"</formula>
    </cfRule>
  </conditionalFormatting>
  <conditionalFormatting sqref="I64">
    <cfRule type="expression" dxfId="1897" priority="26">
      <formula>$B$64="v"</formula>
    </cfRule>
  </conditionalFormatting>
  <conditionalFormatting sqref="I65">
    <cfRule type="expression" dxfId="1896" priority="25">
      <formula>$B$65="v"</formula>
    </cfRule>
  </conditionalFormatting>
  <conditionalFormatting sqref="I66">
    <cfRule type="expression" dxfId="1895" priority="24">
      <formula>$B$66="v"</formula>
    </cfRule>
  </conditionalFormatting>
  <conditionalFormatting sqref="I67">
    <cfRule type="expression" dxfId="1894" priority="23">
      <formula>$B$67="v"</formula>
    </cfRule>
  </conditionalFormatting>
  <conditionalFormatting sqref="I68">
    <cfRule type="expression" dxfId="1893" priority="22">
      <formula>$B$68="v"</formula>
    </cfRule>
  </conditionalFormatting>
  <conditionalFormatting sqref="I69">
    <cfRule type="expression" dxfId="1892" priority="21">
      <formula>$B$69="v"</formula>
    </cfRule>
  </conditionalFormatting>
  <conditionalFormatting sqref="I70">
    <cfRule type="expression" dxfId="1891" priority="20">
      <formula>$B$70="v"</formula>
    </cfRule>
  </conditionalFormatting>
  <conditionalFormatting sqref="I71">
    <cfRule type="expression" dxfId="1890" priority="19">
      <formula>$B$71="v"</formula>
    </cfRule>
  </conditionalFormatting>
  <conditionalFormatting sqref="I72">
    <cfRule type="expression" dxfId="1889" priority="18">
      <formula>$B$72="v"</formula>
    </cfRule>
  </conditionalFormatting>
  <conditionalFormatting sqref="I73">
    <cfRule type="expression" dxfId="1888" priority="17">
      <formula>$B$73="v"</formula>
    </cfRule>
  </conditionalFormatting>
  <conditionalFormatting sqref="I74">
    <cfRule type="expression" dxfId="1887" priority="16">
      <formula>$B$74="v"</formula>
    </cfRule>
  </conditionalFormatting>
  <conditionalFormatting sqref="I75">
    <cfRule type="expression" dxfId="1886" priority="15">
      <formula>$B$75="v"</formula>
    </cfRule>
  </conditionalFormatting>
  <conditionalFormatting sqref="I76">
    <cfRule type="expression" dxfId="1885" priority="14">
      <formula>$B$76="v"</formula>
    </cfRule>
  </conditionalFormatting>
  <conditionalFormatting sqref="I77">
    <cfRule type="expression" dxfId="1884" priority="13">
      <formula>$B$77="v"</formula>
    </cfRule>
  </conditionalFormatting>
  <conditionalFormatting sqref="I78">
    <cfRule type="expression" dxfId="1883" priority="12">
      <formula>$B$78="v"</formula>
    </cfRule>
  </conditionalFormatting>
  <conditionalFormatting sqref="I79">
    <cfRule type="expression" dxfId="1882" priority="11">
      <formula>$B$79="v"</formula>
    </cfRule>
  </conditionalFormatting>
  <conditionalFormatting sqref="I80">
    <cfRule type="expression" dxfId="1881" priority="10">
      <formula>$B$80="v"</formula>
    </cfRule>
  </conditionalFormatting>
  <conditionalFormatting sqref="I81">
    <cfRule type="expression" dxfId="1880" priority="9">
      <formula>$B$81="v"</formula>
    </cfRule>
  </conditionalFormatting>
  <conditionalFormatting sqref="I82">
    <cfRule type="expression" dxfId="1879" priority="8">
      <formula>$B$82="v"</formula>
    </cfRule>
  </conditionalFormatting>
  <conditionalFormatting sqref="L5:N6">
    <cfRule type="expression" dxfId="1878" priority="173">
      <formula>$K$4=1</formula>
    </cfRule>
  </conditionalFormatting>
  <conditionalFormatting sqref="L7:N82">
    <cfRule type="expression" dxfId="1877" priority="176">
      <formula>$K$4=1</formula>
    </cfRule>
  </conditionalFormatting>
  <conditionalFormatting sqref="M4:N4">
    <cfRule type="expression" dxfId="1876" priority="175">
      <formula>$K$4=1</formula>
    </cfRule>
  </conditionalFormatting>
  <conditionalFormatting sqref="L7:N82">
    <cfRule type="expression" dxfId="1875" priority="165">
      <formula>$K$4=""</formula>
    </cfRule>
  </conditionalFormatting>
  <conditionalFormatting sqref="P5:R6">
    <cfRule type="expression" dxfId="1874" priority="177">
      <formula>$O$4=1</formula>
    </cfRule>
  </conditionalFormatting>
  <conditionalFormatting sqref="P7:R82">
    <cfRule type="expression" dxfId="1873" priority="180">
      <formula>$O$4=1</formula>
    </cfRule>
  </conditionalFormatting>
  <conditionalFormatting sqref="Q4:R4">
    <cfRule type="expression" dxfId="1872" priority="179">
      <formula>$O$4=1</formula>
    </cfRule>
  </conditionalFormatting>
  <conditionalFormatting sqref="P7:R82">
    <cfRule type="expression" dxfId="1871" priority="163">
      <formula>$O$4=""</formula>
    </cfRule>
  </conditionalFormatting>
  <conditionalFormatting sqref="T5:V6">
    <cfRule type="expression" dxfId="1870" priority="181">
      <formula>$S$4=1</formula>
    </cfRule>
  </conditionalFormatting>
  <conditionalFormatting sqref="T7:V82">
    <cfRule type="expression" dxfId="1869" priority="226">
      <formula>$S$4=1</formula>
    </cfRule>
  </conditionalFormatting>
  <conditionalFormatting sqref="U4:V4">
    <cfRule type="expression" dxfId="1868" priority="183">
      <formula>$S$4=1</formula>
    </cfRule>
  </conditionalFormatting>
  <conditionalFormatting sqref="T7:V82">
    <cfRule type="expression" dxfId="1867" priority="161">
      <formula>$S$4=""</formula>
    </cfRule>
  </conditionalFormatting>
  <conditionalFormatting sqref="X5:Z6">
    <cfRule type="expression" dxfId="1866" priority="185">
      <formula>$W$4=1</formula>
    </cfRule>
  </conditionalFormatting>
  <conditionalFormatting sqref="X7:Z82">
    <cfRule type="expression" dxfId="1865" priority="223">
      <formula>$W$4=1</formula>
    </cfRule>
  </conditionalFormatting>
  <conditionalFormatting sqref="Y4:Z4">
    <cfRule type="expression" dxfId="1864" priority="187">
      <formula>$W$4=1</formula>
    </cfRule>
  </conditionalFormatting>
  <conditionalFormatting sqref="X7:Z82">
    <cfRule type="expression" dxfId="1863" priority="162">
      <formula>$W$4=""</formula>
    </cfRule>
  </conditionalFormatting>
  <conditionalFormatting sqref="AB5:AD6">
    <cfRule type="expression" dxfId="1862" priority="189">
      <formula>$AA$4=1</formula>
    </cfRule>
  </conditionalFormatting>
  <conditionalFormatting sqref="AB7:AD82">
    <cfRule type="expression" dxfId="1861" priority="192">
      <formula>$AA$4=1</formula>
    </cfRule>
  </conditionalFormatting>
  <conditionalFormatting sqref="AC4:AD4">
    <cfRule type="expression" dxfId="1860" priority="191">
      <formula>$AA$4=1</formula>
    </cfRule>
  </conditionalFormatting>
  <conditionalFormatting sqref="AB7:AD82">
    <cfRule type="expression" dxfId="1859" priority="182">
      <formula>$AA$4=""</formula>
    </cfRule>
  </conditionalFormatting>
  <conditionalFormatting sqref="AF5:AH6">
    <cfRule type="expression" dxfId="1858" priority="193">
      <formula>$AE$4=1</formula>
    </cfRule>
  </conditionalFormatting>
  <conditionalFormatting sqref="AF7:AH82">
    <cfRule type="expression" dxfId="1857" priority="196">
      <formula>$AE$4=1</formula>
    </cfRule>
  </conditionalFormatting>
  <conditionalFormatting sqref="AG4:AH4">
    <cfRule type="expression" dxfId="1856" priority="195">
      <formula>$AE$4=1</formula>
    </cfRule>
  </conditionalFormatting>
  <conditionalFormatting sqref="AF7:AH82">
    <cfRule type="expression" dxfId="1855" priority="184">
      <formula>$AE$4=""</formula>
    </cfRule>
  </conditionalFormatting>
  <conditionalFormatting sqref="AJ7:AL82">
    <cfRule type="expression" dxfId="1854" priority="200">
      <formula>$AI$4=1</formula>
    </cfRule>
  </conditionalFormatting>
  <conditionalFormatting sqref="AK4:AL4">
    <cfRule type="expression" dxfId="1853" priority="198">
      <formula>$AI$4=1</formula>
    </cfRule>
  </conditionalFormatting>
  <conditionalFormatting sqref="AJ5:AL6">
    <cfRule type="expression" dxfId="1852" priority="199">
      <formula>$AI$4=1</formula>
    </cfRule>
  </conditionalFormatting>
  <conditionalFormatting sqref="AJ7:AL82">
    <cfRule type="expression" dxfId="1851" priority="186">
      <formula>$AI$4=""</formula>
    </cfRule>
  </conditionalFormatting>
  <conditionalFormatting sqref="AN7:AP82">
    <cfRule type="expression" dxfId="1850" priority="204">
      <formula>$AM$4=1</formula>
    </cfRule>
  </conditionalFormatting>
  <conditionalFormatting sqref="AO4:AP4 AS4:AT4">
    <cfRule type="expression" dxfId="1849" priority="202">
      <formula>AQ$4=1</formula>
    </cfRule>
  </conditionalFormatting>
  <conditionalFormatting sqref="AN5:AP6">
    <cfRule type="expression" dxfId="1848" priority="203">
      <formula>$AM$4=1</formula>
    </cfRule>
  </conditionalFormatting>
  <conditionalFormatting sqref="AN7:AP82">
    <cfRule type="expression" dxfId="1847" priority="188">
      <formula>$AM$4=""</formula>
    </cfRule>
  </conditionalFormatting>
  <conditionalFormatting sqref="AR7:AT82">
    <cfRule type="expression" dxfId="1846" priority="207">
      <formula>$AQ$4=1</formula>
    </cfRule>
  </conditionalFormatting>
  <conditionalFormatting sqref="AR5:AT6">
    <cfRule type="expression" dxfId="1845" priority="206">
      <formula>$AQ$4=1</formula>
    </cfRule>
  </conditionalFormatting>
  <conditionalFormatting sqref="AR7:AT82">
    <cfRule type="expression" dxfId="1844" priority="190">
      <formula>$AQ$4=""</formula>
    </cfRule>
  </conditionalFormatting>
  <conditionalFormatting sqref="AV7:AX82">
    <cfRule type="expression" dxfId="1843" priority="210">
      <formula>$AU$4=1</formula>
    </cfRule>
  </conditionalFormatting>
  <conditionalFormatting sqref="AV5:AX6">
    <cfRule type="expression" dxfId="1842" priority="209">
      <formula>$AU$4=1</formula>
    </cfRule>
  </conditionalFormatting>
  <conditionalFormatting sqref="AV7:AX82">
    <cfRule type="expression" dxfId="1841" priority="160">
      <formula>$AU$4=""</formula>
    </cfRule>
  </conditionalFormatting>
  <conditionalFormatting sqref="AZ7:BB82">
    <cfRule type="expression" dxfId="1840" priority="213">
      <formula>$AY$4=1</formula>
    </cfRule>
  </conditionalFormatting>
  <conditionalFormatting sqref="AZ5:BB6">
    <cfRule type="expression" dxfId="1839" priority="212">
      <formula>$AY$4=1</formula>
    </cfRule>
  </conditionalFormatting>
  <conditionalFormatting sqref="AZ7:BB82">
    <cfRule type="expression" dxfId="1838" priority="194">
      <formula>$AY$4=""</formula>
    </cfRule>
  </conditionalFormatting>
  <conditionalFormatting sqref="BD7:BF82">
    <cfRule type="expression" dxfId="1837" priority="216">
      <formula>$BC$4=1</formula>
    </cfRule>
  </conditionalFormatting>
  <conditionalFormatting sqref="BD5:BF6">
    <cfRule type="expression" dxfId="1836" priority="215">
      <formula>$BC$4=1</formula>
    </cfRule>
  </conditionalFormatting>
  <conditionalFormatting sqref="BD7:BF82">
    <cfRule type="expression" dxfId="1835" priority="197">
      <formula>$BC$4=""</formula>
    </cfRule>
  </conditionalFormatting>
  <conditionalFormatting sqref="BH7:BJ82">
    <cfRule type="expression" dxfId="1834" priority="219">
      <formula>$BG$4=1</formula>
    </cfRule>
  </conditionalFormatting>
  <conditionalFormatting sqref="BH5:BJ6">
    <cfRule type="expression" dxfId="1833" priority="218">
      <formula>$BG$4=1</formula>
    </cfRule>
  </conditionalFormatting>
  <conditionalFormatting sqref="BH7:BJ82">
    <cfRule type="expression" dxfId="1832" priority="201">
      <formula>$BG$4=""</formula>
    </cfRule>
  </conditionalFormatting>
  <conditionalFormatting sqref="BL7:BN82">
    <cfRule type="expression" dxfId="1831" priority="222">
      <formula>$BK$4=1</formula>
    </cfRule>
  </conditionalFormatting>
  <conditionalFormatting sqref="BL5:BN6">
    <cfRule type="expression" dxfId="1830" priority="221">
      <formula>$BK$4=1</formula>
    </cfRule>
  </conditionalFormatting>
  <conditionalFormatting sqref="BL7:BN82">
    <cfRule type="expression" dxfId="1829" priority="205">
      <formula>$BK$4=""</formula>
    </cfRule>
  </conditionalFormatting>
  <conditionalFormatting sqref="BP7:BR82">
    <cfRule type="expression" dxfId="1828" priority="225">
      <formula>$BO$4=1</formula>
    </cfRule>
  </conditionalFormatting>
  <conditionalFormatting sqref="BP5:BR6">
    <cfRule type="expression" dxfId="1827" priority="224">
      <formula>$BO$4=1</formula>
    </cfRule>
  </conditionalFormatting>
  <conditionalFormatting sqref="BP7:BR82">
    <cfRule type="expression" dxfId="1826" priority="211">
      <formula>$BO$4=""</formula>
    </cfRule>
  </conditionalFormatting>
  <conditionalFormatting sqref="BT7:BV82">
    <cfRule type="expression" dxfId="1825" priority="228">
      <formula>$BS$4=1</formula>
    </cfRule>
  </conditionalFormatting>
  <conditionalFormatting sqref="BT5:BV6">
    <cfRule type="expression" dxfId="1824" priority="227">
      <formula>$BS$4=1</formula>
    </cfRule>
  </conditionalFormatting>
  <conditionalFormatting sqref="BT7:BV82">
    <cfRule type="expression" dxfId="1823" priority="214">
      <formula>$BS$4=""</formula>
    </cfRule>
  </conditionalFormatting>
  <conditionalFormatting sqref="AW4:AX4">
    <cfRule type="expression" dxfId="1822" priority="7">
      <formula>AU$4=1</formula>
    </cfRule>
  </conditionalFormatting>
  <conditionalFormatting sqref="BA4:BB4">
    <cfRule type="expression" dxfId="1821" priority="6">
      <formula>AY$4=1</formula>
    </cfRule>
  </conditionalFormatting>
  <conditionalFormatting sqref="BE4:BF4">
    <cfRule type="expression" dxfId="1820" priority="5">
      <formula>BC$4=1</formula>
    </cfRule>
  </conditionalFormatting>
  <conditionalFormatting sqref="BI4:BJ4">
    <cfRule type="expression" dxfId="1819" priority="4">
      <formula>BG$4=1</formula>
    </cfRule>
  </conditionalFormatting>
  <conditionalFormatting sqref="BM4:BN4">
    <cfRule type="expression" dxfId="1818" priority="3">
      <formula>BK$4=1</formula>
    </cfRule>
  </conditionalFormatting>
  <conditionalFormatting sqref="BQ4:BR4">
    <cfRule type="expression" dxfId="1817" priority="2">
      <formula>BO$4=1</formula>
    </cfRule>
  </conditionalFormatting>
  <conditionalFormatting sqref="BU4:BV4">
    <cfRule type="expression" dxfId="1816" priority="1">
      <formula>BS$4=1</formula>
    </cfRule>
  </conditionalFormatting>
  <dataValidations count="14">
    <dataValidation type="list" allowBlank="1" showInputMessage="1" showErrorMessage="1" sqref="BP7:BP82 AV7:AV82 BL7:BL82 BT7:BT82 BH7:BH82 BD7:BD82 AZ7:AZ82" xr:uid="{1B8D175A-6453-4650-AD13-7010EB17C69E}">
      <formula1>"&lt;, &lt;=, &gt;, &gt;=, ="</formula1>
    </dataValidation>
    <dataValidation type="list" allowBlank="1" showInputMessage="1" showErrorMessage="1" sqref="B7:B82" xr:uid="{FBBB02A1-9F19-49BD-81DE-7700E4D48E68}">
      <formula1>"v"</formula1>
    </dataValidation>
    <dataValidation type="list" allowBlank="1" showInputMessage="1" showErrorMessage="1" sqref="F2" xr:uid="{4678BCB6-FC8E-4991-A28B-BBDE36E5B874}">
      <formula1>"1, 2, 3, 4, 5, 6, 7, 8, 9, 10, 11, 12, 13, 14, 15, 16, 17"</formula1>
    </dataValidation>
    <dataValidation type="list" allowBlank="1" showInputMessage="1" showErrorMessage="1" sqref="D7" xr:uid="{580C2969-90CC-40E4-B5C5-D1C1E220D603}">
      <formula1>"* ,[ASTM] D4176 Procedure 1"</formula1>
    </dataValidation>
    <dataValidation type="list" allowBlank="1" showInputMessage="1" showErrorMessage="1" sqref="D8 D9" xr:uid="{4F2FBA85-435A-448B-88E5-2DB7C09593F9}">
      <formula1>"* ,[OTHER] Visual"</formula1>
    </dataValidation>
    <dataValidation type="list" allowBlank="1" showInputMessage="1" showErrorMessage="1" sqref="D10" xr:uid="{799FE3F9-860D-4B8F-B9D9-4445AC681C8A}">
      <formula1>"* ,[ASTM] D4052,[ASTM] D1298"</formula1>
    </dataValidation>
    <dataValidation type="list" allowBlank="1" showInputMessage="1" showErrorMessage="1" sqref="D11 D12 D13 D14 D15 D16 D17" xr:uid="{C1099E0A-8549-4131-B709-9178116003FE}">
      <formula1>"* ,[ASTM] D86"</formula1>
    </dataValidation>
    <dataValidation type="list" allowBlank="1" showInputMessage="1" showErrorMessage="1" sqref="D18" xr:uid="{84224E1B-D6D5-48C5-A4DB-207F2F6DF5D4}">
      <formula1>"* ,[OTHER] Odor"</formula1>
    </dataValidation>
    <dataValidation type="list" allowBlank="1" showInputMessage="1" showErrorMessage="1" sqref="I7 I8" xr:uid="{6F3FB1F4-6BBE-4379-8870-6462CC07944F}">
      <formula1>"pass/fail,visual"</formula1>
    </dataValidation>
    <dataValidation type="list" allowBlank="1" showInputMessage="1" showErrorMessage="1" sqref="I9" xr:uid="{3B506113-688E-450E-AEDC-9FA36B1A506D}">
      <formula1>"haze no,Pt/Co scale,pass/fail,rating,visual"</formula1>
    </dataValidation>
    <dataValidation type="list" allowBlank="1" showInputMessage="1" showErrorMessage="1" sqref="I10" xr:uid="{5485F0A0-DDF0-4CC9-979D-708DC31996A9}">
      <formula1>"g/ cc,g/l,g/cm³,g/ml,kg/m³,kg/l,n/a,tonne/m³"</formula1>
    </dataValidation>
    <dataValidation type="list" allowBlank="1" showInputMessage="1" showErrorMessage="1" sqref="I11 I12 I13 I14 I15 I16 I17" xr:uid="{3ABD5AFB-E42B-4077-9B75-070773576266}">
      <formula1>"°C,°F,%,%vol"</formula1>
    </dataValidation>
    <dataValidation type="list" allowBlank="1" showInputMessage="1" showErrorMessage="1" sqref="I18" xr:uid="{763D5F72-D9B5-40F4-8DBB-DED109949970}">
      <formula1>"pass/fail"</formula1>
    </dataValidation>
    <dataValidation type="list" allowBlank="1" showInputMessage="1" showErrorMessage="1" sqref="F10 F11 F12 F13 F14 F15 F16 F17" xr:uid="{C6C7AAF1-0FBC-48DA-B073-5A68CC8B4061}">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CCC08013-397D-4F49-B9E5-D53CBEFF5C4F}">
          <x14:formula1>
            <xm:f>Sheet3!$A$2:$A$49</xm:f>
          </x14:formula1>
          <xm:sqref>F3</xm:sqref>
        </x14:dataValidation>
        <x14:dataValidation type="list" allowBlank="1" showInputMessage="1" xr:uid="{EEABC98E-490A-4184-941E-1814D9A4D343}">
          <x14:formula1>
            <xm:f>Sheet3!$J$153:$J$168</xm:f>
          </x14:formula1>
          <xm:sqref>H7:H82 N7:N82 R7:R82 V7:V82 Z7:Z82 AD7:AD82 AH7:AH82 AL7:AL82 AP7:AP82 AT7:AT82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6196D-F874-44C4-945D-C269ABEC8640}">
  <sheetPr codeName="Sheet5">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232</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1815" priority="170">
      <formula>$F$1=1</formula>
    </cfRule>
    <cfRule type="expression" priority="171">
      <formula>$F$1</formula>
    </cfRule>
  </conditionalFormatting>
  <conditionalFormatting sqref="J4">
    <cfRule type="expression" dxfId="1814" priority="172">
      <formula>$F$1=1</formula>
    </cfRule>
  </conditionalFormatting>
  <conditionalFormatting sqref="C7:G82">
    <cfRule type="expression" dxfId="1813" priority="84">
      <formula>$B7="v"</formula>
    </cfRule>
  </conditionalFormatting>
  <conditionalFormatting sqref="H7:H82">
    <cfRule type="expression" dxfId="1812" priority="168">
      <formula>$B7="v"</formula>
    </cfRule>
  </conditionalFormatting>
  <conditionalFormatting sqref="N7:N82">
    <cfRule type="expression" dxfId="1811" priority="167">
      <formula>$B7="v"</formula>
    </cfRule>
  </conditionalFormatting>
  <conditionalFormatting sqref="M7:M82">
    <cfRule type="expression" dxfId="1810" priority="166">
      <formula>$B7="v"</formula>
    </cfRule>
  </conditionalFormatting>
  <conditionalFormatting sqref="L7:L82">
    <cfRule type="expression" dxfId="1809" priority="174">
      <formula>$B7="v"</formula>
    </cfRule>
  </conditionalFormatting>
  <conditionalFormatting sqref="P7:Q82">
    <cfRule type="expression" dxfId="1808" priority="178">
      <formula>$B7="v"</formula>
    </cfRule>
  </conditionalFormatting>
  <conditionalFormatting sqref="R7:R82">
    <cfRule type="expression" dxfId="1807" priority="164">
      <formula>$B7="v"</formula>
    </cfRule>
  </conditionalFormatting>
  <conditionalFormatting sqref="Z7:Z82 V7:V82 AL7:AL82 AH7:AH82 AD7:AD82 AX7:AX82 AT7:AT82 AP7:AP82 BJ7:BJ82 BF7:BF82 BB7:BB82 BV7:BV82 BR7:BR82 BN7:BN82">
    <cfRule type="expression" dxfId="1806" priority="217">
      <formula>$B7="v"</formula>
    </cfRule>
  </conditionalFormatting>
  <conditionalFormatting sqref="X7:Y82 T7:U82 AJ7:AK82 AF7:AG82 AB7:AC82 AR7:AS82 AN7:AO82 BH7:BI82 BD7:BE82 AZ7:BA82 BT7:BU82 BP7:BQ82 BL7:BM82">
    <cfRule type="expression" dxfId="1805" priority="220">
      <formula>$B7="v"</formula>
    </cfRule>
  </conditionalFormatting>
  <conditionalFormatting sqref="AV7:AW82">
    <cfRule type="expression" dxfId="1804" priority="208">
      <formula>$B7="v"</formula>
    </cfRule>
  </conditionalFormatting>
  <conditionalFormatting sqref="F25">
    <cfRule type="expression" dxfId="1803" priority="159">
      <formula>$E$25="n/a"</formula>
    </cfRule>
  </conditionalFormatting>
  <conditionalFormatting sqref="F7">
    <cfRule type="expression" dxfId="1802" priority="158">
      <formula>$E$7="n/a"</formula>
    </cfRule>
  </conditionalFormatting>
  <conditionalFormatting sqref="F8">
    <cfRule type="expression" dxfId="1801" priority="169">
      <formula>$E$8="n/a"</formula>
    </cfRule>
  </conditionalFormatting>
  <conditionalFormatting sqref="F9">
    <cfRule type="expression" dxfId="1800" priority="157">
      <formula>$E$9="n/a"</formula>
    </cfRule>
  </conditionalFormatting>
  <conditionalFormatting sqref="F10">
    <cfRule type="expression" dxfId="1799" priority="156">
      <formula>$E$10="n/a"</formula>
    </cfRule>
  </conditionalFormatting>
  <conditionalFormatting sqref="F11">
    <cfRule type="expression" dxfId="1798" priority="155">
      <formula>$E$11="n/a"</formula>
    </cfRule>
  </conditionalFormatting>
  <conditionalFormatting sqref="F12">
    <cfRule type="expression" dxfId="1797" priority="154">
      <formula>$E$12="n/a"</formula>
    </cfRule>
  </conditionalFormatting>
  <conditionalFormatting sqref="F13">
    <cfRule type="expression" dxfId="1796" priority="153">
      <formula>$E$13="n/a"</formula>
    </cfRule>
  </conditionalFormatting>
  <conditionalFormatting sqref="F14">
    <cfRule type="expression" dxfId="1795" priority="152">
      <formula>$E$14="n/a"</formula>
    </cfRule>
  </conditionalFormatting>
  <conditionalFormatting sqref="F15">
    <cfRule type="expression" dxfId="1794" priority="151">
      <formula>$E$15="n/a"</formula>
    </cfRule>
  </conditionalFormatting>
  <conditionalFormatting sqref="F16">
    <cfRule type="expression" dxfId="1793" priority="150">
      <formula>$E$16="n/a"</formula>
    </cfRule>
  </conditionalFormatting>
  <conditionalFormatting sqref="F17">
    <cfRule type="expression" dxfId="1792" priority="149">
      <formula>$E$17="n/a"</formula>
    </cfRule>
  </conditionalFormatting>
  <conditionalFormatting sqref="F18">
    <cfRule type="expression" dxfId="1791" priority="148">
      <formula>$E$18="n/a"</formula>
    </cfRule>
  </conditionalFormatting>
  <conditionalFormatting sqref="F19">
    <cfRule type="expression" dxfId="1790" priority="147">
      <formula>$E$19="n/a"</formula>
    </cfRule>
  </conditionalFormatting>
  <conditionalFormatting sqref="F20">
    <cfRule type="expression" dxfId="1789" priority="146">
      <formula>$E$20="n/a"</formula>
    </cfRule>
  </conditionalFormatting>
  <conditionalFormatting sqref="F21">
    <cfRule type="expression" dxfId="1788" priority="145">
      <formula>$E$21="n/a"</formula>
    </cfRule>
  </conditionalFormatting>
  <conditionalFormatting sqref="F22">
    <cfRule type="expression" dxfId="1787" priority="144">
      <formula>$E$22="n/a"</formula>
    </cfRule>
  </conditionalFormatting>
  <conditionalFormatting sqref="F23">
    <cfRule type="expression" dxfId="1786" priority="143">
      <formula>$E$23="n/a"</formula>
    </cfRule>
  </conditionalFormatting>
  <conditionalFormatting sqref="F24">
    <cfRule type="expression" dxfId="1785" priority="142">
      <formula>$E$24="n/a"</formula>
    </cfRule>
  </conditionalFormatting>
  <conditionalFormatting sqref="F26">
    <cfRule type="expression" dxfId="1784" priority="141">
      <formula>$E$26="n/a"</formula>
    </cfRule>
  </conditionalFormatting>
  <conditionalFormatting sqref="F27">
    <cfRule type="expression" dxfId="1783" priority="140">
      <formula>$E$27="n/a"</formula>
    </cfRule>
  </conditionalFormatting>
  <conditionalFormatting sqref="F28">
    <cfRule type="expression" dxfId="1782" priority="139">
      <formula>$E$28="n/a"</formula>
    </cfRule>
  </conditionalFormatting>
  <conditionalFormatting sqref="F29">
    <cfRule type="expression" dxfId="1781" priority="138">
      <formula>$E$29="n/a"</formula>
    </cfRule>
  </conditionalFormatting>
  <conditionalFormatting sqref="F30">
    <cfRule type="expression" dxfId="1780" priority="137">
      <formula>$E$30="n/a"</formula>
    </cfRule>
  </conditionalFormatting>
  <conditionalFormatting sqref="F31">
    <cfRule type="expression" dxfId="1779" priority="136">
      <formula>$E$31="n/a"</formula>
    </cfRule>
  </conditionalFormatting>
  <conditionalFormatting sqref="F32">
    <cfRule type="expression" dxfId="1778" priority="135">
      <formula>$E$32="n/a"</formula>
    </cfRule>
  </conditionalFormatting>
  <conditionalFormatting sqref="F33">
    <cfRule type="expression" dxfId="1777" priority="134">
      <formula>$E$33="n/a"</formula>
    </cfRule>
  </conditionalFormatting>
  <conditionalFormatting sqref="F34">
    <cfRule type="expression" dxfId="1776" priority="133">
      <formula>$E$34="n/a"</formula>
    </cfRule>
  </conditionalFormatting>
  <conditionalFormatting sqref="F35">
    <cfRule type="expression" dxfId="1775" priority="132">
      <formula>$E$35="n/a"</formula>
    </cfRule>
  </conditionalFormatting>
  <conditionalFormatting sqref="F36">
    <cfRule type="expression" dxfId="1774" priority="131">
      <formula>$E$36="n/a"</formula>
    </cfRule>
  </conditionalFormatting>
  <conditionalFormatting sqref="F37">
    <cfRule type="expression" dxfId="1773" priority="130">
      <formula>$E$37="n/a"</formula>
    </cfRule>
  </conditionalFormatting>
  <conditionalFormatting sqref="F38">
    <cfRule type="expression" dxfId="1772" priority="129">
      <formula>$E$38="n/a"</formula>
    </cfRule>
  </conditionalFormatting>
  <conditionalFormatting sqref="F39">
    <cfRule type="expression" dxfId="1771" priority="128">
      <formula>$E$39="n/a"</formula>
    </cfRule>
  </conditionalFormatting>
  <conditionalFormatting sqref="F40">
    <cfRule type="expression" dxfId="1770" priority="127">
      <formula>$E$40="n/a"</formula>
    </cfRule>
  </conditionalFormatting>
  <conditionalFormatting sqref="F41">
    <cfRule type="expression" dxfId="1769" priority="126">
      <formula>$E$41="n/a"</formula>
    </cfRule>
  </conditionalFormatting>
  <conditionalFormatting sqref="F42">
    <cfRule type="expression" dxfId="1768" priority="125">
      <formula>$E$42="n/a"</formula>
    </cfRule>
  </conditionalFormatting>
  <conditionalFormatting sqref="F43">
    <cfRule type="expression" dxfId="1767" priority="124">
      <formula>$E$43="n/a"</formula>
    </cfRule>
  </conditionalFormatting>
  <conditionalFormatting sqref="F44">
    <cfRule type="expression" dxfId="1766" priority="123">
      <formula>$E$44="n/a"</formula>
    </cfRule>
  </conditionalFormatting>
  <conditionalFormatting sqref="F45">
    <cfRule type="expression" dxfId="1765" priority="122">
      <formula>$E$45="n/a"</formula>
    </cfRule>
  </conditionalFormatting>
  <conditionalFormatting sqref="F46">
    <cfRule type="expression" dxfId="1764" priority="121">
      <formula>$E$46="n/a"</formula>
    </cfRule>
  </conditionalFormatting>
  <conditionalFormatting sqref="F82">
    <cfRule type="expression" dxfId="1763" priority="119">
      <formula>$E$82="n/a"</formula>
    </cfRule>
  </conditionalFormatting>
  <conditionalFormatting sqref="F81">
    <cfRule type="expression" dxfId="1762" priority="118">
      <formula>$E$81="n/a"</formula>
    </cfRule>
  </conditionalFormatting>
  <conditionalFormatting sqref="F80">
    <cfRule type="expression" dxfId="1761" priority="117">
      <formula>$E$80="n/a"</formula>
    </cfRule>
  </conditionalFormatting>
  <conditionalFormatting sqref="F79">
    <cfRule type="expression" dxfId="1760" priority="116">
      <formula>$E$79="n/a"</formula>
    </cfRule>
  </conditionalFormatting>
  <conditionalFormatting sqref="F78">
    <cfRule type="expression" dxfId="1759" priority="115">
      <formula>$E$78="n/a"</formula>
    </cfRule>
  </conditionalFormatting>
  <conditionalFormatting sqref="F77">
    <cfRule type="expression" dxfId="1758" priority="114">
      <formula>$E$77="n/a"</formula>
    </cfRule>
  </conditionalFormatting>
  <conditionalFormatting sqref="F76">
    <cfRule type="expression" dxfId="1757" priority="113">
      <formula>$E$76="n/a"</formula>
    </cfRule>
  </conditionalFormatting>
  <conditionalFormatting sqref="F75">
    <cfRule type="expression" dxfId="1756" priority="112">
      <formula>$E$75="n/a"</formula>
    </cfRule>
  </conditionalFormatting>
  <conditionalFormatting sqref="F74">
    <cfRule type="expression" dxfId="1755" priority="111">
      <formula>$E$74="n/a"</formula>
    </cfRule>
  </conditionalFormatting>
  <conditionalFormatting sqref="F73">
    <cfRule type="expression" dxfId="1754" priority="109">
      <formula>$E$73="n/a"</formula>
    </cfRule>
  </conditionalFormatting>
  <conditionalFormatting sqref="F72">
    <cfRule type="expression" dxfId="1753" priority="85">
      <formula>$E$72="n/a"</formula>
    </cfRule>
  </conditionalFormatting>
  <conditionalFormatting sqref="F47">
    <cfRule type="expression" dxfId="1752" priority="120">
      <formula>$E$47="n/a"</formula>
    </cfRule>
  </conditionalFormatting>
  <conditionalFormatting sqref="F48">
    <cfRule type="expression" dxfId="1751" priority="110">
      <formula>$E$48="n/a"</formula>
    </cfRule>
  </conditionalFormatting>
  <conditionalFormatting sqref="F49">
    <cfRule type="expression" dxfId="1750" priority="108">
      <formula>$E$49="n/a"</formula>
    </cfRule>
  </conditionalFormatting>
  <conditionalFormatting sqref="F50">
    <cfRule type="expression" dxfId="1749" priority="107">
      <formula>$E$50="n/a"</formula>
    </cfRule>
  </conditionalFormatting>
  <conditionalFormatting sqref="F51">
    <cfRule type="expression" dxfId="1748" priority="106">
      <formula>$E$51="n/a"</formula>
    </cfRule>
  </conditionalFormatting>
  <conditionalFormatting sqref="F52">
    <cfRule type="expression" dxfId="1747" priority="105">
      <formula>$E$52="n/a"</formula>
    </cfRule>
  </conditionalFormatting>
  <conditionalFormatting sqref="F53">
    <cfRule type="expression" dxfId="1746" priority="104">
      <formula>$E$53="n/a"</formula>
    </cfRule>
  </conditionalFormatting>
  <conditionalFormatting sqref="F54">
    <cfRule type="expression" dxfId="1745" priority="103">
      <formula>$E$54="n/a"</formula>
    </cfRule>
  </conditionalFormatting>
  <conditionalFormatting sqref="F55">
    <cfRule type="expression" dxfId="1744" priority="102">
      <formula>$E$55="n/a"</formula>
    </cfRule>
  </conditionalFormatting>
  <conditionalFormatting sqref="F56">
    <cfRule type="expression" dxfId="1743" priority="101">
      <formula>$E$56="n/a"</formula>
    </cfRule>
  </conditionalFormatting>
  <conditionalFormatting sqref="F57">
    <cfRule type="expression" dxfId="1742" priority="100">
      <formula>$E$57="n/a"</formula>
    </cfRule>
  </conditionalFormatting>
  <conditionalFormatting sqref="F58">
    <cfRule type="expression" dxfId="1741" priority="99">
      <formula>$E$58="n/a"</formula>
    </cfRule>
  </conditionalFormatting>
  <conditionalFormatting sqref="F59">
    <cfRule type="expression" dxfId="1740" priority="98">
      <formula>$E$59="n/a"</formula>
    </cfRule>
  </conditionalFormatting>
  <conditionalFormatting sqref="F60">
    <cfRule type="expression" dxfId="1739" priority="97">
      <formula>$E$60="n/a"</formula>
    </cfRule>
  </conditionalFormatting>
  <conditionalFormatting sqref="F61">
    <cfRule type="expression" dxfId="1738" priority="96">
      <formula>$E$61="n/a"</formula>
    </cfRule>
  </conditionalFormatting>
  <conditionalFormatting sqref="F62">
    <cfRule type="expression" dxfId="1737" priority="95">
      <formula>$E$62="n/a"</formula>
    </cfRule>
  </conditionalFormatting>
  <conditionalFormatting sqref="F63">
    <cfRule type="expression" dxfId="1736" priority="94">
      <formula>$E$63="n/a"</formula>
    </cfRule>
  </conditionalFormatting>
  <conditionalFormatting sqref="F64">
    <cfRule type="expression" dxfId="1735" priority="93">
      <formula>$E$64="n/a"</formula>
    </cfRule>
  </conditionalFormatting>
  <conditionalFormatting sqref="F65">
    <cfRule type="expression" dxfId="1734" priority="92">
      <formula>$E$65="n/a"</formula>
    </cfRule>
  </conditionalFormatting>
  <conditionalFormatting sqref="F66">
    <cfRule type="expression" dxfId="1733" priority="91">
      <formula>$E$66="n/a"</formula>
    </cfRule>
  </conditionalFormatting>
  <conditionalFormatting sqref="F67">
    <cfRule type="expression" dxfId="1732" priority="90">
      <formula>$E$67="n/a"</formula>
    </cfRule>
  </conditionalFormatting>
  <conditionalFormatting sqref="F68">
    <cfRule type="expression" dxfId="1731" priority="89">
      <formula>$E$68="n/a"</formula>
    </cfRule>
  </conditionalFormatting>
  <conditionalFormatting sqref="F69">
    <cfRule type="expression" dxfId="1730" priority="88">
      <formula>$E$69="n/a"</formula>
    </cfRule>
  </conditionalFormatting>
  <conditionalFormatting sqref="F70">
    <cfRule type="expression" dxfId="1729" priority="87">
      <formula>$E$70="n/a"</formula>
    </cfRule>
  </conditionalFormatting>
  <conditionalFormatting sqref="F71">
    <cfRule type="expression" dxfId="1728" priority="86">
      <formula>$E$71="n/a"</formula>
    </cfRule>
  </conditionalFormatting>
  <conditionalFormatting sqref="I7">
    <cfRule type="expression" dxfId="1727" priority="83">
      <formula>$B$7="v"</formula>
    </cfRule>
  </conditionalFormatting>
  <conditionalFormatting sqref="I8">
    <cfRule type="expression" dxfId="1726" priority="82">
      <formula>$B$8="v"</formula>
    </cfRule>
  </conditionalFormatting>
  <conditionalFormatting sqref="I9">
    <cfRule type="expression" dxfId="1725" priority="81">
      <formula>$B$9="v"</formula>
    </cfRule>
  </conditionalFormatting>
  <conditionalFormatting sqref="I10">
    <cfRule type="expression" dxfId="1724" priority="80">
      <formula>$B$10="v"</formula>
    </cfRule>
  </conditionalFormatting>
  <conditionalFormatting sqref="I11">
    <cfRule type="expression" dxfId="1723" priority="79">
      <formula>$B$11="v"</formula>
    </cfRule>
  </conditionalFormatting>
  <conditionalFormatting sqref="I12">
    <cfRule type="expression" dxfId="1722" priority="78">
      <formula>$B$12="v"</formula>
    </cfRule>
  </conditionalFormatting>
  <conditionalFormatting sqref="I13">
    <cfRule type="expression" dxfId="1721" priority="77">
      <formula>$B$13="v"</formula>
    </cfRule>
  </conditionalFormatting>
  <conditionalFormatting sqref="I14">
    <cfRule type="expression" dxfId="1720" priority="76">
      <formula>$B$14="v"</formula>
    </cfRule>
  </conditionalFormatting>
  <conditionalFormatting sqref="I15">
    <cfRule type="expression" dxfId="1719" priority="75">
      <formula>$B$15="v"</formula>
    </cfRule>
  </conditionalFormatting>
  <conditionalFormatting sqref="I16">
    <cfRule type="expression" dxfId="1718" priority="74">
      <formula>$B$16="v"</formula>
    </cfRule>
  </conditionalFormatting>
  <conditionalFormatting sqref="I17">
    <cfRule type="expression" dxfId="1717" priority="73">
      <formula>$B$17="v"</formula>
    </cfRule>
  </conditionalFormatting>
  <conditionalFormatting sqref="I18">
    <cfRule type="expression" dxfId="1716" priority="72">
      <formula>$B$18="v"</formula>
    </cfRule>
  </conditionalFormatting>
  <conditionalFormatting sqref="I19">
    <cfRule type="expression" dxfId="1715" priority="71">
      <formula>$B$19="v"</formula>
    </cfRule>
  </conditionalFormatting>
  <conditionalFormatting sqref="I20">
    <cfRule type="expression" dxfId="1714" priority="70">
      <formula>$B$20="v"</formula>
    </cfRule>
  </conditionalFormatting>
  <conditionalFormatting sqref="I21">
    <cfRule type="expression" dxfId="1713" priority="69">
      <formula>$B$21="v"</formula>
    </cfRule>
  </conditionalFormatting>
  <conditionalFormatting sqref="I22">
    <cfRule type="expression" dxfId="1712" priority="68">
      <formula>$B$22="v"</formula>
    </cfRule>
  </conditionalFormatting>
  <conditionalFormatting sqref="I23">
    <cfRule type="expression" dxfId="1711" priority="67">
      <formula>$B$23="v"</formula>
    </cfRule>
  </conditionalFormatting>
  <conditionalFormatting sqref="I24">
    <cfRule type="expression" dxfId="1710" priority="66">
      <formula>$B$24="v"</formula>
    </cfRule>
  </conditionalFormatting>
  <conditionalFormatting sqref="I25">
    <cfRule type="expression" dxfId="1709" priority="65">
      <formula>$B$25="v"</formula>
    </cfRule>
  </conditionalFormatting>
  <conditionalFormatting sqref="I26">
    <cfRule type="expression" dxfId="1708" priority="64">
      <formula>$B$26="v"</formula>
    </cfRule>
  </conditionalFormatting>
  <conditionalFormatting sqref="I27">
    <cfRule type="expression" dxfId="1707" priority="63">
      <formula>$B$27="v"</formula>
    </cfRule>
  </conditionalFormatting>
  <conditionalFormatting sqref="I28">
    <cfRule type="expression" dxfId="1706" priority="62">
      <formula>$B$28="v"</formula>
    </cfRule>
  </conditionalFormatting>
  <conditionalFormatting sqref="I29">
    <cfRule type="expression" dxfId="1705" priority="61">
      <formula>$B$29="v"</formula>
    </cfRule>
  </conditionalFormatting>
  <conditionalFormatting sqref="I30">
    <cfRule type="expression" dxfId="1704" priority="60">
      <formula>$B$30="v"</formula>
    </cfRule>
  </conditionalFormatting>
  <conditionalFormatting sqref="I31">
    <cfRule type="expression" dxfId="1703" priority="59">
      <formula>$B$31="v"</formula>
    </cfRule>
  </conditionalFormatting>
  <conditionalFormatting sqref="I32">
    <cfRule type="expression" dxfId="1702" priority="58">
      <formula>$B$32="v"</formula>
    </cfRule>
  </conditionalFormatting>
  <conditionalFormatting sqref="I33">
    <cfRule type="expression" dxfId="1701" priority="57">
      <formula>$B$33="v"</formula>
    </cfRule>
  </conditionalFormatting>
  <conditionalFormatting sqref="I34">
    <cfRule type="expression" dxfId="1700" priority="56">
      <formula>$B$34="v"</formula>
    </cfRule>
  </conditionalFormatting>
  <conditionalFormatting sqref="I35">
    <cfRule type="expression" dxfId="1699" priority="55">
      <formula>$B$35="v"</formula>
    </cfRule>
  </conditionalFormatting>
  <conditionalFormatting sqref="I36">
    <cfRule type="expression" dxfId="1698" priority="54">
      <formula>$B$36="v"</formula>
    </cfRule>
  </conditionalFormatting>
  <conditionalFormatting sqref="I37">
    <cfRule type="expression" dxfId="1697" priority="53">
      <formula>$B$37="v"</formula>
    </cfRule>
  </conditionalFormatting>
  <conditionalFormatting sqref="I38">
    <cfRule type="expression" dxfId="1696" priority="52">
      <formula>$B$38="v"</formula>
    </cfRule>
  </conditionalFormatting>
  <conditionalFormatting sqref="I39">
    <cfRule type="expression" dxfId="1695" priority="51">
      <formula>$B$39="v"</formula>
    </cfRule>
  </conditionalFormatting>
  <conditionalFormatting sqref="I40">
    <cfRule type="expression" dxfId="1694" priority="50">
      <formula>$B$40="v"</formula>
    </cfRule>
  </conditionalFormatting>
  <conditionalFormatting sqref="I41">
    <cfRule type="expression" dxfId="1693" priority="49">
      <formula>$B$41="v"</formula>
    </cfRule>
  </conditionalFormatting>
  <conditionalFormatting sqref="I42">
    <cfRule type="expression" dxfId="1692" priority="48">
      <formula>$B$42="v"</formula>
    </cfRule>
  </conditionalFormatting>
  <conditionalFormatting sqref="I43">
    <cfRule type="expression" dxfId="1691" priority="47">
      <formula>$B$43="v"</formula>
    </cfRule>
  </conditionalFormatting>
  <conditionalFormatting sqref="I44">
    <cfRule type="expression" dxfId="1690" priority="46">
      <formula>$B$44="v"</formula>
    </cfRule>
  </conditionalFormatting>
  <conditionalFormatting sqref="I45">
    <cfRule type="expression" dxfId="1689" priority="45">
      <formula>$B$45="v"</formula>
    </cfRule>
  </conditionalFormatting>
  <conditionalFormatting sqref="I46">
    <cfRule type="expression" dxfId="1688" priority="44">
      <formula>$B$46="v"</formula>
    </cfRule>
  </conditionalFormatting>
  <conditionalFormatting sqref="I47">
    <cfRule type="expression" dxfId="1687" priority="43">
      <formula>$B$47="v"</formula>
    </cfRule>
  </conditionalFormatting>
  <conditionalFormatting sqref="I48">
    <cfRule type="expression" dxfId="1686" priority="42">
      <formula>$B$48="v"</formula>
    </cfRule>
  </conditionalFormatting>
  <conditionalFormatting sqref="I49">
    <cfRule type="expression" dxfId="1685" priority="41">
      <formula>$B$49="v"</formula>
    </cfRule>
  </conditionalFormatting>
  <conditionalFormatting sqref="I50">
    <cfRule type="expression" dxfId="1684" priority="40">
      <formula>$B$50="v"</formula>
    </cfRule>
  </conditionalFormatting>
  <conditionalFormatting sqref="I51">
    <cfRule type="expression" dxfId="1683" priority="39">
      <formula>$B$51="v"</formula>
    </cfRule>
  </conditionalFormatting>
  <conditionalFormatting sqref="I52">
    <cfRule type="expression" dxfId="1682" priority="38">
      <formula>$B$52="v"</formula>
    </cfRule>
  </conditionalFormatting>
  <conditionalFormatting sqref="I53">
    <cfRule type="expression" dxfId="1681" priority="37">
      <formula>$B$53="v"</formula>
    </cfRule>
  </conditionalFormatting>
  <conditionalFormatting sqref="I54">
    <cfRule type="expression" dxfId="1680" priority="36">
      <formula>$B$54="v"</formula>
    </cfRule>
  </conditionalFormatting>
  <conditionalFormatting sqref="I55">
    <cfRule type="expression" dxfId="1679" priority="35">
      <formula>$B$55="v"</formula>
    </cfRule>
  </conditionalFormatting>
  <conditionalFormatting sqref="I56">
    <cfRule type="expression" dxfId="1678" priority="34">
      <formula>$B$56="v"</formula>
    </cfRule>
  </conditionalFormatting>
  <conditionalFormatting sqref="I57">
    <cfRule type="expression" dxfId="1677" priority="33">
      <formula>$B$57="v"</formula>
    </cfRule>
  </conditionalFormatting>
  <conditionalFormatting sqref="I58">
    <cfRule type="expression" dxfId="1676" priority="32">
      <formula>$B$58="v"</formula>
    </cfRule>
  </conditionalFormatting>
  <conditionalFormatting sqref="I59">
    <cfRule type="expression" dxfId="1675" priority="31">
      <formula>$B$59="v"</formula>
    </cfRule>
  </conditionalFormatting>
  <conditionalFormatting sqref="I60">
    <cfRule type="expression" dxfId="1674" priority="30">
      <formula>$B$60="v"</formula>
    </cfRule>
  </conditionalFormatting>
  <conditionalFormatting sqref="I61">
    <cfRule type="expression" dxfId="1673" priority="29">
      <formula>$B$61="v"</formula>
    </cfRule>
  </conditionalFormatting>
  <conditionalFormatting sqref="I62">
    <cfRule type="expression" dxfId="1672" priority="28">
      <formula>$B$62="v"</formula>
    </cfRule>
  </conditionalFormatting>
  <conditionalFormatting sqref="I63">
    <cfRule type="expression" dxfId="1671" priority="27">
      <formula>$B$63="v"</formula>
    </cfRule>
  </conditionalFormatting>
  <conditionalFormatting sqref="I64">
    <cfRule type="expression" dxfId="1670" priority="26">
      <formula>$B$64="v"</formula>
    </cfRule>
  </conditionalFormatting>
  <conditionalFormatting sqref="I65">
    <cfRule type="expression" dxfId="1669" priority="25">
      <formula>$B$65="v"</formula>
    </cfRule>
  </conditionalFormatting>
  <conditionalFormatting sqref="I66">
    <cfRule type="expression" dxfId="1668" priority="24">
      <formula>$B$66="v"</formula>
    </cfRule>
  </conditionalFormatting>
  <conditionalFormatting sqref="I67">
    <cfRule type="expression" dxfId="1667" priority="23">
      <formula>$B$67="v"</formula>
    </cfRule>
  </conditionalFormatting>
  <conditionalFormatting sqref="I68">
    <cfRule type="expression" dxfId="1666" priority="22">
      <formula>$B$68="v"</formula>
    </cfRule>
  </conditionalFormatting>
  <conditionalFormatting sqref="I69">
    <cfRule type="expression" dxfId="1665" priority="21">
      <formula>$B$69="v"</formula>
    </cfRule>
  </conditionalFormatting>
  <conditionalFormatting sqref="I70">
    <cfRule type="expression" dxfId="1664" priority="20">
      <formula>$B$70="v"</formula>
    </cfRule>
  </conditionalFormatting>
  <conditionalFormatting sqref="I71">
    <cfRule type="expression" dxfId="1663" priority="19">
      <formula>$B$71="v"</formula>
    </cfRule>
  </conditionalFormatting>
  <conditionalFormatting sqref="I72">
    <cfRule type="expression" dxfId="1662" priority="18">
      <formula>$B$72="v"</formula>
    </cfRule>
  </conditionalFormatting>
  <conditionalFormatting sqref="I73">
    <cfRule type="expression" dxfId="1661" priority="17">
      <formula>$B$73="v"</formula>
    </cfRule>
  </conditionalFormatting>
  <conditionalFormatting sqref="I74">
    <cfRule type="expression" dxfId="1660" priority="16">
      <formula>$B$74="v"</formula>
    </cfRule>
  </conditionalFormatting>
  <conditionalFormatting sqref="I75">
    <cfRule type="expression" dxfId="1659" priority="15">
      <formula>$B$75="v"</formula>
    </cfRule>
  </conditionalFormatting>
  <conditionalFormatting sqref="I76">
    <cfRule type="expression" dxfId="1658" priority="14">
      <formula>$B$76="v"</formula>
    </cfRule>
  </conditionalFormatting>
  <conditionalFormatting sqref="I77">
    <cfRule type="expression" dxfId="1657" priority="13">
      <formula>$B$77="v"</formula>
    </cfRule>
  </conditionalFormatting>
  <conditionalFormatting sqref="I78">
    <cfRule type="expression" dxfId="1656" priority="12">
      <formula>$B$78="v"</formula>
    </cfRule>
  </conditionalFormatting>
  <conditionalFormatting sqref="I79">
    <cfRule type="expression" dxfId="1655" priority="11">
      <formula>$B$79="v"</formula>
    </cfRule>
  </conditionalFormatting>
  <conditionalFormatting sqref="I80">
    <cfRule type="expression" dxfId="1654" priority="10">
      <formula>$B$80="v"</formula>
    </cfRule>
  </conditionalFormatting>
  <conditionalFormatting sqref="I81">
    <cfRule type="expression" dxfId="1653" priority="9">
      <formula>$B$81="v"</formula>
    </cfRule>
  </conditionalFormatting>
  <conditionalFormatting sqref="I82">
    <cfRule type="expression" dxfId="1652" priority="8">
      <formula>$B$82="v"</formula>
    </cfRule>
  </conditionalFormatting>
  <conditionalFormatting sqref="L5:N6">
    <cfRule type="expression" dxfId="1651" priority="173">
      <formula>$K$4=1</formula>
    </cfRule>
  </conditionalFormatting>
  <conditionalFormatting sqref="L7:N82">
    <cfRule type="expression" dxfId="1650" priority="176">
      <formula>$K$4=1</formula>
    </cfRule>
  </conditionalFormatting>
  <conditionalFormatting sqref="M4:N4">
    <cfRule type="expression" dxfId="1649" priority="175">
      <formula>$K$4=1</formula>
    </cfRule>
  </conditionalFormatting>
  <conditionalFormatting sqref="L7:N82">
    <cfRule type="expression" dxfId="1648" priority="165">
      <formula>$K$4=""</formula>
    </cfRule>
  </conditionalFormatting>
  <conditionalFormatting sqref="P5:R6">
    <cfRule type="expression" dxfId="1647" priority="177">
      <formula>$O$4=1</formula>
    </cfRule>
  </conditionalFormatting>
  <conditionalFormatting sqref="P7:R82">
    <cfRule type="expression" dxfId="1646" priority="180">
      <formula>$O$4=1</formula>
    </cfRule>
  </conditionalFormatting>
  <conditionalFormatting sqref="Q4:R4">
    <cfRule type="expression" dxfId="1645" priority="179">
      <formula>$O$4=1</formula>
    </cfRule>
  </conditionalFormatting>
  <conditionalFormatting sqref="P7:R82">
    <cfRule type="expression" dxfId="1644" priority="163">
      <formula>$O$4=""</formula>
    </cfRule>
  </conditionalFormatting>
  <conditionalFormatting sqref="T5:V6">
    <cfRule type="expression" dxfId="1643" priority="181">
      <formula>$S$4=1</formula>
    </cfRule>
  </conditionalFormatting>
  <conditionalFormatting sqref="T7:V82">
    <cfRule type="expression" dxfId="1642" priority="226">
      <formula>$S$4=1</formula>
    </cfRule>
  </conditionalFormatting>
  <conditionalFormatting sqref="U4:V4">
    <cfRule type="expression" dxfId="1641" priority="183">
      <formula>$S$4=1</formula>
    </cfRule>
  </conditionalFormatting>
  <conditionalFormatting sqref="T7:V82">
    <cfRule type="expression" dxfId="1640" priority="161">
      <formula>$S$4=""</formula>
    </cfRule>
  </conditionalFormatting>
  <conditionalFormatting sqref="X5:Z6">
    <cfRule type="expression" dxfId="1639" priority="185">
      <formula>$W$4=1</formula>
    </cfRule>
  </conditionalFormatting>
  <conditionalFormatting sqref="X7:Z82">
    <cfRule type="expression" dxfId="1638" priority="223">
      <formula>$W$4=1</formula>
    </cfRule>
  </conditionalFormatting>
  <conditionalFormatting sqref="Y4:Z4">
    <cfRule type="expression" dxfId="1637" priority="187">
      <formula>$W$4=1</formula>
    </cfRule>
  </conditionalFormatting>
  <conditionalFormatting sqref="X7:Z82">
    <cfRule type="expression" dxfId="1636" priority="162">
      <formula>$W$4=""</formula>
    </cfRule>
  </conditionalFormatting>
  <conditionalFormatting sqref="AB5:AD6">
    <cfRule type="expression" dxfId="1635" priority="189">
      <formula>$AA$4=1</formula>
    </cfRule>
  </conditionalFormatting>
  <conditionalFormatting sqref="AB7:AD82">
    <cfRule type="expression" dxfId="1634" priority="192">
      <formula>$AA$4=1</formula>
    </cfRule>
  </conditionalFormatting>
  <conditionalFormatting sqref="AC4:AD4">
    <cfRule type="expression" dxfId="1633" priority="191">
      <formula>$AA$4=1</formula>
    </cfRule>
  </conditionalFormatting>
  <conditionalFormatting sqref="AB7:AD82">
    <cfRule type="expression" dxfId="1632" priority="182">
      <formula>$AA$4=""</formula>
    </cfRule>
  </conditionalFormatting>
  <conditionalFormatting sqref="AF5:AH6">
    <cfRule type="expression" dxfId="1631" priority="193">
      <formula>$AE$4=1</formula>
    </cfRule>
  </conditionalFormatting>
  <conditionalFormatting sqref="AF7:AH82">
    <cfRule type="expression" dxfId="1630" priority="196">
      <formula>$AE$4=1</formula>
    </cfRule>
  </conditionalFormatting>
  <conditionalFormatting sqref="AG4:AH4">
    <cfRule type="expression" dxfId="1629" priority="195">
      <formula>$AE$4=1</formula>
    </cfRule>
  </conditionalFormatting>
  <conditionalFormatting sqref="AF7:AH82">
    <cfRule type="expression" dxfId="1628" priority="184">
      <formula>$AE$4=""</formula>
    </cfRule>
  </conditionalFormatting>
  <conditionalFormatting sqref="AJ7:AL82">
    <cfRule type="expression" dxfId="1627" priority="200">
      <formula>$AI$4=1</formula>
    </cfRule>
  </conditionalFormatting>
  <conditionalFormatting sqref="AK4:AL4">
    <cfRule type="expression" dxfId="1626" priority="198">
      <formula>$AI$4=1</formula>
    </cfRule>
  </conditionalFormatting>
  <conditionalFormatting sqref="AJ5:AL6">
    <cfRule type="expression" dxfId="1625" priority="199">
      <formula>$AI$4=1</formula>
    </cfRule>
  </conditionalFormatting>
  <conditionalFormatting sqref="AJ7:AL82">
    <cfRule type="expression" dxfId="1624" priority="186">
      <formula>$AI$4=""</formula>
    </cfRule>
  </conditionalFormatting>
  <conditionalFormatting sqref="AN7:AP82">
    <cfRule type="expression" dxfId="1623" priority="204">
      <formula>$AM$4=1</formula>
    </cfRule>
  </conditionalFormatting>
  <conditionalFormatting sqref="AO4:AP4 AS4:AT4">
    <cfRule type="expression" dxfId="1622" priority="202">
      <formula>AQ$4=1</formula>
    </cfRule>
  </conditionalFormatting>
  <conditionalFormatting sqref="AN5:AP6">
    <cfRule type="expression" dxfId="1621" priority="203">
      <formula>$AM$4=1</formula>
    </cfRule>
  </conditionalFormatting>
  <conditionalFormatting sqref="AN7:AP82">
    <cfRule type="expression" dxfId="1620" priority="188">
      <formula>$AM$4=""</formula>
    </cfRule>
  </conditionalFormatting>
  <conditionalFormatting sqref="AR7:AT82">
    <cfRule type="expression" dxfId="1619" priority="207">
      <formula>$AQ$4=1</formula>
    </cfRule>
  </conditionalFormatting>
  <conditionalFormatting sqref="AR5:AT6">
    <cfRule type="expression" dxfId="1618" priority="206">
      <formula>$AQ$4=1</formula>
    </cfRule>
  </conditionalFormatting>
  <conditionalFormatting sqref="AR7:AT82">
    <cfRule type="expression" dxfId="1617" priority="190">
      <formula>$AQ$4=""</formula>
    </cfRule>
  </conditionalFormatting>
  <conditionalFormatting sqref="AV7:AX82">
    <cfRule type="expression" dxfId="1616" priority="210">
      <formula>$AU$4=1</formula>
    </cfRule>
  </conditionalFormatting>
  <conditionalFormatting sqref="AV5:AX6">
    <cfRule type="expression" dxfId="1615" priority="209">
      <formula>$AU$4=1</formula>
    </cfRule>
  </conditionalFormatting>
  <conditionalFormatting sqref="AV7:AX82">
    <cfRule type="expression" dxfId="1614" priority="160">
      <formula>$AU$4=""</formula>
    </cfRule>
  </conditionalFormatting>
  <conditionalFormatting sqref="AZ7:BB82">
    <cfRule type="expression" dxfId="1613" priority="213">
      <formula>$AY$4=1</formula>
    </cfRule>
  </conditionalFormatting>
  <conditionalFormatting sqref="AZ5:BB6">
    <cfRule type="expression" dxfId="1612" priority="212">
      <formula>$AY$4=1</formula>
    </cfRule>
  </conditionalFormatting>
  <conditionalFormatting sqref="AZ7:BB82">
    <cfRule type="expression" dxfId="1611" priority="194">
      <formula>$AY$4=""</formula>
    </cfRule>
  </conditionalFormatting>
  <conditionalFormatting sqref="BD7:BF82">
    <cfRule type="expression" dxfId="1610" priority="216">
      <formula>$BC$4=1</formula>
    </cfRule>
  </conditionalFormatting>
  <conditionalFormatting sqref="BD5:BF6">
    <cfRule type="expression" dxfId="1609" priority="215">
      <formula>$BC$4=1</formula>
    </cfRule>
  </conditionalFormatting>
  <conditionalFormatting sqref="BD7:BF82">
    <cfRule type="expression" dxfId="1608" priority="197">
      <formula>$BC$4=""</formula>
    </cfRule>
  </conditionalFormatting>
  <conditionalFormatting sqref="BH7:BJ82">
    <cfRule type="expression" dxfId="1607" priority="219">
      <formula>$BG$4=1</formula>
    </cfRule>
  </conditionalFormatting>
  <conditionalFormatting sqref="BH5:BJ6">
    <cfRule type="expression" dxfId="1606" priority="218">
      <formula>$BG$4=1</formula>
    </cfRule>
  </conditionalFormatting>
  <conditionalFormatting sqref="BH7:BJ82">
    <cfRule type="expression" dxfId="1605" priority="201">
      <formula>$BG$4=""</formula>
    </cfRule>
  </conditionalFormatting>
  <conditionalFormatting sqref="BL7:BN82">
    <cfRule type="expression" dxfId="1604" priority="222">
      <formula>$BK$4=1</formula>
    </cfRule>
  </conditionalFormatting>
  <conditionalFormatting sqref="BL5:BN6">
    <cfRule type="expression" dxfId="1603" priority="221">
      <formula>$BK$4=1</formula>
    </cfRule>
  </conditionalFormatting>
  <conditionalFormatting sqref="BL7:BN82">
    <cfRule type="expression" dxfId="1602" priority="205">
      <formula>$BK$4=""</formula>
    </cfRule>
  </conditionalFormatting>
  <conditionalFormatting sqref="BP7:BR82">
    <cfRule type="expression" dxfId="1601" priority="225">
      <formula>$BO$4=1</formula>
    </cfRule>
  </conditionalFormatting>
  <conditionalFormatting sqref="BP5:BR6">
    <cfRule type="expression" dxfId="1600" priority="224">
      <formula>$BO$4=1</formula>
    </cfRule>
  </conditionalFormatting>
  <conditionalFormatting sqref="BP7:BR82">
    <cfRule type="expression" dxfId="1599" priority="211">
      <formula>$BO$4=""</formula>
    </cfRule>
  </conditionalFormatting>
  <conditionalFormatting sqref="BT7:BV82">
    <cfRule type="expression" dxfId="1598" priority="228">
      <formula>$BS$4=1</formula>
    </cfRule>
  </conditionalFormatting>
  <conditionalFormatting sqref="BT5:BV6">
    <cfRule type="expression" dxfId="1597" priority="227">
      <formula>$BS$4=1</formula>
    </cfRule>
  </conditionalFormatting>
  <conditionalFormatting sqref="BT7:BV82">
    <cfRule type="expression" dxfId="1596" priority="214">
      <formula>$BS$4=""</formula>
    </cfRule>
  </conditionalFormatting>
  <conditionalFormatting sqref="AW4:AX4">
    <cfRule type="expression" dxfId="1595" priority="7">
      <formula>AU$4=1</formula>
    </cfRule>
  </conditionalFormatting>
  <conditionalFormatting sqref="BA4:BB4">
    <cfRule type="expression" dxfId="1594" priority="6">
      <formula>AY$4=1</formula>
    </cfRule>
  </conditionalFormatting>
  <conditionalFormatting sqref="BE4:BF4">
    <cfRule type="expression" dxfId="1593" priority="5">
      <formula>BC$4=1</formula>
    </cfRule>
  </conditionalFormatting>
  <conditionalFormatting sqref="BI4:BJ4">
    <cfRule type="expression" dxfId="1592" priority="4">
      <formula>BG$4=1</formula>
    </cfRule>
  </conditionalFormatting>
  <conditionalFormatting sqref="BM4:BN4">
    <cfRule type="expression" dxfId="1591" priority="3">
      <formula>BK$4=1</formula>
    </cfRule>
  </conditionalFormatting>
  <conditionalFormatting sqref="BQ4:BR4">
    <cfRule type="expression" dxfId="1590" priority="2">
      <formula>BO$4=1</formula>
    </cfRule>
  </conditionalFormatting>
  <conditionalFormatting sqref="BU4:BV4">
    <cfRule type="expression" dxfId="1589" priority="1">
      <formula>BS$4=1</formula>
    </cfRule>
  </conditionalFormatting>
  <dataValidations count="3">
    <dataValidation type="list" allowBlank="1" showInputMessage="1" showErrorMessage="1" sqref="F2" xr:uid="{33C9BC9C-5DA7-4596-BF0B-5F235145A7CD}">
      <formula1>"1, 2, 3, 4, 5, 6, 7, 8, 9, 10, 11, 12, 13, 14, 15, 16, 17"</formula1>
    </dataValidation>
    <dataValidation type="list" allowBlank="1" showInputMessage="1" showErrorMessage="1" sqref="B7:B82" xr:uid="{E373A994-0367-423F-BDB3-3D146650066D}">
      <formula1>"v"</formula1>
    </dataValidation>
    <dataValidation type="list" allowBlank="1" showInputMessage="1" showErrorMessage="1" sqref="BP7:BP82 AV7:AV82 BL7:BL82 BT7:BT82 BH7:BH82 BD7:BD82 AZ7:AZ82" xr:uid="{E97AEECB-2E0C-479D-9F0D-1EB3DAE18651}">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11FD7967-3D01-4D1B-AE20-EEE82C90AF42}">
          <x14:formula1>
            <xm:f>Sheet3!$J$153:$J$168</xm:f>
          </x14:formula1>
          <xm:sqref>H7:H82 N7:N82 R7:R82 V7:V82 Z7:Z82 AD7:AD82 AH7:AH82 AL7:AL82 AP7:AP82 AT7:AT82</xm:sqref>
        </x14:dataValidation>
        <x14:dataValidation type="list" allowBlank="1" showInputMessage="1" showErrorMessage="1" xr:uid="{18B839E4-C0FA-448E-811D-56DE939E558A}">
          <x14:formula1>
            <xm:f>Sheet3!$A$2:$A$49</xm:f>
          </x14:formula1>
          <xm:sqref>F3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B2E13-8000-4A63-B39F-EE19D8FFC917}">
  <sheetPr codeName="Sheet6">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233</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1588" priority="170">
      <formula>$F$1=1</formula>
    </cfRule>
    <cfRule type="expression" priority="171">
      <formula>$F$1</formula>
    </cfRule>
  </conditionalFormatting>
  <conditionalFormatting sqref="J4">
    <cfRule type="expression" dxfId="1587" priority="172">
      <formula>$F$1=1</formula>
    </cfRule>
  </conditionalFormatting>
  <conditionalFormatting sqref="C7:G82">
    <cfRule type="expression" dxfId="1586" priority="84">
      <formula>$B7="v"</formula>
    </cfRule>
  </conditionalFormatting>
  <conditionalFormatting sqref="H7:H82">
    <cfRule type="expression" dxfId="1585" priority="168">
      <formula>$B7="v"</formula>
    </cfRule>
  </conditionalFormatting>
  <conditionalFormatting sqref="N7:N82">
    <cfRule type="expression" dxfId="1584" priority="167">
      <formula>$B7="v"</formula>
    </cfRule>
  </conditionalFormatting>
  <conditionalFormatting sqref="M7:M82">
    <cfRule type="expression" dxfId="1583" priority="166">
      <formula>$B7="v"</formula>
    </cfRule>
  </conditionalFormatting>
  <conditionalFormatting sqref="L7:L82">
    <cfRule type="expression" dxfId="1582" priority="174">
      <formula>$B7="v"</formula>
    </cfRule>
  </conditionalFormatting>
  <conditionalFormatting sqref="P7:Q82">
    <cfRule type="expression" dxfId="1581" priority="178">
      <formula>$B7="v"</formula>
    </cfRule>
  </conditionalFormatting>
  <conditionalFormatting sqref="R7:R82">
    <cfRule type="expression" dxfId="1580" priority="164">
      <formula>$B7="v"</formula>
    </cfRule>
  </conditionalFormatting>
  <conditionalFormatting sqref="Z7:Z82 V7:V82 AL7:AL82 AH7:AH82 AD7:AD82 AX7:AX82 AT7:AT82 AP7:AP82 BJ7:BJ82 BF7:BF82 BB7:BB82 BV7:BV82 BR7:BR82 BN7:BN82">
    <cfRule type="expression" dxfId="1579" priority="217">
      <formula>$B7="v"</formula>
    </cfRule>
  </conditionalFormatting>
  <conditionalFormatting sqref="X7:Y82 T7:U82 AJ7:AK82 AF7:AG82 AB7:AC82 AR7:AS82 AN7:AO82 BH7:BI82 BD7:BE82 AZ7:BA82 BT7:BU82 BP7:BQ82 BL7:BM82">
    <cfRule type="expression" dxfId="1578" priority="220">
      <formula>$B7="v"</formula>
    </cfRule>
  </conditionalFormatting>
  <conditionalFormatting sqref="AV7:AW82">
    <cfRule type="expression" dxfId="1577" priority="208">
      <formula>$B7="v"</formula>
    </cfRule>
  </conditionalFormatting>
  <conditionalFormatting sqref="F25">
    <cfRule type="expression" dxfId="1576" priority="159">
      <formula>$E$25="n/a"</formula>
    </cfRule>
  </conditionalFormatting>
  <conditionalFormatting sqref="F7">
    <cfRule type="expression" dxfId="1575" priority="158">
      <formula>$E$7="n/a"</formula>
    </cfRule>
  </conditionalFormatting>
  <conditionalFormatting sqref="F8">
    <cfRule type="expression" dxfId="1574" priority="169">
      <formula>$E$8="n/a"</formula>
    </cfRule>
  </conditionalFormatting>
  <conditionalFormatting sqref="F9">
    <cfRule type="expression" dxfId="1573" priority="157">
      <formula>$E$9="n/a"</formula>
    </cfRule>
  </conditionalFormatting>
  <conditionalFormatting sqref="F10">
    <cfRule type="expression" dxfId="1572" priority="156">
      <formula>$E$10="n/a"</formula>
    </cfRule>
  </conditionalFormatting>
  <conditionalFormatting sqref="F11">
    <cfRule type="expression" dxfId="1571" priority="155">
      <formula>$E$11="n/a"</formula>
    </cfRule>
  </conditionalFormatting>
  <conditionalFormatting sqref="F12">
    <cfRule type="expression" dxfId="1570" priority="154">
      <formula>$E$12="n/a"</formula>
    </cfRule>
  </conditionalFormatting>
  <conditionalFormatting sqref="F13">
    <cfRule type="expression" dxfId="1569" priority="153">
      <formula>$E$13="n/a"</formula>
    </cfRule>
  </conditionalFormatting>
  <conditionalFormatting sqref="F14">
    <cfRule type="expression" dxfId="1568" priority="152">
      <formula>$E$14="n/a"</formula>
    </cfRule>
  </conditionalFormatting>
  <conditionalFormatting sqref="F15">
    <cfRule type="expression" dxfId="1567" priority="151">
      <formula>$E$15="n/a"</formula>
    </cfRule>
  </conditionalFormatting>
  <conditionalFormatting sqref="F16">
    <cfRule type="expression" dxfId="1566" priority="150">
      <formula>$E$16="n/a"</formula>
    </cfRule>
  </conditionalFormatting>
  <conditionalFormatting sqref="F17">
    <cfRule type="expression" dxfId="1565" priority="149">
      <formula>$E$17="n/a"</formula>
    </cfRule>
  </conditionalFormatting>
  <conditionalFormatting sqref="F18">
    <cfRule type="expression" dxfId="1564" priority="148">
      <formula>$E$18="n/a"</formula>
    </cfRule>
  </conditionalFormatting>
  <conditionalFormatting sqref="F19">
    <cfRule type="expression" dxfId="1563" priority="147">
      <formula>$E$19="n/a"</formula>
    </cfRule>
  </conditionalFormatting>
  <conditionalFormatting sqref="F20">
    <cfRule type="expression" dxfId="1562" priority="146">
      <formula>$E$20="n/a"</formula>
    </cfRule>
  </conditionalFormatting>
  <conditionalFormatting sqref="F21">
    <cfRule type="expression" dxfId="1561" priority="145">
      <formula>$E$21="n/a"</formula>
    </cfRule>
  </conditionalFormatting>
  <conditionalFormatting sqref="F22">
    <cfRule type="expression" dxfId="1560" priority="144">
      <formula>$E$22="n/a"</formula>
    </cfRule>
  </conditionalFormatting>
  <conditionalFormatting sqref="F23">
    <cfRule type="expression" dxfId="1559" priority="143">
      <formula>$E$23="n/a"</formula>
    </cfRule>
  </conditionalFormatting>
  <conditionalFormatting sqref="F24">
    <cfRule type="expression" dxfId="1558" priority="142">
      <formula>$E$24="n/a"</formula>
    </cfRule>
  </conditionalFormatting>
  <conditionalFormatting sqref="F26">
    <cfRule type="expression" dxfId="1557" priority="141">
      <formula>$E$26="n/a"</formula>
    </cfRule>
  </conditionalFormatting>
  <conditionalFormatting sqref="F27">
    <cfRule type="expression" dxfId="1556" priority="140">
      <formula>$E$27="n/a"</formula>
    </cfRule>
  </conditionalFormatting>
  <conditionalFormatting sqref="F28">
    <cfRule type="expression" dxfId="1555" priority="139">
      <formula>$E$28="n/a"</formula>
    </cfRule>
  </conditionalFormatting>
  <conditionalFormatting sqref="F29">
    <cfRule type="expression" dxfId="1554" priority="138">
      <formula>$E$29="n/a"</formula>
    </cfRule>
  </conditionalFormatting>
  <conditionalFormatting sqref="F30">
    <cfRule type="expression" dxfId="1553" priority="137">
      <formula>$E$30="n/a"</formula>
    </cfRule>
  </conditionalFormatting>
  <conditionalFormatting sqref="F31">
    <cfRule type="expression" dxfId="1552" priority="136">
      <formula>$E$31="n/a"</formula>
    </cfRule>
  </conditionalFormatting>
  <conditionalFormatting sqref="F32">
    <cfRule type="expression" dxfId="1551" priority="135">
      <formula>$E$32="n/a"</formula>
    </cfRule>
  </conditionalFormatting>
  <conditionalFormatting sqref="F33">
    <cfRule type="expression" dxfId="1550" priority="134">
      <formula>$E$33="n/a"</formula>
    </cfRule>
  </conditionalFormatting>
  <conditionalFormatting sqref="F34">
    <cfRule type="expression" dxfId="1549" priority="133">
      <formula>$E$34="n/a"</formula>
    </cfRule>
  </conditionalFormatting>
  <conditionalFormatting sqref="F35">
    <cfRule type="expression" dxfId="1548" priority="132">
      <formula>$E$35="n/a"</formula>
    </cfRule>
  </conditionalFormatting>
  <conditionalFormatting sqref="F36">
    <cfRule type="expression" dxfId="1547" priority="131">
      <formula>$E$36="n/a"</formula>
    </cfRule>
  </conditionalFormatting>
  <conditionalFormatting sqref="F37">
    <cfRule type="expression" dxfId="1546" priority="130">
      <formula>$E$37="n/a"</formula>
    </cfRule>
  </conditionalFormatting>
  <conditionalFormatting sqref="F38">
    <cfRule type="expression" dxfId="1545" priority="129">
      <formula>$E$38="n/a"</formula>
    </cfRule>
  </conditionalFormatting>
  <conditionalFormatting sqref="F39">
    <cfRule type="expression" dxfId="1544" priority="128">
      <formula>$E$39="n/a"</formula>
    </cfRule>
  </conditionalFormatting>
  <conditionalFormatting sqref="F40">
    <cfRule type="expression" dxfId="1543" priority="127">
      <formula>$E$40="n/a"</formula>
    </cfRule>
  </conditionalFormatting>
  <conditionalFormatting sqref="F41">
    <cfRule type="expression" dxfId="1542" priority="126">
      <formula>$E$41="n/a"</formula>
    </cfRule>
  </conditionalFormatting>
  <conditionalFormatting sqref="F42">
    <cfRule type="expression" dxfId="1541" priority="125">
      <formula>$E$42="n/a"</formula>
    </cfRule>
  </conditionalFormatting>
  <conditionalFormatting sqref="F43">
    <cfRule type="expression" dxfId="1540" priority="124">
      <formula>$E$43="n/a"</formula>
    </cfRule>
  </conditionalFormatting>
  <conditionalFormatting sqref="F44">
    <cfRule type="expression" dxfId="1539" priority="123">
      <formula>$E$44="n/a"</formula>
    </cfRule>
  </conditionalFormatting>
  <conditionalFormatting sqref="F45">
    <cfRule type="expression" dxfId="1538" priority="122">
      <formula>$E$45="n/a"</formula>
    </cfRule>
  </conditionalFormatting>
  <conditionalFormatting sqref="F46">
    <cfRule type="expression" dxfId="1537" priority="121">
      <formula>$E$46="n/a"</formula>
    </cfRule>
  </conditionalFormatting>
  <conditionalFormatting sqref="F82">
    <cfRule type="expression" dxfId="1536" priority="119">
      <formula>$E$82="n/a"</formula>
    </cfRule>
  </conditionalFormatting>
  <conditionalFormatting sqref="F81">
    <cfRule type="expression" dxfId="1535" priority="118">
      <formula>$E$81="n/a"</formula>
    </cfRule>
  </conditionalFormatting>
  <conditionalFormatting sqref="F80">
    <cfRule type="expression" dxfId="1534" priority="117">
      <formula>$E$80="n/a"</formula>
    </cfRule>
  </conditionalFormatting>
  <conditionalFormatting sqref="F79">
    <cfRule type="expression" dxfId="1533" priority="116">
      <formula>$E$79="n/a"</formula>
    </cfRule>
  </conditionalFormatting>
  <conditionalFormatting sqref="F78">
    <cfRule type="expression" dxfId="1532" priority="115">
      <formula>$E$78="n/a"</formula>
    </cfRule>
  </conditionalFormatting>
  <conditionalFormatting sqref="F77">
    <cfRule type="expression" dxfId="1531" priority="114">
      <formula>$E$77="n/a"</formula>
    </cfRule>
  </conditionalFormatting>
  <conditionalFormatting sqref="F76">
    <cfRule type="expression" dxfId="1530" priority="113">
      <formula>$E$76="n/a"</formula>
    </cfRule>
  </conditionalFormatting>
  <conditionalFormatting sqref="F75">
    <cfRule type="expression" dxfId="1529" priority="112">
      <formula>$E$75="n/a"</formula>
    </cfRule>
  </conditionalFormatting>
  <conditionalFormatting sqref="F74">
    <cfRule type="expression" dxfId="1528" priority="111">
      <formula>$E$74="n/a"</formula>
    </cfRule>
  </conditionalFormatting>
  <conditionalFormatting sqref="F73">
    <cfRule type="expression" dxfId="1527" priority="109">
      <formula>$E$73="n/a"</formula>
    </cfRule>
  </conditionalFormatting>
  <conditionalFormatting sqref="F72">
    <cfRule type="expression" dxfId="1526" priority="85">
      <formula>$E$72="n/a"</formula>
    </cfRule>
  </conditionalFormatting>
  <conditionalFormatting sqref="F47">
    <cfRule type="expression" dxfId="1525" priority="120">
      <formula>$E$47="n/a"</formula>
    </cfRule>
  </conditionalFormatting>
  <conditionalFormatting sqref="F48">
    <cfRule type="expression" dxfId="1524" priority="110">
      <formula>$E$48="n/a"</formula>
    </cfRule>
  </conditionalFormatting>
  <conditionalFormatting sqref="F49">
    <cfRule type="expression" dxfId="1523" priority="108">
      <formula>$E$49="n/a"</formula>
    </cfRule>
  </conditionalFormatting>
  <conditionalFormatting sqref="F50">
    <cfRule type="expression" dxfId="1522" priority="107">
      <formula>$E$50="n/a"</formula>
    </cfRule>
  </conditionalFormatting>
  <conditionalFormatting sqref="F51">
    <cfRule type="expression" dxfId="1521" priority="106">
      <formula>$E$51="n/a"</formula>
    </cfRule>
  </conditionalFormatting>
  <conditionalFormatting sqref="F52">
    <cfRule type="expression" dxfId="1520" priority="105">
      <formula>$E$52="n/a"</formula>
    </cfRule>
  </conditionalFormatting>
  <conditionalFormatting sqref="F53">
    <cfRule type="expression" dxfId="1519" priority="104">
      <formula>$E$53="n/a"</formula>
    </cfRule>
  </conditionalFormatting>
  <conditionalFormatting sqref="F54">
    <cfRule type="expression" dxfId="1518" priority="103">
      <formula>$E$54="n/a"</formula>
    </cfRule>
  </conditionalFormatting>
  <conditionalFormatting sqref="F55">
    <cfRule type="expression" dxfId="1517" priority="102">
      <formula>$E$55="n/a"</formula>
    </cfRule>
  </conditionalFormatting>
  <conditionalFormatting sqref="F56">
    <cfRule type="expression" dxfId="1516" priority="101">
      <formula>$E$56="n/a"</formula>
    </cfRule>
  </conditionalFormatting>
  <conditionalFormatting sqref="F57">
    <cfRule type="expression" dxfId="1515" priority="100">
      <formula>$E$57="n/a"</formula>
    </cfRule>
  </conditionalFormatting>
  <conditionalFormatting sqref="F58">
    <cfRule type="expression" dxfId="1514" priority="99">
      <formula>$E$58="n/a"</formula>
    </cfRule>
  </conditionalFormatting>
  <conditionalFormatting sqref="F59">
    <cfRule type="expression" dxfId="1513" priority="98">
      <formula>$E$59="n/a"</formula>
    </cfRule>
  </conditionalFormatting>
  <conditionalFormatting sqref="F60">
    <cfRule type="expression" dxfId="1512" priority="97">
      <formula>$E$60="n/a"</formula>
    </cfRule>
  </conditionalFormatting>
  <conditionalFormatting sqref="F61">
    <cfRule type="expression" dxfId="1511" priority="96">
      <formula>$E$61="n/a"</formula>
    </cfRule>
  </conditionalFormatting>
  <conditionalFormatting sqref="F62">
    <cfRule type="expression" dxfId="1510" priority="95">
      <formula>$E$62="n/a"</formula>
    </cfRule>
  </conditionalFormatting>
  <conditionalFormatting sqref="F63">
    <cfRule type="expression" dxfId="1509" priority="94">
      <formula>$E$63="n/a"</formula>
    </cfRule>
  </conditionalFormatting>
  <conditionalFormatting sqref="F64">
    <cfRule type="expression" dxfId="1508" priority="93">
      <formula>$E$64="n/a"</formula>
    </cfRule>
  </conditionalFormatting>
  <conditionalFormatting sqref="F65">
    <cfRule type="expression" dxfId="1507" priority="92">
      <formula>$E$65="n/a"</formula>
    </cfRule>
  </conditionalFormatting>
  <conditionalFormatting sqref="F66">
    <cfRule type="expression" dxfId="1506" priority="91">
      <formula>$E$66="n/a"</formula>
    </cfRule>
  </conditionalFormatting>
  <conditionalFormatting sqref="F67">
    <cfRule type="expression" dxfId="1505" priority="90">
      <formula>$E$67="n/a"</formula>
    </cfRule>
  </conditionalFormatting>
  <conditionalFormatting sqref="F68">
    <cfRule type="expression" dxfId="1504" priority="89">
      <formula>$E$68="n/a"</formula>
    </cfRule>
  </conditionalFormatting>
  <conditionalFormatting sqref="F69">
    <cfRule type="expression" dxfId="1503" priority="88">
      <formula>$E$69="n/a"</formula>
    </cfRule>
  </conditionalFormatting>
  <conditionalFormatting sqref="F70">
    <cfRule type="expression" dxfId="1502" priority="87">
      <formula>$E$70="n/a"</formula>
    </cfRule>
  </conditionalFormatting>
  <conditionalFormatting sqref="F71">
    <cfRule type="expression" dxfId="1501" priority="86">
      <formula>$E$71="n/a"</formula>
    </cfRule>
  </conditionalFormatting>
  <conditionalFormatting sqref="I7">
    <cfRule type="expression" dxfId="1500" priority="83">
      <formula>$B$7="v"</formula>
    </cfRule>
  </conditionalFormatting>
  <conditionalFormatting sqref="I8">
    <cfRule type="expression" dxfId="1499" priority="82">
      <formula>$B$8="v"</formula>
    </cfRule>
  </conditionalFormatting>
  <conditionalFormatting sqref="I9">
    <cfRule type="expression" dxfId="1498" priority="81">
      <formula>$B$9="v"</formula>
    </cfRule>
  </conditionalFormatting>
  <conditionalFormatting sqref="I10">
    <cfRule type="expression" dxfId="1497" priority="80">
      <formula>$B$10="v"</formula>
    </cfRule>
  </conditionalFormatting>
  <conditionalFormatting sqref="I11">
    <cfRule type="expression" dxfId="1496" priority="79">
      <formula>$B$11="v"</formula>
    </cfRule>
  </conditionalFormatting>
  <conditionalFormatting sqref="I12">
    <cfRule type="expression" dxfId="1495" priority="78">
      <formula>$B$12="v"</formula>
    </cfRule>
  </conditionalFormatting>
  <conditionalFormatting sqref="I13">
    <cfRule type="expression" dxfId="1494" priority="77">
      <formula>$B$13="v"</formula>
    </cfRule>
  </conditionalFormatting>
  <conditionalFormatting sqref="I14">
    <cfRule type="expression" dxfId="1493" priority="76">
      <formula>$B$14="v"</formula>
    </cfRule>
  </conditionalFormatting>
  <conditionalFormatting sqref="I15">
    <cfRule type="expression" dxfId="1492" priority="75">
      <formula>$B$15="v"</formula>
    </cfRule>
  </conditionalFormatting>
  <conditionalFormatting sqref="I16">
    <cfRule type="expression" dxfId="1491" priority="74">
      <formula>$B$16="v"</formula>
    </cfRule>
  </conditionalFormatting>
  <conditionalFormatting sqref="I17">
    <cfRule type="expression" dxfId="1490" priority="73">
      <formula>$B$17="v"</formula>
    </cfRule>
  </conditionalFormatting>
  <conditionalFormatting sqref="I18">
    <cfRule type="expression" dxfId="1489" priority="72">
      <formula>$B$18="v"</formula>
    </cfRule>
  </conditionalFormatting>
  <conditionalFormatting sqref="I19">
    <cfRule type="expression" dxfId="1488" priority="71">
      <formula>$B$19="v"</formula>
    </cfRule>
  </conditionalFormatting>
  <conditionalFormatting sqref="I20">
    <cfRule type="expression" dxfId="1487" priority="70">
      <formula>$B$20="v"</formula>
    </cfRule>
  </conditionalFormatting>
  <conditionalFormatting sqref="I21">
    <cfRule type="expression" dxfId="1486" priority="69">
      <formula>$B$21="v"</formula>
    </cfRule>
  </conditionalFormatting>
  <conditionalFormatting sqref="I22">
    <cfRule type="expression" dxfId="1485" priority="68">
      <formula>$B$22="v"</formula>
    </cfRule>
  </conditionalFormatting>
  <conditionalFormatting sqref="I23">
    <cfRule type="expression" dxfId="1484" priority="67">
      <formula>$B$23="v"</formula>
    </cfRule>
  </conditionalFormatting>
  <conditionalFormatting sqref="I24">
    <cfRule type="expression" dxfId="1483" priority="66">
      <formula>$B$24="v"</formula>
    </cfRule>
  </conditionalFormatting>
  <conditionalFormatting sqref="I25">
    <cfRule type="expression" dxfId="1482" priority="65">
      <formula>$B$25="v"</formula>
    </cfRule>
  </conditionalFormatting>
  <conditionalFormatting sqref="I26">
    <cfRule type="expression" dxfId="1481" priority="64">
      <formula>$B$26="v"</formula>
    </cfRule>
  </conditionalFormatting>
  <conditionalFormatting sqref="I27">
    <cfRule type="expression" dxfId="1480" priority="63">
      <formula>$B$27="v"</formula>
    </cfRule>
  </conditionalFormatting>
  <conditionalFormatting sqref="I28">
    <cfRule type="expression" dxfId="1479" priority="62">
      <formula>$B$28="v"</formula>
    </cfRule>
  </conditionalFormatting>
  <conditionalFormatting sqref="I29">
    <cfRule type="expression" dxfId="1478" priority="61">
      <formula>$B$29="v"</formula>
    </cfRule>
  </conditionalFormatting>
  <conditionalFormatting sqref="I30">
    <cfRule type="expression" dxfId="1477" priority="60">
      <formula>$B$30="v"</formula>
    </cfRule>
  </conditionalFormatting>
  <conditionalFormatting sqref="I31">
    <cfRule type="expression" dxfId="1476" priority="59">
      <formula>$B$31="v"</formula>
    </cfRule>
  </conditionalFormatting>
  <conditionalFormatting sqref="I32">
    <cfRule type="expression" dxfId="1475" priority="58">
      <formula>$B$32="v"</formula>
    </cfRule>
  </conditionalFormatting>
  <conditionalFormatting sqref="I33">
    <cfRule type="expression" dxfId="1474" priority="57">
      <formula>$B$33="v"</formula>
    </cfRule>
  </conditionalFormatting>
  <conditionalFormatting sqref="I34">
    <cfRule type="expression" dxfId="1473" priority="56">
      <formula>$B$34="v"</formula>
    </cfRule>
  </conditionalFormatting>
  <conditionalFormatting sqref="I35">
    <cfRule type="expression" dxfId="1472" priority="55">
      <formula>$B$35="v"</formula>
    </cfRule>
  </conditionalFormatting>
  <conditionalFormatting sqref="I36">
    <cfRule type="expression" dxfId="1471" priority="54">
      <formula>$B$36="v"</formula>
    </cfRule>
  </conditionalFormatting>
  <conditionalFormatting sqref="I37">
    <cfRule type="expression" dxfId="1470" priority="53">
      <formula>$B$37="v"</formula>
    </cfRule>
  </conditionalFormatting>
  <conditionalFormatting sqref="I38">
    <cfRule type="expression" dxfId="1469" priority="52">
      <formula>$B$38="v"</formula>
    </cfRule>
  </conditionalFormatting>
  <conditionalFormatting sqref="I39">
    <cfRule type="expression" dxfId="1468" priority="51">
      <formula>$B$39="v"</formula>
    </cfRule>
  </conditionalFormatting>
  <conditionalFormatting sqref="I40">
    <cfRule type="expression" dxfId="1467" priority="50">
      <formula>$B$40="v"</formula>
    </cfRule>
  </conditionalFormatting>
  <conditionalFormatting sqref="I41">
    <cfRule type="expression" dxfId="1466" priority="49">
      <formula>$B$41="v"</formula>
    </cfRule>
  </conditionalFormatting>
  <conditionalFormatting sqref="I42">
    <cfRule type="expression" dxfId="1465" priority="48">
      <formula>$B$42="v"</formula>
    </cfRule>
  </conditionalFormatting>
  <conditionalFormatting sqref="I43">
    <cfRule type="expression" dxfId="1464" priority="47">
      <formula>$B$43="v"</formula>
    </cfRule>
  </conditionalFormatting>
  <conditionalFormatting sqref="I44">
    <cfRule type="expression" dxfId="1463" priority="46">
      <formula>$B$44="v"</formula>
    </cfRule>
  </conditionalFormatting>
  <conditionalFormatting sqref="I45">
    <cfRule type="expression" dxfId="1462" priority="45">
      <formula>$B$45="v"</formula>
    </cfRule>
  </conditionalFormatting>
  <conditionalFormatting sqref="I46">
    <cfRule type="expression" dxfId="1461" priority="44">
      <formula>$B$46="v"</formula>
    </cfRule>
  </conditionalFormatting>
  <conditionalFormatting sqref="I47">
    <cfRule type="expression" dxfId="1460" priority="43">
      <formula>$B$47="v"</formula>
    </cfRule>
  </conditionalFormatting>
  <conditionalFormatting sqref="I48">
    <cfRule type="expression" dxfId="1459" priority="42">
      <formula>$B$48="v"</formula>
    </cfRule>
  </conditionalFormatting>
  <conditionalFormatting sqref="I49">
    <cfRule type="expression" dxfId="1458" priority="41">
      <formula>$B$49="v"</formula>
    </cfRule>
  </conditionalFormatting>
  <conditionalFormatting sqref="I50">
    <cfRule type="expression" dxfId="1457" priority="40">
      <formula>$B$50="v"</formula>
    </cfRule>
  </conditionalFormatting>
  <conditionalFormatting sqref="I51">
    <cfRule type="expression" dxfId="1456" priority="39">
      <formula>$B$51="v"</formula>
    </cfRule>
  </conditionalFormatting>
  <conditionalFormatting sqref="I52">
    <cfRule type="expression" dxfId="1455" priority="38">
      <formula>$B$52="v"</formula>
    </cfRule>
  </conditionalFormatting>
  <conditionalFormatting sqref="I53">
    <cfRule type="expression" dxfId="1454" priority="37">
      <formula>$B$53="v"</formula>
    </cfRule>
  </conditionalFormatting>
  <conditionalFormatting sqref="I54">
    <cfRule type="expression" dxfId="1453" priority="36">
      <formula>$B$54="v"</formula>
    </cfRule>
  </conditionalFormatting>
  <conditionalFormatting sqref="I55">
    <cfRule type="expression" dxfId="1452" priority="35">
      <formula>$B$55="v"</formula>
    </cfRule>
  </conditionalFormatting>
  <conditionalFormatting sqref="I56">
    <cfRule type="expression" dxfId="1451" priority="34">
      <formula>$B$56="v"</formula>
    </cfRule>
  </conditionalFormatting>
  <conditionalFormatting sqref="I57">
    <cfRule type="expression" dxfId="1450" priority="33">
      <formula>$B$57="v"</formula>
    </cfRule>
  </conditionalFormatting>
  <conditionalFormatting sqref="I58">
    <cfRule type="expression" dxfId="1449" priority="32">
      <formula>$B$58="v"</formula>
    </cfRule>
  </conditionalFormatting>
  <conditionalFormatting sqref="I59">
    <cfRule type="expression" dxfId="1448" priority="31">
      <formula>$B$59="v"</formula>
    </cfRule>
  </conditionalFormatting>
  <conditionalFormatting sqref="I60">
    <cfRule type="expression" dxfId="1447" priority="30">
      <formula>$B$60="v"</formula>
    </cfRule>
  </conditionalFormatting>
  <conditionalFormatting sqref="I61">
    <cfRule type="expression" dxfId="1446" priority="29">
      <formula>$B$61="v"</formula>
    </cfRule>
  </conditionalFormatting>
  <conditionalFormatting sqref="I62">
    <cfRule type="expression" dxfId="1445" priority="28">
      <formula>$B$62="v"</formula>
    </cfRule>
  </conditionalFormatting>
  <conditionalFormatting sqref="I63">
    <cfRule type="expression" dxfId="1444" priority="27">
      <formula>$B$63="v"</formula>
    </cfRule>
  </conditionalFormatting>
  <conditionalFormatting sqref="I64">
    <cfRule type="expression" dxfId="1443" priority="26">
      <formula>$B$64="v"</formula>
    </cfRule>
  </conditionalFormatting>
  <conditionalFormatting sqref="I65">
    <cfRule type="expression" dxfId="1442" priority="25">
      <formula>$B$65="v"</formula>
    </cfRule>
  </conditionalFormatting>
  <conditionalFormatting sqref="I66">
    <cfRule type="expression" dxfId="1441" priority="24">
      <formula>$B$66="v"</formula>
    </cfRule>
  </conditionalFormatting>
  <conditionalFormatting sqref="I67">
    <cfRule type="expression" dxfId="1440" priority="23">
      <formula>$B$67="v"</formula>
    </cfRule>
  </conditionalFormatting>
  <conditionalFormatting sqref="I68">
    <cfRule type="expression" dxfId="1439" priority="22">
      <formula>$B$68="v"</formula>
    </cfRule>
  </conditionalFormatting>
  <conditionalFormatting sqref="I69">
    <cfRule type="expression" dxfId="1438" priority="21">
      <formula>$B$69="v"</formula>
    </cfRule>
  </conditionalFormatting>
  <conditionalFormatting sqref="I70">
    <cfRule type="expression" dxfId="1437" priority="20">
      <formula>$B$70="v"</formula>
    </cfRule>
  </conditionalFormatting>
  <conditionalFormatting sqref="I71">
    <cfRule type="expression" dxfId="1436" priority="19">
      <formula>$B$71="v"</formula>
    </cfRule>
  </conditionalFormatting>
  <conditionalFormatting sqref="I72">
    <cfRule type="expression" dxfId="1435" priority="18">
      <formula>$B$72="v"</formula>
    </cfRule>
  </conditionalFormatting>
  <conditionalFormatting sqref="I73">
    <cfRule type="expression" dxfId="1434" priority="17">
      <formula>$B$73="v"</formula>
    </cfRule>
  </conditionalFormatting>
  <conditionalFormatting sqref="I74">
    <cfRule type="expression" dxfId="1433" priority="16">
      <formula>$B$74="v"</formula>
    </cfRule>
  </conditionalFormatting>
  <conditionalFormatting sqref="I75">
    <cfRule type="expression" dxfId="1432" priority="15">
      <formula>$B$75="v"</formula>
    </cfRule>
  </conditionalFormatting>
  <conditionalFormatting sqref="I76">
    <cfRule type="expression" dxfId="1431" priority="14">
      <formula>$B$76="v"</formula>
    </cfRule>
  </conditionalFormatting>
  <conditionalFormatting sqref="I77">
    <cfRule type="expression" dxfId="1430" priority="13">
      <formula>$B$77="v"</formula>
    </cfRule>
  </conditionalFormatting>
  <conditionalFormatting sqref="I78">
    <cfRule type="expression" dxfId="1429" priority="12">
      <formula>$B$78="v"</formula>
    </cfRule>
  </conditionalFormatting>
  <conditionalFormatting sqref="I79">
    <cfRule type="expression" dxfId="1428" priority="11">
      <formula>$B$79="v"</formula>
    </cfRule>
  </conditionalFormatting>
  <conditionalFormatting sqref="I80">
    <cfRule type="expression" dxfId="1427" priority="10">
      <formula>$B$80="v"</formula>
    </cfRule>
  </conditionalFormatting>
  <conditionalFormatting sqref="I81">
    <cfRule type="expression" dxfId="1426" priority="9">
      <formula>$B$81="v"</formula>
    </cfRule>
  </conditionalFormatting>
  <conditionalFormatting sqref="I82">
    <cfRule type="expression" dxfId="1425" priority="8">
      <formula>$B$82="v"</formula>
    </cfRule>
  </conditionalFormatting>
  <conditionalFormatting sqref="L5:N6">
    <cfRule type="expression" dxfId="1424" priority="173">
      <formula>$K$4=1</formula>
    </cfRule>
  </conditionalFormatting>
  <conditionalFormatting sqref="L7:N82">
    <cfRule type="expression" dxfId="1423" priority="176">
      <formula>$K$4=1</formula>
    </cfRule>
  </conditionalFormatting>
  <conditionalFormatting sqref="M4:N4">
    <cfRule type="expression" dxfId="1422" priority="175">
      <formula>$K$4=1</formula>
    </cfRule>
  </conditionalFormatting>
  <conditionalFormatting sqref="L7:N82">
    <cfRule type="expression" dxfId="1421" priority="165">
      <formula>$K$4=""</formula>
    </cfRule>
  </conditionalFormatting>
  <conditionalFormatting sqref="P5:R6">
    <cfRule type="expression" dxfId="1420" priority="177">
      <formula>$O$4=1</formula>
    </cfRule>
  </conditionalFormatting>
  <conditionalFormatting sqref="P7:R82">
    <cfRule type="expression" dxfId="1419" priority="180">
      <formula>$O$4=1</formula>
    </cfRule>
  </conditionalFormatting>
  <conditionalFormatting sqref="Q4:R4">
    <cfRule type="expression" dxfId="1418" priority="179">
      <formula>$O$4=1</formula>
    </cfRule>
  </conditionalFormatting>
  <conditionalFormatting sqref="P7:R82">
    <cfRule type="expression" dxfId="1417" priority="163">
      <formula>$O$4=""</formula>
    </cfRule>
  </conditionalFormatting>
  <conditionalFormatting sqref="T5:V6">
    <cfRule type="expression" dxfId="1416" priority="181">
      <formula>$S$4=1</formula>
    </cfRule>
  </conditionalFormatting>
  <conditionalFormatting sqref="T7:V82">
    <cfRule type="expression" dxfId="1415" priority="226">
      <formula>$S$4=1</formula>
    </cfRule>
  </conditionalFormatting>
  <conditionalFormatting sqref="U4:V4">
    <cfRule type="expression" dxfId="1414" priority="183">
      <formula>$S$4=1</formula>
    </cfRule>
  </conditionalFormatting>
  <conditionalFormatting sqref="T7:V82">
    <cfRule type="expression" dxfId="1413" priority="161">
      <formula>$S$4=""</formula>
    </cfRule>
  </conditionalFormatting>
  <conditionalFormatting sqref="X5:Z6">
    <cfRule type="expression" dxfId="1412" priority="185">
      <formula>$W$4=1</formula>
    </cfRule>
  </conditionalFormatting>
  <conditionalFormatting sqref="X7:Z82">
    <cfRule type="expression" dxfId="1411" priority="223">
      <formula>$W$4=1</formula>
    </cfRule>
  </conditionalFormatting>
  <conditionalFormatting sqref="Y4:Z4">
    <cfRule type="expression" dxfId="1410" priority="187">
      <formula>$W$4=1</formula>
    </cfRule>
  </conditionalFormatting>
  <conditionalFormatting sqref="X7:Z82">
    <cfRule type="expression" dxfId="1409" priority="162">
      <formula>$W$4=""</formula>
    </cfRule>
  </conditionalFormatting>
  <conditionalFormatting sqref="AB5:AD6">
    <cfRule type="expression" dxfId="1408" priority="189">
      <formula>$AA$4=1</formula>
    </cfRule>
  </conditionalFormatting>
  <conditionalFormatting sqref="AB7:AD82">
    <cfRule type="expression" dxfId="1407" priority="192">
      <formula>$AA$4=1</formula>
    </cfRule>
  </conditionalFormatting>
  <conditionalFormatting sqref="AC4:AD4">
    <cfRule type="expression" dxfId="1406" priority="191">
      <formula>$AA$4=1</formula>
    </cfRule>
  </conditionalFormatting>
  <conditionalFormatting sqref="AB7:AD82">
    <cfRule type="expression" dxfId="1405" priority="182">
      <formula>$AA$4=""</formula>
    </cfRule>
  </conditionalFormatting>
  <conditionalFormatting sqref="AF5:AH6">
    <cfRule type="expression" dxfId="1404" priority="193">
      <formula>$AE$4=1</formula>
    </cfRule>
  </conditionalFormatting>
  <conditionalFormatting sqref="AF7:AH82">
    <cfRule type="expression" dxfId="1403" priority="196">
      <formula>$AE$4=1</formula>
    </cfRule>
  </conditionalFormatting>
  <conditionalFormatting sqref="AG4:AH4">
    <cfRule type="expression" dxfId="1402" priority="195">
      <formula>$AE$4=1</formula>
    </cfRule>
  </conditionalFormatting>
  <conditionalFormatting sqref="AF7:AH82">
    <cfRule type="expression" dxfId="1401" priority="184">
      <formula>$AE$4=""</formula>
    </cfRule>
  </conditionalFormatting>
  <conditionalFormatting sqref="AJ7:AL82">
    <cfRule type="expression" dxfId="1400" priority="200">
      <formula>$AI$4=1</formula>
    </cfRule>
  </conditionalFormatting>
  <conditionalFormatting sqref="AK4:AL4">
    <cfRule type="expression" dxfId="1399" priority="198">
      <formula>$AI$4=1</formula>
    </cfRule>
  </conditionalFormatting>
  <conditionalFormatting sqref="AJ5:AL6">
    <cfRule type="expression" dxfId="1398" priority="199">
      <formula>$AI$4=1</formula>
    </cfRule>
  </conditionalFormatting>
  <conditionalFormatting sqref="AJ7:AL82">
    <cfRule type="expression" dxfId="1397" priority="186">
      <formula>$AI$4=""</formula>
    </cfRule>
  </conditionalFormatting>
  <conditionalFormatting sqref="AN7:AP82">
    <cfRule type="expression" dxfId="1396" priority="204">
      <formula>$AM$4=1</formula>
    </cfRule>
  </conditionalFormatting>
  <conditionalFormatting sqref="AO4:AP4 AS4:AT4">
    <cfRule type="expression" dxfId="1395" priority="202">
      <formula>AQ$4=1</formula>
    </cfRule>
  </conditionalFormatting>
  <conditionalFormatting sqref="AN5:AP6">
    <cfRule type="expression" dxfId="1394" priority="203">
      <formula>$AM$4=1</formula>
    </cfRule>
  </conditionalFormatting>
  <conditionalFormatting sqref="AN7:AP82">
    <cfRule type="expression" dxfId="1393" priority="188">
      <formula>$AM$4=""</formula>
    </cfRule>
  </conditionalFormatting>
  <conditionalFormatting sqref="AR7:AT82">
    <cfRule type="expression" dxfId="1392" priority="207">
      <formula>$AQ$4=1</formula>
    </cfRule>
  </conditionalFormatting>
  <conditionalFormatting sqref="AR5:AT6">
    <cfRule type="expression" dxfId="1391" priority="206">
      <formula>$AQ$4=1</formula>
    </cfRule>
  </conditionalFormatting>
  <conditionalFormatting sqref="AR7:AT82">
    <cfRule type="expression" dxfId="1390" priority="190">
      <formula>$AQ$4=""</formula>
    </cfRule>
  </conditionalFormatting>
  <conditionalFormatting sqref="AV7:AX82">
    <cfRule type="expression" dxfId="1389" priority="210">
      <formula>$AU$4=1</formula>
    </cfRule>
  </conditionalFormatting>
  <conditionalFormatting sqref="AV5:AX6">
    <cfRule type="expression" dxfId="1388" priority="209">
      <formula>$AU$4=1</formula>
    </cfRule>
  </conditionalFormatting>
  <conditionalFormatting sqref="AV7:AX82">
    <cfRule type="expression" dxfId="1387" priority="160">
      <formula>$AU$4=""</formula>
    </cfRule>
  </conditionalFormatting>
  <conditionalFormatting sqref="AZ7:BB82">
    <cfRule type="expression" dxfId="1386" priority="213">
      <formula>$AY$4=1</formula>
    </cfRule>
  </conditionalFormatting>
  <conditionalFormatting sqref="AZ5:BB6">
    <cfRule type="expression" dxfId="1385" priority="212">
      <formula>$AY$4=1</formula>
    </cfRule>
  </conditionalFormatting>
  <conditionalFormatting sqref="AZ7:BB82">
    <cfRule type="expression" dxfId="1384" priority="194">
      <formula>$AY$4=""</formula>
    </cfRule>
  </conditionalFormatting>
  <conditionalFormatting sqref="BD7:BF82">
    <cfRule type="expression" dxfId="1383" priority="216">
      <formula>$BC$4=1</formula>
    </cfRule>
  </conditionalFormatting>
  <conditionalFormatting sqref="BD5:BF6">
    <cfRule type="expression" dxfId="1382" priority="215">
      <formula>$BC$4=1</formula>
    </cfRule>
  </conditionalFormatting>
  <conditionalFormatting sqref="BD7:BF82">
    <cfRule type="expression" dxfId="1381" priority="197">
      <formula>$BC$4=""</formula>
    </cfRule>
  </conditionalFormatting>
  <conditionalFormatting sqref="BH7:BJ82">
    <cfRule type="expression" dxfId="1380" priority="219">
      <formula>$BG$4=1</formula>
    </cfRule>
  </conditionalFormatting>
  <conditionalFormatting sqref="BH5:BJ6">
    <cfRule type="expression" dxfId="1379" priority="218">
      <formula>$BG$4=1</formula>
    </cfRule>
  </conditionalFormatting>
  <conditionalFormatting sqref="BH7:BJ82">
    <cfRule type="expression" dxfId="1378" priority="201">
      <formula>$BG$4=""</formula>
    </cfRule>
  </conditionalFormatting>
  <conditionalFormatting sqref="BL7:BN82">
    <cfRule type="expression" dxfId="1377" priority="222">
      <formula>$BK$4=1</formula>
    </cfRule>
  </conditionalFormatting>
  <conditionalFormatting sqref="BL5:BN6">
    <cfRule type="expression" dxfId="1376" priority="221">
      <formula>$BK$4=1</formula>
    </cfRule>
  </conditionalFormatting>
  <conditionalFormatting sqref="BL7:BN82">
    <cfRule type="expression" dxfId="1375" priority="205">
      <formula>$BK$4=""</formula>
    </cfRule>
  </conditionalFormatting>
  <conditionalFormatting sqref="BP7:BR82">
    <cfRule type="expression" dxfId="1374" priority="225">
      <formula>$BO$4=1</formula>
    </cfRule>
  </conditionalFormatting>
  <conditionalFormatting sqref="BP5:BR6">
    <cfRule type="expression" dxfId="1373" priority="224">
      <formula>$BO$4=1</formula>
    </cfRule>
  </conditionalFormatting>
  <conditionalFormatting sqref="BP7:BR82">
    <cfRule type="expression" dxfId="1372" priority="211">
      <formula>$BO$4=""</formula>
    </cfRule>
  </conditionalFormatting>
  <conditionalFormatting sqref="BT7:BV82">
    <cfRule type="expression" dxfId="1371" priority="228">
      <formula>$BS$4=1</formula>
    </cfRule>
  </conditionalFormatting>
  <conditionalFormatting sqref="BT5:BV6">
    <cfRule type="expression" dxfId="1370" priority="227">
      <formula>$BS$4=1</formula>
    </cfRule>
  </conditionalFormatting>
  <conditionalFormatting sqref="BT7:BV82">
    <cfRule type="expression" dxfId="1369" priority="214">
      <formula>$BS$4=""</formula>
    </cfRule>
  </conditionalFormatting>
  <conditionalFormatting sqref="AW4:AX4">
    <cfRule type="expression" dxfId="1368" priority="7">
      <formula>AU$4=1</formula>
    </cfRule>
  </conditionalFormatting>
  <conditionalFormatting sqref="BA4:BB4">
    <cfRule type="expression" dxfId="1367" priority="6">
      <formula>AY$4=1</formula>
    </cfRule>
  </conditionalFormatting>
  <conditionalFormatting sqref="BE4:BF4">
    <cfRule type="expression" dxfId="1366" priority="5">
      <formula>BC$4=1</formula>
    </cfRule>
  </conditionalFormatting>
  <conditionalFormatting sqref="BI4:BJ4">
    <cfRule type="expression" dxfId="1365" priority="4">
      <formula>BG$4=1</formula>
    </cfRule>
  </conditionalFormatting>
  <conditionalFormatting sqref="BM4:BN4">
    <cfRule type="expression" dxfId="1364" priority="3">
      <formula>BK$4=1</formula>
    </cfRule>
  </conditionalFormatting>
  <conditionalFormatting sqref="BQ4:BR4">
    <cfRule type="expression" dxfId="1363" priority="2">
      <formula>BO$4=1</formula>
    </cfRule>
  </conditionalFormatting>
  <conditionalFormatting sqref="BU4:BV4">
    <cfRule type="expression" dxfId="1362" priority="1">
      <formula>BS$4=1</formula>
    </cfRule>
  </conditionalFormatting>
  <dataValidations count="3">
    <dataValidation type="list" allowBlank="1" showInputMessage="1" showErrorMessage="1" sqref="BP7:BP82 AV7:AV82 BL7:BL82 BT7:BT82 BH7:BH82 BD7:BD82 AZ7:AZ82" xr:uid="{911C07AF-6B5E-427A-AFB1-1997F21C9981}">
      <formula1>"&lt;, &lt;=, &gt;, &gt;=, ="</formula1>
    </dataValidation>
    <dataValidation type="list" allowBlank="1" showInputMessage="1" showErrorMessage="1" sqref="B7:B82" xr:uid="{C34FA787-763B-4AD3-8145-C1293ECD2116}">
      <formula1>"v"</formula1>
    </dataValidation>
    <dataValidation type="list" allowBlank="1" showInputMessage="1" showErrorMessage="1" sqref="F2" xr:uid="{27CC3CC7-8FB6-4BBA-8C51-125B7BDF492B}">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58973407-422A-4656-A5D0-652C965D520D}">
          <x14:formula1>
            <xm:f>Sheet3!$A$2:$A$49</xm:f>
          </x14:formula1>
          <xm:sqref>F3</xm:sqref>
        </x14:dataValidation>
        <x14:dataValidation type="list" allowBlank="1" showInputMessage="1" xr:uid="{5582EECF-01CE-4161-BDC7-7DCAC1389B70}">
          <x14:formula1>
            <xm:f>Sheet3!$J$153:$J$168</xm:f>
          </x14:formula1>
          <xm:sqref>H7:H82 N7:N82 R7:R82 V7:V82 Z7:Z82 AD7:AD82 AH7:AH82 AL7:AL82 AP7:AP82 AT7:AT82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2036F-FA1D-4243-877D-F1CF8541E8C5}">
  <sheetPr codeName="Sheet7">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234</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1361" priority="170">
      <formula>$F$1=1</formula>
    </cfRule>
    <cfRule type="expression" priority="171">
      <formula>$F$1</formula>
    </cfRule>
  </conditionalFormatting>
  <conditionalFormatting sqref="J4">
    <cfRule type="expression" dxfId="1360" priority="172">
      <formula>$F$1=1</formula>
    </cfRule>
  </conditionalFormatting>
  <conditionalFormatting sqref="C7:G82">
    <cfRule type="expression" dxfId="1359" priority="84">
      <formula>$B7="v"</formula>
    </cfRule>
  </conditionalFormatting>
  <conditionalFormatting sqref="H7:H82">
    <cfRule type="expression" dxfId="1358" priority="168">
      <formula>$B7="v"</formula>
    </cfRule>
  </conditionalFormatting>
  <conditionalFormatting sqref="N7:N82">
    <cfRule type="expression" dxfId="1357" priority="167">
      <formula>$B7="v"</formula>
    </cfRule>
  </conditionalFormatting>
  <conditionalFormatting sqref="M7:M82">
    <cfRule type="expression" dxfId="1356" priority="166">
      <formula>$B7="v"</formula>
    </cfRule>
  </conditionalFormatting>
  <conditionalFormatting sqref="L7:L82">
    <cfRule type="expression" dxfId="1355" priority="174">
      <formula>$B7="v"</formula>
    </cfRule>
  </conditionalFormatting>
  <conditionalFormatting sqref="P7:Q82">
    <cfRule type="expression" dxfId="1354" priority="178">
      <formula>$B7="v"</formula>
    </cfRule>
  </conditionalFormatting>
  <conditionalFormatting sqref="R7:R82">
    <cfRule type="expression" dxfId="1353" priority="164">
      <formula>$B7="v"</formula>
    </cfRule>
  </conditionalFormatting>
  <conditionalFormatting sqref="Z7:Z82 V7:V82 AL7:AL82 AH7:AH82 AD7:AD82 AX7:AX82 AT7:AT82 AP7:AP82 BJ7:BJ82 BF7:BF82 BB7:BB82 BV7:BV82 BR7:BR82 BN7:BN82">
    <cfRule type="expression" dxfId="1352" priority="217">
      <formula>$B7="v"</formula>
    </cfRule>
  </conditionalFormatting>
  <conditionalFormatting sqref="X7:Y82 T7:U82 AJ7:AK82 AF7:AG82 AB7:AC82 AR7:AS82 AN7:AO82 BH7:BI82 BD7:BE82 AZ7:BA82 BT7:BU82 BP7:BQ82 BL7:BM82">
    <cfRule type="expression" dxfId="1351" priority="220">
      <formula>$B7="v"</formula>
    </cfRule>
  </conditionalFormatting>
  <conditionalFormatting sqref="AV7:AW82">
    <cfRule type="expression" dxfId="1350" priority="208">
      <formula>$B7="v"</formula>
    </cfRule>
  </conditionalFormatting>
  <conditionalFormatting sqref="F25">
    <cfRule type="expression" dxfId="1349" priority="159">
      <formula>$E$25="n/a"</formula>
    </cfRule>
  </conditionalFormatting>
  <conditionalFormatting sqref="F7">
    <cfRule type="expression" dxfId="1348" priority="158">
      <formula>$E$7="n/a"</formula>
    </cfRule>
  </conditionalFormatting>
  <conditionalFormatting sqref="F8">
    <cfRule type="expression" dxfId="1347" priority="169">
      <formula>$E$8="n/a"</formula>
    </cfRule>
  </conditionalFormatting>
  <conditionalFormatting sqref="F9">
    <cfRule type="expression" dxfId="1346" priority="157">
      <formula>$E$9="n/a"</formula>
    </cfRule>
  </conditionalFormatting>
  <conditionalFormatting sqref="F10">
    <cfRule type="expression" dxfId="1345" priority="156">
      <formula>$E$10="n/a"</formula>
    </cfRule>
  </conditionalFormatting>
  <conditionalFormatting sqref="F11">
    <cfRule type="expression" dxfId="1344" priority="155">
      <formula>$E$11="n/a"</formula>
    </cfRule>
  </conditionalFormatting>
  <conditionalFormatting sqref="F12">
    <cfRule type="expression" dxfId="1343" priority="154">
      <formula>$E$12="n/a"</formula>
    </cfRule>
  </conditionalFormatting>
  <conditionalFormatting sqref="F13">
    <cfRule type="expression" dxfId="1342" priority="153">
      <formula>$E$13="n/a"</formula>
    </cfRule>
  </conditionalFormatting>
  <conditionalFormatting sqref="F14">
    <cfRule type="expression" dxfId="1341" priority="152">
      <formula>$E$14="n/a"</formula>
    </cfRule>
  </conditionalFormatting>
  <conditionalFormatting sqref="F15">
    <cfRule type="expression" dxfId="1340" priority="151">
      <formula>$E$15="n/a"</formula>
    </cfRule>
  </conditionalFormatting>
  <conditionalFormatting sqref="F16">
    <cfRule type="expression" dxfId="1339" priority="150">
      <formula>$E$16="n/a"</formula>
    </cfRule>
  </conditionalFormatting>
  <conditionalFormatting sqref="F17">
    <cfRule type="expression" dxfId="1338" priority="149">
      <formula>$E$17="n/a"</formula>
    </cfRule>
  </conditionalFormatting>
  <conditionalFormatting sqref="F18">
    <cfRule type="expression" dxfId="1337" priority="148">
      <formula>$E$18="n/a"</formula>
    </cfRule>
  </conditionalFormatting>
  <conditionalFormatting sqref="F19">
    <cfRule type="expression" dxfId="1336" priority="147">
      <formula>$E$19="n/a"</formula>
    </cfRule>
  </conditionalFormatting>
  <conditionalFormatting sqref="F20">
    <cfRule type="expression" dxfId="1335" priority="146">
      <formula>$E$20="n/a"</formula>
    </cfRule>
  </conditionalFormatting>
  <conditionalFormatting sqref="F21">
    <cfRule type="expression" dxfId="1334" priority="145">
      <formula>$E$21="n/a"</formula>
    </cfRule>
  </conditionalFormatting>
  <conditionalFormatting sqref="F22">
    <cfRule type="expression" dxfId="1333" priority="144">
      <formula>$E$22="n/a"</formula>
    </cfRule>
  </conditionalFormatting>
  <conditionalFormatting sqref="F23">
    <cfRule type="expression" dxfId="1332" priority="143">
      <formula>$E$23="n/a"</formula>
    </cfRule>
  </conditionalFormatting>
  <conditionalFormatting sqref="F24">
    <cfRule type="expression" dxfId="1331" priority="142">
      <formula>$E$24="n/a"</formula>
    </cfRule>
  </conditionalFormatting>
  <conditionalFormatting sqref="F26">
    <cfRule type="expression" dxfId="1330" priority="141">
      <formula>$E$26="n/a"</formula>
    </cfRule>
  </conditionalFormatting>
  <conditionalFormatting sqref="F27">
    <cfRule type="expression" dxfId="1329" priority="140">
      <formula>$E$27="n/a"</formula>
    </cfRule>
  </conditionalFormatting>
  <conditionalFormatting sqref="F28">
    <cfRule type="expression" dxfId="1328" priority="139">
      <formula>$E$28="n/a"</formula>
    </cfRule>
  </conditionalFormatting>
  <conditionalFormatting sqref="F29">
    <cfRule type="expression" dxfId="1327" priority="138">
      <formula>$E$29="n/a"</formula>
    </cfRule>
  </conditionalFormatting>
  <conditionalFormatting sqref="F30">
    <cfRule type="expression" dxfId="1326" priority="137">
      <formula>$E$30="n/a"</formula>
    </cfRule>
  </conditionalFormatting>
  <conditionalFormatting sqref="F31">
    <cfRule type="expression" dxfId="1325" priority="136">
      <formula>$E$31="n/a"</formula>
    </cfRule>
  </conditionalFormatting>
  <conditionalFormatting sqref="F32">
    <cfRule type="expression" dxfId="1324" priority="135">
      <formula>$E$32="n/a"</formula>
    </cfRule>
  </conditionalFormatting>
  <conditionalFormatting sqref="F33">
    <cfRule type="expression" dxfId="1323" priority="134">
      <formula>$E$33="n/a"</formula>
    </cfRule>
  </conditionalFormatting>
  <conditionalFormatting sqref="F34">
    <cfRule type="expression" dxfId="1322" priority="133">
      <formula>$E$34="n/a"</formula>
    </cfRule>
  </conditionalFormatting>
  <conditionalFormatting sqref="F35">
    <cfRule type="expression" dxfId="1321" priority="132">
      <formula>$E$35="n/a"</formula>
    </cfRule>
  </conditionalFormatting>
  <conditionalFormatting sqref="F36">
    <cfRule type="expression" dxfId="1320" priority="131">
      <formula>$E$36="n/a"</formula>
    </cfRule>
  </conditionalFormatting>
  <conditionalFormatting sqref="F37">
    <cfRule type="expression" dxfId="1319" priority="130">
      <formula>$E$37="n/a"</formula>
    </cfRule>
  </conditionalFormatting>
  <conditionalFormatting sqref="F38">
    <cfRule type="expression" dxfId="1318" priority="129">
      <formula>$E$38="n/a"</formula>
    </cfRule>
  </conditionalFormatting>
  <conditionalFormatting sqref="F39">
    <cfRule type="expression" dxfId="1317" priority="128">
      <formula>$E$39="n/a"</formula>
    </cfRule>
  </conditionalFormatting>
  <conditionalFormatting sqref="F40">
    <cfRule type="expression" dxfId="1316" priority="127">
      <formula>$E$40="n/a"</formula>
    </cfRule>
  </conditionalFormatting>
  <conditionalFormatting sqref="F41">
    <cfRule type="expression" dxfId="1315" priority="126">
      <formula>$E$41="n/a"</formula>
    </cfRule>
  </conditionalFormatting>
  <conditionalFormatting sqref="F42">
    <cfRule type="expression" dxfId="1314" priority="125">
      <formula>$E$42="n/a"</formula>
    </cfRule>
  </conditionalFormatting>
  <conditionalFormatting sqref="F43">
    <cfRule type="expression" dxfId="1313" priority="124">
      <formula>$E$43="n/a"</formula>
    </cfRule>
  </conditionalFormatting>
  <conditionalFormatting sqref="F44">
    <cfRule type="expression" dxfId="1312" priority="123">
      <formula>$E$44="n/a"</formula>
    </cfRule>
  </conditionalFormatting>
  <conditionalFormatting sqref="F45">
    <cfRule type="expression" dxfId="1311" priority="122">
      <formula>$E$45="n/a"</formula>
    </cfRule>
  </conditionalFormatting>
  <conditionalFormatting sqref="F46">
    <cfRule type="expression" dxfId="1310" priority="121">
      <formula>$E$46="n/a"</formula>
    </cfRule>
  </conditionalFormatting>
  <conditionalFormatting sqref="F82">
    <cfRule type="expression" dxfId="1309" priority="119">
      <formula>$E$82="n/a"</formula>
    </cfRule>
  </conditionalFormatting>
  <conditionalFormatting sqref="F81">
    <cfRule type="expression" dxfId="1308" priority="118">
      <formula>$E$81="n/a"</formula>
    </cfRule>
  </conditionalFormatting>
  <conditionalFormatting sqref="F80">
    <cfRule type="expression" dxfId="1307" priority="117">
      <formula>$E$80="n/a"</formula>
    </cfRule>
  </conditionalFormatting>
  <conditionalFormatting sqref="F79">
    <cfRule type="expression" dxfId="1306" priority="116">
      <formula>$E$79="n/a"</formula>
    </cfRule>
  </conditionalFormatting>
  <conditionalFormatting sqref="F78">
    <cfRule type="expression" dxfId="1305" priority="115">
      <formula>$E$78="n/a"</formula>
    </cfRule>
  </conditionalFormatting>
  <conditionalFormatting sqref="F77">
    <cfRule type="expression" dxfId="1304" priority="114">
      <formula>$E$77="n/a"</formula>
    </cfRule>
  </conditionalFormatting>
  <conditionalFormatting sqref="F76">
    <cfRule type="expression" dxfId="1303" priority="113">
      <formula>$E$76="n/a"</formula>
    </cfRule>
  </conditionalFormatting>
  <conditionalFormatting sqref="F75">
    <cfRule type="expression" dxfId="1302" priority="112">
      <formula>$E$75="n/a"</formula>
    </cfRule>
  </conditionalFormatting>
  <conditionalFormatting sqref="F74">
    <cfRule type="expression" dxfId="1301" priority="111">
      <formula>$E$74="n/a"</formula>
    </cfRule>
  </conditionalFormatting>
  <conditionalFormatting sqref="F73">
    <cfRule type="expression" dxfId="1300" priority="109">
      <formula>$E$73="n/a"</formula>
    </cfRule>
  </conditionalFormatting>
  <conditionalFormatting sqref="F72">
    <cfRule type="expression" dxfId="1299" priority="85">
      <formula>$E$72="n/a"</formula>
    </cfRule>
  </conditionalFormatting>
  <conditionalFormatting sqref="F47">
    <cfRule type="expression" dxfId="1298" priority="120">
      <formula>$E$47="n/a"</formula>
    </cfRule>
  </conditionalFormatting>
  <conditionalFormatting sqref="F48">
    <cfRule type="expression" dxfId="1297" priority="110">
      <formula>$E$48="n/a"</formula>
    </cfRule>
  </conditionalFormatting>
  <conditionalFormatting sqref="F49">
    <cfRule type="expression" dxfId="1296" priority="108">
      <formula>$E$49="n/a"</formula>
    </cfRule>
  </conditionalFormatting>
  <conditionalFormatting sqref="F50">
    <cfRule type="expression" dxfId="1295" priority="107">
      <formula>$E$50="n/a"</formula>
    </cfRule>
  </conditionalFormatting>
  <conditionalFormatting sqref="F51">
    <cfRule type="expression" dxfId="1294" priority="106">
      <formula>$E$51="n/a"</formula>
    </cfRule>
  </conditionalFormatting>
  <conditionalFormatting sqref="F52">
    <cfRule type="expression" dxfId="1293" priority="105">
      <formula>$E$52="n/a"</formula>
    </cfRule>
  </conditionalFormatting>
  <conditionalFormatting sqref="F53">
    <cfRule type="expression" dxfId="1292" priority="104">
      <formula>$E$53="n/a"</formula>
    </cfRule>
  </conditionalFormatting>
  <conditionalFormatting sqref="F54">
    <cfRule type="expression" dxfId="1291" priority="103">
      <formula>$E$54="n/a"</formula>
    </cfRule>
  </conditionalFormatting>
  <conditionalFormatting sqref="F55">
    <cfRule type="expression" dxfId="1290" priority="102">
      <formula>$E$55="n/a"</formula>
    </cfRule>
  </conditionalFormatting>
  <conditionalFormatting sqref="F56">
    <cfRule type="expression" dxfId="1289" priority="101">
      <formula>$E$56="n/a"</formula>
    </cfRule>
  </conditionalFormatting>
  <conditionalFormatting sqref="F57">
    <cfRule type="expression" dxfId="1288" priority="100">
      <formula>$E$57="n/a"</formula>
    </cfRule>
  </conditionalFormatting>
  <conditionalFormatting sqref="F58">
    <cfRule type="expression" dxfId="1287" priority="99">
      <formula>$E$58="n/a"</formula>
    </cfRule>
  </conditionalFormatting>
  <conditionalFormatting sqref="F59">
    <cfRule type="expression" dxfId="1286" priority="98">
      <formula>$E$59="n/a"</formula>
    </cfRule>
  </conditionalFormatting>
  <conditionalFormatting sqref="F60">
    <cfRule type="expression" dxfId="1285" priority="97">
      <formula>$E$60="n/a"</formula>
    </cfRule>
  </conditionalFormatting>
  <conditionalFormatting sqref="F61">
    <cfRule type="expression" dxfId="1284" priority="96">
      <formula>$E$61="n/a"</formula>
    </cfRule>
  </conditionalFormatting>
  <conditionalFormatting sqref="F62">
    <cfRule type="expression" dxfId="1283" priority="95">
      <formula>$E$62="n/a"</formula>
    </cfRule>
  </conditionalFormatting>
  <conditionalFormatting sqref="F63">
    <cfRule type="expression" dxfId="1282" priority="94">
      <formula>$E$63="n/a"</formula>
    </cfRule>
  </conditionalFormatting>
  <conditionalFormatting sqref="F64">
    <cfRule type="expression" dxfId="1281" priority="93">
      <formula>$E$64="n/a"</formula>
    </cfRule>
  </conditionalFormatting>
  <conditionalFormatting sqref="F65">
    <cfRule type="expression" dxfId="1280" priority="92">
      <formula>$E$65="n/a"</formula>
    </cfRule>
  </conditionalFormatting>
  <conditionalFormatting sqref="F66">
    <cfRule type="expression" dxfId="1279" priority="91">
      <formula>$E$66="n/a"</formula>
    </cfRule>
  </conditionalFormatting>
  <conditionalFormatting sqref="F67">
    <cfRule type="expression" dxfId="1278" priority="90">
      <formula>$E$67="n/a"</formula>
    </cfRule>
  </conditionalFormatting>
  <conditionalFormatting sqref="F68">
    <cfRule type="expression" dxfId="1277" priority="89">
      <formula>$E$68="n/a"</formula>
    </cfRule>
  </conditionalFormatting>
  <conditionalFormatting sqref="F69">
    <cfRule type="expression" dxfId="1276" priority="88">
      <formula>$E$69="n/a"</formula>
    </cfRule>
  </conditionalFormatting>
  <conditionalFormatting sqref="F70">
    <cfRule type="expression" dxfId="1275" priority="87">
      <formula>$E$70="n/a"</formula>
    </cfRule>
  </conditionalFormatting>
  <conditionalFormatting sqref="F71">
    <cfRule type="expression" dxfId="1274" priority="86">
      <formula>$E$71="n/a"</formula>
    </cfRule>
  </conditionalFormatting>
  <conditionalFormatting sqref="I7">
    <cfRule type="expression" dxfId="1273" priority="83">
      <formula>$B$7="v"</formula>
    </cfRule>
  </conditionalFormatting>
  <conditionalFormatting sqref="I8">
    <cfRule type="expression" dxfId="1272" priority="82">
      <formula>$B$8="v"</formula>
    </cfRule>
  </conditionalFormatting>
  <conditionalFormatting sqref="I9">
    <cfRule type="expression" dxfId="1271" priority="81">
      <formula>$B$9="v"</formula>
    </cfRule>
  </conditionalFormatting>
  <conditionalFormatting sqref="I10">
    <cfRule type="expression" dxfId="1270" priority="80">
      <formula>$B$10="v"</formula>
    </cfRule>
  </conditionalFormatting>
  <conditionalFormatting sqref="I11">
    <cfRule type="expression" dxfId="1269" priority="79">
      <formula>$B$11="v"</formula>
    </cfRule>
  </conditionalFormatting>
  <conditionalFormatting sqref="I12">
    <cfRule type="expression" dxfId="1268" priority="78">
      <formula>$B$12="v"</formula>
    </cfRule>
  </conditionalFormatting>
  <conditionalFormatting sqref="I13">
    <cfRule type="expression" dxfId="1267" priority="77">
      <formula>$B$13="v"</formula>
    </cfRule>
  </conditionalFormatting>
  <conditionalFormatting sqref="I14">
    <cfRule type="expression" dxfId="1266" priority="76">
      <formula>$B$14="v"</formula>
    </cfRule>
  </conditionalFormatting>
  <conditionalFormatting sqref="I15">
    <cfRule type="expression" dxfId="1265" priority="75">
      <formula>$B$15="v"</formula>
    </cfRule>
  </conditionalFormatting>
  <conditionalFormatting sqref="I16">
    <cfRule type="expression" dxfId="1264" priority="74">
      <formula>$B$16="v"</formula>
    </cfRule>
  </conditionalFormatting>
  <conditionalFormatting sqref="I17">
    <cfRule type="expression" dxfId="1263" priority="73">
      <formula>$B$17="v"</formula>
    </cfRule>
  </conditionalFormatting>
  <conditionalFormatting sqref="I18">
    <cfRule type="expression" dxfId="1262" priority="72">
      <formula>$B$18="v"</formula>
    </cfRule>
  </conditionalFormatting>
  <conditionalFormatting sqref="I19">
    <cfRule type="expression" dxfId="1261" priority="71">
      <formula>$B$19="v"</formula>
    </cfRule>
  </conditionalFormatting>
  <conditionalFormatting sqref="I20">
    <cfRule type="expression" dxfId="1260" priority="70">
      <formula>$B$20="v"</formula>
    </cfRule>
  </conditionalFormatting>
  <conditionalFormatting sqref="I21">
    <cfRule type="expression" dxfId="1259" priority="69">
      <formula>$B$21="v"</formula>
    </cfRule>
  </conditionalFormatting>
  <conditionalFormatting sqref="I22">
    <cfRule type="expression" dxfId="1258" priority="68">
      <formula>$B$22="v"</formula>
    </cfRule>
  </conditionalFormatting>
  <conditionalFormatting sqref="I23">
    <cfRule type="expression" dxfId="1257" priority="67">
      <formula>$B$23="v"</formula>
    </cfRule>
  </conditionalFormatting>
  <conditionalFormatting sqref="I24">
    <cfRule type="expression" dxfId="1256" priority="66">
      <formula>$B$24="v"</formula>
    </cfRule>
  </conditionalFormatting>
  <conditionalFormatting sqref="I25">
    <cfRule type="expression" dxfId="1255" priority="65">
      <formula>$B$25="v"</formula>
    </cfRule>
  </conditionalFormatting>
  <conditionalFormatting sqref="I26">
    <cfRule type="expression" dxfId="1254" priority="64">
      <formula>$B$26="v"</formula>
    </cfRule>
  </conditionalFormatting>
  <conditionalFormatting sqref="I27">
    <cfRule type="expression" dxfId="1253" priority="63">
      <formula>$B$27="v"</formula>
    </cfRule>
  </conditionalFormatting>
  <conditionalFormatting sqref="I28">
    <cfRule type="expression" dxfId="1252" priority="62">
      <formula>$B$28="v"</formula>
    </cfRule>
  </conditionalFormatting>
  <conditionalFormatting sqref="I29">
    <cfRule type="expression" dxfId="1251" priority="61">
      <formula>$B$29="v"</formula>
    </cfRule>
  </conditionalFormatting>
  <conditionalFormatting sqref="I30">
    <cfRule type="expression" dxfId="1250" priority="60">
      <formula>$B$30="v"</formula>
    </cfRule>
  </conditionalFormatting>
  <conditionalFormatting sqref="I31">
    <cfRule type="expression" dxfId="1249" priority="59">
      <formula>$B$31="v"</formula>
    </cfRule>
  </conditionalFormatting>
  <conditionalFormatting sqref="I32">
    <cfRule type="expression" dxfId="1248" priority="58">
      <formula>$B$32="v"</formula>
    </cfRule>
  </conditionalFormatting>
  <conditionalFormatting sqref="I33">
    <cfRule type="expression" dxfId="1247" priority="57">
      <formula>$B$33="v"</formula>
    </cfRule>
  </conditionalFormatting>
  <conditionalFormatting sqref="I34">
    <cfRule type="expression" dxfId="1246" priority="56">
      <formula>$B$34="v"</formula>
    </cfRule>
  </conditionalFormatting>
  <conditionalFormatting sqref="I35">
    <cfRule type="expression" dxfId="1245" priority="55">
      <formula>$B$35="v"</formula>
    </cfRule>
  </conditionalFormatting>
  <conditionalFormatting sqref="I36">
    <cfRule type="expression" dxfId="1244" priority="54">
      <formula>$B$36="v"</formula>
    </cfRule>
  </conditionalFormatting>
  <conditionalFormatting sqref="I37">
    <cfRule type="expression" dxfId="1243" priority="53">
      <formula>$B$37="v"</formula>
    </cfRule>
  </conditionalFormatting>
  <conditionalFormatting sqref="I38">
    <cfRule type="expression" dxfId="1242" priority="52">
      <formula>$B$38="v"</formula>
    </cfRule>
  </conditionalFormatting>
  <conditionalFormatting sqref="I39">
    <cfRule type="expression" dxfId="1241" priority="51">
      <formula>$B$39="v"</formula>
    </cfRule>
  </conditionalFormatting>
  <conditionalFormatting sqref="I40">
    <cfRule type="expression" dxfId="1240" priority="50">
      <formula>$B$40="v"</formula>
    </cfRule>
  </conditionalFormatting>
  <conditionalFormatting sqref="I41">
    <cfRule type="expression" dxfId="1239" priority="49">
      <formula>$B$41="v"</formula>
    </cfRule>
  </conditionalFormatting>
  <conditionalFormatting sqref="I42">
    <cfRule type="expression" dxfId="1238" priority="48">
      <formula>$B$42="v"</formula>
    </cfRule>
  </conditionalFormatting>
  <conditionalFormatting sqref="I43">
    <cfRule type="expression" dxfId="1237" priority="47">
      <formula>$B$43="v"</formula>
    </cfRule>
  </conditionalFormatting>
  <conditionalFormatting sqref="I44">
    <cfRule type="expression" dxfId="1236" priority="46">
      <formula>$B$44="v"</formula>
    </cfRule>
  </conditionalFormatting>
  <conditionalFormatting sqref="I45">
    <cfRule type="expression" dxfId="1235" priority="45">
      <formula>$B$45="v"</formula>
    </cfRule>
  </conditionalFormatting>
  <conditionalFormatting sqref="I46">
    <cfRule type="expression" dxfId="1234" priority="44">
      <formula>$B$46="v"</formula>
    </cfRule>
  </conditionalFormatting>
  <conditionalFormatting sqref="I47">
    <cfRule type="expression" dxfId="1233" priority="43">
      <formula>$B$47="v"</formula>
    </cfRule>
  </conditionalFormatting>
  <conditionalFormatting sqref="I48">
    <cfRule type="expression" dxfId="1232" priority="42">
      <formula>$B$48="v"</formula>
    </cfRule>
  </conditionalFormatting>
  <conditionalFormatting sqref="I49">
    <cfRule type="expression" dxfId="1231" priority="41">
      <formula>$B$49="v"</formula>
    </cfRule>
  </conditionalFormatting>
  <conditionalFormatting sqref="I50">
    <cfRule type="expression" dxfId="1230" priority="40">
      <formula>$B$50="v"</formula>
    </cfRule>
  </conditionalFormatting>
  <conditionalFormatting sqref="I51">
    <cfRule type="expression" dxfId="1229" priority="39">
      <formula>$B$51="v"</formula>
    </cfRule>
  </conditionalFormatting>
  <conditionalFormatting sqref="I52">
    <cfRule type="expression" dxfId="1228" priority="38">
      <formula>$B$52="v"</formula>
    </cfRule>
  </conditionalFormatting>
  <conditionalFormatting sqref="I53">
    <cfRule type="expression" dxfId="1227" priority="37">
      <formula>$B$53="v"</formula>
    </cfRule>
  </conditionalFormatting>
  <conditionalFormatting sqref="I54">
    <cfRule type="expression" dxfId="1226" priority="36">
      <formula>$B$54="v"</formula>
    </cfRule>
  </conditionalFormatting>
  <conditionalFormatting sqref="I55">
    <cfRule type="expression" dxfId="1225" priority="35">
      <formula>$B$55="v"</formula>
    </cfRule>
  </conditionalFormatting>
  <conditionalFormatting sqref="I56">
    <cfRule type="expression" dxfId="1224" priority="34">
      <formula>$B$56="v"</formula>
    </cfRule>
  </conditionalFormatting>
  <conditionalFormatting sqref="I57">
    <cfRule type="expression" dxfId="1223" priority="33">
      <formula>$B$57="v"</formula>
    </cfRule>
  </conditionalFormatting>
  <conditionalFormatting sqref="I58">
    <cfRule type="expression" dxfId="1222" priority="32">
      <formula>$B$58="v"</formula>
    </cfRule>
  </conditionalFormatting>
  <conditionalFormatting sqref="I59">
    <cfRule type="expression" dxfId="1221" priority="31">
      <formula>$B$59="v"</formula>
    </cfRule>
  </conditionalFormatting>
  <conditionalFormatting sqref="I60">
    <cfRule type="expression" dxfId="1220" priority="30">
      <formula>$B$60="v"</formula>
    </cfRule>
  </conditionalFormatting>
  <conditionalFormatting sqref="I61">
    <cfRule type="expression" dxfId="1219" priority="29">
      <formula>$B$61="v"</formula>
    </cfRule>
  </conditionalFormatting>
  <conditionalFormatting sqref="I62">
    <cfRule type="expression" dxfId="1218" priority="28">
      <formula>$B$62="v"</formula>
    </cfRule>
  </conditionalFormatting>
  <conditionalFormatting sqref="I63">
    <cfRule type="expression" dxfId="1217" priority="27">
      <formula>$B$63="v"</formula>
    </cfRule>
  </conditionalFormatting>
  <conditionalFormatting sqref="I64">
    <cfRule type="expression" dxfId="1216" priority="26">
      <formula>$B$64="v"</formula>
    </cfRule>
  </conditionalFormatting>
  <conditionalFormatting sqref="I65">
    <cfRule type="expression" dxfId="1215" priority="25">
      <formula>$B$65="v"</formula>
    </cfRule>
  </conditionalFormatting>
  <conditionalFormatting sqref="I66">
    <cfRule type="expression" dxfId="1214" priority="24">
      <formula>$B$66="v"</formula>
    </cfRule>
  </conditionalFormatting>
  <conditionalFormatting sqref="I67">
    <cfRule type="expression" dxfId="1213" priority="23">
      <formula>$B$67="v"</formula>
    </cfRule>
  </conditionalFormatting>
  <conditionalFormatting sqref="I68">
    <cfRule type="expression" dxfId="1212" priority="22">
      <formula>$B$68="v"</formula>
    </cfRule>
  </conditionalFormatting>
  <conditionalFormatting sqref="I69">
    <cfRule type="expression" dxfId="1211" priority="21">
      <formula>$B$69="v"</formula>
    </cfRule>
  </conditionalFormatting>
  <conditionalFormatting sqref="I70">
    <cfRule type="expression" dxfId="1210" priority="20">
      <formula>$B$70="v"</formula>
    </cfRule>
  </conditionalFormatting>
  <conditionalFormatting sqref="I71">
    <cfRule type="expression" dxfId="1209" priority="19">
      <formula>$B$71="v"</formula>
    </cfRule>
  </conditionalFormatting>
  <conditionalFormatting sqref="I72">
    <cfRule type="expression" dxfId="1208" priority="18">
      <formula>$B$72="v"</formula>
    </cfRule>
  </conditionalFormatting>
  <conditionalFormatting sqref="I73">
    <cfRule type="expression" dxfId="1207" priority="17">
      <formula>$B$73="v"</formula>
    </cfRule>
  </conditionalFormatting>
  <conditionalFormatting sqref="I74">
    <cfRule type="expression" dxfId="1206" priority="16">
      <formula>$B$74="v"</formula>
    </cfRule>
  </conditionalFormatting>
  <conditionalFormatting sqref="I75">
    <cfRule type="expression" dxfId="1205" priority="15">
      <formula>$B$75="v"</formula>
    </cfRule>
  </conditionalFormatting>
  <conditionalFormatting sqref="I76">
    <cfRule type="expression" dxfId="1204" priority="14">
      <formula>$B$76="v"</formula>
    </cfRule>
  </conditionalFormatting>
  <conditionalFormatting sqref="I77">
    <cfRule type="expression" dxfId="1203" priority="13">
      <formula>$B$77="v"</formula>
    </cfRule>
  </conditionalFormatting>
  <conditionalFormatting sqref="I78">
    <cfRule type="expression" dxfId="1202" priority="12">
      <formula>$B$78="v"</formula>
    </cfRule>
  </conditionalFormatting>
  <conditionalFormatting sqref="I79">
    <cfRule type="expression" dxfId="1201" priority="11">
      <formula>$B$79="v"</formula>
    </cfRule>
  </conditionalFormatting>
  <conditionalFormatting sqref="I80">
    <cfRule type="expression" dxfId="1200" priority="10">
      <formula>$B$80="v"</formula>
    </cfRule>
  </conditionalFormatting>
  <conditionalFormatting sqref="I81">
    <cfRule type="expression" dxfId="1199" priority="9">
      <formula>$B$81="v"</formula>
    </cfRule>
  </conditionalFormatting>
  <conditionalFormatting sqref="I82">
    <cfRule type="expression" dxfId="1198" priority="8">
      <formula>$B$82="v"</formula>
    </cfRule>
  </conditionalFormatting>
  <conditionalFormatting sqref="L5:N6">
    <cfRule type="expression" dxfId="1197" priority="173">
      <formula>$K$4=1</formula>
    </cfRule>
  </conditionalFormatting>
  <conditionalFormatting sqref="L7:N82">
    <cfRule type="expression" dxfId="1196" priority="176">
      <formula>$K$4=1</formula>
    </cfRule>
  </conditionalFormatting>
  <conditionalFormatting sqref="M4:N4">
    <cfRule type="expression" dxfId="1195" priority="175">
      <formula>$K$4=1</formula>
    </cfRule>
  </conditionalFormatting>
  <conditionalFormatting sqref="L7:N82">
    <cfRule type="expression" dxfId="1194" priority="165">
      <formula>$K$4=""</formula>
    </cfRule>
  </conditionalFormatting>
  <conditionalFormatting sqref="P5:R6">
    <cfRule type="expression" dxfId="1193" priority="177">
      <formula>$O$4=1</formula>
    </cfRule>
  </conditionalFormatting>
  <conditionalFormatting sqref="P7:R82">
    <cfRule type="expression" dxfId="1192" priority="180">
      <formula>$O$4=1</formula>
    </cfRule>
  </conditionalFormatting>
  <conditionalFormatting sqref="Q4:R4">
    <cfRule type="expression" dxfId="1191" priority="179">
      <formula>$O$4=1</formula>
    </cfRule>
  </conditionalFormatting>
  <conditionalFormatting sqref="P7:R82">
    <cfRule type="expression" dxfId="1190" priority="163">
      <formula>$O$4=""</formula>
    </cfRule>
  </conditionalFormatting>
  <conditionalFormatting sqref="T5:V6">
    <cfRule type="expression" dxfId="1189" priority="181">
      <formula>$S$4=1</formula>
    </cfRule>
  </conditionalFormatting>
  <conditionalFormatting sqref="T7:V82">
    <cfRule type="expression" dxfId="1188" priority="226">
      <formula>$S$4=1</formula>
    </cfRule>
  </conditionalFormatting>
  <conditionalFormatting sqref="U4:V4">
    <cfRule type="expression" dxfId="1187" priority="183">
      <formula>$S$4=1</formula>
    </cfRule>
  </conditionalFormatting>
  <conditionalFormatting sqref="T7:V82">
    <cfRule type="expression" dxfId="1186" priority="161">
      <formula>$S$4=""</formula>
    </cfRule>
  </conditionalFormatting>
  <conditionalFormatting sqref="X5:Z6">
    <cfRule type="expression" dxfId="1185" priority="185">
      <formula>$W$4=1</formula>
    </cfRule>
  </conditionalFormatting>
  <conditionalFormatting sqref="X7:Z82">
    <cfRule type="expression" dxfId="1184" priority="223">
      <formula>$W$4=1</formula>
    </cfRule>
  </conditionalFormatting>
  <conditionalFormatting sqref="Y4:Z4">
    <cfRule type="expression" dxfId="1183" priority="187">
      <formula>$W$4=1</formula>
    </cfRule>
  </conditionalFormatting>
  <conditionalFormatting sqref="X7:Z82">
    <cfRule type="expression" dxfId="1182" priority="162">
      <formula>$W$4=""</formula>
    </cfRule>
  </conditionalFormatting>
  <conditionalFormatting sqref="AB5:AD6">
    <cfRule type="expression" dxfId="1181" priority="189">
      <formula>$AA$4=1</formula>
    </cfRule>
  </conditionalFormatting>
  <conditionalFormatting sqref="AB7:AD82">
    <cfRule type="expression" dxfId="1180" priority="192">
      <formula>$AA$4=1</formula>
    </cfRule>
  </conditionalFormatting>
  <conditionalFormatting sqref="AC4:AD4">
    <cfRule type="expression" dxfId="1179" priority="191">
      <formula>$AA$4=1</formula>
    </cfRule>
  </conditionalFormatting>
  <conditionalFormatting sqref="AB7:AD82">
    <cfRule type="expression" dxfId="1178" priority="182">
      <formula>$AA$4=""</formula>
    </cfRule>
  </conditionalFormatting>
  <conditionalFormatting sqref="AF5:AH6">
    <cfRule type="expression" dxfId="1177" priority="193">
      <formula>$AE$4=1</formula>
    </cfRule>
  </conditionalFormatting>
  <conditionalFormatting sqref="AF7:AH82">
    <cfRule type="expression" dxfId="1176" priority="196">
      <formula>$AE$4=1</formula>
    </cfRule>
  </conditionalFormatting>
  <conditionalFormatting sqref="AG4:AH4">
    <cfRule type="expression" dxfId="1175" priority="195">
      <formula>$AE$4=1</formula>
    </cfRule>
  </conditionalFormatting>
  <conditionalFormatting sqref="AF7:AH82">
    <cfRule type="expression" dxfId="1174" priority="184">
      <formula>$AE$4=""</formula>
    </cfRule>
  </conditionalFormatting>
  <conditionalFormatting sqref="AJ7:AL82">
    <cfRule type="expression" dxfId="1173" priority="200">
      <formula>$AI$4=1</formula>
    </cfRule>
  </conditionalFormatting>
  <conditionalFormatting sqref="AK4:AL4">
    <cfRule type="expression" dxfId="1172" priority="198">
      <formula>$AI$4=1</formula>
    </cfRule>
  </conditionalFormatting>
  <conditionalFormatting sqref="AJ5:AL6">
    <cfRule type="expression" dxfId="1171" priority="199">
      <formula>$AI$4=1</formula>
    </cfRule>
  </conditionalFormatting>
  <conditionalFormatting sqref="AJ7:AL82">
    <cfRule type="expression" dxfId="1170" priority="186">
      <formula>$AI$4=""</formula>
    </cfRule>
  </conditionalFormatting>
  <conditionalFormatting sqref="AN7:AP82">
    <cfRule type="expression" dxfId="1169" priority="204">
      <formula>$AM$4=1</formula>
    </cfRule>
  </conditionalFormatting>
  <conditionalFormatting sqref="AO4:AP4 AS4:AT4">
    <cfRule type="expression" dxfId="1168" priority="202">
      <formula>AQ$4=1</formula>
    </cfRule>
  </conditionalFormatting>
  <conditionalFormatting sqref="AN5:AP6">
    <cfRule type="expression" dxfId="1167" priority="203">
      <formula>$AM$4=1</formula>
    </cfRule>
  </conditionalFormatting>
  <conditionalFormatting sqref="AN7:AP82">
    <cfRule type="expression" dxfId="1166" priority="188">
      <formula>$AM$4=""</formula>
    </cfRule>
  </conditionalFormatting>
  <conditionalFormatting sqref="AR7:AT82">
    <cfRule type="expression" dxfId="1165" priority="207">
      <formula>$AQ$4=1</formula>
    </cfRule>
  </conditionalFormatting>
  <conditionalFormatting sqref="AR5:AT6">
    <cfRule type="expression" dxfId="1164" priority="206">
      <formula>$AQ$4=1</formula>
    </cfRule>
  </conditionalFormatting>
  <conditionalFormatting sqref="AR7:AT82">
    <cfRule type="expression" dxfId="1163" priority="190">
      <formula>$AQ$4=""</formula>
    </cfRule>
  </conditionalFormatting>
  <conditionalFormatting sqref="AV7:AX82">
    <cfRule type="expression" dxfId="1162" priority="210">
      <formula>$AU$4=1</formula>
    </cfRule>
  </conditionalFormatting>
  <conditionalFormatting sqref="AV5:AX6">
    <cfRule type="expression" dxfId="1161" priority="209">
      <formula>$AU$4=1</formula>
    </cfRule>
  </conditionalFormatting>
  <conditionalFormatting sqref="AV7:AX82">
    <cfRule type="expression" dxfId="1160" priority="160">
      <formula>$AU$4=""</formula>
    </cfRule>
  </conditionalFormatting>
  <conditionalFormatting sqref="AZ7:BB82">
    <cfRule type="expression" dxfId="1159" priority="213">
      <formula>$AY$4=1</formula>
    </cfRule>
  </conditionalFormatting>
  <conditionalFormatting sqref="AZ5:BB6">
    <cfRule type="expression" dxfId="1158" priority="212">
      <formula>$AY$4=1</formula>
    </cfRule>
  </conditionalFormatting>
  <conditionalFormatting sqref="AZ7:BB82">
    <cfRule type="expression" dxfId="1157" priority="194">
      <formula>$AY$4=""</formula>
    </cfRule>
  </conditionalFormatting>
  <conditionalFormatting sqref="BD7:BF82">
    <cfRule type="expression" dxfId="1156" priority="216">
      <formula>$BC$4=1</formula>
    </cfRule>
  </conditionalFormatting>
  <conditionalFormatting sqref="BD5:BF6">
    <cfRule type="expression" dxfId="1155" priority="215">
      <formula>$BC$4=1</formula>
    </cfRule>
  </conditionalFormatting>
  <conditionalFormatting sqref="BD7:BF82">
    <cfRule type="expression" dxfId="1154" priority="197">
      <formula>$BC$4=""</formula>
    </cfRule>
  </conditionalFormatting>
  <conditionalFormatting sqref="BH7:BJ82">
    <cfRule type="expression" dxfId="1153" priority="219">
      <formula>$BG$4=1</formula>
    </cfRule>
  </conditionalFormatting>
  <conditionalFormatting sqref="BH5:BJ6">
    <cfRule type="expression" dxfId="1152" priority="218">
      <formula>$BG$4=1</formula>
    </cfRule>
  </conditionalFormatting>
  <conditionalFormatting sqref="BH7:BJ82">
    <cfRule type="expression" dxfId="1151" priority="201">
      <formula>$BG$4=""</formula>
    </cfRule>
  </conditionalFormatting>
  <conditionalFormatting sqref="BL7:BN82">
    <cfRule type="expression" dxfId="1150" priority="222">
      <formula>$BK$4=1</formula>
    </cfRule>
  </conditionalFormatting>
  <conditionalFormatting sqref="BL5:BN6">
    <cfRule type="expression" dxfId="1149" priority="221">
      <formula>$BK$4=1</formula>
    </cfRule>
  </conditionalFormatting>
  <conditionalFormatting sqref="BL7:BN82">
    <cfRule type="expression" dxfId="1148" priority="205">
      <formula>$BK$4=""</formula>
    </cfRule>
  </conditionalFormatting>
  <conditionalFormatting sqref="BP7:BR82">
    <cfRule type="expression" dxfId="1147" priority="225">
      <formula>$BO$4=1</formula>
    </cfRule>
  </conditionalFormatting>
  <conditionalFormatting sqref="BP5:BR6">
    <cfRule type="expression" dxfId="1146" priority="224">
      <formula>$BO$4=1</formula>
    </cfRule>
  </conditionalFormatting>
  <conditionalFormatting sqref="BP7:BR82">
    <cfRule type="expression" dxfId="1145" priority="211">
      <formula>$BO$4=""</formula>
    </cfRule>
  </conditionalFormatting>
  <conditionalFormatting sqref="BT7:BV82">
    <cfRule type="expression" dxfId="1144" priority="228">
      <formula>$BS$4=1</formula>
    </cfRule>
  </conditionalFormatting>
  <conditionalFormatting sqref="BT5:BV6">
    <cfRule type="expression" dxfId="1143" priority="227">
      <formula>$BS$4=1</formula>
    </cfRule>
  </conditionalFormatting>
  <conditionalFormatting sqref="BT7:BV82">
    <cfRule type="expression" dxfId="1142" priority="214">
      <formula>$BS$4=""</formula>
    </cfRule>
  </conditionalFormatting>
  <conditionalFormatting sqref="AW4:AX4">
    <cfRule type="expression" dxfId="1141" priority="7">
      <formula>AU$4=1</formula>
    </cfRule>
  </conditionalFormatting>
  <conditionalFormatting sqref="BA4:BB4">
    <cfRule type="expression" dxfId="1140" priority="6">
      <formula>AY$4=1</formula>
    </cfRule>
  </conditionalFormatting>
  <conditionalFormatting sqref="BE4:BF4">
    <cfRule type="expression" dxfId="1139" priority="5">
      <formula>BC$4=1</formula>
    </cfRule>
  </conditionalFormatting>
  <conditionalFormatting sqref="BI4:BJ4">
    <cfRule type="expression" dxfId="1138" priority="4">
      <formula>BG$4=1</formula>
    </cfRule>
  </conditionalFormatting>
  <conditionalFormatting sqref="BM4:BN4">
    <cfRule type="expression" dxfId="1137" priority="3">
      <formula>BK$4=1</formula>
    </cfRule>
  </conditionalFormatting>
  <conditionalFormatting sqref="BQ4:BR4">
    <cfRule type="expression" dxfId="1136" priority="2">
      <formula>BO$4=1</formula>
    </cfRule>
  </conditionalFormatting>
  <conditionalFormatting sqref="BU4:BV4">
    <cfRule type="expression" dxfId="1135" priority="1">
      <formula>BS$4=1</formula>
    </cfRule>
  </conditionalFormatting>
  <dataValidations count="3">
    <dataValidation type="list" allowBlank="1" showInputMessage="1" showErrorMessage="1" sqref="F2" xr:uid="{3BA03713-466C-4E3B-B037-F2ECF91D27AB}">
      <formula1>"1, 2, 3, 4, 5, 6, 7, 8, 9, 10, 11, 12, 13, 14, 15, 16, 17"</formula1>
    </dataValidation>
    <dataValidation type="list" allowBlank="1" showInputMessage="1" showErrorMessage="1" sqref="B7:B82" xr:uid="{4B4C4F12-7F18-4A7A-859B-6A2725CD6158}">
      <formula1>"v"</formula1>
    </dataValidation>
    <dataValidation type="list" allowBlank="1" showInputMessage="1" showErrorMessage="1" sqref="BP7:BP82 AV7:AV82 BL7:BL82 BT7:BT82 BH7:BH82 BD7:BD82 AZ7:AZ82" xr:uid="{956851B4-3AF0-4050-BFF3-75567F8FE1E5}">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D1488DF1-79CC-424C-982F-091C8DAF4693}">
          <x14:formula1>
            <xm:f>Sheet3!$J$153:$J$168</xm:f>
          </x14:formula1>
          <xm:sqref>H7:H82 N7:N82 R7:R82 V7:V82 Z7:Z82 AD7:AD82 AH7:AH82 AL7:AL82 AP7:AP82 AT7:AT82</xm:sqref>
        </x14:dataValidation>
        <x14:dataValidation type="list" allowBlank="1" showInputMessage="1" showErrorMessage="1" xr:uid="{AC4A99A8-DD40-476F-A3A2-30D35614029E}">
          <x14:formula1>
            <xm:f>Sheet3!$A$2:$A$49</xm:f>
          </x14:formula1>
          <xm:sqref>F3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3C4E2-2162-4EC0-A4ED-760507E47575}">
  <sheetPr codeName="Sheet8">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235</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1134" priority="170">
      <formula>$F$1=1</formula>
    </cfRule>
    <cfRule type="expression" priority="171">
      <formula>$F$1</formula>
    </cfRule>
  </conditionalFormatting>
  <conditionalFormatting sqref="J4">
    <cfRule type="expression" dxfId="1133" priority="172">
      <formula>$F$1=1</formula>
    </cfRule>
  </conditionalFormatting>
  <conditionalFormatting sqref="C7:G82">
    <cfRule type="expression" dxfId="1132" priority="84">
      <formula>$B7="v"</formula>
    </cfRule>
  </conditionalFormatting>
  <conditionalFormatting sqref="H7:H82">
    <cfRule type="expression" dxfId="1131" priority="168">
      <formula>$B7="v"</formula>
    </cfRule>
  </conditionalFormatting>
  <conditionalFormatting sqref="N7:N82">
    <cfRule type="expression" dxfId="1130" priority="167">
      <formula>$B7="v"</formula>
    </cfRule>
  </conditionalFormatting>
  <conditionalFormatting sqref="M7:M82">
    <cfRule type="expression" dxfId="1129" priority="166">
      <formula>$B7="v"</formula>
    </cfRule>
  </conditionalFormatting>
  <conditionalFormatting sqref="L7:L82">
    <cfRule type="expression" dxfId="1128" priority="174">
      <formula>$B7="v"</formula>
    </cfRule>
  </conditionalFormatting>
  <conditionalFormatting sqref="P7:Q82">
    <cfRule type="expression" dxfId="1127" priority="178">
      <formula>$B7="v"</formula>
    </cfRule>
  </conditionalFormatting>
  <conditionalFormatting sqref="R7:R82">
    <cfRule type="expression" dxfId="1126" priority="164">
      <formula>$B7="v"</formula>
    </cfRule>
  </conditionalFormatting>
  <conditionalFormatting sqref="Z7:Z82 V7:V82 AL7:AL82 AH7:AH82 AD7:AD82 AX7:AX82 AT7:AT82 AP7:AP82 BJ7:BJ82 BF7:BF82 BB7:BB82 BV7:BV82 BR7:BR82 BN7:BN82">
    <cfRule type="expression" dxfId="1125" priority="217">
      <formula>$B7="v"</formula>
    </cfRule>
  </conditionalFormatting>
  <conditionalFormatting sqref="X7:Y82 T7:U82 AJ7:AK82 AF7:AG82 AB7:AC82 AR7:AS82 AN7:AO82 BH7:BI82 BD7:BE82 AZ7:BA82 BT7:BU82 BP7:BQ82 BL7:BM82">
    <cfRule type="expression" dxfId="1124" priority="220">
      <formula>$B7="v"</formula>
    </cfRule>
  </conditionalFormatting>
  <conditionalFormatting sqref="AV7:AW82">
    <cfRule type="expression" dxfId="1123" priority="208">
      <formula>$B7="v"</formula>
    </cfRule>
  </conditionalFormatting>
  <conditionalFormatting sqref="F25">
    <cfRule type="expression" dxfId="1122" priority="159">
      <formula>$E$25="n/a"</formula>
    </cfRule>
  </conditionalFormatting>
  <conditionalFormatting sqref="F7">
    <cfRule type="expression" dxfId="1121" priority="158">
      <formula>$E$7="n/a"</formula>
    </cfRule>
  </conditionalFormatting>
  <conditionalFormatting sqref="F8">
    <cfRule type="expression" dxfId="1120" priority="169">
      <formula>$E$8="n/a"</formula>
    </cfRule>
  </conditionalFormatting>
  <conditionalFormatting sqref="F9">
    <cfRule type="expression" dxfId="1119" priority="157">
      <formula>$E$9="n/a"</formula>
    </cfRule>
  </conditionalFormatting>
  <conditionalFormatting sqref="F10">
    <cfRule type="expression" dxfId="1118" priority="156">
      <formula>$E$10="n/a"</formula>
    </cfRule>
  </conditionalFormatting>
  <conditionalFormatting sqref="F11">
    <cfRule type="expression" dxfId="1117" priority="155">
      <formula>$E$11="n/a"</formula>
    </cfRule>
  </conditionalFormatting>
  <conditionalFormatting sqref="F12">
    <cfRule type="expression" dxfId="1116" priority="154">
      <formula>$E$12="n/a"</formula>
    </cfRule>
  </conditionalFormatting>
  <conditionalFormatting sqref="F13">
    <cfRule type="expression" dxfId="1115" priority="153">
      <formula>$E$13="n/a"</formula>
    </cfRule>
  </conditionalFormatting>
  <conditionalFormatting sqref="F14">
    <cfRule type="expression" dxfId="1114" priority="152">
      <formula>$E$14="n/a"</formula>
    </cfRule>
  </conditionalFormatting>
  <conditionalFormatting sqref="F15">
    <cfRule type="expression" dxfId="1113" priority="151">
      <formula>$E$15="n/a"</formula>
    </cfRule>
  </conditionalFormatting>
  <conditionalFormatting sqref="F16">
    <cfRule type="expression" dxfId="1112" priority="150">
      <formula>$E$16="n/a"</formula>
    </cfRule>
  </conditionalFormatting>
  <conditionalFormatting sqref="F17">
    <cfRule type="expression" dxfId="1111" priority="149">
      <formula>$E$17="n/a"</formula>
    </cfRule>
  </conditionalFormatting>
  <conditionalFormatting sqref="F18">
    <cfRule type="expression" dxfId="1110" priority="148">
      <formula>$E$18="n/a"</formula>
    </cfRule>
  </conditionalFormatting>
  <conditionalFormatting sqref="F19">
    <cfRule type="expression" dxfId="1109" priority="147">
      <formula>$E$19="n/a"</formula>
    </cfRule>
  </conditionalFormatting>
  <conditionalFormatting sqref="F20">
    <cfRule type="expression" dxfId="1108" priority="146">
      <formula>$E$20="n/a"</formula>
    </cfRule>
  </conditionalFormatting>
  <conditionalFormatting sqref="F21">
    <cfRule type="expression" dxfId="1107" priority="145">
      <formula>$E$21="n/a"</formula>
    </cfRule>
  </conditionalFormatting>
  <conditionalFormatting sqref="F22">
    <cfRule type="expression" dxfId="1106" priority="144">
      <formula>$E$22="n/a"</formula>
    </cfRule>
  </conditionalFormatting>
  <conditionalFormatting sqref="F23">
    <cfRule type="expression" dxfId="1105" priority="143">
      <formula>$E$23="n/a"</formula>
    </cfRule>
  </conditionalFormatting>
  <conditionalFormatting sqref="F24">
    <cfRule type="expression" dxfId="1104" priority="142">
      <formula>$E$24="n/a"</formula>
    </cfRule>
  </conditionalFormatting>
  <conditionalFormatting sqref="F26">
    <cfRule type="expression" dxfId="1103" priority="141">
      <formula>$E$26="n/a"</formula>
    </cfRule>
  </conditionalFormatting>
  <conditionalFormatting sqref="F27">
    <cfRule type="expression" dxfId="1102" priority="140">
      <formula>$E$27="n/a"</formula>
    </cfRule>
  </conditionalFormatting>
  <conditionalFormatting sqref="F28">
    <cfRule type="expression" dxfId="1101" priority="139">
      <formula>$E$28="n/a"</formula>
    </cfRule>
  </conditionalFormatting>
  <conditionalFormatting sqref="F29">
    <cfRule type="expression" dxfId="1100" priority="138">
      <formula>$E$29="n/a"</formula>
    </cfRule>
  </conditionalFormatting>
  <conditionalFormatting sqref="F30">
    <cfRule type="expression" dxfId="1099" priority="137">
      <formula>$E$30="n/a"</formula>
    </cfRule>
  </conditionalFormatting>
  <conditionalFormatting sqref="F31">
    <cfRule type="expression" dxfId="1098" priority="136">
      <formula>$E$31="n/a"</formula>
    </cfRule>
  </conditionalFormatting>
  <conditionalFormatting sqref="F32">
    <cfRule type="expression" dxfId="1097" priority="135">
      <formula>$E$32="n/a"</formula>
    </cfRule>
  </conditionalFormatting>
  <conditionalFormatting sqref="F33">
    <cfRule type="expression" dxfId="1096" priority="134">
      <formula>$E$33="n/a"</formula>
    </cfRule>
  </conditionalFormatting>
  <conditionalFormatting sqref="F34">
    <cfRule type="expression" dxfId="1095" priority="133">
      <formula>$E$34="n/a"</formula>
    </cfRule>
  </conditionalFormatting>
  <conditionalFormatting sqref="F35">
    <cfRule type="expression" dxfId="1094" priority="132">
      <formula>$E$35="n/a"</formula>
    </cfRule>
  </conditionalFormatting>
  <conditionalFormatting sqref="F36">
    <cfRule type="expression" dxfId="1093" priority="131">
      <formula>$E$36="n/a"</formula>
    </cfRule>
  </conditionalFormatting>
  <conditionalFormatting sqref="F37">
    <cfRule type="expression" dxfId="1092" priority="130">
      <formula>$E$37="n/a"</formula>
    </cfRule>
  </conditionalFormatting>
  <conditionalFormatting sqref="F38">
    <cfRule type="expression" dxfId="1091" priority="129">
      <formula>$E$38="n/a"</formula>
    </cfRule>
  </conditionalFormatting>
  <conditionalFormatting sqref="F39">
    <cfRule type="expression" dxfId="1090" priority="128">
      <formula>$E$39="n/a"</formula>
    </cfRule>
  </conditionalFormatting>
  <conditionalFormatting sqref="F40">
    <cfRule type="expression" dxfId="1089" priority="127">
      <formula>$E$40="n/a"</formula>
    </cfRule>
  </conditionalFormatting>
  <conditionalFormatting sqref="F41">
    <cfRule type="expression" dxfId="1088" priority="126">
      <formula>$E$41="n/a"</formula>
    </cfRule>
  </conditionalFormatting>
  <conditionalFormatting sqref="F42">
    <cfRule type="expression" dxfId="1087" priority="125">
      <formula>$E$42="n/a"</formula>
    </cfRule>
  </conditionalFormatting>
  <conditionalFormatting sqref="F43">
    <cfRule type="expression" dxfId="1086" priority="124">
      <formula>$E$43="n/a"</formula>
    </cfRule>
  </conditionalFormatting>
  <conditionalFormatting sqref="F44">
    <cfRule type="expression" dxfId="1085" priority="123">
      <formula>$E$44="n/a"</formula>
    </cfRule>
  </conditionalFormatting>
  <conditionalFormatting sqref="F45">
    <cfRule type="expression" dxfId="1084" priority="122">
      <formula>$E$45="n/a"</formula>
    </cfRule>
  </conditionalFormatting>
  <conditionalFormatting sqref="F46">
    <cfRule type="expression" dxfId="1083" priority="121">
      <formula>$E$46="n/a"</formula>
    </cfRule>
  </conditionalFormatting>
  <conditionalFormatting sqref="F82">
    <cfRule type="expression" dxfId="1082" priority="119">
      <formula>$E$82="n/a"</formula>
    </cfRule>
  </conditionalFormatting>
  <conditionalFormatting sqref="F81">
    <cfRule type="expression" dxfId="1081" priority="118">
      <formula>$E$81="n/a"</formula>
    </cfRule>
  </conditionalFormatting>
  <conditionalFormatting sqref="F80">
    <cfRule type="expression" dxfId="1080" priority="117">
      <formula>$E$80="n/a"</formula>
    </cfRule>
  </conditionalFormatting>
  <conditionalFormatting sqref="F79">
    <cfRule type="expression" dxfId="1079" priority="116">
      <formula>$E$79="n/a"</formula>
    </cfRule>
  </conditionalFormatting>
  <conditionalFormatting sqref="F78">
    <cfRule type="expression" dxfId="1078" priority="115">
      <formula>$E$78="n/a"</formula>
    </cfRule>
  </conditionalFormatting>
  <conditionalFormatting sqref="F77">
    <cfRule type="expression" dxfId="1077" priority="114">
      <formula>$E$77="n/a"</formula>
    </cfRule>
  </conditionalFormatting>
  <conditionalFormatting sqref="F76">
    <cfRule type="expression" dxfId="1076" priority="113">
      <formula>$E$76="n/a"</formula>
    </cfRule>
  </conditionalFormatting>
  <conditionalFormatting sqref="F75">
    <cfRule type="expression" dxfId="1075" priority="112">
      <formula>$E$75="n/a"</formula>
    </cfRule>
  </conditionalFormatting>
  <conditionalFormatting sqref="F74">
    <cfRule type="expression" dxfId="1074" priority="111">
      <formula>$E$74="n/a"</formula>
    </cfRule>
  </conditionalFormatting>
  <conditionalFormatting sqref="F73">
    <cfRule type="expression" dxfId="1073" priority="109">
      <formula>$E$73="n/a"</formula>
    </cfRule>
  </conditionalFormatting>
  <conditionalFormatting sqref="F72">
    <cfRule type="expression" dxfId="1072" priority="85">
      <formula>$E$72="n/a"</formula>
    </cfRule>
  </conditionalFormatting>
  <conditionalFormatting sqref="F47">
    <cfRule type="expression" dxfId="1071" priority="120">
      <formula>$E$47="n/a"</formula>
    </cfRule>
  </conditionalFormatting>
  <conditionalFormatting sqref="F48">
    <cfRule type="expression" dxfId="1070" priority="110">
      <formula>$E$48="n/a"</formula>
    </cfRule>
  </conditionalFormatting>
  <conditionalFormatting sqref="F49">
    <cfRule type="expression" dxfId="1069" priority="108">
      <formula>$E$49="n/a"</formula>
    </cfRule>
  </conditionalFormatting>
  <conditionalFormatting sqref="F50">
    <cfRule type="expression" dxfId="1068" priority="107">
      <formula>$E$50="n/a"</formula>
    </cfRule>
  </conditionalFormatting>
  <conditionalFormatting sqref="F51">
    <cfRule type="expression" dxfId="1067" priority="106">
      <formula>$E$51="n/a"</formula>
    </cfRule>
  </conditionalFormatting>
  <conditionalFormatting sqref="F52">
    <cfRule type="expression" dxfId="1066" priority="105">
      <formula>$E$52="n/a"</formula>
    </cfRule>
  </conditionalFormatting>
  <conditionalFormatting sqref="F53">
    <cfRule type="expression" dxfId="1065" priority="104">
      <formula>$E$53="n/a"</formula>
    </cfRule>
  </conditionalFormatting>
  <conditionalFormatting sqref="F54">
    <cfRule type="expression" dxfId="1064" priority="103">
      <formula>$E$54="n/a"</formula>
    </cfRule>
  </conditionalFormatting>
  <conditionalFormatting sqref="F55">
    <cfRule type="expression" dxfId="1063" priority="102">
      <formula>$E$55="n/a"</formula>
    </cfRule>
  </conditionalFormatting>
  <conditionalFormatting sqref="F56">
    <cfRule type="expression" dxfId="1062" priority="101">
      <formula>$E$56="n/a"</formula>
    </cfRule>
  </conditionalFormatting>
  <conditionalFormatting sqref="F57">
    <cfRule type="expression" dxfId="1061" priority="100">
      <formula>$E$57="n/a"</formula>
    </cfRule>
  </conditionalFormatting>
  <conditionalFormatting sqref="F58">
    <cfRule type="expression" dxfId="1060" priority="99">
      <formula>$E$58="n/a"</formula>
    </cfRule>
  </conditionalFormatting>
  <conditionalFormatting sqref="F59">
    <cfRule type="expression" dxfId="1059" priority="98">
      <formula>$E$59="n/a"</formula>
    </cfRule>
  </conditionalFormatting>
  <conditionalFormatting sqref="F60">
    <cfRule type="expression" dxfId="1058" priority="97">
      <formula>$E$60="n/a"</formula>
    </cfRule>
  </conditionalFormatting>
  <conditionalFormatting sqref="F61">
    <cfRule type="expression" dxfId="1057" priority="96">
      <formula>$E$61="n/a"</formula>
    </cfRule>
  </conditionalFormatting>
  <conditionalFormatting sqref="F62">
    <cfRule type="expression" dxfId="1056" priority="95">
      <formula>$E$62="n/a"</formula>
    </cfRule>
  </conditionalFormatting>
  <conditionalFormatting sqref="F63">
    <cfRule type="expression" dxfId="1055" priority="94">
      <formula>$E$63="n/a"</formula>
    </cfRule>
  </conditionalFormatting>
  <conditionalFormatting sqref="F64">
    <cfRule type="expression" dxfId="1054" priority="93">
      <formula>$E$64="n/a"</formula>
    </cfRule>
  </conditionalFormatting>
  <conditionalFormatting sqref="F65">
    <cfRule type="expression" dxfId="1053" priority="92">
      <formula>$E$65="n/a"</formula>
    </cfRule>
  </conditionalFormatting>
  <conditionalFormatting sqref="F66">
    <cfRule type="expression" dxfId="1052" priority="91">
      <formula>$E$66="n/a"</formula>
    </cfRule>
  </conditionalFormatting>
  <conditionalFormatting sqref="F67">
    <cfRule type="expression" dxfId="1051" priority="90">
      <formula>$E$67="n/a"</formula>
    </cfRule>
  </conditionalFormatting>
  <conditionalFormatting sqref="F68">
    <cfRule type="expression" dxfId="1050" priority="89">
      <formula>$E$68="n/a"</formula>
    </cfRule>
  </conditionalFormatting>
  <conditionalFormatting sqref="F69">
    <cfRule type="expression" dxfId="1049" priority="88">
      <formula>$E$69="n/a"</formula>
    </cfRule>
  </conditionalFormatting>
  <conditionalFormatting sqref="F70">
    <cfRule type="expression" dxfId="1048" priority="87">
      <formula>$E$70="n/a"</formula>
    </cfRule>
  </conditionalFormatting>
  <conditionalFormatting sqref="F71">
    <cfRule type="expression" dxfId="1047" priority="86">
      <formula>$E$71="n/a"</formula>
    </cfRule>
  </conditionalFormatting>
  <conditionalFormatting sqref="I7">
    <cfRule type="expression" dxfId="1046" priority="83">
      <formula>$B$7="v"</formula>
    </cfRule>
  </conditionalFormatting>
  <conditionalFormatting sqref="I8">
    <cfRule type="expression" dxfId="1045" priority="82">
      <formula>$B$8="v"</formula>
    </cfRule>
  </conditionalFormatting>
  <conditionalFormatting sqref="I9">
    <cfRule type="expression" dxfId="1044" priority="81">
      <formula>$B$9="v"</formula>
    </cfRule>
  </conditionalFormatting>
  <conditionalFormatting sqref="I10">
    <cfRule type="expression" dxfId="1043" priority="80">
      <formula>$B$10="v"</formula>
    </cfRule>
  </conditionalFormatting>
  <conditionalFormatting sqref="I11">
    <cfRule type="expression" dxfId="1042" priority="79">
      <formula>$B$11="v"</formula>
    </cfRule>
  </conditionalFormatting>
  <conditionalFormatting sqref="I12">
    <cfRule type="expression" dxfId="1041" priority="78">
      <formula>$B$12="v"</formula>
    </cfRule>
  </conditionalFormatting>
  <conditionalFormatting sqref="I13">
    <cfRule type="expression" dxfId="1040" priority="77">
      <formula>$B$13="v"</formula>
    </cfRule>
  </conditionalFormatting>
  <conditionalFormatting sqref="I14">
    <cfRule type="expression" dxfId="1039" priority="76">
      <formula>$B$14="v"</formula>
    </cfRule>
  </conditionalFormatting>
  <conditionalFormatting sqref="I15">
    <cfRule type="expression" dxfId="1038" priority="75">
      <formula>$B$15="v"</formula>
    </cfRule>
  </conditionalFormatting>
  <conditionalFormatting sqref="I16">
    <cfRule type="expression" dxfId="1037" priority="74">
      <formula>$B$16="v"</formula>
    </cfRule>
  </conditionalFormatting>
  <conditionalFormatting sqref="I17">
    <cfRule type="expression" dxfId="1036" priority="73">
      <formula>$B$17="v"</formula>
    </cfRule>
  </conditionalFormatting>
  <conditionalFormatting sqref="I18">
    <cfRule type="expression" dxfId="1035" priority="72">
      <formula>$B$18="v"</formula>
    </cfRule>
  </conditionalFormatting>
  <conditionalFormatting sqref="I19">
    <cfRule type="expression" dxfId="1034" priority="71">
      <formula>$B$19="v"</formula>
    </cfRule>
  </conditionalFormatting>
  <conditionalFormatting sqref="I20">
    <cfRule type="expression" dxfId="1033" priority="70">
      <formula>$B$20="v"</formula>
    </cfRule>
  </conditionalFormatting>
  <conditionalFormatting sqref="I21">
    <cfRule type="expression" dxfId="1032" priority="69">
      <formula>$B$21="v"</formula>
    </cfRule>
  </conditionalFormatting>
  <conditionalFormatting sqref="I22">
    <cfRule type="expression" dxfId="1031" priority="68">
      <formula>$B$22="v"</formula>
    </cfRule>
  </conditionalFormatting>
  <conditionalFormatting sqref="I23">
    <cfRule type="expression" dxfId="1030" priority="67">
      <formula>$B$23="v"</formula>
    </cfRule>
  </conditionalFormatting>
  <conditionalFormatting sqref="I24">
    <cfRule type="expression" dxfId="1029" priority="66">
      <formula>$B$24="v"</formula>
    </cfRule>
  </conditionalFormatting>
  <conditionalFormatting sqref="I25">
    <cfRule type="expression" dxfId="1028" priority="65">
      <formula>$B$25="v"</formula>
    </cfRule>
  </conditionalFormatting>
  <conditionalFormatting sqref="I26">
    <cfRule type="expression" dxfId="1027" priority="64">
      <formula>$B$26="v"</formula>
    </cfRule>
  </conditionalFormatting>
  <conditionalFormatting sqref="I27">
    <cfRule type="expression" dxfId="1026" priority="63">
      <formula>$B$27="v"</formula>
    </cfRule>
  </conditionalFormatting>
  <conditionalFormatting sqref="I28">
    <cfRule type="expression" dxfId="1025" priority="62">
      <formula>$B$28="v"</formula>
    </cfRule>
  </conditionalFormatting>
  <conditionalFormatting sqref="I29">
    <cfRule type="expression" dxfId="1024" priority="61">
      <formula>$B$29="v"</formula>
    </cfRule>
  </conditionalFormatting>
  <conditionalFormatting sqref="I30">
    <cfRule type="expression" dxfId="1023" priority="60">
      <formula>$B$30="v"</formula>
    </cfRule>
  </conditionalFormatting>
  <conditionalFormatting sqref="I31">
    <cfRule type="expression" dxfId="1022" priority="59">
      <formula>$B$31="v"</formula>
    </cfRule>
  </conditionalFormatting>
  <conditionalFormatting sqref="I32">
    <cfRule type="expression" dxfId="1021" priority="58">
      <formula>$B$32="v"</formula>
    </cfRule>
  </conditionalFormatting>
  <conditionalFormatting sqref="I33">
    <cfRule type="expression" dxfId="1020" priority="57">
      <formula>$B$33="v"</formula>
    </cfRule>
  </conditionalFormatting>
  <conditionalFormatting sqref="I34">
    <cfRule type="expression" dxfId="1019" priority="56">
      <formula>$B$34="v"</formula>
    </cfRule>
  </conditionalFormatting>
  <conditionalFormatting sqref="I35">
    <cfRule type="expression" dxfId="1018" priority="55">
      <formula>$B$35="v"</formula>
    </cfRule>
  </conditionalFormatting>
  <conditionalFormatting sqref="I36">
    <cfRule type="expression" dxfId="1017" priority="54">
      <formula>$B$36="v"</formula>
    </cfRule>
  </conditionalFormatting>
  <conditionalFormatting sqref="I37">
    <cfRule type="expression" dxfId="1016" priority="53">
      <formula>$B$37="v"</formula>
    </cfRule>
  </conditionalFormatting>
  <conditionalFormatting sqref="I38">
    <cfRule type="expression" dxfId="1015" priority="52">
      <formula>$B$38="v"</formula>
    </cfRule>
  </conditionalFormatting>
  <conditionalFormatting sqref="I39">
    <cfRule type="expression" dxfId="1014" priority="51">
      <formula>$B$39="v"</formula>
    </cfRule>
  </conditionalFormatting>
  <conditionalFormatting sqref="I40">
    <cfRule type="expression" dxfId="1013" priority="50">
      <formula>$B$40="v"</formula>
    </cfRule>
  </conditionalFormatting>
  <conditionalFormatting sqref="I41">
    <cfRule type="expression" dxfId="1012" priority="49">
      <formula>$B$41="v"</formula>
    </cfRule>
  </conditionalFormatting>
  <conditionalFormatting sqref="I42">
    <cfRule type="expression" dxfId="1011" priority="48">
      <formula>$B$42="v"</formula>
    </cfRule>
  </conditionalFormatting>
  <conditionalFormatting sqref="I43">
    <cfRule type="expression" dxfId="1010" priority="47">
      <formula>$B$43="v"</formula>
    </cfRule>
  </conditionalFormatting>
  <conditionalFormatting sqref="I44">
    <cfRule type="expression" dxfId="1009" priority="46">
      <formula>$B$44="v"</formula>
    </cfRule>
  </conditionalFormatting>
  <conditionalFormatting sqref="I45">
    <cfRule type="expression" dxfId="1008" priority="45">
      <formula>$B$45="v"</formula>
    </cfRule>
  </conditionalFormatting>
  <conditionalFormatting sqref="I46">
    <cfRule type="expression" dxfId="1007" priority="44">
      <formula>$B$46="v"</formula>
    </cfRule>
  </conditionalFormatting>
  <conditionalFormatting sqref="I47">
    <cfRule type="expression" dxfId="1006" priority="43">
      <formula>$B$47="v"</formula>
    </cfRule>
  </conditionalFormatting>
  <conditionalFormatting sqref="I48">
    <cfRule type="expression" dxfId="1005" priority="42">
      <formula>$B$48="v"</formula>
    </cfRule>
  </conditionalFormatting>
  <conditionalFormatting sqref="I49">
    <cfRule type="expression" dxfId="1004" priority="41">
      <formula>$B$49="v"</formula>
    </cfRule>
  </conditionalFormatting>
  <conditionalFormatting sqref="I50">
    <cfRule type="expression" dxfId="1003" priority="40">
      <formula>$B$50="v"</formula>
    </cfRule>
  </conditionalFormatting>
  <conditionalFormatting sqref="I51">
    <cfRule type="expression" dxfId="1002" priority="39">
      <formula>$B$51="v"</formula>
    </cfRule>
  </conditionalFormatting>
  <conditionalFormatting sqref="I52">
    <cfRule type="expression" dxfId="1001" priority="38">
      <formula>$B$52="v"</formula>
    </cfRule>
  </conditionalFormatting>
  <conditionalFormatting sqref="I53">
    <cfRule type="expression" dxfId="1000" priority="37">
      <formula>$B$53="v"</formula>
    </cfRule>
  </conditionalFormatting>
  <conditionalFormatting sqref="I54">
    <cfRule type="expression" dxfId="999" priority="36">
      <formula>$B$54="v"</formula>
    </cfRule>
  </conditionalFormatting>
  <conditionalFormatting sqref="I55">
    <cfRule type="expression" dxfId="998" priority="35">
      <formula>$B$55="v"</formula>
    </cfRule>
  </conditionalFormatting>
  <conditionalFormatting sqref="I56">
    <cfRule type="expression" dxfId="997" priority="34">
      <formula>$B$56="v"</formula>
    </cfRule>
  </conditionalFormatting>
  <conditionalFormatting sqref="I57">
    <cfRule type="expression" dxfId="996" priority="33">
      <formula>$B$57="v"</formula>
    </cfRule>
  </conditionalFormatting>
  <conditionalFormatting sqref="I58">
    <cfRule type="expression" dxfId="995" priority="32">
      <formula>$B$58="v"</formula>
    </cfRule>
  </conditionalFormatting>
  <conditionalFormatting sqref="I59">
    <cfRule type="expression" dxfId="994" priority="31">
      <formula>$B$59="v"</formula>
    </cfRule>
  </conditionalFormatting>
  <conditionalFormatting sqref="I60">
    <cfRule type="expression" dxfId="993" priority="30">
      <formula>$B$60="v"</formula>
    </cfRule>
  </conditionalFormatting>
  <conditionalFormatting sqref="I61">
    <cfRule type="expression" dxfId="992" priority="29">
      <formula>$B$61="v"</formula>
    </cfRule>
  </conditionalFormatting>
  <conditionalFormatting sqref="I62">
    <cfRule type="expression" dxfId="991" priority="28">
      <formula>$B$62="v"</formula>
    </cfRule>
  </conditionalFormatting>
  <conditionalFormatting sqref="I63">
    <cfRule type="expression" dxfId="990" priority="27">
      <formula>$B$63="v"</formula>
    </cfRule>
  </conditionalFormatting>
  <conditionalFormatting sqref="I64">
    <cfRule type="expression" dxfId="989" priority="26">
      <formula>$B$64="v"</formula>
    </cfRule>
  </conditionalFormatting>
  <conditionalFormatting sqref="I65">
    <cfRule type="expression" dxfId="988" priority="25">
      <formula>$B$65="v"</formula>
    </cfRule>
  </conditionalFormatting>
  <conditionalFormatting sqref="I66">
    <cfRule type="expression" dxfId="987" priority="24">
      <formula>$B$66="v"</formula>
    </cfRule>
  </conditionalFormatting>
  <conditionalFormatting sqref="I67">
    <cfRule type="expression" dxfId="986" priority="23">
      <formula>$B$67="v"</formula>
    </cfRule>
  </conditionalFormatting>
  <conditionalFormatting sqref="I68">
    <cfRule type="expression" dxfId="985" priority="22">
      <formula>$B$68="v"</formula>
    </cfRule>
  </conditionalFormatting>
  <conditionalFormatting sqref="I69">
    <cfRule type="expression" dxfId="984" priority="21">
      <formula>$B$69="v"</formula>
    </cfRule>
  </conditionalFormatting>
  <conditionalFormatting sqref="I70">
    <cfRule type="expression" dxfId="983" priority="20">
      <formula>$B$70="v"</formula>
    </cfRule>
  </conditionalFormatting>
  <conditionalFormatting sqref="I71">
    <cfRule type="expression" dxfId="982" priority="19">
      <formula>$B$71="v"</formula>
    </cfRule>
  </conditionalFormatting>
  <conditionalFormatting sqref="I72">
    <cfRule type="expression" dxfId="981" priority="18">
      <formula>$B$72="v"</formula>
    </cfRule>
  </conditionalFormatting>
  <conditionalFormatting sqref="I73">
    <cfRule type="expression" dxfId="980" priority="17">
      <formula>$B$73="v"</formula>
    </cfRule>
  </conditionalFormatting>
  <conditionalFormatting sqref="I74">
    <cfRule type="expression" dxfId="979" priority="16">
      <formula>$B$74="v"</formula>
    </cfRule>
  </conditionalFormatting>
  <conditionalFormatting sqref="I75">
    <cfRule type="expression" dxfId="978" priority="15">
      <formula>$B$75="v"</formula>
    </cfRule>
  </conditionalFormatting>
  <conditionalFormatting sqref="I76">
    <cfRule type="expression" dxfId="977" priority="14">
      <formula>$B$76="v"</formula>
    </cfRule>
  </conditionalFormatting>
  <conditionalFormatting sqref="I77">
    <cfRule type="expression" dxfId="976" priority="13">
      <formula>$B$77="v"</formula>
    </cfRule>
  </conditionalFormatting>
  <conditionalFormatting sqref="I78">
    <cfRule type="expression" dxfId="975" priority="12">
      <formula>$B$78="v"</formula>
    </cfRule>
  </conditionalFormatting>
  <conditionalFormatting sqref="I79">
    <cfRule type="expression" dxfId="974" priority="11">
      <formula>$B$79="v"</formula>
    </cfRule>
  </conditionalFormatting>
  <conditionalFormatting sqref="I80">
    <cfRule type="expression" dxfId="973" priority="10">
      <formula>$B$80="v"</formula>
    </cfRule>
  </conditionalFormatting>
  <conditionalFormatting sqref="I81">
    <cfRule type="expression" dxfId="972" priority="9">
      <formula>$B$81="v"</formula>
    </cfRule>
  </conditionalFormatting>
  <conditionalFormatting sqref="I82">
    <cfRule type="expression" dxfId="971" priority="8">
      <formula>$B$82="v"</formula>
    </cfRule>
  </conditionalFormatting>
  <conditionalFormatting sqref="L5:N6">
    <cfRule type="expression" dxfId="970" priority="173">
      <formula>$K$4=1</formula>
    </cfRule>
  </conditionalFormatting>
  <conditionalFormatting sqref="L7:N82">
    <cfRule type="expression" dxfId="969" priority="176">
      <formula>$K$4=1</formula>
    </cfRule>
  </conditionalFormatting>
  <conditionalFormatting sqref="M4:N4">
    <cfRule type="expression" dxfId="968" priority="175">
      <formula>$K$4=1</formula>
    </cfRule>
  </conditionalFormatting>
  <conditionalFormatting sqref="L7:N82">
    <cfRule type="expression" dxfId="967" priority="165">
      <formula>$K$4=""</formula>
    </cfRule>
  </conditionalFormatting>
  <conditionalFormatting sqref="P5:R6">
    <cfRule type="expression" dxfId="966" priority="177">
      <formula>$O$4=1</formula>
    </cfRule>
  </conditionalFormatting>
  <conditionalFormatting sqref="P7:R82">
    <cfRule type="expression" dxfId="965" priority="180">
      <formula>$O$4=1</formula>
    </cfRule>
  </conditionalFormatting>
  <conditionalFormatting sqref="Q4:R4">
    <cfRule type="expression" dxfId="964" priority="179">
      <formula>$O$4=1</formula>
    </cfRule>
  </conditionalFormatting>
  <conditionalFormatting sqref="P7:R82">
    <cfRule type="expression" dxfId="963" priority="163">
      <formula>$O$4=""</formula>
    </cfRule>
  </conditionalFormatting>
  <conditionalFormatting sqref="T5:V6">
    <cfRule type="expression" dxfId="962" priority="181">
      <formula>$S$4=1</formula>
    </cfRule>
  </conditionalFormatting>
  <conditionalFormatting sqref="T7:V82">
    <cfRule type="expression" dxfId="961" priority="226">
      <formula>$S$4=1</formula>
    </cfRule>
  </conditionalFormatting>
  <conditionalFormatting sqref="U4:V4">
    <cfRule type="expression" dxfId="960" priority="183">
      <formula>$S$4=1</formula>
    </cfRule>
  </conditionalFormatting>
  <conditionalFormatting sqref="T7:V82">
    <cfRule type="expression" dxfId="959" priority="161">
      <formula>$S$4=""</formula>
    </cfRule>
  </conditionalFormatting>
  <conditionalFormatting sqref="X5:Z6">
    <cfRule type="expression" dxfId="958" priority="185">
      <formula>$W$4=1</formula>
    </cfRule>
  </conditionalFormatting>
  <conditionalFormatting sqref="X7:Z82">
    <cfRule type="expression" dxfId="957" priority="223">
      <formula>$W$4=1</formula>
    </cfRule>
  </conditionalFormatting>
  <conditionalFormatting sqref="Y4:Z4">
    <cfRule type="expression" dxfId="956" priority="187">
      <formula>$W$4=1</formula>
    </cfRule>
  </conditionalFormatting>
  <conditionalFormatting sqref="X7:Z82">
    <cfRule type="expression" dxfId="955" priority="162">
      <formula>$W$4=""</formula>
    </cfRule>
  </conditionalFormatting>
  <conditionalFormatting sqref="AB5:AD6">
    <cfRule type="expression" dxfId="954" priority="189">
      <formula>$AA$4=1</formula>
    </cfRule>
  </conditionalFormatting>
  <conditionalFormatting sqref="AB7:AD82">
    <cfRule type="expression" dxfId="953" priority="192">
      <formula>$AA$4=1</formula>
    </cfRule>
  </conditionalFormatting>
  <conditionalFormatting sqref="AC4:AD4">
    <cfRule type="expression" dxfId="952" priority="191">
      <formula>$AA$4=1</formula>
    </cfRule>
  </conditionalFormatting>
  <conditionalFormatting sqref="AB7:AD82">
    <cfRule type="expression" dxfId="951" priority="182">
      <formula>$AA$4=""</formula>
    </cfRule>
  </conditionalFormatting>
  <conditionalFormatting sqref="AF5:AH6">
    <cfRule type="expression" dxfId="950" priority="193">
      <formula>$AE$4=1</formula>
    </cfRule>
  </conditionalFormatting>
  <conditionalFormatting sqref="AF7:AH82">
    <cfRule type="expression" dxfId="949" priority="196">
      <formula>$AE$4=1</formula>
    </cfRule>
  </conditionalFormatting>
  <conditionalFormatting sqref="AG4:AH4">
    <cfRule type="expression" dxfId="948" priority="195">
      <formula>$AE$4=1</formula>
    </cfRule>
  </conditionalFormatting>
  <conditionalFormatting sqref="AF7:AH82">
    <cfRule type="expression" dxfId="947" priority="184">
      <formula>$AE$4=""</formula>
    </cfRule>
  </conditionalFormatting>
  <conditionalFormatting sqref="AJ7:AL82">
    <cfRule type="expression" dxfId="946" priority="200">
      <formula>$AI$4=1</formula>
    </cfRule>
  </conditionalFormatting>
  <conditionalFormatting sqref="AK4:AL4">
    <cfRule type="expression" dxfId="945" priority="198">
      <formula>$AI$4=1</formula>
    </cfRule>
  </conditionalFormatting>
  <conditionalFormatting sqref="AJ5:AL6">
    <cfRule type="expression" dxfId="944" priority="199">
      <formula>$AI$4=1</formula>
    </cfRule>
  </conditionalFormatting>
  <conditionalFormatting sqref="AJ7:AL82">
    <cfRule type="expression" dxfId="943" priority="186">
      <formula>$AI$4=""</formula>
    </cfRule>
  </conditionalFormatting>
  <conditionalFormatting sqref="AN7:AP82">
    <cfRule type="expression" dxfId="942" priority="204">
      <formula>$AM$4=1</formula>
    </cfRule>
  </conditionalFormatting>
  <conditionalFormatting sqref="AO4:AP4 AS4:AT4">
    <cfRule type="expression" dxfId="941" priority="202">
      <formula>AQ$4=1</formula>
    </cfRule>
  </conditionalFormatting>
  <conditionalFormatting sqref="AN5:AP6">
    <cfRule type="expression" dxfId="940" priority="203">
      <formula>$AM$4=1</formula>
    </cfRule>
  </conditionalFormatting>
  <conditionalFormatting sqref="AN7:AP82">
    <cfRule type="expression" dxfId="939" priority="188">
      <formula>$AM$4=""</formula>
    </cfRule>
  </conditionalFormatting>
  <conditionalFormatting sqref="AR7:AT82">
    <cfRule type="expression" dxfId="938" priority="207">
      <formula>$AQ$4=1</formula>
    </cfRule>
  </conditionalFormatting>
  <conditionalFormatting sqref="AR5:AT6">
    <cfRule type="expression" dxfId="937" priority="206">
      <formula>$AQ$4=1</formula>
    </cfRule>
  </conditionalFormatting>
  <conditionalFormatting sqref="AR7:AT82">
    <cfRule type="expression" dxfId="936" priority="190">
      <formula>$AQ$4=""</formula>
    </cfRule>
  </conditionalFormatting>
  <conditionalFormatting sqref="AV7:AX82">
    <cfRule type="expression" dxfId="935" priority="210">
      <formula>$AU$4=1</formula>
    </cfRule>
  </conditionalFormatting>
  <conditionalFormatting sqref="AV5:AX6">
    <cfRule type="expression" dxfId="934" priority="209">
      <formula>$AU$4=1</formula>
    </cfRule>
  </conditionalFormatting>
  <conditionalFormatting sqref="AV7:AX82">
    <cfRule type="expression" dxfId="933" priority="160">
      <formula>$AU$4=""</formula>
    </cfRule>
  </conditionalFormatting>
  <conditionalFormatting sqref="AZ7:BB82">
    <cfRule type="expression" dxfId="932" priority="213">
      <formula>$AY$4=1</formula>
    </cfRule>
  </conditionalFormatting>
  <conditionalFormatting sqref="AZ5:BB6">
    <cfRule type="expression" dxfId="931" priority="212">
      <formula>$AY$4=1</formula>
    </cfRule>
  </conditionalFormatting>
  <conditionalFormatting sqref="AZ7:BB82">
    <cfRule type="expression" dxfId="930" priority="194">
      <formula>$AY$4=""</formula>
    </cfRule>
  </conditionalFormatting>
  <conditionalFormatting sqref="BD7:BF82">
    <cfRule type="expression" dxfId="929" priority="216">
      <formula>$BC$4=1</formula>
    </cfRule>
  </conditionalFormatting>
  <conditionalFormatting sqref="BD5:BF6">
    <cfRule type="expression" dxfId="928" priority="215">
      <formula>$BC$4=1</formula>
    </cfRule>
  </conditionalFormatting>
  <conditionalFormatting sqref="BD7:BF82">
    <cfRule type="expression" dxfId="927" priority="197">
      <formula>$BC$4=""</formula>
    </cfRule>
  </conditionalFormatting>
  <conditionalFormatting sqref="BH7:BJ82">
    <cfRule type="expression" dxfId="926" priority="219">
      <formula>$BG$4=1</formula>
    </cfRule>
  </conditionalFormatting>
  <conditionalFormatting sqref="BH5:BJ6">
    <cfRule type="expression" dxfId="925" priority="218">
      <formula>$BG$4=1</formula>
    </cfRule>
  </conditionalFormatting>
  <conditionalFormatting sqref="BH7:BJ82">
    <cfRule type="expression" dxfId="924" priority="201">
      <formula>$BG$4=""</formula>
    </cfRule>
  </conditionalFormatting>
  <conditionalFormatting sqref="BL7:BN82">
    <cfRule type="expression" dxfId="923" priority="222">
      <formula>$BK$4=1</formula>
    </cfRule>
  </conditionalFormatting>
  <conditionalFormatting sqref="BL5:BN6">
    <cfRule type="expression" dxfId="922" priority="221">
      <formula>$BK$4=1</formula>
    </cfRule>
  </conditionalFormatting>
  <conditionalFormatting sqref="BL7:BN82">
    <cfRule type="expression" dxfId="921" priority="205">
      <formula>$BK$4=""</formula>
    </cfRule>
  </conditionalFormatting>
  <conditionalFormatting sqref="BP7:BR82">
    <cfRule type="expression" dxfId="920" priority="225">
      <formula>$BO$4=1</formula>
    </cfRule>
  </conditionalFormatting>
  <conditionalFormatting sqref="BP5:BR6">
    <cfRule type="expression" dxfId="919" priority="224">
      <formula>$BO$4=1</formula>
    </cfRule>
  </conditionalFormatting>
  <conditionalFormatting sqref="BP7:BR82">
    <cfRule type="expression" dxfId="918" priority="211">
      <formula>$BO$4=""</formula>
    </cfRule>
  </conditionalFormatting>
  <conditionalFormatting sqref="BT7:BV82">
    <cfRule type="expression" dxfId="917" priority="228">
      <formula>$BS$4=1</formula>
    </cfRule>
  </conditionalFormatting>
  <conditionalFormatting sqref="BT5:BV6">
    <cfRule type="expression" dxfId="916" priority="227">
      <formula>$BS$4=1</formula>
    </cfRule>
  </conditionalFormatting>
  <conditionalFormatting sqref="BT7:BV82">
    <cfRule type="expression" dxfId="915" priority="214">
      <formula>$BS$4=""</formula>
    </cfRule>
  </conditionalFormatting>
  <conditionalFormatting sqref="AW4:AX4">
    <cfRule type="expression" dxfId="914" priority="7">
      <formula>AU$4=1</formula>
    </cfRule>
  </conditionalFormatting>
  <conditionalFormatting sqref="BA4:BB4">
    <cfRule type="expression" dxfId="913" priority="6">
      <formula>AY$4=1</formula>
    </cfRule>
  </conditionalFormatting>
  <conditionalFormatting sqref="BE4:BF4">
    <cfRule type="expression" dxfId="912" priority="5">
      <formula>BC$4=1</formula>
    </cfRule>
  </conditionalFormatting>
  <conditionalFormatting sqref="BI4:BJ4">
    <cfRule type="expression" dxfId="911" priority="4">
      <formula>BG$4=1</formula>
    </cfRule>
  </conditionalFormatting>
  <conditionalFormatting sqref="BM4:BN4">
    <cfRule type="expression" dxfId="910" priority="3">
      <formula>BK$4=1</formula>
    </cfRule>
  </conditionalFormatting>
  <conditionalFormatting sqref="BQ4:BR4">
    <cfRule type="expression" dxfId="909" priority="2">
      <formula>BO$4=1</formula>
    </cfRule>
  </conditionalFormatting>
  <conditionalFormatting sqref="BU4:BV4">
    <cfRule type="expression" dxfId="908" priority="1">
      <formula>BS$4=1</formula>
    </cfRule>
  </conditionalFormatting>
  <dataValidations count="3">
    <dataValidation type="list" allowBlank="1" showInputMessage="1" showErrorMessage="1" sqref="BP7:BP82 AV7:AV82 BL7:BL82 BT7:BT82 BH7:BH82 BD7:BD82 AZ7:AZ82" xr:uid="{32766E77-ACDE-4E0C-92BB-A0239D0CA048}">
      <formula1>"&lt;, &lt;=, &gt;, &gt;=, ="</formula1>
    </dataValidation>
    <dataValidation type="list" allowBlank="1" showInputMessage="1" showErrorMessage="1" sqref="B7:B82" xr:uid="{1FCA5AEC-EFA5-45CD-BCD4-ED0E2D7268AD}">
      <formula1>"v"</formula1>
    </dataValidation>
    <dataValidation type="list" allowBlank="1" showInputMessage="1" showErrorMessage="1" sqref="F2" xr:uid="{740F30F8-2E8C-433E-B5CD-C521EFF49D93}">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51B8BC5C-8A1D-4947-BFBA-5776C2AFAB9A}">
          <x14:formula1>
            <xm:f>Sheet3!$A$2:$A$49</xm:f>
          </x14:formula1>
          <xm:sqref>F3</xm:sqref>
        </x14:dataValidation>
        <x14:dataValidation type="list" allowBlank="1" showInputMessage="1" xr:uid="{ECC8B630-913F-4F2E-839B-28BED1F77249}">
          <x14:formula1>
            <xm:f>Sheet3!$J$153:$J$168</xm:f>
          </x14:formula1>
          <xm:sqref>H7:H82 N7:N82 R7:R82 V7:V82 Z7:Z82 AD7:AD82 AH7:AH82 AL7:AL82 AP7:AP82 AT7:AT82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99D56-8325-4302-96A6-E99DDFC69679}">
  <sheetPr codeName="Sheet9">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236</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907" priority="170">
      <formula>$F$1=1</formula>
    </cfRule>
    <cfRule type="expression" priority="171">
      <formula>$F$1</formula>
    </cfRule>
  </conditionalFormatting>
  <conditionalFormatting sqref="J4">
    <cfRule type="expression" dxfId="906" priority="172">
      <formula>$F$1=1</formula>
    </cfRule>
  </conditionalFormatting>
  <conditionalFormatting sqref="C7:G82">
    <cfRule type="expression" dxfId="905" priority="84">
      <formula>$B7="v"</formula>
    </cfRule>
  </conditionalFormatting>
  <conditionalFormatting sqref="H7:H82">
    <cfRule type="expression" dxfId="904" priority="168">
      <formula>$B7="v"</formula>
    </cfRule>
  </conditionalFormatting>
  <conditionalFormatting sqref="N7:N82">
    <cfRule type="expression" dxfId="903" priority="167">
      <formula>$B7="v"</formula>
    </cfRule>
  </conditionalFormatting>
  <conditionalFormatting sqref="M7:M82">
    <cfRule type="expression" dxfId="902" priority="166">
      <formula>$B7="v"</formula>
    </cfRule>
  </conditionalFormatting>
  <conditionalFormatting sqref="L7:L82">
    <cfRule type="expression" dxfId="901" priority="174">
      <formula>$B7="v"</formula>
    </cfRule>
  </conditionalFormatting>
  <conditionalFormatting sqref="P7:Q82">
    <cfRule type="expression" dxfId="900" priority="178">
      <formula>$B7="v"</formula>
    </cfRule>
  </conditionalFormatting>
  <conditionalFormatting sqref="R7:R82">
    <cfRule type="expression" dxfId="899" priority="164">
      <formula>$B7="v"</formula>
    </cfRule>
  </conditionalFormatting>
  <conditionalFormatting sqref="Z7:Z82 V7:V82 AL7:AL82 AH7:AH82 AD7:AD82 AX7:AX82 AT7:AT82 AP7:AP82 BJ7:BJ82 BF7:BF82 BB7:BB82 BV7:BV82 BR7:BR82 BN7:BN82">
    <cfRule type="expression" dxfId="898" priority="217">
      <formula>$B7="v"</formula>
    </cfRule>
  </conditionalFormatting>
  <conditionalFormatting sqref="X7:Y82 T7:U82 AJ7:AK82 AF7:AG82 AB7:AC82 AR7:AS82 AN7:AO82 BH7:BI82 BD7:BE82 AZ7:BA82 BT7:BU82 BP7:BQ82 BL7:BM82">
    <cfRule type="expression" dxfId="897" priority="220">
      <formula>$B7="v"</formula>
    </cfRule>
  </conditionalFormatting>
  <conditionalFormatting sqref="AV7:AW82">
    <cfRule type="expression" dxfId="896" priority="208">
      <formula>$B7="v"</formula>
    </cfRule>
  </conditionalFormatting>
  <conditionalFormatting sqref="F25">
    <cfRule type="expression" dxfId="895" priority="159">
      <formula>$E$25="n/a"</formula>
    </cfRule>
  </conditionalFormatting>
  <conditionalFormatting sqref="F7">
    <cfRule type="expression" dxfId="894" priority="158">
      <formula>$E$7="n/a"</formula>
    </cfRule>
  </conditionalFormatting>
  <conditionalFormatting sqref="F8">
    <cfRule type="expression" dxfId="893" priority="169">
      <formula>$E$8="n/a"</formula>
    </cfRule>
  </conditionalFormatting>
  <conditionalFormatting sqref="F9">
    <cfRule type="expression" dxfId="892" priority="157">
      <formula>$E$9="n/a"</formula>
    </cfRule>
  </conditionalFormatting>
  <conditionalFormatting sqref="F10">
    <cfRule type="expression" dxfId="891" priority="156">
      <formula>$E$10="n/a"</formula>
    </cfRule>
  </conditionalFormatting>
  <conditionalFormatting sqref="F11">
    <cfRule type="expression" dxfId="890" priority="155">
      <formula>$E$11="n/a"</formula>
    </cfRule>
  </conditionalFormatting>
  <conditionalFormatting sqref="F12">
    <cfRule type="expression" dxfId="889" priority="154">
      <formula>$E$12="n/a"</formula>
    </cfRule>
  </conditionalFormatting>
  <conditionalFormatting sqref="F13">
    <cfRule type="expression" dxfId="888" priority="153">
      <formula>$E$13="n/a"</formula>
    </cfRule>
  </conditionalFormatting>
  <conditionalFormatting sqref="F14">
    <cfRule type="expression" dxfId="887" priority="152">
      <formula>$E$14="n/a"</formula>
    </cfRule>
  </conditionalFormatting>
  <conditionalFormatting sqref="F15">
    <cfRule type="expression" dxfId="886" priority="151">
      <formula>$E$15="n/a"</formula>
    </cfRule>
  </conditionalFormatting>
  <conditionalFormatting sqref="F16">
    <cfRule type="expression" dxfId="885" priority="150">
      <formula>$E$16="n/a"</formula>
    </cfRule>
  </conditionalFormatting>
  <conditionalFormatting sqref="F17">
    <cfRule type="expression" dxfId="884" priority="149">
      <formula>$E$17="n/a"</formula>
    </cfRule>
  </conditionalFormatting>
  <conditionalFormatting sqref="F18">
    <cfRule type="expression" dxfId="883" priority="148">
      <formula>$E$18="n/a"</formula>
    </cfRule>
  </conditionalFormatting>
  <conditionalFormatting sqref="F19">
    <cfRule type="expression" dxfId="882" priority="147">
      <formula>$E$19="n/a"</formula>
    </cfRule>
  </conditionalFormatting>
  <conditionalFormatting sqref="F20">
    <cfRule type="expression" dxfId="881" priority="146">
      <formula>$E$20="n/a"</formula>
    </cfRule>
  </conditionalFormatting>
  <conditionalFormatting sqref="F21">
    <cfRule type="expression" dxfId="880" priority="145">
      <formula>$E$21="n/a"</formula>
    </cfRule>
  </conditionalFormatting>
  <conditionalFormatting sqref="F22">
    <cfRule type="expression" dxfId="879" priority="144">
      <formula>$E$22="n/a"</formula>
    </cfRule>
  </conditionalFormatting>
  <conditionalFormatting sqref="F23">
    <cfRule type="expression" dxfId="878" priority="143">
      <formula>$E$23="n/a"</formula>
    </cfRule>
  </conditionalFormatting>
  <conditionalFormatting sqref="F24">
    <cfRule type="expression" dxfId="877" priority="142">
      <formula>$E$24="n/a"</formula>
    </cfRule>
  </conditionalFormatting>
  <conditionalFormatting sqref="F26">
    <cfRule type="expression" dxfId="876" priority="141">
      <formula>$E$26="n/a"</formula>
    </cfRule>
  </conditionalFormatting>
  <conditionalFormatting sqref="F27">
    <cfRule type="expression" dxfId="875" priority="140">
      <formula>$E$27="n/a"</formula>
    </cfRule>
  </conditionalFormatting>
  <conditionalFormatting sqref="F28">
    <cfRule type="expression" dxfId="874" priority="139">
      <formula>$E$28="n/a"</formula>
    </cfRule>
  </conditionalFormatting>
  <conditionalFormatting sqref="F29">
    <cfRule type="expression" dxfId="873" priority="138">
      <formula>$E$29="n/a"</formula>
    </cfRule>
  </conditionalFormatting>
  <conditionalFormatting sqref="F30">
    <cfRule type="expression" dxfId="872" priority="137">
      <formula>$E$30="n/a"</formula>
    </cfRule>
  </conditionalFormatting>
  <conditionalFormatting sqref="F31">
    <cfRule type="expression" dxfId="871" priority="136">
      <formula>$E$31="n/a"</formula>
    </cfRule>
  </conditionalFormatting>
  <conditionalFormatting sqref="F32">
    <cfRule type="expression" dxfId="870" priority="135">
      <formula>$E$32="n/a"</formula>
    </cfRule>
  </conditionalFormatting>
  <conditionalFormatting sqref="F33">
    <cfRule type="expression" dxfId="869" priority="134">
      <formula>$E$33="n/a"</formula>
    </cfRule>
  </conditionalFormatting>
  <conditionalFormatting sqref="F34">
    <cfRule type="expression" dxfId="868" priority="133">
      <formula>$E$34="n/a"</formula>
    </cfRule>
  </conditionalFormatting>
  <conditionalFormatting sqref="F35">
    <cfRule type="expression" dxfId="867" priority="132">
      <formula>$E$35="n/a"</formula>
    </cfRule>
  </conditionalFormatting>
  <conditionalFormatting sqref="F36">
    <cfRule type="expression" dxfId="866" priority="131">
      <formula>$E$36="n/a"</formula>
    </cfRule>
  </conditionalFormatting>
  <conditionalFormatting sqref="F37">
    <cfRule type="expression" dxfId="865" priority="130">
      <formula>$E$37="n/a"</formula>
    </cfRule>
  </conditionalFormatting>
  <conditionalFormatting sqref="F38">
    <cfRule type="expression" dxfId="864" priority="129">
      <formula>$E$38="n/a"</formula>
    </cfRule>
  </conditionalFormatting>
  <conditionalFormatting sqref="F39">
    <cfRule type="expression" dxfId="863" priority="128">
      <formula>$E$39="n/a"</formula>
    </cfRule>
  </conditionalFormatting>
  <conditionalFormatting sqref="F40">
    <cfRule type="expression" dxfId="862" priority="127">
      <formula>$E$40="n/a"</formula>
    </cfRule>
  </conditionalFormatting>
  <conditionalFormatting sqref="F41">
    <cfRule type="expression" dxfId="861" priority="126">
      <formula>$E$41="n/a"</formula>
    </cfRule>
  </conditionalFormatting>
  <conditionalFormatting sqref="F42">
    <cfRule type="expression" dxfId="860" priority="125">
      <formula>$E$42="n/a"</formula>
    </cfRule>
  </conditionalFormatting>
  <conditionalFormatting sqref="F43">
    <cfRule type="expression" dxfId="859" priority="124">
      <formula>$E$43="n/a"</formula>
    </cfRule>
  </conditionalFormatting>
  <conditionalFormatting sqref="F44">
    <cfRule type="expression" dxfId="858" priority="123">
      <formula>$E$44="n/a"</formula>
    </cfRule>
  </conditionalFormatting>
  <conditionalFormatting sqref="F45">
    <cfRule type="expression" dxfId="857" priority="122">
      <formula>$E$45="n/a"</formula>
    </cfRule>
  </conditionalFormatting>
  <conditionalFormatting sqref="F46">
    <cfRule type="expression" dxfId="856" priority="121">
      <formula>$E$46="n/a"</formula>
    </cfRule>
  </conditionalFormatting>
  <conditionalFormatting sqref="F82">
    <cfRule type="expression" dxfId="855" priority="119">
      <formula>$E$82="n/a"</formula>
    </cfRule>
  </conditionalFormatting>
  <conditionalFormatting sqref="F81">
    <cfRule type="expression" dxfId="854" priority="118">
      <formula>$E$81="n/a"</formula>
    </cfRule>
  </conditionalFormatting>
  <conditionalFormatting sqref="F80">
    <cfRule type="expression" dxfId="853" priority="117">
      <formula>$E$80="n/a"</formula>
    </cfRule>
  </conditionalFormatting>
  <conditionalFormatting sqref="F79">
    <cfRule type="expression" dxfId="852" priority="116">
      <formula>$E$79="n/a"</formula>
    </cfRule>
  </conditionalFormatting>
  <conditionalFormatting sqref="F78">
    <cfRule type="expression" dxfId="851" priority="115">
      <formula>$E$78="n/a"</formula>
    </cfRule>
  </conditionalFormatting>
  <conditionalFormatting sqref="F77">
    <cfRule type="expression" dxfId="850" priority="114">
      <formula>$E$77="n/a"</formula>
    </cfRule>
  </conditionalFormatting>
  <conditionalFormatting sqref="F76">
    <cfRule type="expression" dxfId="849" priority="113">
      <formula>$E$76="n/a"</formula>
    </cfRule>
  </conditionalFormatting>
  <conditionalFormatting sqref="F75">
    <cfRule type="expression" dxfId="848" priority="112">
      <formula>$E$75="n/a"</formula>
    </cfRule>
  </conditionalFormatting>
  <conditionalFormatting sqref="F74">
    <cfRule type="expression" dxfId="847" priority="111">
      <formula>$E$74="n/a"</formula>
    </cfRule>
  </conditionalFormatting>
  <conditionalFormatting sqref="F73">
    <cfRule type="expression" dxfId="846" priority="109">
      <formula>$E$73="n/a"</formula>
    </cfRule>
  </conditionalFormatting>
  <conditionalFormatting sqref="F72">
    <cfRule type="expression" dxfId="845" priority="85">
      <formula>$E$72="n/a"</formula>
    </cfRule>
  </conditionalFormatting>
  <conditionalFormatting sqref="F47">
    <cfRule type="expression" dxfId="844" priority="120">
      <formula>$E$47="n/a"</formula>
    </cfRule>
  </conditionalFormatting>
  <conditionalFormatting sqref="F48">
    <cfRule type="expression" dxfId="843" priority="110">
      <formula>$E$48="n/a"</formula>
    </cfRule>
  </conditionalFormatting>
  <conditionalFormatting sqref="F49">
    <cfRule type="expression" dxfId="842" priority="108">
      <formula>$E$49="n/a"</formula>
    </cfRule>
  </conditionalFormatting>
  <conditionalFormatting sqref="F50">
    <cfRule type="expression" dxfId="841" priority="107">
      <formula>$E$50="n/a"</formula>
    </cfRule>
  </conditionalFormatting>
  <conditionalFormatting sqref="F51">
    <cfRule type="expression" dxfId="840" priority="106">
      <formula>$E$51="n/a"</formula>
    </cfRule>
  </conditionalFormatting>
  <conditionalFormatting sqref="F52">
    <cfRule type="expression" dxfId="839" priority="105">
      <formula>$E$52="n/a"</formula>
    </cfRule>
  </conditionalFormatting>
  <conditionalFormatting sqref="F53">
    <cfRule type="expression" dxfId="838" priority="104">
      <formula>$E$53="n/a"</formula>
    </cfRule>
  </conditionalFormatting>
  <conditionalFormatting sqref="F54">
    <cfRule type="expression" dxfId="837" priority="103">
      <formula>$E$54="n/a"</formula>
    </cfRule>
  </conditionalFormatting>
  <conditionalFormatting sqref="F55">
    <cfRule type="expression" dxfId="836" priority="102">
      <formula>$E$55="n/a"</formula>
    </cfRule>
  </conditionalFormatting>
  <conditionalFormatting sqref="F56">
    <cfRule type="expression" dxfId="835" priority="101">
      <formula>$E$56="n/a"</formula>
    </cfRule>
  </conditionalFormatting>
  <conditionalFormatting sqref="F57">
    <cfRule type="expression" dxfId="834" priority="100">
      <formula>$E$57="n/a"</formula>
    </cfRule>
  </conditionalFormatting>
  <conditionalFormatting sqref="F58">
    <cfRule type="expression" dxfId="833" priority="99">
      <formula>$E$58="n/a"</formula>
    </cfRule>
  </conditionalFormatting>
  <conditionalFormatting sqref="F59">
    <cfRule type="expression" dxfId="832" priority="98">
      <formula>$E$59="n/a"</formula>
    </cfRule>
  </conditionalFormatting>
  <conditionalFormatting sqref="F60">
    <cfRule type="expression" dxfId="831" priority="97">
      <formula>$E$60="n/a"</formula>
    </cfRule>
  </conditionalFormatting>
  <conditionalFormatting sqref="F61">
    <cfRule type="expression" dxfId="830" priority="96">
      <formula>$E$61="n/a"</formula>
    </cfRule>
  </conditionalFormatting>
  <conditionalFormatting sqref="F62">
    <cfRule type="expression" dxfId="829" priority="95">
      <formula>$E$62="n/a"</formula>
    </cfRule>
  </conditionalFormatting>
  <conditionalFormatting sqref="F63">
    <cfRule type="expression" dxfId="828" priority="94">
      <formula>$E$63="n/a"</formula>
    </cfRule>
  </conditionalFormatting>
  <conditionalFormatting sqref="F64">
    <cfRule type="expression" dxfId="827" priority="93">
      <formula>$E$64="n/a"</formula>
    </cfRule>
  </conditionalFormatting>
  <conditionalFormatting sqref="F65">
    <cfRule type="expression" dxfId="826" priority="92">
      <formula>$E$65="n/a"</formula>
    </cfRule>
  </conditionalFormatting>
  <conditionalFormatting sqref="F66">
    <cfRule type="expression" dxfId="825" priority="91">
      <formula>$E$66="n/a"</formula>
    </cfRule>
  </conditionalFormatting>
  <conditionalFormatting sqref="F67">
    <cfRule type="expression" dxfId="824" priority="90">
      <formula>$E$67="n/a"</formula>
    </cfRule>
  </conditionalFormatting>
  <conditionalFormatting sqref="F68">
    <cfRule type="expression" dxfId="823" priority="89">
      <formula>$E$68="n/a"</formula>
    </cfRule>
  </conditionalFormatting>
  <conditionalFormatting sqref="F69">
    <cfRule type="expression" dxfId="822" priority="88">
      <formula>$E$69="n/a"</formula>
    </cfRule>
  </conditionalFormatting>
  <conditionalFormatting sqref="F70">
    <cfRule type="expression" dxfId="821" priority="87">
      <formula>$E$70="n/a"</formula>
    </cfRule>
  </conditionalFormatting>
  <conditionalFormatting sqref="F71">
    <cfRule type="expression" dxfId="820" priority="86">
      <formula>$E$71="n/a"</formula>
    </cfRule>
  </conditionalFormatting>
  <conditionalFormatting sqref="I7">
    <cfRule type="expression" dxfId="819" priority="83">
      <formula>$B$7="v"</formula>
    </cfRule>
  </conditionalFormatting>
  <conditionalFormatting sqref="I8">
    <cfRule type="expression" dxfId="818" priority="82">
      <formula>$B$8="v"</formula>
    </cfRule>
  </conditionalFormatting>
  <conditionalFormatting sqref="I9">
    <cfRule type="expression" dxfId="817" priority="81">
      <formula>$B$9="v"</formula>
    </cfRule>
  </conditionalFormatting>
  <conditionalFormatting sqref="I10">
    <cfRule type="expression" dxfId="816" priority="80">
      <formula>$B$10="v"</formula>
    </cfRule>
  </conditionalFormatting>
  <conditionalFormatting sqref="I11">
    <cfRule type="expression" dxfId="815" priority="79">
      <formula>$B$11="v"</formula>
    </cfRule>
  </conditionalFormatting>
  <conditionalFormatting sqref="I12">
    <cfRule type="expression" dxfId="814" priority="78">
      <formula>$B$12="v"</formula>
    </cfRule>
  </conditionalFormatting>
  <conditionalFormatting sqref="I13">
    <cfRule type="expression" dxfId="813" priority="77">
      <formula>$B$13="v"</formula>
    </cfRule>
  </conditionalFormatting>
  <conditionalFormatting sqref="I14">
    <cfRule type="expression" dxfId="812" priority="76">
      <formula>$B$14="v"</formula>
    </cfRule>
  </conditionalFormatting>
  <conditionalFormatting sqref="I15">
    <cfRule type="expression" dxfId="811" priority="75">
      <formula>$B$15="v"</formula>
    </cfRule>
  </conditionalFormatting>
  <conditionalFormatting sqref="I16">
    <cfRule type="expression" dxfId="810" priority="74">
      <formula>$B$16="v"</formula>
    </cfRule>
  </conditionalFormatting>
  <conditionalFormatting sqref="I17">
    <cfRule type="expression" dxfId="809" priority="73">
      <formula>$B$17="v"</formula>
    </cfRule>
  </conditionalFormatting>
  <conditionalFormatting sqref="I18">
    <cfRule type="expression" dxfId="808" priority="72">
      <formula>$B$18="v"</formula>
    </cfRule>
  </conditionalFormatting>
  <conditionalFormatting sqref="I19">
    <cfRule type="expression" dxfId="807" priority="71">
      <formula>$B$19="v"</formula>
    </cfRule>
  </conditionalFormatting>
  <conditionalFormatting sqref="I20">
    <cfRule type="expression" dxfId="806" priority="70">
      <formula>$B$20="v"</formula>
    </cfRule>
  </conditionalFormatting>
  <conditionalFormatting sqref="I21">
    <cfRule type="expression" dxfId="805" priority="69">
      <formula>$B$21="v"</formula>
    </cfRule>
  </conditionalFormatting>
  <conditionalFormatting sqref="I22">
    <cfRule type="expression" dxfId="804" priority="68">
      <formula>$B$22="v"</formula>
    </cfRule>
  </conditionalFormatting>
  <conditionalFormatting sqref="I23">
    <cfRule type="expression" dxfId="803" priority="67">
      <formula>$B$23="v"</formula>
    </cfRule>
  </conditionalFormatting>
  <conditionalFormatting sqref="I24">
    <cfRule type="expression" dxfId="802" priority="66">
      <formula>$B$24="v"</formula>
    </cfRule>
  </conditionalFormatting>
  <conditionalFormatting sqref="I25">
    <cfRule type="expression" dxfId="801" priority="65">
      <formula>$B$25="v"</formula>
    </cfRule>
  </conditionalFormatting>
  <conditionalFormatting sqref="I26">
    <cfRule type="expression" dxfId="800" priority="64">
      <formula>$B$26="v"</formula>
    </cfRule>
  </conditionalFormatting>
  <conditionalFormatting sqref="I27">
    <cfRule type="expression" dxfId="799" priority="63">
      <formula>$B$27="v"</formula>
    </cfRule>
  </conditionalFormatting>
  <conditionalFormatting sqref="I28">
    <cfRule type="expression" dxfId="798" priority="62">
      <formula>$B$28="v"</formula>
    </cfRule>
  </conditionalFormatting>
  <conditionalFormatting sqref="I29">
    <cfRule type="expression" dxfId="797" priority="61">
      <formula>$B$29="v"</formula>
    </cfRule>
  </conditionalFormatting>
  <conditionalFormatting sqref="I30">
    <cfRule type="expression" dxfId="796" priority="60">
      <formula>$B$30="v"</formula>
    </cfRule>
  </conditionalFormatting>
  <conditionalFormatting sqref="I31">
    <cfRule type="expression" dxfId="795" priority="59">
      <formula>$B$31="v"</formula>
    </cfRule>
  </conditionalFormatting>
  <conditionalFormatting sqref="I32">
    <cfRule type="expression" dxfId="794" priority="58">
      <formula>$B$32="v"</formula>
    </cfRule>
  </conditionalFormatting>
  <conditionalFormatting sqref="I33">
    <cfRule type="expression" dxfId="793" priority="57">
      <formula>$B$33="v"</formula>
    </cfRule>
  </conditionalFormatting>
  <conditionalFormatting sqref="I34">
    <cfRule type="expression" dxfId="792" priority="56">
      <formula>$B$34="v"</formula>
    </cfRule>
  </conditionalFormatting>
  <conditionalFormatting sqref="I35">
    <cfRule type="expression" dxfId="791" priority="55">
      <formula>$B$35="v"</formula>
    </cfRule>
  </conditionalFormatting>
  <conditionalFormatting sqref="I36">
    <cfRule type="expression" dxfId="790" priority="54">
      <formula>$B$36="v"</formula>
    </cfRule>
  </conditionalFormatting>
  <conditionalFormatting sqref="I37">
    <cfRule type="expression" dxfId="789" priority="53">
      <formula>$B$37="v"</formula>
    </cfRule>
  </conditionalFormatting>
  <conditionalFormatting sqref="I38">
    <cfRule type="expression" dxfId="788" priority="52">
      <formula>$B$38="v"</formula>
    </cfRule>
  </conditionalFormatting>
  <conditionalFormatting sqref="I39">
    <cfRule type="expression" dxfId="787" priority="51">
      <formula>$B$39="v"</formula>
    </cfRule>
  </conditionalFormatting>
  <conditionalFormatting sqref="I40">
    <cfRule type="expression" dxfId="786" priority="50">
      <formula>$B$40="v"</formula>
    </cfRule>
  </conditionalFormatting>
  <conditionalFormatting sqref="I41">
    <cfRule type="expression" dxfId="785" priority="49">
      <formula>$B$41="v"</formula>
    </cfRule>
  </conditionalFormatting>
  <conditionalFormatting sqref="I42">
    <cfRule type="expression" dxfId="784" priority="48">
      <formula>$B$42="v"</formula>
    </cfRule>
  </conditionalFormatting>
  <conditionalFormatting sqref="I43">
    <cfRule type="expression" dxfId="783" priority="47">
      <formula>$B$43="v"</formula>
    </cfRule>
  </conditionalFormatting>
  <conditionalFormatting sqref="I44">
    <cfRule type="expression" dxfId="782" priority="46">
      <formula>$B$44="v"</formula>
    </cfRule>
  </conditionalFormatting>
  <conditionalFormatting sqref="I45">
    <cfRule type="expression" dxfId="781" priority="45">
      <formula>$B$45="v"</formula>
    </cfRule>
  </conditionalFormatting>
  <conditionalFormatting sqref="I46">
    <cfRule type="expression" dxfId="780" priority="44">
      <formula>$B$46="v"</formula>
    </cfRule>
  </conditionalFormatting>
  <conditionalFormatting sqref="I47">
    <cfRule type="expression" dxfId="779" priority="43">
      <formula>$B$47="v"</formula>
    </cfRule>
  </conditionalFormatting>
  <conditionalFormatting sqref="I48">
    <cfRule type="expression" dxfId="778" priority="42">
      <formula>$B$48="v"</formula>
    </cfRule>
  </conditionalFormatting>
  <conditionalFormatting sqref="I49">
    <cfRule type="expression" dxfId="777" priority="41">
      <formula>$B$49="v"</formula>
    </cfRule>
  </conditionalFormatting>
  <conditionalFormatting sqref="I50">
    <cfRule type="expression" dxfId="776" priority="40">
      <formula>$B$50="v"</formula>
    </cfRule>
  </conditionalFormatting>
  <conditionalFormatting sqref="I51">
    <cfRule type="expression" dxfId="775" priority="39">
      <formula>$B$51="v"</formula>
    </cfRule>
  </conditionalFormatting>
  <conditionalFormatting sqref="I52">
    <cfRule type="expression" dxfId="774" priority="38">
      <formula>$B$52="v"</formula>
    </cfRule>
  </conditionalFormatting>
  <conditionalFormatting sqref="I53">
    <cfRule type="expression" dxfId="773" priority="37">
      <formula>$B$53="v"</formula>
    </cfRule>
  </conditionalFormatting>
  <conditionalFormatting sqref="I54">
    <cfRule type="expression" dxfId="772" priority="36">
      <formula>$B$54="v"</formula>
    </cfRule>
  </conditionalFormatting>
  <conditionalFormatting sqref="I55">
    <cfRule type="expression" dxfId="771" priority="35">
      <formula>$B$55="v"</formula>
    </cfRule>
  </conditionalFormatting>
  <conditionalFormatting sqref="I56">
    <cfRule type="expression" dxfId="770" priority="34">
      <formula>$B$56="v"</formula>
    </cfRule>
  </conditionalFormatting>
  <conditionalFormatting sqref="I57">
    <cfRule type="expression" dxfId="769" priority="33">
      <formula>$B$57="v"</formula>
    </cfRule>
  </conditionalFormatting>
  <conditionalFormatting sqref="I58">
    <cfRule type="expression" dxfId="768" priority="32">
      <formula>$B$58="v"</formula>
    </cfRule>
  </conditionalFormatting>
  <conditionalFormatting sqref="I59">
    <cfRule type="expression" dxfId="767" priority="31">
      <formula>$B$59="v"</formula>
    </cfRule>
  </conditionalFormatting>
  <conditionalFormatting sqref="I60">
    <cfRule type="expression" dxfId="766" priority="30">
      <formula>$B$60="v"</formula>
    </cfRule>
  </conditionalFormatting>
  <conditionalFormatting sqref="I61">
    <cfRule type="expression" dxfId="765" priority="29">
      <formula>$B$61="v"</formula>
    </cfRule>
  </conditionalFormatting>
  <conditionalFormatting sqref="I62">
    <cfRule type="expression" dxfId="764" priority="28">
      <formula>$B$62="v"</formula>
    </cfRule>
  </conditionalFormatting>
  <conditionalFormatting sqref="I63">
    <cfRule type="expression" dxfId="763" priority="27">
      <formula>$B$63="v"</formula>
    </cfRule>
  </conditionalFormatting>
  <conditionalFormatting sqref="I64">
    <cfRule type="expression" dxfId="762" priority="26">
      <formula>$B$64="v"</formula>
    </cfRule>
  </conditionalFormatting>
  <conditionalFormatting sqref="I65">
    <cfRule type="expression" dxfId="761" priority="25">
      <formula>$B$65="v"</formula>
    </cfRule>
  </conditionalFormatting>
  <conditionalFormatting sqref="I66">
    <cfRule type="expression" dxfId="760" priority="24">
      <formula>$B$66="v"</formula>
    </cfRule>
  </conditionalFormatting>
  <conditionalFormatting sqref="I67">
    <cfRule type="expression" dxfId="759" priority="23">
      <formula>$B$67="v"</formula>
    </cfRule>
  </conditionalFormatting>
  <conditionalFormatting sqref="I68">
    <cfRule type="expression" dxfId="758" priority="22">
      <formula>$B$68="v"</formula>
    </cfRule>
  </conditionalFormatting>
  <conditionalFormatting sqref="I69">
    <cfRule type="expression" dxfId="757" priority="21">
      <formula>$B$69="v"</formula>
    </cfRule>
  </conditionalFormatting>
  <conditionalFormatting sqref="I70">
    <cfRule type="expression" dxfId="756" priority="20">
      <formula>$B$70="v"</formula>
    </cfRule>
  </conditionalFormatting>
  <conditionalFormatting sqref="I71">
    <cfRule type="expression" dxfId="755" priority="19">
      <formula>$B$71="v"</formula>
    </cfRule>
  </conditionalFormatting>
  <conditionalFormatting sqref="I72">
    <cfRule type="expression" dxfId="754" priority="18">
      <formula>$B$72="v"</formula>
    </cfRule>
  </conditionalFormatting>
  <conditionalFormatting sqref="I73">
    <cfRule type="expression" dxfId="753" priority="17">
      <formula>$B$73="v"</formula>
    </cfRule>
  </conditionalFormatting>
  <conditionalFormatting sqref="I74">
    <cfRule type="expression" dxfId="752" priority="16">
      <formula>$B$74="v"</formula>
    </cfRule>
  </conditionalFormatting>
  <conditionalFormatting sqref="I75">
    <cfRule type="expression" dxfId="751" priority="15">
      <formula>$B$75="v"</formula>
    </cfRule>
  </conditionalFormatting>
  <conditionalFormatting sqref="I76">
    <cfRule type="expression" dxfId="750" priority="14">
      <formula>$B$76="v"</formula>
    </cfRule>
  </conditionalFormatting>
  <conditionalFormatting sqref="I77">
    <cfRule type="expression" dxfId="749" priority="13">
      <formula>$B$77="v"</formula>
    </cfRule>
  </conditionalFormatting>
  <conditionalFormatting sqref="I78">
    <cfRule type="expression" dxfId="748" priority="12">
      <formula>$B$78="v"</formula>
    </cfRule>
  </conditionalFormatting>
  <conditionalFormatting sqref="I79">
    <cfRule type="expression" dxfId="747" priority="11">
      <formula>$B$79="v"</formula>
    </cfRule>
  </conditionalFormatting>
  <conditionalFormatting sqref="I80">
    <cfRule type="expression" dxfId="746" priority="10">
      <formula>$B$80="v"</formula>
    </cfRule>
  </conditionalFormatting>
  <conditionalFormatting sqref="I81">
    <cfRule type="expression" dxfId="745" priority="9">
      <formula>$B$81="v"</formula>
    </cfRule>
  </conditionalFormatting>
  <conditionalFormatting sqref="I82">
    <cfRule type="expression" dxfId="744" priority="8">
      <formula>$B$82="v"</formula>
    </cfRule>
  </conditionalFormatting>
  <conditionalFormatting sqref="L5:N6">
    <cfRule type="expression" dxfId="743" priority="173">
      <formula>$K$4=1</formula>
    </cfRule>
  </conditionalFormatting>
  <conditionalFormatting sqref="L7:N82">
    <cfRule type="expression" dxfId="742" priority="176">
      <formula>$K$4=1</formula>
    </cfRule>
  </conditionalFormatting>
  <conditionalFormatting sqref="M4:N4">
    <cfRule type="expression" dxfId="741" priority="175">
      <formula>$K$4=1</formula>
    </cfRule>
  </conditionalFormatting>
  <conditionalFormatting sqref="L7:N82">
    <cfRule type="expression" dxfId="740" priority="165">
      <formula>$K$4=""</formula>
    </cfRule>
  </conditionalFormatting>
  <conditionalFormatting sqref="P5:R6">
    <cfRule type="expression" dxfId="739" priority="177">
      <formula>$O$4=1</formula>
    </cfRule>
  </conditionalFormatting>
  <conditionalFormatting sqref="P7:R82">
    <cfRule type="expression" dxfId="738" priority="180">
      <formula>$O$4=1</formula>
    </cfRule>
  </conditionalFormatting>
  <conditionalFormatting sqref="Q4:R4">
    <cfRule type="expression" dxfId="737" priority="179">
      <formula>$O$4=1</formula>
    </cfRule>
  </conditionalFormatting>
  <conditionalFormatting sqref="P7:R82">
    <cfRule type="expression" dxfId="736" priority="163">
      <formula>$O$4=""</formula>
    </cfRule>
  </conditionalFormatting>
  <conditionalFormatting sqref="T5:V6">
    <cfRule type="expression" dxfId="735" priority="181">
      <formula>$S$4=1</formula>
    </cfRule>
  </conditionalFormatting>
  <conditionalFormatting sqref="T7:V82">
    <cfRule type="expression" dxfId="734" priority="226">
      <formula>$S$4=1</formula>
    </cfRule>
  </conditionalFormatting>
  <conditionalFormatting sqref="U4:V4">
    <cfRule type="expression" dxfId="733" priority="183">
      <formula>$S$4=1</formula>
    </cfRule>
  </conditionalFormatting>
  <conditionalFormatting sqref="T7:V82">
    <cfRule type="expression" dxfId="732" priority="161">
      <formula>$S$4=""</formula>
    </cfRule>
  </conditionalFormatting>
  <conditionalFormatting sqref="X5:Z6">
    <cfRule type="expression" dxfId="731" priority="185">
      <formula>$W$4=1</formula>
    </cfRule>
  </conditionalFormatting>
  <conditionalFormatting sqref="X7:Z82">
    <cfRule type="expression" dxfId="730" priority="223">
      <formula>$W$4=1</formula>
    </cfRule>
  </conditionalFormatting>
  <conditionalFormatting sqref="Y4:Z4">
    <cfRule type="expression" dxfId="729" priority="187">
      <formula>$W$4=1</formula>
    </cfRule>
  </conditionalFormatting>
  <conditionalFormatting sqref="X7:Z82">
    <cfRule type="expression" dxfId="728" priority="162">
      <formula>$W$4=""</formula>
    </cfRule>
  </conditionalFormatting>
  <conditionalFormatting sqref="AB5:AD6">
    <cfRule type="expression" dxfId="727" priority="189">
      <formula>$AA$4=1</formula>
    </cfRule>
  </conditionalFormatting>
  <conditionalFormatting sqref="AB7:AD82">
    <cfRule type="expression" dxfId="726" priority="192">
      <formula>$AA$4=1</formula>
    </cfRule>
  </conditionalFormatting>
  <conditionalFormatting sqref="AC4:AD4">
    <cfRule type="expression" dxfId="725" priority="191">
      <formula>$AA$4=1</formula>
    </cfRule>
  </conditionalFormatting>
  <conditionalFormatting sqref="AB7:AD82">
    <cfRule type="expression" dxfId="724" priority="182">
      <formula>$AA$4=""</formula>
    </cfRule>
  </conditionalFormatting>
  <conditionalFormatting sqref="AF5:AH6">
    <cfRule type="expression" dxfId="723" priority="193">
      <formula>$AE$4=1</formula>
    </cfRule>
  </conditionalFormatting>
  <conditionalFormatting sqref="AF7:AH82">
    <cfRule type="expression" dxfId="722" priority="196">
      <formula>$AE$4=1</formula>
    </cfRule>
  </conditionalFormatting>
  <conditionalFormatting sqref="AG4:AH4">
    <cfRule type="expression" dxfId="721" priority="195">
      <formula>$AE$4=1</formula>
    </cfRule>
  </conditionalFormatting>
  <conditionalFormatting sqref="AF7:AH82">
    <cfRule type="expression" dxfId="720" priority="184">
      <formula>$AE$4=""</formula>
    </cfRule>
  </conditionalFormatting>
  <conditionalFormatting sqref="AJ7:AL82">
    <cfRule type="expression" dxfId="719" priority="200">
      <formula>$AI$4=1</formula>
    </cfRule>
  </conditionalFormatting>
  <conditionalFormatting sqref="AK4:AL4">
    <cfRule type="expression" dxfId="718" priority="198">
      <formula>$AI$4=1</formula>
    </cfRule>
  </conditionalFormatting>
  <conditionalFormatting sqref="AJ5:AL6">
    <cfRule type="expression" dxfId="717" priority="199">
      <formula>$AI$4=1</formula>
    </cfRule>
  </conditionalFormatting>
  <conditionalFormatting sqref="AJ7:AL82">
    <cfRule type="expression" dxfId="716" priority="186">
      <formula>$AI$4=""</formula>
    </cfRule>
  </conditionalFormatting>
  <conditionalFormatting sqref="AN7:AP82">
    <cfRule type="expression" dxfId="715" priority="204">
      <formula>$AM$4=1</formula>
    </cfRule>
  </conditionalFormatting>
  <conditionalFormatting sqref="AO4:AP4 AS4:AT4">
    <cfRule type="expression" dxfId="714" priority="202">
      <formula>AQ$4=1</formula>
    </cfRule>
  </conditionalFormatting>
  <conditionalFormatting sqref="AN5:AP6">
    <cfRule type="expression" dxfId="713" priority="203">
      <formula>$AM$4=1</formula>
    </cfRule>
  </conditionalFormatting>
  <conditionalFormatting sqref="AN7:AP82">
    <cfRule type="expression" dxfId="712" priority="188">
      <formula>$AM$4=""</formula>
    </cfRule>
  </conditionalFormatting>
  <conditionalFormatting sqref="AR7:AT82">
    <cfRule type="expression" dxfId="711" priority="207">
      <formula>$AQ$4=1</formula>
    </cfRule>
  </conditionalFormatting>
  <conditionalFormatting sqref="AR5:AT6">
    <cfRule type="expression" dxfId="710" priority="206">
      <formula>$AQ$4=1</formula>
    </cfRule>
  </conditionalFormatting>
  <conditionalFormatting sqref="AR7:AT82">
    <cfRule type="expression" dxfId="709" priority="190">
      <formula>$AQ$4=""</formula>
    </cfRule>
  </conditionalFormatting>
  <conditionalFormatting sqref="AV7:AX82">
    <cfRule type="expression" dxfId="708" priority="210">
      <formula>$AU$4=1</formula>
    </cfRule>
  </conditionalFormatting>
  <conditionalFormatting sqref="AV5:AX6">
    <cfRule type="expression" dxfId="707" priority="209">
      <formula>$AU$4=1</formula>
    </cfRule>
  </conditionalFormatting>
  <conditionalFormatting sqref="AV7:AX82">
    <cfRule type="expression" dxfId="706" priority="160">
      <formula>$AU$4=""</formula>
    </cfRule>
  </conditionalFormatting>
  <conditionalFormatting sqref="AZ7:BB82">
    <cfRule type="expression" dxfId="705" priority="213">
      <formula>$AY$4=1</formula>
    </cfRule>
  </conditionalFormatting>
  <conditionalFormatting sqref="AZ5:BB6">
    <cfRule type="expression" dxfId="704" priority="212">
      <formula>$AY$4=1</formula>
    </cfRule>
  </conditionalFormatting>
  <conditionalFormatting sqref="AZ7:BB82">
    <cfRule type="expression" dxfId="703" priority="194">
      <formula>$AY$4=""</formula>
    </cfRule>
  </conditionalFormatting>
  <conditionalFormatting sqref="BD7:BF82">
    <cfRule type="expression" dxfId="702" priority="216">
      <formula>$BC$4=1</formula>
    </cfRule>
  </conditionalFormatting>
  <conditionalFormatting sqref="BD5:BF6">
    <cfRule type="expression" dxfId="701" priority="215">
      <formula>$BC$4=1</formula>
    </cfRule>
  </conditionalFormatting>
  <conditionalFormatting sqref="BD7:BF82">
    <cfRule type="expression" dxfId="700" priority="197">
      <formula>$BC$4=""</formula>
    </cfRule>
  </conditionalFormatting>
  <conditionalFormatting sqref="BH7:BJ82">
    <cfRule type="expression" dxfId="699" priority="219">
      <formula>$BG$4=1</formula>
    </cfRule>
  </conditionalFormatting>
  <conditionalFormatting sqref="BH5:BJ6">
    <cfRule type="expression" dxfId="698" priority="218">
      <formula>$BG$4=1</formula>
    </cfRule>
  </conditionalFormatting>
  <conditionalFormatting sqref="BH7:BJ82">
    <cfRule type="expression" dxfId="697" priority="201">
      <formula>$BG$4=""</formula>
    </cfRule>
  </conditionalFormatting>
  <conditionalFormatting sqref="BL7:BN82">
    <cfRule type="expression" dxfId="696" priority="222">
      <formula>$BK$4=1</formula>
    </cfRule>
  </conditionalFormatting>
  <conditionalFormatting sqref="BL5:BN6">
    <cfRule type="expression" dxfId="695" priority="221">
      <formula>$BK$4=1</formula>
    </cfRule>
  </conditionalFormatting>
  <conditionalFormatting sqref="BL7:BN82">
    <cfRule type="expression" dxfId="694" priority="205">
      <formula>$BK$4=""</formula>
    </cfRule>
  </conditionalFormatting>
  <conditionalFormatting sqref="BP7:BR82">
    <cfRule type="expression" dxfId="693" priority="225">
      <formula>$BO$4=1</formula>
    </cfRule>
  </conditionalFormatting>
  <conditionalFormatting sqref="BP5:BR6">
    <cfRule type="expression" dxfId="692" priority="224">
      <formula>$BO$4=1</formula>
    </cfRule>
  </conditionalFormatting>
  <conditionalFormatting sqref="BP7:BR82">
    <cfRule type="expression" dxfId="691" priority="211">
      <formula>$BO$4=""</formula>
    </cfRule>
  </conditionalFormatting>
  <conditionalFormatting sqref="BT7:BV82">
    <cfRule type="expression" dxfId="690" priority="228">
      <formula>$BS$4=1</formula>
    </cfRule>
  </conditionalFormatting>
  <conditionalFormatting sqref="BT5:BV6">
    <cfRule type="expression" dxfId="689" priority="227">
      <formula>$BS$4=1</formula>
    </cfRule>
  </conditionalFormatting>
  <conditionalFormatting sqref="BT7:BV82">
    <cfRule type="expression" dxfId="688" priority="214">
      <formula>$BS$4=""</formula>
    </cfRule>
  </conditionalFormatting>
  <conditionalFormatting sqref="AW4:AX4">
    <cfRule type="expression" dxfId="687" priority="7">
      <formula>AU$4=1</formula>
    </cfRule>
  </conditionalFormatting>
  <conditionalFormatting sqref="BA4:BB4">
    <cfRule type="expression" dxfId="686" priority="6">
      <formula>AY$4=1</formula>
    </cfRule>
  </conditionalFormatting>
  <conditionalFormatting sqref="BE4:BF4">
    <cfRule type="expression" dxfId="685" priority="5">
      <formula>BC$4=1</formula>
    </cfRule>
  </conditionalFormatting>
  <conditionalFormatting sqref="BI4:BJ4">
    <cfRule type="expression" dxfId="684" priority="4">
      <formula>BG$4=1</formula>
    </cfRule>
  </conditionalFormatting>
  <conditionalFormatting sqref="BM4:BN4">
    <cfRule type="expression" dxfId="683" priority="3">
      <formula>BK$4=1</formula>
    </cfRule>
  </conditionalFormatting>
  <conditionalFormatting sqref="BQ4:BR4">
    <cfRule type="expression" dxfId="682" priority="2">
      <formula>BO$4=1</formula>
    </cfRule>
  </conditionalFormatting>
  <conditionalFormatting sqref="BU4:BV4">
    <cfRule type="expression" dxfId="681" priority="1">
      <formula>BS$4=1</formula>
    </cfRule>
  </conditionalFormatting>
  <dataValidations count="3">
    <dataValidation type="list" allowBlank="1" showInputMessage="1" showErrorMessage="1" sqref="F2" xr:uid="{DF9F95AE-9E13-4634-9E6A-6ACD4DA550B1}">
      <formula1>"1, 2, 3, 4, 5, 6, 7, 8, 9, 10, 11, 12, 13, 14, 15, 16, 17"</formula1>
    </dataValidation>
    <dataValidation type="list" allowBlank="1" showInputMessage="1" showErrorMessage="1" sqref="B7:B82" xr:uid="{C72AF0C7-21F1-4C68-920C-C7F1CC7E0D96}">
      <formula1>"v"</formula1>
    </dataValidation>
    <dataValidation type="list" allowBlank="1" showInputMessage="1" showErrorMessage="1" sqref="BP7:BP82 AV7:AV82 BL7:BL82 BT7:BT82 BH7:BH82 BD7:BD82 AZ7:AZ82" xr:uid="{6C6CD379-39A7-4499-8619-1DE3D9213054}">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BD5CDA3A-A704-4895-A5F8-7A009642F29D}">
          <x14:formula1>
            <xm:f>Sheet3!$J$153:$J$168</xm:f>
          </x14:formula1>
          <xm:sqref>H7:H82 N7:N82 R7:R82 V7:V82 Z7:Z82 AD7:AD82 AH7:AH82 AL7:AL82 AP7:AP82 AT7:AT82</xm:sqref>
        </x14:dataValidation>
        <x14:dataValidation type="list" allowBlank="1" showInputMessage="1" showErrorMessage="1" xr:uid="{5E357BDE-AFE7-4222-9D8D-FDB500A2D787}">
          <x14:formula1>
            <xm:f>Sheet3!$A$2:$A$49</xm:f>
          </x14:formula1>
          <xm:sqref>F3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BE24C-01A0-4678-97D9-CA4B0EB2475E}">
  <sheetPr codeName="Sheet10">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237</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680" priority="170">
      <formula>$F$1=1</formula>
    </cfRule>
    <cfRule type="expression" priority="171">
      <formula>$F$1</formula>
    </cfRule>
  </conditionalFormatting>
  <conditionalFormatting sqref="J4">
    <cfRule type="expression" dxfId="679" priority="172">
      <formula>$F$1=1</formula>
    </cfRule>
  </conditionalFormatting>
  <conditionalFormatting sqref="C7:G82">
    <cfRule type="expression" dxfId="678" priority="84">
      <formula>$B7="v"</formula>
    </cfRule>
  </conditionalFormatting>
  <conditionalFormatting sqref="H7:H82">
    <cfRule type="expression" dxfId="677" priority="168">
      <formula>$B7="v"</formula>
    </cfRule>
  </conditionalFormatting>
  <conditionalFormatting sqref="N7:N82">
    <cfRule type="expression" dxfId="676" priority="167">
      <formula>$B7="v"</formula>
    </cfRule>
  </conditionalFormatting>
  <conditionalFormatting sqref="M7:M82">
    <cfRule type="expression" dxfId="675" priority="166">
      <formula>$B7="v"</formula>
    </cfRule>
  </conditionalFormatting>
  <conditionalFormatting sqref="L7:L82">
    <cfRule type="expression" dxfId="674" priority="174">
      <formula>$B7="v"</formula>
    </cfRule>
  </conditionalFormatting>
  <conditionalFormatting sqref="P7:Q82">
    <cfRule type="expression" dxfId="673" priority="178">
      <formula>$B7="v"</formula>
    </cfRule>
  </conditionalFormatting>
  <conditionalFormatting sqref="R7:R82">
    <cfRule type="expression" dxfId="672" priority="164">
      <formula>$B7="v"</formula>
    </cfRule>
  </conditionalFormatting>
  <conditionalFormatting sqref="Z7:Z82 V7:V82 AL7:AL82 AH7:AH82 AD7:AD82 AX7:AX82 AT7:AT82 AP7:AP82 BJ7:BJ82 BF7:BF82 BB7:BB82 BV7:BV82 BR7:BR82 BN7:BN82">
    <cfRule type="expression" dxfId="671" priority="217">
      <formula>$B7="v"</formula>
    </cfRule>
  </conditionalFormatting>
  <conditionalFormatting sqref="X7:Y82 T7:U82 AJ7:AK82 AF7:AG82 AB7:AC82 AR7:AS82 AN7:AO82 BH7:BI82 BD7:BE82 AZ7:BA82 BT7:BU82 BP7:BQ82 BL7:BM82">
    <cfRule type="expression" dxfId="670" priority="220">
      <formula>$B7="v"</formula>
    </cfRule>
  </conditionalFormatting>
  <conditionalFormatting sqref="AV7:AW82">
    <cfRule type="expression" dxfId="669" priority="208">
      <formula>$B7="v"</formula>
    </cfRule>
  </conditionalFormatting>
  <conditionalFormatting sqref="F25">
    <cfRule type="expression" dxfId="668" priority="159">
      <formula>$E$25="n/a"</formula>
    </cfRule>
  </conditionalFormatting>
  <conditionalFormatting sqref="F7">
    <cfRule type="expression" dxfId="667" priority="158">
      <formula>$E$7="n/a"</formula>
    </cfRule>
  </conditionalFormatting>
  <conditionalFormatting sqref="F8">
    <cfRule type="expression" dxfId="666" priority="169">
      <formula>$E$8="n/a"</formula>
    </cfRule>
  </conditionalFormatting>
  <conditionalFormatting sqref="F9">
    <cfRule type="expression" dxfId="665" priority="157">
      <formula>$E$9="n/a"</formula>
    </cfRule>
  </conditionalFormatting>
  <conditionalFormatting sqref="F10">
    <cfRule type="expression" dxfId="664" priority="156">
      <formula>$E$10="n/a"</formula>
    </cfRule>
  </conditionalFormatting>
  <conditionalFormatting sqref="F11">
    <cfRule type="expression" dxfId="663" priority="155">
      <formula>$E$11="n/a"</formula>
    </cfRule>
  </conditionalFormatting>
  <conditionalFormatting sqref="F12">
    <cfRule type="expression" dxfId="662" priority="154">
      <formula>$E$12="n/a"</formula>
    </cfRule>
  </conditionalFormatting>
  <conditionalFormatting sqref="F13">
    <cfRule type="expression" dxfId="661" priority="153">
      <formula>$E$13="n/a"</formula>
    </cfRule>
  </conditionalFormatting>
  <conditionalFormatting sqref="F14">
    <cfRule type="expression" dxfId="660" priority="152">
      <formula>$E$14="n/a"</formula>
    </cfRule>
  </conditionalFormatting>
  <conditionalFormatting sqref="F15">
    <cfRule type="expression" dxfId="659" priority="151">
      <formula>$E$15="n/a"</formula>
    </cfRule>
  </conditionalFormatting>
  <conditionalFormatting sqref="F16">
    <cfRule type="expression" dxfId="658" priority="150">
      <formula>$E$16="n/a"</formula>
    </cfRule>
  </conditionalFormatting>
  <conditionalFormatting sqref="F17">
    <cfRule type="expression" dxfId="657" priority="149">
      <formula>$E$17="n/a"</formula>
    </cfRule>
  </conditionalFormatting>
  <conditionalFormatting sqref="F18">
    <cfRule type="expression" dxfId="656" priority="148">
      <formula>$E$18="n/a"</formula>
    </cfRule>
  </conditionalFormatting>
  <conditionalFormatting sqref="F19">
    <cfRule type="expression" dxfId="655" priority="147">
      <formula>$E$19="n/a"</formula>
    </cfRule>
  </conditionalFormatting>
  <conditionalFormatting sqref="F20">
    <cfRule type="expression" dxfId="654" priority="146">
      <formula>$E$20="n/a"</formula>
    </cfRule>
  </conditionalFormatting>
  <conditionalFormatting sqref="F21">
    <cfRule type="expression" dxfId="653" priority="145">
      <formula>$E$21="n/a"</formula>
    </cfRule>
  </conditionalFormatting>
  <conditionalFormatting sqref="F22">
    <cfRule type="expression" dxfId="652" priority="144">
      <formula>$E$22="n/a"</formula>
    </cfRule>
  </conditionalFormatting>
  <conditionalFormatting sqref="F23">
    <cfRule type="expression" dxfId="651" priority="143">
      <formula>$E$23="n/a"</formula>
    </cfRule>
  </conditionalFormatting>
  <conditionalFormatting sqref="F24">
    <cfRule type="expression" dxfId="650" priority="142">
      <formula>$E$24="n/a"</formula>
    </cfRule>
  </conditionalFormatting>
  <conditionalFormatting sqref="F26">
    <cfRule type="expression" dxfId="649" priority="141">
      <formula>$E$26="n/a"</formula>
    </cfRule>
  </conditionalFormatting>
  <conditionalFormatting sqref="F27">
    <cfRule type="expression" dxfId="648" priority="140">
      <formula>$E$27="n/a"</formula>
    </cfRule>
  </conditionalFormatting>
  <conditionalFormatting sqref="F28">
    <cfRule type="expression" dxfId="647" priority="139">
      <formula>$E$28="n/a"</formula>
    </cfRule>
  </conditionalFormatting>
  <conditionalFormatting sqref="F29">
    <cfRule type="expression" dxfId="646" priority="138">
      <formula>$E$29="n/a"</formula>
    </cfRule>
  </conditionalFormatting>
  <conditionalFormatting sqref="F30">
    <cfRule type="expression" dxfId="645" priority="137">
      <formula>$E$30="n/a"</formula>
    </cfRule>
  </conditionalFormatting>
  <conditionalFormatting sqref="F31">
    <cfRule type="expression" dxfId="644" priority="136">
      <formula>$E$31="n/a"</formula>
    </cfRule>
  </conditionalFormatting>
  <conditionalFormatting sqref="F32">
    <cfRule type="expression" dxfId="643" priority="135">
      <formula>$E$32="n/a"</formula>
    </cfRule>
  </conditionalFormatting>
  <conditionalFormatting sqref="F33">
    <cfRule type="expression" dxfId="642" priority="134">
      <formula>$E$33="n/a"</formula>
    </cfRule>
  </conditionalFormatting>
  <conditionalFormatting sqref="F34">
    <cfRule type="expression" dxfId="641" priority="133">
      <formula>$E$34="n/a"</formula>
    </cfRule>
  </conditionalFormatting>
  <conditionalFormatting sqref="F35">
    <cfRule type="expression" dxfId="640" priority="132">
      <formula>$E$35="n/a"</formula>
    </cfRule>
  </conditionalFormatting>
  <conditionalFormatting sqref="F36">
    <cfRule type="expression" dxfId="639" priority="131">
      <formula>$E$36="n/a"</formula>
    </cfRule>
  </conditionalFormatting>
  <conditionalFormatting sqref="F37">
    <cfRule type="expression" dxfId="638" priority="130">
      <formula>$E$37="n/a"</formula>
    </cfRule>
  </conditionalFormatting>
  <conditionalFormatting sqref="F38">
    <cfRule type="expression" dxfId="637" priority="129">
      <formula>$E$38="n/a"</formula>
    </cfRule>
  </conditionalFormatting>
  <conditionalFormatting sqref="F39">
    <cfRule type="expression" dxfId="636" priority="128">
      <formula>$E$39="n/a"</formula>
    </cfRule>
  </conditionalFormatting>
  <conditionalFormatting sqref="F40">
    <cfRule type="expression" dxfId="635" priority="127">
      <formula>$E$40="n/a"</formula>
    </cfRule>
  </conditionalFormatting>
  <conditionalFormatting sqref="F41">
    <cfRule type="expression" dxfId="634" priority="126">
      <formula>$E$41="n/a"</formula>
    </cfRule>
  </conditionalFormatting>
  <conditionalFormatting sqref="F42">
    <cfRule type="expression" dxfId="633" priority="125">
      <formula>$E$42="n/a"</formula>
    </cfRule>
  </conditionalFormatting>
  <conditionalFormatting sqref="F43">
    <cfRule type="expression" dxfId="632" priority="124">
      <formula>$E$43="n/a"</formula>
    </cfRule>
  </conditionalFormatting>
  <conditionalFormatting sqref="F44">
    <cfRule type="expression" dxfId="631" priority="123">
      <formula>$E$44="n/a"</formula>
    </cfRule>
  </conditionalFormatting>
  <conditionalFormatting sqref="F45">
    <cfRule type="expression" dxfId="630" priority="122">
      <formula>$E$45="n/a"</formula>
    </cfRule>
  </conditionalFormatting>
  <conditionalFormatting sqref="F46">
    <cfRule type="expression" dxfId="629" priority="121">
      <formula>$E$46="n/a"</formula>
    </cfRule>
  </conditionalFormatting>
  <conditionalFormatting sqref="F82">
    <cfRule type="expression" dxfId="628" priority="119">
      <formula>$E$82="n/a"</formula>
    </cfRule>
  </conditionalFormatting>
  <conditionalFormatting sqref="F81">
    <cfRule type="expression" dxfId="627" priority="118">
      <formula>$E$81="n/a"</formula>
    </cfRule>
  </conditionalFormatting>
  <conditionalFormatting sqref="F80">
    <cfRule type="expression" dxfId="626" priority="117">
      <formula>$E$80="n/a"</formula>
    </cfRule>
  </conditionalFormatting>
  <conditionalFormatting sqref="F79">
    <cfRule type="expression" dxfId="625" priority="116">
      <formula>$E$79="n/a"</formula>
    </cfRule>
  </conditionalFormatting>
  <conditionalFormatting sqref="F78">
    <cfRule type="expression" dxfId="624" priority="115">
      <formula>$E$78="n/a"</formula>
    </cfRule>
  </conditionalFormatting>
  <conditionalFormatting sqref="F77">
    <cfRule type="expression" dxfId="623" priority="114">
      <formula>$E$77="n/a"</formula>
    </cfRule>
  </conditionalFormatting>
  <conditionalFormatting sqref="F76">
    <cfRule type="expression" dxfId="622" priority="113">
      <formula>$E$76="n/a"</formula>
    </cfRule>
  </conditionalFormatting>
  <conditionalFormatting sqref="F75">
    <cfRule type="expression" dxfId="621" priority="112">
      <formula>$E$75="n/a"</formula>
    </cfRule>
  </conditionalFormatting>
  <conditionalFormatting sqref="F74">
    <cfRule type="expression" dxfId="620" priority="111">
      <formula>$E$74="n/a"</formula>
    </cfRule>
  </conditionalFormatting>
  <conditionalFormatting sqref="F73">
    <cfRule type="expression" dxfId="619" priority="109">
      <formula>$E$73="n/a"</formula>
    </cfRule>
  </conditionalFormatting>
  <conditionalFormatting sqref="F72">
    <cfRule type="expression" dxfId="618" priority="85">
      <formula>$E$72="n/a"</formula>
    </cfRule>
  </conditionalFormatting>
  <conditionalFormatting sqref="F47">
    <cfRule type="expression" dxfId="617" priority="120">
      <formula>$E$47="n/a"</formula>
    </cfRule>
  </conditionalFormatting>
  <conditionalFormatting sqref="F48">
    <cfRule type="expression" dxfId="616" priority="110">
      <formula>$E$48="n/a"</formula>
    </cfRule>
  </conditionalFormatting>
  <conditionalFormatting sqref="F49">
    <cfRule type="expression" dxfId="615" priority="108">
      <formula>$E$49="n/a"</formula>
    </cfRule>
  </conditionalFormatting>
  <conditionalFormatting sqref="F50">
    <cfRule type="expression" dxfId="614" priority="107">
      <formula>$E$50="n/a"</formula>
    </cfRule>
  </conditionalFormatting>
  <conditionalFormatting sqref="F51">
    <cfRule type="expression" dxfId="613" priority="106">
      <formula>$E$51="n/a"</formula>
    </cfRule>
  </conditionalFormatting>
  <conditionalFormatting sqref="F52">
    <cfRule type="expression" dxfId="612" priority="105">
      <formula>$E$52="n/a"</formula>
    </cfRule>
  </conditionalFormatting>
  <conditionalFormatting sqref="F53">
    <cfRule type="expression" dxfId="611" priority="104">
      <formula>$E$53="n/a"</formula>
    </cfRule>
  </conditionalFormatting>
  <conditionalFormatting sqref="F54">
    <cfRule type="expression" dxfId="610" priority="103">
      <formula>$E$54="n/a"</formula>
    </cfRule>
  </conditionalFormatting>
  <conditionalFormatting sqref="F55">
    <cfRule type="expression" dxfId="609" priority="102">
      <formula>$E$55="n/a"</formula>
    </cfRule>
  </conditionalFormatting>
  <conditionalFormatting sqref="F56">
    <cfRule type="expression" dxfId="608" priority="101">
      <formula>$E$56="n/a"</formula>
    </cfRule>
  </conditionalFormatting>
  <conditionalFormatting sqref="F57">
    <cfRule type="expression" dxfId="607" priority="100">
      <formula>$E$57="n/a"</formula>
    </cfRule>
  </conditionalFormatting>
  <conditionalFormatting sqref="F58">
    <cfRule type="expression" dxfId="606" priority="99">
      <formula>$E$58="n/a"</formula>
    </cfRule>
  </conditionalFormatting>
  <conditionalFormatting sqref="F59">
    <cfRule type="expression" dxfId="605" priority="98">
      <formula>$E$59="n/a"</formula>
    </cfRule>
  </conditionalFormatting>
  <conditionalFormatting sqref="F60">
    <cfRule type="expression" dxfId="604" priority="97">
      <formula>$E$60="n/a"</formula>
    </cfRule>
  </conditionalFormatting>
  <conditionalFormatting sqref="F61">
    <cfRule type="expression" dxfId="603" priority="96">
      <formula>$E$61="n/a"</formula>
    </cfRule>
  </conditionalFormatting>
  <conditionalFormatting sqref="F62">
    <cfRule type="expression" dxfId="602" priority="95">
      <formula>$E$62="n/a"</formula>
    </cfRule>
  </conditionalFormatting>
  <conditionalFormatting sqref="F63">
    <cfRule type="expression" dxfId="601" priority="94">
      <formula>$E$63="n/a"</formula>
    </cfRule>
  </conditionalFormatting>
  <conditionalFormatting sqref="F64">
    <cfRule type="expression" dxfId="600" priority="93">
      <formula>$E$64="n/a"</formula>
    </cfRule>
  </conditionalFormatting>
  <conditionalFormatting sqref="F65">
    <cfRule type="expression" dxfId="599" priority="92">
      <formula>$E$65="n/a"</formula>
    </cfRule>
  </conditionalFormatting>
  <conditionalFormatting sqref="F66">
    <cfRule type="expression" dxfId="598" priority="91">
      <formula>$E$66="n/a"</formula>
    </cfRule>
  </conditionalFormatting>
  <conditionalFormatting sqref="F67">
    <cfRule type="expression" dxfId="597" priority="90">
      <formula>$E$67="n/a"</formula>
    </cfRule>
  </conditionalFormatting>
  <conditionalFormatting sqref="F68">
    <cfRule type="expression" dxfId="596" priority="89">
      <formula>$E$68="n/a"</formula>
    </cfRule>
  </conditionalFormatting>
  <conditionalFormatting sqref="F69">
    <cfRule type="expression" dxfId="595" priority="88">
      <formula>$E$69="n/a"</formula>
    </cfRule>
  </conditionalFormatting>
  <conditionalFormatting sqref="F70">
    <cfRule type="expression" dxfId="594" priority="87">
      <formula>$E$70="n/a"</formula>
    </cfRule>
  </conditionalFormatting>
  <conditionalFormatting sqref="F71">
    <cfRule type="expression" dxfId="593" priority="86">
      <formula>$E$71="n/a"</formula>
    </cfRule>
  </conditionalFormatting>
  <conditionalFormatting sqref="I7">
    <cfRule type="expression" dxfId="592" priority="83">
      <formula>$B$7="v"</formula>
    </cfRule>
  </conditionalFormatting>
  <conditionalFormatting sqref="I8">
    <cfRule type="expression" dxfId="591" priority="82">
      <formula>$B$8="v"</formula>
    </cfRule>
  </conditionalFormatting>
  <conditionalFormatting sqref="I9">
    <cfRule type="expression" dxfId="590" priority="81">
      <formula>$B$9="v"</formula>
    </cfRule>
  </conditionalFormatting>
  <conditionalFormatting sqref="I10">
    <cfRule type="expression" dxfId="589" priority="80">
      <formula>$B$10="v"</formula>
    </cfRule>
  </conditionalFormatting>
  <conditionalFormatting sqref="I11">
    <cfRule type="expression" dxfId="588" priority="79">
      <formula>$B$11="v"</formula>
    </cfRule>
  </conditionalFormatting>
  <conditionalFormatting sqref="I12">
    <cfRule type="expression" dxfId="587" priority="78">
      <formula>$B$12="v"</formula>
    </cfRule>
  </conditionalFormatting>
  <conditionalFormatting sqref="I13">
    <cfRule type="expression" dxfId="586" priority="77">
      <formula>$B$13="v"</formula>
    </cfRule>
  </conditionalFormatting>
  <conditionalFormatting sqref="I14">
    <cfRule type="expression" dxfId="585" priority="76">
      <formula>$B$14="v"</formula>
    </cfRule>
  </conditionalFormatting>
  <conditionalFormatting sqref="I15">
    <cfRule type="expression" dxfId="584" priority="75">
      <formula>$B$15="v"</formula>
    </cfRule>
  </conditionalFormatting>
  <conditionalFormatting sqref="I16">
    <cfRule type="expression" dxfId="583" priority="74">
      <formula>$B$16="v"</formula>
    </cfRule>
  </conditionalFormatting>
  <conditionalFormatting sqref="I17">
    <cfRule type="expression" dxfId="582" priority="73">
      <formula>$B$17="v"</formula>
    </cfRule>
  </conditionalFormatting>
  <conditionalFormatting sqref="I18">
    <cfRule type="expression" dxfId="581" priority="72">
      <formula>$B$18="v"</formula>
    </cfRule>
  </conditionalFormatting>
  <conditionalFormatting sqref="I19">
    <cfRule type="expression" dxfId="580" priority="71">
      <formula>$B$19="v"</formula>
    </cfRule>
  </conditionalFormatting>
  <conditionalFormatting sqref="I20">
    <cfRule type="expression" dxfId="579" priority="70">
      <formula>$B$20="v"</formula>
    </cfRule>
  </conditionalFormatting>
  <conditionalFormatting sqref="I21">
    <cfRule type="expression" dxfId="578" priority="69">
      <formula>$B$21="v"</formula>
    </cfRule>
  </conditionalFormatting>
  <conditionalFormatting sqref="I22">
    <cfRule type="expression" dxfId="577" priority="68">
      <formula>$B$22="v"</formula>
    </cfRule>
  </conditionalFormatting>
  <conditionalFormatting sqref="I23">
    <cfRule type="expression" dxfId="576" priority="67">
      <formula>$B$23="v"</formula>
    </cfRule>
  </conditionalFormatting>
  <conditionalFormatting sqref="I24">
    <cfRule type="expression" dxfId="575" priority="66">
      <formula>$B$24="v"</formula>
    </cfRule>
  </conditionalFormatting>
  <conditionalFormatting sqref="I25">
    <cfRule type="expression" dxfId="574" priority="65">
      <formula>$B$25="v"</formula>
    </cfRule>
  </conditionalFormatting>
  <conditionalFormatting sqref="I26">
    <cfRule type="expression" dxfId="573" priority="64">
      <formula>$B$26="v"</formula>
    </cfRule>
  </conditionalFormatting>
  <conditionalFormatting sqref="I27">
    <cfRule type="expression" dxfId="572" priority="63">
      <formula>$B$27="v"</formula>
    </cfRule>
  </conditionalFormatting>
  <conditionalFormatting sqref="I28">
    <cfRule type="expression" dxfId="571" priority="62">
      <formula>$B$28="v"</formula>
    </cfRule>
  </conditionalFormatting>
  <conditionalFormatting sqref="I29">
    <cfRule type="expression" dxfId="570" priority="61">
      <formula>$B$29="v"</formula>
    </cfRule>
  </conditionalFormatting>
  <conditionalFormatting sqref="I30">
    <cfRule type="expression" dxfId="569" priority="60">
      <formula>$B$30="v"</formula>
    </cfRule>
  </conditionalFormatting>
  <conditionalFormatting sqref="I31">
    <cfRule type="expression" dxfId="568" priority="59">
      <formula>$B$31="v"</formula>
    </cfRule>
  </conditionalFormatting>
  <conditionalFormatting sqref="I32">
    <cfRule type="expression" dxfId="567" priority="58">
      <formula>$B$32="v"</formula>
    </cfRule>
  </conditionalFormatting>
  <conditionalFormatting sqref="I33">
    <cfRule type="expression" dxfId="566" priority="57">
      <formula>$B$33="v"</formula>
    </cfRule>
  </conditionalFormatting>
  <conditionalFormatting sqref="I34">
    <cfRule type="expression" dxfId="565" priority="56">
      <formula>$B$34="v"</formula>
    </cfRule>
  </conditionalFormatting>
  <conditionalFormatting sqref="I35">
    <cfRule type="expression" dxfId="564" priority="55">
      <formula>$B$35="v"</formula>
    </cfRule>
  </conditionalFormatting>
  <conditionalFormatting sqref="I36">
    <cfRule type="expression" dxfId="563" priority="54">
      <formula>$B$36="v"</formula>
    </cfRule>
  </conditionalFormatting>
  <conditionalFormatting sqref="I37">
    <cfRule type="expression" dxfId="562" priority="53">
      <formula>$B$37="v"</formula>
    </cfRule>
  </conditionalFormatting>
  <conditionalFormatting sqref="I38">
    <cfRule type="expression" dxfId="561" priority="52">
      <formula>$B$38="v"</formula>
    </cfRule>
  </conditionalFormatting>
  <conditionalFormatting sqref="I39">
    <cfRule type="expression" dxfId="560" priority="51">
      <formula>$B$39="v"</formula>
    </cfRule>
  </conditionalFormatting>
  <conditionalFormatting sqref="I40">
    <cfRule type="expression" dxfId="559" priority="50">
      <formula>$B$40="v"</formula>
    </cfRule>
  </conditionalFormatting>
  <conditionalFormatting sqref="I41">
    <cfRule type="expression" dxfId="558" priority="49">
      <formula>$B$41="v"</formula>
    </cfRule>
  </conditionalFormatting>
  <conditionalFormatting sqref="I42">
    <cfRule type="expression" dxfId="557" priority="48">
      <formula>$B$42="v"</formula>
    </cfRule>
  </conditionalFormatting>
  <conditionalFormatting sqref="I43">
    <cfRule type="expression" dxfId="556" priority="47">
      <formula>$B$43="v"</formula>
    </cfRule>
  </conditionalFormatting>
  <conditionalFormatting sqref="I44">
    <cfRule type="expression" dxfId="555" priority="46">
      <formula>$B$44="v"</formula>
    </cfRule>
  </conditionalFormatting>
  <conditionalFormatting sqref="I45">
    <cfRule type="expression" dxfId="554" priority="45">
      <formula>$B$45="v"</formula>
    </cfRule>
  </conditionalFormatting>
  <conditionalFormatting sqref="I46">
    <cfRule type="expression" dxfId="553" priority="44">
      <formula>$B$46="v"</formula>
    </cfRule>
  </conditionalFormatting>
  <conditionalFormatting sqref="I47">
    <cfRule type="expression" dxfId="552" priority="43">
      <formula>$B$47="v"</formula>
    </cfRule>
  </conditionalFormatting>
  <conditionalFormatting sqref="I48">
    <cfRule type="expression" dxfId="551" priority="42">
      <formula>$B$48="v"</formula>
    </cfRule>
  </conditionalFormatting>
  <conditionalFormatting sqref="I49">
    <cfRule type="expression" dxfId="550" priority="41">
      <formula>$B$49="v"</formula>
    </cfRule>
  </conditionalFormatting>
  <conditionalFormatting sqref="I50">
    <cfRule type="expression" dxfId="549" priority="40">
      <formula>$B$50="v"</formula>
    </cfRule>
  </conditionalFormatting>
  <conditionalFormatting sqref="I51">
    <cfRule type="expression" dxfId="548" priority="39">
      <formula>$B$51="v"</formula>
    </cfRule>
  </conditionalFormatting>
  <conditionalFormatting sqref="I52">
    <cfRule type="expression" dxfId="547" priority="38">
      <formula>$B$52="v"</formula>
    </cfRule>
  </conditionalFormatting>
  <conditionalFormatting sqref="I53">
    <cfRule type="expression" dxfId="546" priority="37">
      <formula>$B$53="v"</formula>
    </cfRule>
  </conditionalFormatting>
  <conditionalFormatting sqref="I54">
    <cfRule type="expression" dxfId="545" priority="36">
      <formula>$B$54="v"</formula>
    </cfRule>
  </conditionalFormatting>
  <conditionalFormatting sqref="I55">
    <cfRule type="expression" dxfId="544" priority="35">
      <formula>$B$55="v"</formula>
    </cfRule>
  </conditionalFormatting>
  <conditionalFormatting sqref="I56">
    <cfRule type="expression" dxfId="543" priority="34">
      <formula>$B$56="v"</formula>
    </cfRule>
  </conditionalFormatting>
  <conditionalFormatting sqref="I57">
    <cfRule type="expression" dxfId="542" priority="33">
      <formula>$B$57="v"</formula>
    </cfRule>
  </conditionalFormatting>
  <conditionalFormatting sqref="I58">
    <cfRule type="expression" dxfId="541" priority="32">
      <formula>$B$58="v"</formula>
    </cfRule>
  </conditionalFormatting>
  <conditionalFormatting sqref="I59">
    <cfRule type="expression" dxfId="540" priority="31">
      <formula>$B$59="v"</formula>
    </cfRule>
  </conditionalFormatting>
  <conditionalFormatting sqref="I60">
    <cfRule type="expression" dxfId="539" priority="30">
      <formula>$B$60="v"</formula>
    </cfRule>
  </conditionalFormatting>
  <conditionalFormatting sqref="I61">
    <cfRule type="expression" dxfId="538" priority="29">
      <formula>$B$61="v"</formula>
    </cfRule>
  </conditionalFormatting>
  <conditionalFormatting sqref="I62">
    <cfRule type="expression" dxfId="537" priority="28">
      <formula>$B$62="v"</formula>
    </cfRule>
  </conditionalFormatting>
  <conditionalFormatting sqref="I63">
    <cfRule type="expression" dxfId="536" priority="27">
      <formula>$B$63="v"</formula>
    </cfRule>
  </conditionalFormatting>
  <conditionalFormatting sqref="I64">
    <cfRule type="expression" dxfId="535" priority="26">
      <formula>$B$64="v"</formula>
    </cfRule>
  </conditionalFormatting>
  <conditionalFormatting sqref="I65">
    <cfRule type="expression" dxfId="534" priority="25">
      <formula>$B$65="v"</formula>
    </cfRule>
  </conditionalFormatting>
  <conditionalFormatting sqref="I66">
    <cfRule type="expression" dxfId="533" priority="24">
      <formula>$B$66="v"</formula>
    </cfRule>
  </conditionalFormatting>
  <conditionalFormatting sqref="I67">
    <cfRule type="expression" dxfId="532" priority="23">
      <formula>$B$67="v"</formula>
    </cfRule>
  </conditionalFormatting>
  <conditionalFormatting sqref="I68">
    <cfRule type="expression" dxfId="531" priority="22">
      <formula>$B$68="v"</formula>
    </cfRule>
  </conditionalFormatting>
  <conditionalFormatting sqref="I69">
    <cfRule type="expression" dxfId="530" priority="21">
      <formula>$B$69="v"</formula>
    </cfRule>
  </conditionalFormatting>
  <conditionalFormatting sqref="I70">
    <cfRule type="expression" dxfId="529" priority="20">
      <formula>$B$70="v"</formula>
    </cfRule>
  </conditionalFormatting>
  <conditionalFormatting sqref="I71">
    <cfRule type="expression" dxfId="528" priority="19">
      <formula>$B$71="v"</formula>
    </cfRule>
  </conditionalFormatting>
  <conditionalFormatting sqref="I72">
    <cfRule type="expression" dxfId="527" priority="18">
      <formula>$B$72="v"</formula>
    </cfRule>
  </conditionalFormatting>
  <conditionalFormatting sqref="I73">
    <cfRule type="expression" dxfId="526" priority="17">
      <formula>$B$73="v"</formula>
    </cfRule>
  </conditionalFormatting>
  <conditionalFormatting sqref="I74">
    <cfRule type="expression" dxfId="525" priority="16">
      <formula>$B$74="v"</formula>
    </cfRule>
  </conditionalFormatting>
  <conditionalFormatting sqref="I75">
    <cfRule type="expression" dxfId="524" priority="15">
      <formula>$B$75="v"</formula>
    </cfRule>
  </conditionalFormatting>
  <conditionalFormatting sqref="I76">
    <cfRule type="expression" dxfId="523" priority="14">
      <formula>$B$76="v"</formula>
    </cfRule>
  </conditionalFormatting>
  <conditionalFormatting sqref="I77">
    <cfRule type="expression" dxfId="522" priority="13">
      <formula>$B$77="v"</formula>
    </cfRule>
  </conditionalFormatting>
  <conditionalFormatting sqref="I78">
    <cfRule type="expression" dxfId="521" priority="12">
      <formula>$B$78="v"</formula>
    </cfRule>
  </conditionalFormatting>
  <conditionalFormatting sqref="I79">
    <cfRule type="expression" dxfId="520" priority="11">
      <formula>$B$79="v"</formula>
    </cfRule>
  </conditionalFormatting>
  <conditionalFormatting sqref="I80">
    <cfRule type="expression" dxfId="519" priority="10">
      <formula>$B$80="v"</formula>
    </cfRule>
  </conditionalFormatting>
  <conditionalFormatting sqref="I81">
    <cfRule type="expression" dxfId="518" priority="9">
      <formula>$B$81="v"</formula>
    </cfRule>
  </conditionalFormatting>
  <conditionalFormatting sqref="I82">
    <cfRule type="expression" dxfId="517" priority="8">
      <formula>$B$82="v"</formula>
    </cfRule>
  </conditionalFormatting>
  <conditionalFormatting sqref="L5:N6">
    <cfRule type="expression" dxfId="516" priority="173">
      <formula>$K$4=1</formula>
    </cfRule>
  </conditionalFormatting>
  <conditionalFormatting sqref="L7:N82">
    <cfRule type="expression" dxfId="515" priority="176">
      <formula>$K$4=1</formula>
    </cfRule>
  </conditionalFormatting>
  <conditionalFormatting sqref="M4:N4">
    <cfRule type="expression" dxfId="514" priority="175">
      <formula>$K$4=1</formula>
    </cfRule>
  </conditionalFormatting>
  <conditionalFormatting sqref="L7:N82">
    <cfRule type="expression" dxfId="513" priority="165">
      <formula>$K$4=""</formula>
    </cfRule>
  </conditionalFormatting>
  <conditionalFormatting sqref="P5:R6">
    <cfRule type="expression" dxfId="512" priority="177">
      <formula>$O$4=1</formula>
    </cfRule>
  </conditionalFormatting>
  <conditionalFormatting sqref="P7:R82">
    <cfRule type="expression" dxfId="511" priority="180">
      <formula>$O$4=1</formula>
    </cfRule>
  </conditionalFormatting>
  <conditionalFormatting sqref="Q4:R4">
    <cfRule type="expression" dxfId="510" priority="179">
      <formula>$O$4=1</formula>
    </cfRule>
  </conditionalFormatting>
  <conditionalFormatting sqref="P7:R82">
    <cfRule type="expression" dxfId="509" priority="163">
      <formula>$O$4=""</formula>
    </cfRule>
  </conditionalFormatting>
  <conditionalFormatting sqref="T5:V6">
    <cfRule type="expression" dxfId="508" priority="181">
      <formula>$S$4=1</formula>
    </cfRule>
  </conditionalFormatting>
  <conditionalFormatting sqref="T7:V82">
    <cfRule type="expression" dxfId="507" priority="226">
      <formula>$S$4=1</formula>
    </cfRule>
  </conditionalFormatting>
  <conditionalFormatting sqref="U4:V4">
    <cfRule type="expression" dxfId="506" priority="183">
      <formula>$S$4=1</formula>
    </cfRule>
  </conditionalFormatting>
  <conditionalFormatting sqref="T7:V82">
    <cfRule type="expression" dxfId="505" priority="161">
      <formula>$S$4=""</formula>
    </cfRule>
  </conditionalFormatting>
  <conditionalFormatting sqref="X5:Z6">
    <cfRule type="expression" dxfId="504" priority="185">
      <formula>$W$4=1</formula>
    </cfRule>
  </conditionalFormatting>
  <conditionalFormatting sqref="X7:Z82">
    <cfRule type="expression" dxfId="503" priority="223">
      <formula>$W$4=1</formula>
    </cfRule>
  </conditionalFormatting>
  <conditionalFormatting sqref="Y4:Z4">
    <cfRule type="expression" dxfId="502" priority="187">
      <formula>$W$4=1</formula>
    </cfRule>
  </conditionalFormatting>
  <conditionalFormatting sqref="X7:Z82">
    <cfRule type="expression" dxfId="501" priority="162">
      <formula>$W$4=""</formula>
    </cfRule>
  </conditionalFormatting>
  <conditionalFormatting sqref="AB5:AD6">
    <cfRule type="expression" dxfId="500" priority="189">
      <formula>$AA$4=1</formula>
    </cfRule>
  </conditionalFormatting>
  <conditionalFormatting sqref="AB7:AD82">
    <cfRule type="expression" dxfId="499" priority="192">
      <formula>$AA$4=1</formula>
    </cfRule>
  </conditionalFormatting>
  <conditionalFormatting sqref="AC4:AD4">
    <cfRule type="expression" dxfId="498" priority="191">
      <formula>$AA$4=1</formula>
    </cfRule>
  </conditionalFormatting>
  <conditionalFormatting sqref="AB7:AD82">
    <cfRule type="expression" dxfId="497" priority="182">
      <formula>$AA$4=""</formula>
    </cfRule>
  </conditionalFormatting>
  <conditionalFormatting sqref="AF5:AH6">
    <cfRule type="expression" dxfId="496" priority="193">
      <formula>$AE$4=1</formula>
    </cfRule>
  </conditionalFormatting>
  <conditionalFormatting sqref="AF7:AH82">
    <cfRule type="expression" dxfId="495" priority="196">
      <formula>$AE$4=1</formula>
    </cfRule>
  </conditionalFormatting>
  <conditionalFormatting sqref="AG4:AH4">
    <cfRule type="expression" dxfId="494" priority="195">
      <formula>$AE$4=1</formula>
    </cfRule>
  </conditionalFormatting>
  <conditionalFormatting sqref="AF7:AH82">
    <cfRule type="expression" dxfId="493" priority="184">
      <formula>$AE$4=""</formula>
    </cfRule>
  </conditionalFormatting>
  <conditionalFormatting sqref="AJ7:AL82">
    <cfRule type="expression" dxfId="492" priority="200">
      <formula>$AI$4=1</formula>
    </cfRule>
  </conditionalFormatting>
  <conditionalFormatting sqref="AK4:AL4">
    <cfRule type="expression" dxfId="491" priority="198">
      <formula>$AI$4=1</formula>
    </cfRule>
  </conditionalFormatting>
  <conditionalFormatting sqref="AJ5:AL6">
    <cfRule type="expression" dxfId="490" priority="199">
      <formula>$AI$4=1</formula>
    </cfRule>
  </conditionalFormatting>
  <conditionalFormatting sqref="AJ7:AL82">
    <cfRule type="expression" dxfId="489" priority="186">
      <formula>$AI$4=""</formula>
    </cfRule>
  </conditionalFormatting>
  <conditionalFormatting sqref="AN7:AP82">
    <cfRule type="expression" dxfId="488" priority="204">
      <formula>$AM$4=1</formula>
    </cfRule>
  </conditionalFormatting>
  <conditionalFormatting sqref="AO4:AP4 AS4:AT4">
    <cfRule type="expression" dxfId="487" priority="202">
      <formula>AQ$4=1</formula>
    </cfRule>
  </conditionalFormatting>
  <conditionalFormatting sqref="AN5:AP6">
    <cfRule type="expression" dxfId="486" priority="203">
      <formula>$AM$4=1</formula>
    </cfRule>
  </conditionalFormatting>
  <conditionalFormatting sqref="AN7:AP82">
    <cfRule type="expression" dxfId="485" priority="188">
      <formula>$AM$4=""</formula>
    </cfRule>
  </conditionalFormatting>
  <conditionalFormatting sqref="AR7:AT82">
    <cfRule type="expression" dxfId="484" priority="207">
      <formula>$AQ$4=1</formula>
    </cfRule>
  </conditionalFormatting>
  <conditionalFormatting sqref="AR5:AT6">
    <cfRule type="expression" dxfId="483" priority="206">
      <formula>$AQ$4=1</formula>
    </cfRule>
  </conditionalFormatting>
  <conditionalFormatting sqref="AR7:AT82">
    <cfRule type="expression" dxfId="482" priority="190">
      <formula>$AQ$4=""</formula>
    </cfRule>
  </conditionalFormatting>
  <conditionalFormatting sqref="AV7:AX82">
    <cfRule type="expression" dxfId="481" priority="210">
      <formula>$AU$4=1</formula>
    </cfRule>
  </conditionalFormatting>
  <conditionalFormatting sqref="AV5:AX6">
    <cfRule type="expression" dxfId="480" priority="209">
      <formula>$AU$4=1</formula>
    </cfRule>
  </conditionalFormatting>
  <conditionalFormatting sqref="AV7:AX82">
    <cfRule type="expression" dxfId="479" priority="160">
      <formula>$AU$4=""</formula>
    </cfRule>
  </conditionalFormatting>
  <conditionalFormatting sqref="AZ7:BB82">
    <cfRule type="expression" dxfId="478" priority="213">
      <formula>$AY$4=1</formula>
    </cfRule>
  </conditionalFormatting>
  <conditionalFormatting sqref="AZ5:BB6">
    <cfRule type="expression" dxfId="477" priority="212">
      <formula>$AY$4=1</formula>
    </cfRule>
  </conditionalFormatting>
  <conditionalFormatting sqref="AZ7:BB82">
    <cfRule type="expression" dxfId="476" priority="194">
      <formula>$AY$4=""</formula>
    </cfRule>
  </conditionalFormatting>
  <conditionalFormatting sqref="BD7:BF82">
    <cfRule type="expression" dxfId="475" priority="216">
      <formula>$BC$4=1</formula>
    </cfRule>
  </conditionalFormatting>
  <conditionalFormatting sqref="BD5:BF6">
    <cfRule type="expression" dxfId="474" priority="215">
      <formula>$BC$4=1</formula>
    </cfRule>
  </conditionalFormatting>
  <conditionalFormatting sqref="BD7:BF82">
    <cfRule type="expression" dxfId="473" priority="197">
      <formula>$BC$4=""</formula>
    </cfRule>
  </conditionalFormatting>
  <conditionalFormatting sqref="BH7:BJ82">
    <cfRule type="expression" dxfId="472" priority="219">
      <formula>$BG$4=1</formula>
    </cfRule>
  </conditionalFormatting>
  <conditionalFormatting sqref="BH5:BJ6">
    <cfRule type="expression" dxfId="471" priority="218">
      <formula>$BG$4=1</formula>
    </cfRule>
  </conditionalFormatting>
  <conditionalFormatting sqref="BH7:BJ82">
    <cfRule type="expression" dxfId="470" priority="201">
      <formula>$BG$4=""</formula>
    </cfRule>
  </conditionalFormatting>
  <conditionalFormatting sqref="BL7:BN82">
    <cfRule type="expression" dxfId="469" priority="222">
      <formula>$BK$4=1</formula>
    </cfRule>
  </conditionalFormatting>
  <conditionalFormatting sqref="BL5:BN6">
    <cfRule type="expression" dxfId="468" priority="221">
      <formula>$BK$4=1</formula>
    </cfRule>
  </conditionalFormatting>
  <conditionalFormatting sqref="BL7:BN82">
    <cfRule type="expression" dxfId="467" priority="205">
      <formula>$BK$4=""</formula>
    </cfRule>
  </conditionalFormatting>
  <conditionalFormatting sqref="BP7:BR82">
    <cfRule type="expression" dxfId="466" priority="225">
      <formula>$BO$4=1</formula>
    </cfRule>
  </conditionalFormatting>
  <conditionalFormatting sqref="BP5:BR6">
    <cfRule type="expression" dxfId="465" priority="224">
      <formula>$BO$4=1</formula>
    </cfRule>
  </conditionalFormatting>
  <conditionalFormatting sqref="BP7:BR82">
    <cfRule type="expression" dxfId="464" priority="211">
      <formula>$BO$4=""</formula>
    </cfRule>
  </conditionalFormatting>
  <conditionalFormatting sqref="BT7:BV82">
    <cfRule type="expression" dxfId="463" priority="228">
      <formula>$BS$4=1</formula>
    </cfRule>
  </conditionalFormatting>
  <conditionalFormatting sqref="BT5:BV6">
    <cfRule type="expression" dxfId="462" priority="227">
      <formula>$BS$4=1</formula>
    </cfRule>
  </conditionalFormatting>
  <conditionalFormatting sqref="BT7:BV82">
    <cfRule type="expression" dxfId="461" priority="214">
      <formula>$BS$4=""</formula>
    </cfRule>
  </conditionalFormatting>
  <conditionalFormatting sqref="AW4:AX4">
    <cfRule type="expression" dxfId="460" priority="7">
      <formula>AU$4=1</formula>
    </cfRule>
  </conditionalFormatting>
  <conditionalFormatting sqref="BA4:BB4">
    <cfRule type="expression" dxfId="459" priority="6">
      <formula>AY$4=1</formula>
    </cfRule>
  </conditionalFormatting>
  <conditionalFormatting sqref="BE4:BF4">
    <cfRule type="expression" dxfId="458" priority="5">
      <formula>BC$4=1</formula>
    </cfRule>
  </conditionalFormatting>
  <conditionalFormatting sqref="BI4:BJ4">
    <cfRule type="expression" dxfId="457" priority="4">
      <formula>BG$4=1</formula>
    </cfRule>
  </conditionalFormatting>
  <conditionalFormatting sqref="BM4:BN4">
    <cfRule type="expression" dxfId="456" priority="3">
      <formula>BK$4=1</formula>
    </cfRule>
  </conditionalFormatting>
  <conditionalFormatting sqref="BQ4:BR4">
    <cfRule type="expression" dxfId="455" priority="2">
      <formula>BO$4=1</formula>
    </cfRule>
  </conditionalFormatting>
  <conditionalFormatting sqref="BU4:BV4">
    <cfRule type="expression" dxfId="454" priority="1">
      <formula>BS$4=1</formula>
    </cfRule>
  </conditionalFormatting>
  <dataValidations count="3">
    <dataValidation type="list" allowBlank="1" showInputMessage="1" showErrorMessage="1" sqref="BP7:BP82 AV7:AV82 BL7:BL82 BT7:BT82 BH7:BH82 BD7:BD82 AZ7:AZ82" xr:uid="{E3ABF544-7CB4-4315-9030-486B48209CC1}">
      <formula1>"&lt;, &lt;=, &gt;, &gt;=, ="</formula1>
    </dataValidation>
    <dataValidation type="list" allowBlank="1" showInputMessage="1" showErrorMessage="1" sqref="B7:B82" xr:uid="{9F3B6374-FDE2-4C49-B5BD-8E49803A07D3}">
      <formula1>"v"</formula1>
    </dataValidation>
    <dataValidation type="list" allowBlank="1" showInputMessage="1" showErrorMessage="1" sqref="F2" xr:uid="{BE10DDB3-5145-49DE-85E3-205473C31804}">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7EA68A8D-B008-4443-A382-65746FC1D066}">
          <x14:formula1>
            <xm:f>Sheet3!$A$2:$A$49</xm:f>
          </x14:formula1>
          <xm:sqref>F3</xm:sqref>
        </x14:dataValidation>
        <x14:dataValidation type="list" allowBlank="1" showInputMessage="1" xr:uid="{755C7809-43D8-47BB-B0E7-11981A910347}">
          <x14:formula1>
            <xm:f>Sheet3!$J$153:$J$168</xm:f>
          </x14:formula1>
          <xm:sqref>H7:H82 N7:N82 R7:R82 V7:V82 Z7:Z82 AD7:AD82 AH7:AH82 AL7:AL82 AP7:AP82 AT7:AT82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63B2D-28A3-468D-92FA-7F6D20F13077}">
  <sheetPr codeName="Sheet11">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238</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453" priority="170">
      <formula>$F$1=1</formula>
    </cfRule>
    <cfRule type="expression" priority="171">
      <formula>$F$1</formula>
    </cfRule>
  </conditionalFormatting>
  <conditionalFormatting sqref="J4">
    <cfRule type="expression" dxfId="452" priority="172">
      <formula>$F$1=1</formula>
    </cfRule>
  </conditionalFormatting>
  <conditionalFormatting sqref="C7:G82">
    <cfRule type="expression" dxfId="451" priority="84">
      <formula>$B7="v"</formula>
    </cfRule>
  </conditionalFormatting>
  <conditionalFormatting sqref="H7:H82">
    <cfRule type="expression" dxfId="450" priority="168">
      <formula>$B7="v"</formula>
    </cfRule>
  </conditionalFormatting>
  <conditionalFormatting sqref="N7:N82">
    <cfRule type="expression" dxfId="449" priority="167">
      <formula>$B7="v"</formula>
    </cfRule>
  </conditionalFormatting>
  <conditionalFormatting sqref="M7:M82">
    <cfRule type="expression" dxfId="448" priority="166">
      <formula>$B7="v"</formula>
    </cfRule>
  </conditionalFormatting>
  <conditionalFormatting sqref="L7:L82">
    <cfRule type="expression" dxfId="447" priority="174">
      <formula>$B7="v"</formula>
    </cfRule>
  </conditionalFormatting>
  <conditionalFormatting sqref="P7:Q82">
    <cfRule type="expression" dxfId="446" priority="178">
      <formula>$B7="v"</formula>
    </cfRule>
  </conditionalFormatting>
  <conditionalFormatting sqref="R7:R82">
    <cfRule type="expression" dxfId="445" priority="164">
      <formula>$B7="v"</formula>
    </cfRule>
  </conditionalFormatting>
  <conditionalFormatting sqref="Z7:Z82 V7:V82 AL7:AL82 AH7:AH82 AD7:AD82 AX7:AX82 AT7:AT82 AP7:AP82 BJ7:BJ82 BF7:BF82 BB7:BB82 BV7:BV82 BR7:BR82 BN7:BN82">
    <cfRule type="expression" dxfId="444" priority="217">
      <formula>$B7="v"</formula>
    </cfRule>
  </conditionalFormatting>
  <conditionalFormatting sqref="X7:Y82 T7:U82 AJ7:AK82 AF7:AG82 AB7:AC82 AR7:AS82 AN7:AO82 BH7:BI82 BD7:BE82 AZ7:BA82 BT7:BU82 BP7:BQ82 BL7:BM82">
    <cfRule type="expression" dxfId="443" priority="220">
      <formula>$B7="v"</formula>
    </cfRule>
  </conditionalFormatting>
  <conditionalFormatting sqref="AV7:AW82">
    <cfRule type="expression" dxfId="442" priority="208">
      <formula>$B7="v"</formula>
    </cfRule>
  </conditionalFormatting>
  <conditionalFormatting sqref="F25">
    <cfRule type="expression" dxfId="441" priority="159">
      <formula>$E$25="n/a"</formula>
    </cfRule>
  </conditionalFormatting>
  <conditionalFormatting sqref="F7">
    <cfRule type="expression" dxfId="440" priority="158">
      <formula>$E$7="n/a"</formula>
    </cfRule>
  </conditionalFormatting>
  <conditionalFormatting sqref="F8">
    <cfRule type="expression" dxfId="439" priority="169">
      <formula>$E$8="n/a"</formula>
    </cfRule>
  </conditionalFormatting>
  <conditionalFormatting sqref="F9">
    <cfRule type="expression" dxfId="438" priority="157">
      <formula>$E$9="n/a"</formula>
    </cfRule>
  </conditionalFormatting>
  <conditionalFormatting sqref="F10">
    <cfRule type="expression" dxfId="437" priority="156">
      <formula>$E$10="n/a"</formula>
    </cfRule>
  </conditionalFormatting>
  <conditionalFormatting sqref="F11">
    <cfRule type="expression" dxfId="436" priority="155">
      <formula>$E$11="n/a"</formula>
    </cfRule>
  </conditionalFormatting>
  <conditionalFormatting sqref="F12">
    <cfRule type="expression" dxfId="435" priority="154">
      <formula>$E$12="n/a"</formula>
    </cfRule>
  </conditionalFormatting>
  <conditionalFormatting sqref="F13">
    <cfRule type="expression" dxfId="434" priority="153">
      <formula>$E$13="n/a"</formula>
    </cfRule>
  </conditionalFormatting>
  <conditionalFormatting sqref="F14">
    <cfRule type="expression" dxfId="433" priority="152">
      <formula>$E$14="n/a"</formula>
    </cfRule>
  </conditionalFormatting>
  <conditionalFormatting sqref="F15">
    <cfRule type="expression" dxfId="432" priority="151">
      <formula>$E$15="n/a"</formula>
    </cfRule>
  </conditionalFormatting>
  <conditionalFormatting sqref="F16">
    <cfRule type="expression" dxfId="431" priority="150">
      <formula>$E$16="n/a"</formula>
    </cfRule>
  </conditionalFormatting>
  <conditionalFormatting sqref="F17">
    <cfRule type="expression" dxfId="430" priority="149">
      <formula>$E$17="n/a"</formula>
    </cfRule>
  </conditionalFormatting>
  <conditionalFormatting sqref="F18">
    <cfRule type="expression" dxfId="429" priority="148">
      <formula>$E$18="n/a"</formula>
    </cfRule>
  </conditionalFormatting>
  <conditionalFormatting sqref="F19">
    <cfRule type="expression" dxfId="428" priority="147">
      <formula>$E$19="n/a"</formula>
    </cfRule>
  </conditionalFormatting>
  <conditionalFormatting sqref="F20">
    <cfRule type="expression" dxfId="427" priority="146">
      <formula>$E$20="n/a"</formula>
    </cfRule>
  </conditionalFormatting>
  <conditionalFormatting sqref="F21">
    <cfRule type="expression" dxfId="426" priority="145">
      <formula>$E$21="n/a"</formula>
    </cfRule>
  </conditionalFormatting>
  <conditionalFormatting sqref="F22">
    <cfRule type="expression" dxfId="425" priority="144">
      <formula>$E$22="n/a"</formula>
    </cfRule>
  </conditionalFormatting>
  <conditionalFormatting sqref="F23">
    <cfRule type="expression" dxfId="424" priority="143">
      <formula>$E$23="n/a"</formula>
    </cfRule>
  </conditionalFormatting>
  <conditionalFormatting sqref="F24">
    <cfRule type="expression" dxfId="423" priority="142">
      <formula>$E$24="n/a"</formula>
    </cfRule>
  </conditionalFormatting>
  <conditionalFormatting sqref="F26">
    <cfRule type="expression" dxfId="422" priority="141">
      <formula>$E$26="n/a"</formula>
    </cfRule>
  </conditionalFormatting>
  <conditionalFormatting sqref="F27">
    <cfRule type="expression" dxfId="421" priority="140">
      <formula>$E$27="n/a"</formula>
    </cfRule>
  </conditionalFormatting>
  <conditionalFormatting sqref="F28">
    <cfRule type="expression" dxfId="420" priority="139">
      <formula>$E$28="n/a"</formula>
    </cfRule>
  </conditionalFormatting>
  <conditionalFormatting sqref="F29">
    <cfRule type="expression" dxfId="419" priority="138">
      <formula>$E$29="n/a"</formula>
    </cfRule>
  </conditionalFormatting>
  <conditionalFormatting sqref="F30">
    <cfRule type="expression" dxfId="418" priority="137">
      <formula>$E$30="n/a"</formula>
    </cfRule>
  </conditionalFormatting>
  <conditionalFormatting sqref="F31">
    <cfRule type="expression" dxfId="417" priority="136">
      <formula>$E$31="n/a"</formula>
    </cfRule>
  </conditionalFormatting>
  <conditionalFormatting sqref="F32">
    <cfRule type="expression" dxfId="416" priority="135">
      <formula>$E$32="n/a"</formula>
    </cfRule>
  </conditionalFormatting>
  <conditionalFormatting sqref="F33">
    <cfRule type="expression" dxfId="415" priority="134">
      <formula>$E$33="n/a"</formula>
    </cfRule>
  </conditionalFormatting>
  <conditionalFormatting sqref="F34">
    <cfRule type="expression" dxfId="414" priority="133">
      <formula>$E$34="n/a"</formula>
    </cfRule>
  </conditionalFormatting>
  <conditionalFormatting sqref="F35">
    <cfRule type="expression" dxfId="413" priority="132">
      <formula>$E$35="n/a"</formula>
    </cfRule>
  </conditionalFormatting>
  <conditionalFormatting sqref="F36">
    <cfRule type="expression" dxfId="412" priority="131">
      <formula>$E$36="n/a"</formula>
    </cfRule>
  </conditionalFormatting>
  <conditionalFormatting sqref="F37">
    <cfRule type="expression" dxfId="411" priority="130">
      <formula>$E$37="n/a"</formula>
    </cfRule>
  </conditionalFormatting>
  <conditionalFormatting sqref="F38">
    <cfRule type="expression" dxfId="410" priority="129">
      <formula>$E$38="n/a"</formula>
    </cfRule>
  </conditionalFormatting>
  <conditionalFormatting sqref="F39">
    <cfRule type="expression" dxfId="409" priority="128">
      <formula>$E$39="n/a"</formula>
    </cfRule>
  </conditionalFormatting>
  <conditionalFormatting sqref="F40">
    <cfRule type="expression" dxfId="408" priority="127">
      <formula>$E$40="n/a"</formula>
    </cfRule>
  </conditionalFormatting>
  <conditionalFormatting sqref="F41">
    <cfRule type="expression" dxfId="407" priority="126">
      <formula>$E$41="n/a"</formula>
    </cfRule>
  </conditionalFormatting>
  <conditionalFormatting sqref="F42">
    <cfRule type="expression" dxfId="406" priority="125">
      <formula>$E$42="n/a"</formula>
    </cfRule>
  </conditionalFormatting>
  <conditionalFormatting sqref="F43">
    <cfRule type="expression" dxfId="405" priority="124">
      <formula>$E$43="n/a"</formula>
    </cfRule>
  </conditionalFormatting>
  <conditionalFormatting sqref="F44">
    <cfRule type="expression" dxfId="404" priority="123">
      <formula>$E$44="n/a"</formula>
    </cfRule>
  </conditionalFormatting>
  <conditionalFormatting sqref="F45">
    <cfRule type="expression" dxfId="403" priority="122">
      <formula>$E$45="n/a"</formula>
    </cfRule>
  </conditionalFormatting>
  <conditionalFormatting sqref="F46">
    <cfRule type="expression" dxfId="402" priority="121">
      <formula>$E$46="n/a"</formula>
    </cfRule>
  </conditionalFormatting>
  <conditionalFormatting sqref="F82">
    <cfRule type="expression" dxfId="401" priority="119">
      <formula>$E$82="n/a"</formula>
    </cfRule>
  </conditionalFormatting>
  <conditionalFormatting sqref="F81">
    <cfRule type="expression" dxfId="400" priority="118">
      <formula>$E$81="n/a"</formula>
    </cfRule>
  </conditionalFormatting>
  <conditionalFormatting sqref="F80">
    <cfRule type="expression" dxfId="399" priority="117">
      <formula>$E$80="n/a"</formula>
    </cfRule>
  </conditionalFormatting>
  <conditionalFormatting sqref="F79">
    <cfRule type="expression" dxfId="398" priority="116">
      <formula>$E$79="n/a"</formula>
    </cfRule>
  </conditionalFormatting>
  <conditionalFormatting sqref="F78">
    <cfRule type="expression" dxfId="397" priority="115">
      <formula>$E$78="n/a"</formula>
    </cfRule>
  </conditionalFormatting>
  <conditionalFormatting sqref="F77">
    <cfRule type="expression" dxfId="396" priority="114">
      <formula>$E$77="n/a"</formula>
    </cfRule>
  </conditionalFormatting>
  <conditionalFormatting sqref="F76">
    <cfRule type="expression" dxfId="395" priority="113">
      <formula>$E$76="n/a"</formula>
    </cfRule>
  </conditionalFormatting>
  <conditionalFormatting sqref="F75">
    <cfRule type="expression" dxfId="394" priority="112">
      <formula>$E$75="n/a"</formula>
    </cfRule>
  </conditionalFormatting>
  <conditionalFormatting sqref="F74">
    <cfRule type="expression" dxfId="393" priority="111">
      <formula>$E$74="n/a"</formula>
    </cfRule>
  </conditionalFormatting>
  <conditionalFormatting sqref="F73">
    <cfRule type="expression" dxfId="392" priority="109">
      <formula>$E$73="n/a"</formula>
    </cfRule>
  </conditionalFormatting>
  <conditionalFormatting sqref="F72">
    <cfRule type="expression" dxfId="391" priority="85">
      <formula>$E$72="n/a"</formula>
    </cfRule>
  </conditionalFormatting>
  <conditionalFormatting sqref="F47">
    <cfRule type="expression" dxfId="390" priority="120">
      <formula>$E$47="n/a"</formula>
    </cfRule>
  </conditionalFormatting>
  <conditionalFormatting sqref="F48">
    <cfRule type="expression" dxfId="389" priority="110">
      <formula>$E$48="n/a"</formula>
    </cfRule>
  </conditionalFormatting>
  <conditionalFormatting sqref="F49">
    <cfRule type="expression" dxfId="388" priority="108">
      <formula>$E$49="n/a"</formula>
    </cfRule>
  </conditionalFormatting>
  <conditionalFormatting sqref="F50">
    <cfRule type="expression" dxfId="387" priority="107">
      <formula>$E$50="n/a"</formula>
    </cfRule>
  </conditionalFormatting>
  <conditionalFormatting sqref="F51">
    <cfRule type="expression" dxfId="386" priority="106">
      <formula>$E$51="n/a"</formula>
    </cfRule>
  </conditionalFormatting>
  <conditionalFormatting sqref="F52">
    <cfRule type="expression" dxfId="385" priority="105">
      <formula>$E$52="n/a"</formula>
    </cfRule>
  </conditionalFormatting>
  <conditionalFormatting sqref="F53">
    <cfRule type="expression" dxfId="384" priority="104">
      <formula>$E$53="n/a"</formula>
    </cfRule>
  </conditionalFormatting>
  <conditionalFormatting sqref="F54">
    <cfRule type="expression" dxfId="383" priority="103">
      <formula>$E$54="n/a"</formula>
    </cfRule>
  </conditionalFormatting>
  <conditionalFormatting sqref="F55">
    <cfRule type="expression" dxfId="382" priority="102">
      <formula>$E$55="n/a"</formula>
    </cfRule>
  </conditionalFormatting>
  <conditionalFormatting sqref="F56">
    <cfRule type="expression" dxfId="381" priority="101">
      <formula>$E$56="n/a"</formula>
    </cfRule>
  </conditionalFormatting>
  <conditionalFormatting sqref="F57">
    <cfRule type="expression" dxfId="380" priority="100">
      <formula>$E$57="n/a"</formula>
    </cfRule>
  </conditionalFormatting>
  <conditionalFormatting sqref="F58">
    <cfRule type="expression" dxfId="379" priority="99">
      <formula>$E$58="n/a"</formula>
    </cfRule>
  </conditionalFormatting>
  <conditionalFormatting sqref="F59">
    <cfRule type="expression" dxfId="378" priority="98">
      <formula>$E$59="n/a"</formula>
    </cfRule>
  </conditionalFormatting>
  <conditionalFormatting sqref="F60">
    <cfRule type="expression" dxfId="377" priority="97">
      <formula>$E$60="n/a"</formula>
    </cfRule>
  </conditionalFormatting>
  <conditionalFormatting sqref="F61">
    <cfRule type="expression" dxfId="376" priority="96">
      <formula>$E$61="n/a"</formula>
    </cfRule>
  </conditionalFormatting>
  <conditionalFormatting sqref="F62">
    <cfRule type="expression" dxfId="375" priority="95">
      <formula>$E$62="n/a"</formula>
    </cfRule>
  </conditionalFormatting>
  <conditionalFormatting sqref="F63">
    <cfRule type="expression" dxfId="374" priority="94">
      <formula>$E$63="n/a"</formula>
    </cfRule>
  </conditionalFormatting>
  <conditionalFormatting sqref="F64">
    <cfRule type="expression" dxfId="373" priority="93">
      <formula>$E$64="n/a"</formula>
    </cfRule>
  </conditionalFormatting>
  <conditionalFormatting sqref="F65">
    <cfRule type="expression" dxfId="372" priority="92">
      <formula>$E$65="n/a"</formula>
    </cfRule>
  </conditionalFormatting>
  <conditionalFormatting sqref="F66">
    <cfRule type="expression" dxfId="371" priority="91">
      <formula>$E$66="n/a"</formula>
    </cfRule>
  </conditionalFormatting>
  <conditionalFormatting sqref="F67">
    <cfRule type="expression" dxfId="370" priority="90">
      <formula>$E$67="n/a"</formula>
    </cfRule>
  </conditionalFormatting>
  <conditionalFormatting sqref="F68">
    <cfRule type="expression" dxfId="369" priority="89">
      <formula>$E$68="n/a"</formula>
    </cfRule>
  </conditionalFormatting>
  <conditionalFormatting sqref="F69">
    <cfRule type="expression" dxfId="368" priority="88">
      <formula>$E$69="n/a"</formula>
    </cfRule>
  </conditionalFormatting>
  <conditionalFormatting sqref="F70">
    <cfRule type="expression" dxfId="367" priority="87">
      <formula>$E$70="n/a"</formula>
    </cfRule>
  </conditionalFormatting>
  <conditionalFormatting sqref="F71">
    <cfRule type="expression" dxfId="366" priority="86">
      <formula>$E$71="n/a"</formula>
    </cfRule>
  </conditionalFormatting>
  <conditionalFormatting sqref="I7">
    <cfRule type="expression" dxfId="365" priority="83">
      <formula>$B$7="v"</formula>
    </cfRule>
  </conditionalFormatting>
  <conditionalFormatting sqref="I8">
    <cfRule type="expression" dxfId="364" priority="82">
      <formula>$B$8="v"</formula>
    </cfRule>
  </conditionalFormatting>
  <conditionalFormatting sqref="I9">
    <cfRule type="expression" dxfId="363" priority="81">
      <formula>$B$9="v"</formula>
    </cfRule>
  </conditionalFormatting>
  <conditionalFormatting sqref="I10">
    <cfRule type="expression" dxfId="362" priority="80">
      <formula>$B$10="v"</formula>
    </cfRule>
  </conditionalFormatting>
  <conditionalFormatting sqref="I11">
    <cfRule type="expression" dxfId="361" priority="79">
      <formula>$B$11="v"</formula>
    </cfRule>
  </conditionalFormatting>
  <conditionalFormatting sqref="I12">
    <cfRule type="expression" dxfId="360" priority="78">
      <formula>$B$12="v"</formula>
    </cfRule>
  </conditionalFormatting>
  <conditionalFormatting sqref="I13">
    <cfRule type="expression" dxfId="359" priority="77">
      <formula>$B$13="v"</formula>
    </cfRule>
  </conditionalFormatting>
  <conditionalFormatting sqref="I14">
    <cfRule type="expression" dxfId="358" priority="76">
      <formula>$B$14="v"</formula>
    </cfRule>
  </conditionalFormatting>
  <conditionalFormatting sqref="I15">
    <cfRule type="expression" dxfId="357" priority="75">
      <formula>$B$15="v"</formula>
    </cfRule>
  </conditionalFormatting>
  <conditionalFormatting sqref="I16">
    <cfRule type="expression" dxfId="356" priority="74">
      <formula>$B$16="v"</formula>
    </cfRule>
  </conditionalFormatting>
  <conditionalFormatting sqref="I17">
    <cfRule type="expression" dxfId="355" priority="73">
      <formula>$B$17="v"</formula>
    </cfRule>
  </conditionalFormatting>
  <conditionalFormatting sqref="I18">
    <cfRule type="expression" dxfId="354" priority="72">
      <formula>$B$18="v"</formula>
    </cfRule>
  </conditionalFormatting>
  <conditionalFormatting sqref="I19">
    <cfRule type="expression" dxfId="353" priority="71">
      <formula>$B$19="v"</formula>
    </cfRule>
  </conditionalFormatting>
  <conditionalFormatting sqref="I20">
    <cfRule type="expression" dxfId="352" priority="70">
      <formula>$B$20="v"</formula>
    </cfRule>
  </conditionalFormatting>
  <conditionalFormatting sqref="I21">
    <cfRule type="expression" dxfId="351" priority="69">
      <formula>$B$21="v"</formula>
    </cfRule>
  </conditionalFormatting>
  <conditionalFormatting sqref="I22">
    <cfRule type="expression" dxfId="350" priority="68">
      <formula>$B$22="v"</formula>
    </cfRule>
  </conditionalFormatting>
  <conditionalFormatting sqref="I23">
    <cfRule type="expression" dxfId="349" priority="67">
      <formula>$B$23="v"</formula>
    </cfRule>
  </conditionalFormatting>
  <conditionalFormatting sqref="I24">
    <cfRule type="expression" dxfId="348" priority="66">
      <formula>$B$24="v"</formula>
    </cfRule>
  </conditionalFormatting>
  <conditionalFormatting sqref="I25">
    <cfRule type="expression" dxfId="347" priority="65">
      <formula>$B$25="v"</formula>
    </cfRule>
  </conditionalFormatting>
  <conditionalFormatting sqref="I26">
    <cfRule type="expression" dxfId="346" priority="64">
      <formula>$B$26="v"</formula>
    </cfRule>
  </conditionalFormatting>
  <conditionalFormatting sqref="I27">
    <cfRule type="expression" dxfId="345" priority="63">
      <formula>$B$27="v"</formula>
    </cfRule>
  </conditionalFormatting>
  <conditionalFormatting sqref="I28">
    <cfRule type="expression" dxfId="344" priority="62">
      <formula>$B$28="v"</formula>
    </cfRule>
  </conditionalFormatting>
  <conditionalFormatting sqref="I29">
    <cfRule type="expression" dxfId="343" priority="61">
      <formula>$B$29="v"</formula>
    </cfRule>
  </conditionalFormatting>
  <conditionalFormatting sqref="I30">
    <cfRule type="expression" dxfId="342" priority="60">
      <formula>$B$30="v"</formula>
    </cfRule>
  </conditionalFormatting>
  <conditionalFormatting sqref="I31">
    <cfRule type="expression" dxfId="341" priority="59">
      <formula>$B$31="v"</formula>
    </cfRule>
  </conditionalFormatting>
  <conditionalFormatting sqref="I32">
    <cfRule type="expression" dxfId="340" priority="58">
      <formula>$B$32="v"</formula>
    </cfRule>
  </conditionalFormatting>
  <conditionalFormatting sqref="I33">
    <cfRule type="expression" dxfId="339" priority="57">
      <formula>$B$33="v"</formula>
    </cfRule>
  </conditionalFormatting>
  <conditionalFormatting sqref="I34">
    <cfRule type="expression" dxfId="338" priority="56">
      <formula>$B$34="v"</formula>
    </cfRule>
  </conditionalFormatting>
  <conditionalFormatting sqref="I35">
    <cfRule type="expression" dxfId="337" priority="55">
      <formula>$B$35="v"</formula>
    </cfRule>
  </conditionalFormatting>
  <conditionalFormatting sqref="I36">
    <cfRule type="expression" dxfId="336" priority="54">
      <formula>$B$36="v"</formula>
    </cfRule>
  </conditionalFormatting>
  <conditionalFormatting sqref="I37">
    <cfRule type="expression" dxfId="335" priority="53">
      <formula>$B$37="v"</formula>
    </cfRule>
  </conditionalFormatting>
  <conditionalFormatting sqref="I38">
    <cfRule type="expression" dxfId="334" priority="52">
      <formula>$B$38="v"</formula>
    </cfRule>
  </conditionalFormatting>
  <conditionalFormatting sqref="I39">
    <cfRule type="expression" dxfId="333" priority="51">
      <formula>$B$39="v"</formula>
    </cfRule>
  </conditionalFormatting>
  <conditionalFormatting sqref="I40">
    <cfRule type="expression" dxfId="332" priority="50">
      <formula>$B$40="v"</formula>
    </cfRule>
  </conditionalFormatting>
  <conditionalFormatting sqref="I41">
    <cfRule type="expression" dxfId="331" priority="49">
      <formula>$B$41="v"</formula>
    </cfRule>
  </conditionalFormatting>
  <conditionalFormatting sqref="I42">
    <cfRule type="expression" dxfId="330" priority="48">
      <formula>$B$42="v"</formula>
    </cfRule>
  </conditionalFormatting>
  <conditionalFormatting sqref="I43">
    <cfRule type="expression" dxfId="329" priority="47">
      <formula>$B$43="v"</formula>
    </cfRule>
  </conditionalFormatting>
  <conditionalFormatting sqref="I44">
    <cfRule type="expression" dxfId="328" priority="46">
      <formula>$B$44="v"</formula>
    </cfRule>
  </conditionalFormatting>
  <conditionalFormatting sqref="I45">
    <cfRule type="expression" dxfId="327" priority="45">
      <formula>$B$45="v"</formula>
    </cfRule>
  </conditionalFormatting>
  <conditionalFormatting sqref="I46">
    <cfRule type="expression" dxfId="326" priority="44">
      <formula>$B$46="v"</formula>
    </cfRule>
  </conditionalFormatting>
  <conditionalFormatting sqref="I47">
    <cfRule type="expression" dxfId="325" priority="43">
      <formula>$B$47="v"</formula>
    </cfRule>
  </conditionalFormatting>
  <conditionalFormatting sqref="I48">
    <cfRule type="expression" dxfId="324" priority="42">
      <formula>$B$48="v"</formula>
    </cfRule>
  </conditionalFormatting>
  <conditionalFormatting sqref="I49">
    <cfRule type="expression" dxfId="323" priority="41">
      <formula>$B$49="v"</formula>
    </cfRule>
  </conditionalFormatting>
  <conditionalFormatting sqref="I50">
    <cfRule type="expression" dxfId="322" priority="40">
      <formula>$B$50="v"</formula>
    </cfRule>
  </conditionalFormatting>
  <conditionalFormatting sqref="I51">
    <cfRule type="expression" dxfId="321" priority="39">
      <formula>$B$51="v"</formula>
    </cfRule>
  </conditionalFormatting>
  <conditionalFormatting sqref="I52">
    <cfRule type="expression" dxfId="320" priority="38">
      <formula>$B$52="v"</formula>
    </cfRule>
  </conditionalFormatting>
  <conditionalFormatting sqref="I53">
    <cfRule type="expression" dxfId="319" priority="37">
      <formula>$B$53="v"</formula>
    </cfRule>
  </conditionalFormatting>
  <conditionalFormatting sqref="I54">
    <cfRule type="expression" dxfId="318" priority="36">
      <formula>$B$54="v"</formula>
    </cfRule>
  </conditionalFormatting>
  <conditionalFormatting sqref="I55">
    <cfRule type="expression" dxfId="317" priority="35">
      <formula>$B$55="v"</formula>
    </cfRule>
  </conditionalFormatting>
  <conditionalFormatting sqref="I56">
    <cfRule type="expression" dxfId="316" priority="34">
      <formula>$B$56="v"</formula>
    </cfRule>
  </conditionalFormatting>
  <conditionalFormatting sqref="I57">
    <cfRule type="expression" dxfId="315" priority="33">
      <formula>$B$57="v"</formula>
    </cfRule>
  </conditionalFormatting>
  <conditionalFormatting sqref="I58">
    <cfRule type="expression" dxfId="314" priority="32">
      <formula>$B$58="v"</formula>
    </cfRule>
  </conditionalFormatting>
  <conditionalFormatting sqref="I59">
    <cfRule type="expression" dxfId="313" priority="31">
      <formula>$B$59="v"</formula>
    </cfRule>
  </conditionalFormatting>
  <conditionalFormatting sqref="I60">
    <cfRule type="expression" dxfId="312" priority="30">
      <formula>$B$60="v"</formula>
    </cfRule>
  </conditionalFormatting>
  <conditionalFormatting sqref="I61">
    <cfRule type="expression" dxfId="311" priority="29">
      <formula>$B$61="v"</formula>
    </cfRule>
  </conditionalFormatting>
  <conditionalFormatting sqref="I62">
    <cfRule type="expression" dxfId="310" priority="28">
      <formula>$B$62="v"</formula>
    </cfRule>
  </conditionalFormatting>
  <conditionalFormatting sqref="I63">
    <cfRule type="expression" dxfId="309" priority="27">
      <formula>$B$63="v"</formula>
    </cfRule>
  </conditionalFormatting>
  <conditionalFormatting sqref="I64">
    <cfRule type="expression" dxfId="308" priority="26">
      <formula>$B$64="v"</formula>
    </cfRule>
  </conditionalFormatting>
  <conditionalFormatting sqref="I65">
    <cfRule type="expression" dxfId="307" priority="25">
      <formula>$B$65="v"</formula>
    </cfRule>
  </conditionalFormatting>
  <conditionalFormatting sqref="I66">
    <cfRule type="expression" dxfId="306" priority="24">
      <formula>$B$66="v"</formula>
    </cfRule>
  </conditionalFormatting>
  <conditionalFormatting sqref="I67">
    <cfRule type="expression" dxfId="305" priority="23">
      <formula>$B$67="v"</formula>
    </cfRule>
  </conditionalFormatting>
  <conditionalFormatting sqref="I68">
    <cfRule type="expression" dxfId="304" priority="22">
      <formula>$B$68="v"</formula>
    </cfRule>
  </conditionalFormatting>
  <conditionalFormatting sqref="I69">
    <cfRule type="expression" dxfId="303" priority="21">
      <formula>$B$69="v"</formula>
    </cfRule>
  </conditionalFormatting>
  <conditionalFormatting sqref="I70">
    <cfRule type="expression" dxfId="302" priority="20">
      <formula>$B$70="v"</formula>
    </cfRule>
  </conditionalFormatting>
  <conditionalFormatting sqref="I71">
    <cfRule type="expression" dxfId="301" priority="19">
      <formula>$B$71="v"</formula>
    </cfRule>
  </conditionalFormatting>
  <conditionalFormatting sqref="I72">
    <cfRule type="expression" dxfId="300" priority="18">
      <formula>$B$72="v"</formula>
    </cfRule>
  </conditionalFormatting>
  <conditionalFormatting sqref="I73">
    <cfRule type="expression" dxfId="299" priority="17">
      <formula>$B$73="v"</formula>
    </cfRule>
  </conditionalFormatting>
  <conditionalFormatting sqref="I74">
    <cfRule type="expression" dxfId="298" priority="16">
      <formula>$B$74="v"</formula>
    </cfRule>
  </conditionalFormatting>
  <conditionalFormatting sqref="I75">
    <cfRule type="expression" dxfId="297" priority="15">
      <formula>$B$75="v"</formula>
    </cfRule>
  </conditionalFormatting>
  <conditionalFormatting sqref="I76">
    <cfRule type="expression" dxfId="296" priority="14">
      <formula>$B$76="v"</formula>
    </cfRule>
  </conditionalFormatting>
  <conditionalFormatting sqref="I77">
    <cfRule type="expression" dxfId="295" priority="13">
      <formula>$B$77="v"</formula>
    </cfRule>
  </conditionalFormatting>
  <conditionalFormatting sqref="I78">
    <cfRule type="expression" dxfId="294" priority="12">
      <formula>$B$78="v"</formula>
    </cfRule>
  </conditionalFormatting>
  <conditionalFormatting sqref="I79">
    <cfRule type="expression" dxfId="293" priority="11">
      <formula>$B$79="v"</formula>
    </cfRule>
  </conditionalFormatting>
  <conditionalFormatting sqref="I80">
    <cfRule type="expression" dxfId="292" priority="10">
      <formula>$B$80="v"</formula>
    </cfRule>
  </conditionalFormatting>
  <conditionalFormatting sqref="I81">
    <cfRule type="expression" dxfId="291" priority="9">
      <formula>$B$81="v"</formula>
    </cfRule>
  </conditionalFormatting>
  <conditionalFormatting sqref="I82">
    <cfRule type="expression" dxfId="290" priority="8">
      <formula>$B$82="v"</formula>
    </cfRule>
  </conditionalFormatting>
  <conditionalFormatting sqref="L5:N6">
    <cfRule type="expression" dxfId="289" priority="173">
      <formula>$K$4=1</formula>
    </cfRule>
  </conditionalFormatting>
  <conditionalFormatting sqref="L7:N82">
    <cfRule type="expression" dxfId="288" priority="176">
      <formula>$K$4=1</formula>
    </cfRule>
  </conditionalFormatting>
  <conditionalFormatting sqref="M4:N4">
    <cfRule type="expression" dxfId="287" priority="175">
      <formula>$K$4=1</formula>
    </cfRule>
  </conditionalFormatting>
  <conditionalFormatting sqref="L7:N82">
    <cfRule type="expression" dxfId="286" priority="165">
      <formula>$K$4=""</formula>
    </cfRule>
  </conditionalFormatting>
  <conditionalFormatting sqref="P5:R6">
    <cfRule type="expression" dxfId="285" priority="177">
      <formula>$O$4=1</formula>
    </cfRule>
  </conditionalFormatting>
  <conditionalFormatting sqref="P7:R82">
    <cfRule type="expression" dxfId="284" priority="180">
      <formula>$O$4=1</formula>
    </cfRule>
  </conditionalFormatting>
  <conditionalFormatting sqref="Q4:R4">
    <cfRule type="expression" dxfId="283" priority="179">
      <formula>$O$4=1</formula>
    </cfRule>
  </conditionalFormatting>
  <conditionalFormatting sqref="P7:R82">
    <cfRule type="expression" dxfId="282" priority="163">
      <formula>$O$4=""</formula>
    </cfRule>
  </conditionalFormatting>
  <conditionalFormatting sqref="T5:V6">
    <cfRule type="expression" dxfId="281" priority="181">
      <formula>$S$4=1</formula>
    </cfRule>
  </conditionalFormatting>
  <conditionalFormatting sqref="T7:V82">
    <cfRule type="expression" dxfId="280" priority="226">
      <formula>$S$4=1</formula>
    </cfRule>
  </conditionalFormatting>
  <conditionalFormatting sqref="U4:V4">
    <cfRule type="expression" dxfId="279" priority="183">
      <formula>$S$4=1</formula>
    </cfRule>
  </conditionalFormatting>
  <conditionalFormatting sqref="T7:V82">
    <cfRule type="expression" dxfId="278" priority="161">
      <formula>$S$4=""</formula>
    </cfRule>
  </conditionalFormatting>
  <conditionalFormatting sqref="X5:Z6">
    <cfRule type="expression" dxfId="277" priority="185">
      <formula>$W$4=1</formula>
    </cfRule>
  </conditionalFormatting>
  <conditionalFormatting sqref="X7:Z82">
    <cfRule type="expression" dxfId="276" priority="223">
      <formula>$W$4=1</formula>
    </cfRule>
  </conditionalFormatting>
  <conditionalFormatting sqref="Y4:Z4">
    <cfRule type="expression" dxfId="275" priority="187">
      <formula>$W$4=1</formula>
    </cfRule>
  </conditionalFormatting>
  <conditionalFormatting sqref="X7:Z82">
    <cfRule type="expression" dxfId="274" priority="162">
      <formula>$W$4=""</formula>
    </cfRule>
  </conditionalFormatting>
  <conditionalFormatting sqref="AB5:AD6">
    <cfRule type="expression" dxfId="273" priority="189">
      <formula>$AA$4=1</formula>
    </cfRule>
  </conditionalFormatting>
  <conditionalFormatting sqref="AB7:AD82">
    <cfRule type="expression" dxfId="272" priority="192">
      <formula>$AA$4=1</formula>
    </cfRule>
  </conditionalFormatting>
  <conditionalFormatting sqref="AC4:AD4">
    <cfRule type="expression" dxfId="271" priority="191">
      <formula>$AA$4=1</formula>
    </cfRule>
  </conditionalFormatting>
  <conditionalFormatting sqref="AB7:AD82">
    <cfRule type="expression" dxfId="270" priority="182">
      <formula>$AA$4=""</formula>
    </cfRule>
  </conditionalFormatting>
  <conditionalFormatting sqref="AF5:AH6">
    <cfRule type="expression" dxfId="269" priority="193">
      <formula>$AE$4=1</formula>
    </cfRule>
  </conditionalFormatting>
  <conditionalFormatting sqref="AF7:AH82">
    <cfRule type="expression" dxfId="268" priority="196">
      <formula>$AE$4=1</formula>
    </cfRule>
  </conditionalFormatting>
  <conditionalFormatting sqref="AG4:AH4">
    <cfRule type="expression" dxfId="267" priority="195">
      <formula>$AE$4=1</formula>
    </cfRule>
  </conditionalFormatting>
  <conditionalFormatting sqref="AF7:AH82">
    <cfRule type="expression" dxfId="266" priority="184">
      <formula>$AE$4=""</formula>
    </cfRule>
  </conditionalFormatting>
  <conditionalFormatting sqref="AJ7:AL82">
    <cfRule type="expression" dxfId="265" priority="200">
      <formula>$AI$4=1</formula>
    </cfRule>
  </conditionalFormatting>
  <conditionalFormatting sqref="AK4:AL4">
    <cfRule type="expression" dxfId="264" priority="198">
      <formula>$AI$4=1</formula>
    </cfRule>
  </conditionalFormatting>
  <conditionalFormatting sqref="AJ5:AL6">
    <cfRule type="expression" dxfId="263" priority="199">
      <formula>$AI$4=1</formula>
    </cfRule>
  </conditionalFormatting>
  <conditionalFormatting sqref="AJ7:AL82">
    <cfRule type="expression" dxfId="262" priority="186">
      <formula>$AI$4=""</formula>
    </cfRule>
  </conditionalFormatting>
  <conditionalFormatting sqref="AN7:AP82">
    <cfRule type="expression" dxfId="261" priority="204">
      <formula>$AM$4=1</formula>
    </cfRule>
  </conditionalFormatting>
  <conditionalFormatting sqref="AO4:AP4 AS4:AT4">
    <cfRule type="expression" dxfId="260" priority="202">
      <formula>AQ$4=1</formula>
    </cfRule>
  </conditionalFormatting>
  <conditionalFormatting sqref="AN5:AP6">
    <cfRule type="expression" dxfId="259" priority="203">
      <formula>$AM$4=1</formula>
    </cfRule>
  </conditionalFormatting>
  <conditionalFormatting sqref="AN7:AP82">
    <cfRule type="expression" dxfId="258" priority="188">
      <formula>$AM$4=""</formula>
    </cfRule>
  </conditionalFormatting>
  <conditionalFormatting sqref="AR7:AT82">
    <cfRule type="expression" dxfId="257" priority="207">
      <formula>$AQ$4=1</formula>
    </cfRule>
  </conditionalFormatting>
  <conditionalFormatting sqref="AR5:AT6">
    <cfRule type="expression" dxfId="256" priority="206">
      <formula>$AQ$4=1</formula>
    </cfRule>
  </conditionalFormatting>
  <conditionalFormatting sqref="AR7:AT82">
    <cfRule type="expression" dxfId="255" priority="190">
      <formula>$AQ$4=""</formula>
    </cfRule>
  </conditionalFormatting>
  <conditionalFormatting sqref="AV7:AX82">
    <cfRule type="expression" dxfId="254" priority="210">
      <formula>$AU$4=1</formula>
    </cfRule>
  </conditionalFormatting>
  <conditionalFormatting sqref="AV5:AX6">
    <cfRule type="expression" dxfId="253" priority="209">
      <formula>$AU$4=1</formula>
    </cfRule>
  </conditionalFormatting>
  <conditionalFormatting sqref="AV7:AX82">
    <cfRule type="expression" dxfId="252" priority="160">
      <formula>$AU$4=""</formula>
    </cfRule>
  </conditionalFormatting>
  <conditionalFormatting sqref="AZ7:BB82">
    <cfRule type="expression" dxfId="251" priority="213">
      <formula>$AY$4=1</formula>
    </cfRule>
  </conditionalFormatting>
  <conditionalFormatting sqref="AZ5:BB6">
    <cfRule type="expression" dxfId="250" priority="212">
      <formula>$AY$4=1</formula>
    </cfRule>
  </conditionalFormatting>
  <conditionalFormatting sqref="AZ7:BB82">
    <cfRule type="expression" dxfId="249" priority="194">
      <formula>$AY$4=""</formula>
    </cfRule>
  </conditionalFormatting>
  <conditionalFormatting sqref="BD7:BF82">
    <cfRule type="expression" dxfId="248" priority="216">
      <formula>$BC$4=1</formula>
    </cfRule>
  </conditionalFormatting>
  <conditionalFormatting sqref="BD5:BF6">
    <cfRule type="expression" dxfId="247" priority="215">
      <formula>$BC$4=1</formula>
    </cfRule>
  </conditionalFormatting>
  <conditionalFormatting sqref="BD7:BF82">
    <cfRule type="expression" dxfId="246" priority="197">
      <formula>$BC$4=""</formula>
    </cfRule>
  </conditionalFormatting>
  <conditionalFormatting sqref="BH7:BJ82">
    <cfRule type="expression" dxfId="245" priority="219">
      <formula>$BG$4=1</formula>
    </cfRule>
  </conditionalFormatting>
  <conditionalFormatting sqref="BH5:BJ6">
    <cfRule type="expression" dxfId="244" priority="218">
      <formula>$BG$4=1</formula>
    </cfRule>
  </conditionalFormatting>
  <conditionalFormatting sqref="BH7:BJ82">
    <cfRule type="expression" dxfId="243" priority="201">
      <formula>$BG$4=""</formula>
    </cfRule>
  </conditionalFormatting>
  <conditionalFormatting sqref="BL7:BN82">
    <cfRule type="expression" dxfId="242" priority="222">
      <formula>$BK$4=1</formula>
    </cfRule>
  </conditionalFormatting>
  <conditionalFormatting sqref="BL5:BN6">
    <cfRule type="expression" dxfId="241" priority="221">
      <formula>$BK$4=1</formula>
    </cfRule>
  </conditionalFormatting>
  <conditionalFormatting sqref="BL7:BN82">
    <cfRule type="expression" dxfId="240" priority="205">
      <formula>$BK$4=""</formula>
    </cfRule>
  </conditionalFormatting>
  <conditionalFormatting sqref="BP7:BR82">
    <cfRule type="expression" dxfId="239" priority="225">
      <formula>$BO$4=1</formula>
    </cfRule>
  </conditionalFormatting>
  <conditionalFormatting sqref="BP5:BR6">
    <cfRule type="expression" dxfId="238" priority="224">
      <formula>$BO$4=1</formula>
    </cfRule>
  </conditionalFormatting>
  <conditionalFormatting sqref="BP7:BR82">
    <cfRule type="expression" dxfId="237" priority="211">
      <formula>$BO$4=""</formula>
    </cfRule>
  </conditionalFormatting>
  <conditionalFormatting sqref="BT7:BV82">
    <cfRule type="expression" dxfId="236" priority="228">
      <formula>$BS$4=1</formula>
    </cfRule>
  </conditionalFormatting>
  <conditionalFormatting sqref="BT5:BV6">
    <cfRule type="expression" dxfId="235" priority="227">
      <formula>$BS$4=1</formula>
    </cfRule>
  </conditionalFormatting>
  <conditionalFormatting sqref="BT7:BV82">
    <cfRule type="expression" dxfId="234" priority="214">
      <formula>$BS$4=""</formula>
    </cfRule>
  </conditionalFormatting>
  <conditionalFormatting sqref="AW4:AX4">
    <cfRule type="expression" dxfId="233" priority="7">
      <formula>AU$4=1</formula>
    </cfRule>
  </conditionalFormatting>
  <conditionalFormatting sqref="BA4:BB4">
    <cfRule type="expression" dxfId="232" priority="6">
      <formula>AY$4=1</formula>
    </cfRule>
  </conditionalFormatting>
  <conditionalFormatting sqref="BE4:BF4">
    <cfRule type="expression" dxfId="231" priority="5">
      <formula>BC$4=1</formula>
    </cfRule>
  </conditionalFormatting>
  <conditionalFormatting sqref="BI4:BJ4">
    <cfRule type="expression" dxfId="230" priority="4">
      <formula>BG$4=1</formula>
    </cfRule>
  </conditionalFormatting>
  <conditionalFormatting sqref="BM4:BN4">
    <cfRule type="expression" dxfId="229" priority="3">
      <formula>BK$4=1</formula>
    </cfRule>
  </conditionalFormatting>
  <conditionalFormatting sqref="BQ4:BR4">
    <cfRule type="expression" dxfId="228" priority="2">
      <formula>BO$4=1</formula>
    </cfRule>
  </conditionalFormatting>
  <conditionalFormatting sqref="BU4:BV4">
    <cfRule type="expression" dxfId="227" priority="1">
      <formula>BS$4=1</formula>
    </cfRule>
  </conditionalFormatting>
  <dataValidations count="3">
    <dataValidation type="list" allowBlank="1" showInputMessage="1" showErrorMessage="1" sqref="F2" xr:uid="{9E9A0D89-9852-4E5D-ABB8-FCE45D1BD682}">
      <formula1>"1, 2, 3, 4, 5, 6, 7, 8, 9, 10, 11, 12, 13, 14, 15, 16, 17"</formula1>
    </dataValidation>
    <dataValidation type="list" allowBlank="1" showInputMessage="1" showErrorMessage="1" sqref="B7:B82" xr:uid="{A7D812BF-8EE1-4A06-8643-879FEB44256B}">
      <formula1>"v"</formula1>
    </dataValidation>
    <dataValidation type="list" allowBlank="1" showInputMessage="1" showErrorMessage="1" sqref="BP7:BP82 AV7:AV82 BL7:BL82 BT7:BT82 BH7:BH82 BD7:BD82 AZ7:AZ82" xr:uid="{877871F6-9573-447F-85FB-DC908202A75E}">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1AC481B4-AF3F-493B-89EF-BB161E15BF00}">
          <x14:formula1>
            <xm:f>Sheet3!$J$153:$J$168</xm:f>
          </x14:formula1>
          <xm:sqref>H7:H82 N7:N82 R7:R82 V7:V82 Z7:Z82 AD7:AD82 AH7:AH82 AL7:AL82 AP7:AP82 AT7:AT82</xm:sqref>
        </x14:dataValidation>
        <x14:dataValidation type="list" allowBlank="1" showInputMessage="1" showErrorMessage="1" xr:uid="{8DD9F2A6-7560-495D-8CD0-817FE31AA764}">
          <x14:formula1>
            <xm:f>Sheet3!$A$2:$A$49</xm:f>
          </x14:formula1>
          <xm:sqref>F3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13F25-A859-448F-9091-3B4E3A487A97}">
  <sheetPr codeName="Sheet12">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239</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226" priority="170">
      <formula>$F$1=1</formula>
    </cfRule>
    <cfRule type="expression" priority="171">
      <formula>$F$1</formula>
    </cfRule>
  </conditionalFormatting>
  <conditionalFormatting sqref="J4">
    <cfRule type="expression" dxfId="225" priority="172">
      <formula>$F$1=1</formula>
    </cfRule>
  </conditionalFormatting>
  <conditionalFormatting sqref="C7:G82">
    <cfRule type="expression" dxfId="224" priority="84">
      <formula>$B7="v"</formula>
    </cfRule>
  </conditionalFormatting>
  <conditionalFormatting sqref="H7:H82">
    <cfRule type="expression" dxfId="223" priority="168">
      <formula>$B7="v"</formula>
    </cfRule>
  </conditionalFormatting>
  <conditionalFormatting sqref="N7:N82">
    <cfRule type="expression" dxfId="222" priority="167">
      <formula>$B7="v"</formula>
    </cfRule>
  </conditionalFormatting>
  <conditionalFormatting sqref="M7:M82">
    <cfRule type="expression" dxfId="221" priority="166">
      <formula>$B7="v"</formula>
    </cfRule>
  </conditionalFormatting>
  <conditionalFormatting sqref="L7:L82">
    <cfRule type="expression" dxfId="220" priority="174">
      <formula>$B7="v"</formula>
    </cfRule>
  </conditionalFormatting>
  <conditionalFormatting sqref="P7:Q82">
    <cfRule type="expression" dxfId="219" priority="178">
      <formula>$B7="v"</formula>
    </cfRule>
  </conditionalFormatting>
  <conditionalFormatting sqref="R7:R82">
    <cfRule type="expression" dxfId="218" priority="164">
      <formula>$B7="v"</formula>
    </cfRule>
  </conditionalFormatting>
  <conditionalFormatting sqref="Z7:Z82 V7:V82 AL7:AL82 AH7:AH82 AD7:AD82 AX7:AX82 AT7:AT82 AP7:AP82 BJ7:BJ82 BF7:BF82 BB7:BB82 BV7:BV82 BR7:BR82 BN7:BN82">
    <cfRule type="expression" dxfId="217" priority="217">
      <formula>$B7="v"</formula>
    </cfRule>
  </conditionalFormatting>
  <conditionalFormatting sqref="X7:Y82 T7:U82 AJ7:AK82 AF7:AG82 AB7:AC82 AR7:AS82 AN7:AO82 BH7:BI82 BD7:BE82 AZ7:BA82 BT7:BU82 BP7:BQ82 BL7:BM82">
    <cfRule type="expression" dxfId="216" priority="220">
      <formula>$B7="v"</formula>
    </cfRule>
  </conditionalFormatting>
  <conditionalFormatting sqref="AV7:AW82">
    <cfRule type="expression" dxfId="215" priority="208">
      <formula>$B7="v"</formula>
    </cfRule>
  </conditionalFormatting>
  <conditionalFormatting sqref="F25">
    <cfRule type="expression" dxfId="214" priority="159">
      <formula>$E$25="n/a"</formula>
    </cfRule>
  </conditionalFormatting>
  <conditionalFormatting sqref="F7">
    <cfRule type="expression" dxfId="213" priority="158">
      <formula>$E$7="n/a"</formula>
    </cfRule>
  </conditionalFormatting>
  <conditionalFormatting sqref="F8">
    <cfRule type="expression" dxfId="212" priority="169">
      <formula>$E$8="n/a"</formula>
    </cfRule>
  </conditionalFormatting>
  <conditionalFormatting sqref="F9">
    <cfRule type="expression" dxfId="211" priority="157">
      <formula>$E$9="n/a"</formula>
    </cfRule>
  </conditionalFormatting>
  <conditionalFormatting sqref="F10">
    <cfRule type="expression" dxfId="210" priority="156">
      <formula>$E$10="n/a"</formula>
    </cfRule>
  </conditionalFormatting>
  <conditionalFormatting sqref="F11">
    <cfRule type="expression" dxfId="209" priority="155">
      <formula>$E$11="n/a"</formula>
    </cfRule>
  </conditionalFormatting>
  <conditionalFormatting sqref="F12">
    <cfRule type="expression" dxfId="208" priority="154">
      <formula>$E$12="n/a"</formula>
    </cfRule>
  </conditionalFormatting>
  <conditionalFormatting sqref="F13">
    <cfRule type="expression" dxfId="207" priority="153">
      <formula>$E$13="n/a"</formula>
    </cfRule>
  </conditionalFormatting>
  <conditionalFormatting sqref="F14">
    <cfRule type="expression" dxfId="206" priority="152">
      <formula>$E$14="n/a"</formula>
    </cfRule>
  </conditionalFormatting>
  <conditionalFormatting sqref="F15">
    <cfRule type="expression" dxfId="205" priority="151">
      <formula>$E$15="n/a"</formula>
    </cfRule>
  </conditionalFormatting>
  <conditionalFormatting sqref="F16">
    <cfRule type="expression" dxfId="204" priority="150">
      <formula>$E$16="n/a"</formula>
    </cfRule>
  </conditionalFormatting>
  <conditionalFormatting sqref="F17">
    <cfRule type="expression" dxfId="203" priority="149">
      <formula>$E$17="n/a"</formula>
    </cfRule>
  </conditionalFormatting>
  <conditionalFormatting sqref="F18">
    <cfRule type="expression" dxfId="202" priority="148">
      <formula>$E$18="n/a"</formula>
    </cfRule>
  </conditionalFormatting>
  <conditionalFormatting sqref="F19">
    <cfRule type="expression" dxfId="201" priority="147">
      <formula>$E$19="n/a"</formula>
    </cfRule>
  </conditionalFormatting>
  <conditionalFormatting sqref="F20">
    <cfRule type="expression" dxfId="200" priority="146">
      <formula>$E$20="n/a"</formula>
    </cfRule>
  </conditionalFormatting>
  <conditionalFormatting sqref="F21">
    <cfRule type="expression" dxfId="199" priority="145">
      <formula>$E$21="n/a"</formula>
    </cfRule>
  </conditionalFormatting>
  <conditionalFormatting sqref="F22">
    <cfRule type="expression" dxfId="198" priority="144">
      <formula>$E$22="n/a"</formula>
    </cfRule>
  </conditionalFormatting>
  <conditionalFormatting sqref="F23">
    <cfRule type="expression" dxfId="197" priority="143">
      <formula>$E$23="n/a"</formula>
    </cfRule>
  </conditionalFormatting>
  <conditionalFormatting sqref="F24">
    <cfRule type="expression" dxfId="196" priority="142">
      <formula>$E$24="n/a"</formula>
    </cfRule>
  </conditionalFormatting>
  <conditionalFormatting sqref="F26">
    <cfRule type="expression" dxfId="195" priority="141">
      <formula>$E$26="n/a"</formula>
    </cfRule>
  </conditionalFormatting>
  <conditionalFormatting sqref="F27">
    <cfRule type="expression" dxfId="194" priority="140">
      <formula>$E$27="n/a"</formula>
    </cfRule>
  </conditionalFormatting>
  <conditionalFormatting sqref="F28">
    <cfRule type="expression" dxfId="193" priority="139">
      <formula>$E$28="n/a"</formula>
    </cfRule>
  </conditionalFormatting>
  <conditionalFormatting sqref="F29">
    <cfRule type="expression" dxfId="192" priority="138">
      <formula>$E$29="n/a"</formula>
    </cfRule>
  </conditionalFormatting>
  <conditionalFormatting sqref="F30">
    <cfRule type="expression" dxfId="191" priority="137">
      <formula>$E$30="n/a"</formula>
    </cfRule>
  </conditionalFormatting>
  <conditionalFormatting sqref="F31">
    <cfRule type="expression" dxfId="190" priority="136">
      <formula>$E$31="n/a"</formula>
    </cfRule>
  </conditionalFormatting>
  <conditionalFormatting sqref="F32">
    <cfRule type="expression" dxfId="189" priority="135">
      <formula>$E$32="n/a"</formula>
    </cfRule>
  </conditionalFormatting>
  <conditionalFormatting sqref="F33">
    <cfRule type="expression" dxfId="188" priority="134">
      <formula>$E$33="n/a"</formula>
    </cfRule>
  </conditionalFormatting>
  <conditionalFormatting sqref="F34">
    <cfRule type="expression" dxfId="187" priority="133">
      <formula>$E$34="n/a"</formula>
    </cfRule>
  </conditionalFormatting>
  <conditionalFormatting sqref="F35">
    <cfRule type="expression" dxfId="186" priority="132">
      <formula>$E$35="n/a"</formula>
    </cfRule>
  </conditionalFormatting>
  <conditionalFormatting sqref="F36">
    <cfRule type="expression" dxfId="185" priority="131">
      <formula>$E$36="n/a"</formula>
    </cfRule>
  </conditionalFormatting>
  <conditionalFormatting sqref="F37">
    <cfRule type="expression" dxfId="184" priority="130">
      <formula>$E$37="n/a"</formula>
    </cfRule>
  </conditionalFormatting>
  <conditionalFormatting sqref="F38">
    <cfRule type="expression" dxfId="183" priority="129">
      <formula>$E$38="n/a"</formula>
    </cfRule>
  </conditionalFormatting>
  <conditionalFormatting sqref="F39">
    <cfRule type="expression" dxfId="182" priority="128">
      <formula>$E$39="n/a"</formula>
    </cfRule>
  </conditionalFormatting>
  <conditionalFormatting sqref="F40">
    <cfRule type="expression" dxfId="181" priority="127">
      <formula>$E$40="n/a"</formula>
    </cfRule>
  </conditionalFormatting>
  <conditionalFormatting sqref="F41">
    <cfRule type="expression" dxfId="180" priority="126">
      <formula>$E$41="n/a"</formula>
    </cfRule>
  </conditionalFormatting>
  <conditionalFormatting sqref="F42">
    <cfRule type="expression" dxfId="179" priority="125">
      <formula>$E$42="n/a"</formula>
    </cfRule>
  </conditionalFormatting>
  <conditionalFormatting sqref="F43">
    <cfRule type="expression" dxfId="178" priority="124">
      <formula>$E$43="n/a"</formula>
    </cfRule>
  </conditionalFormatting>
  <conditionalFormatting sqref="F44">
    <cfRule type="expression" dxfId="177" priority="123">
      <formula>$E$44="n/a"</formula>
    </cfRule>
  </conditionalFormatting>
  <conditionalFormatting sqref="F45">
    <cfRule type="expression" dxfId="176" priority="122">
      <formula>$E$45="n/a"</formula>
    </cfRule>
  </conditionalFormatting>
  <conditionalFormatting sqref="F46">
    <cfRule type="expression" dxfId="175" priority="121">
      <formula>$E$46="n/a"</formula>
    </cfRule>
  </conditionalFormatting>
  <conditionalFormatting sqref="F82">
    <cfRule type="expression" dxfId="174" priority="119">
      <formula>$E$82="n/a"</formula>
    </cfRule>
  </conditionalFormatting>
  <conditionalFormatting sqref="F81">
    <cfRule type="expression" dxfId="173" priority="118">
      <formula>$E$81="n/a"</formula>
    </cfRule>
  </conditionalFormatting>
  <conditionalFormatting sqref="F80">
    <cfRule type="expression" dxfId="172" priority="117">
      <formula>$E$80="n/a"</formula>
    </cfRule>
  </conditionalFormatting>
  <conditionalFormatting sqref="F79">
    <cfRule type="expression" dxfId="171" priority="116">
      <formula>$E$79="n/a"</formula>
    </cfRule>
  </conditionalFormatting>
  <conditionalFormatting sqref="F78">
    <cfRule type="expression" dxfId="170" priority="115">
      <formula>$E$78="n/a"</formula>
    </cfRule>
  </conditionalFormatting>
  <conditionalFormatting sqref="F77">
    <cfRule type="expression" dxfId="169" priority="114">
      <formula>$E$77="n/a"</formula>
    </cfRule>
  </conditionalFormatting>
  <conditionalFormatting sqref="F76">
    <cfRule type="expression" dxfId="168" priority="113">
      <formula>$E$76="n/a"</formula>
    </cfRule>
  </conditionalFormatting>
  <conditionalFormatting sqref="F75">
    <cfRule type="expression" dxfId="167" priority="112">
      <formula>$E$75="n/a"</formula>
    </cfRule>
  </conditionalFormatting>
  <conditionalFormatting sqref="F74">
    <cfRule type="expression" dxfId="166" priority="111">
      <formula>$E$74="n/a"</formula>
    </cfRule>
  </conditionalFormatting>
  <conditionalFormatting sqref="F73">
    <cfRule type="expression" dxfId="165" priority="109">
      <formula>$E$73="n/a"</formula>
    </cfRule>
  </conditionalFormatting>
  <conditionalFormatting sqref="F72">
    <cfRule type="expression" dxfId="164" priority="85">
      <formula>$E$72="n/a"</formula>
    </cfRule>
  </conditionalFormatting>
  <conditionalFormatting sqref="F47">
    <cfRule type="expression" dxfId="163" priority="120">
      <formula>$E$47="n/a"</formula>
    </cfRule>
  </conditionalFormatting>
  <conditionalFormatting sqref="F48">
    <cfRule type="expression" dxfId="162" priority="110">
      <formula>$E$48="n/a"</formula>
    </cfRule>
  </conditionalFormatting>
  <conditionalFormatting sqref="F49">
    <cfRule type="expression" dxfId="161" priority="108">
      <formula>$E$49="n/a"</formula>
    </cfRule>
  </conditionalFormatting>
  <conditionalFormatting sqref="F50">
    <cfRule type="expression" dxfId="160" priority="107">
      <formula>$E$50="n/a"</formula>
    </cfRule>
  </conditionalFormatting>
  <conditionalFormatting sqref="F51">
    <cfRule type="expression" dxfId="159" priority="106">
      <formula>$E$51="n/a"</formula>
    </cfRule>
  </conditionalFormatting>
  <conditionalFormatting sqref="F52">
    <cfRule type="expression" dxfId="158" priority="105">
      <formula>$E$52="n/a"</formula>
    </cfRule>
  </conditionalFormatting>
  <conditionalFormatting sqref="F53">
    <cfRule type="expression" dxfId="157" priority="104">
      <formula>$E$53="n/a"</formula>
    </cfRule>
  </conditionalFormatting>
  <conditionalFormatting sqref="F54">
    <cfRule type="expression" dxfId="156" priority="103">
      <formula>$E$54="n/a"</formula>
    </cfRule>
  </conditionalFormatting>
  <conditionalFormatting sqref="F55">
    <cfRule type="expression" dxfId="155" priority="102">
      <formula>$E$55="n/a"</formula>
    </cfRule>
  </conditionalFormatting>
  <conditionalFormatting sqref="F56">
    <cfRule type="expression" dxfId="154" priority="101">
      <formula>$E$56="n/a"</formula>
    </cfRule>
  </conditionalFormatting>
  <conditionalFormatting sqref="F57">
    <cfRule type="expression" dxfId="153" priority="100">
      <formula>$E$57="n/a"</formula>
    </cfRule>
  </conditionalFormatting>
  <conditionalFormatting sqref="F58">
    <cfRule type="expression" dxfId="152" priority="99">
      <formula>$E$58="n/a"</formula>
    </cfRule>
  </conditionalFormatting>
  <conditionalFormatting sqref="F59">
    <cfRule type="expression" dxfId="151" priority="98">
      <formula>$E$59="n/a"</formula>
    </cfRule>
  </conditionalFormatting>
  <conditionalFormatting sqref="F60">
    <cfRule type="expression" dxfId="150" priority="97">
      <formula>$E$60="n/a"</formula>
    </cfRule>
  </conditionalFormatting>
  <conditionalFormatting sqref="F61">
    <cfRule type="expression" dxfId="149" priority="96">
      <formula>$E$61="n/a"</formula>
    </cfRule>
  </conditionalFormatting>
  <conditionalFormatting sqref="F62">
    <cfRule type="expression" dxfId="148" priority="95">
      <formula>$E$62="n/a"</formula>
    </cfRule>
  </conditionalFormatting>
  <conditionalFormatting sqref="F63">
    <cfRule type="expression" dxfId="147" priority="94">
      <formula>$E$63="n/a"</formula>
    </cfRule>
  </conditionalFormatting>
  <conditionalFormatting sqref="F64">
    <cfRule type="expression" dxfId="146" priority="93">
      <formula>$E$64="n/a"</formula>
    </cfRule>
  </conditionalFormatting>
  <conditionalFormatting sqref="F65">
    <cfRule type="expression" dxfId="145" priority="92">
      <formula>$E$65="n/a"</formula>
    </cfRule>
  </conditionalFormatting>
  <conditionalFormatting sqref="F66">
    <cfRule type="expression" dxfId="144" priority="91">
      <formula>$E$66="n/a"</formula>
    </cfRule>
  </conditionalFormatting>
  <conditionalFormatting sqref="F67">
    <cfRule type="expression" dxfId="143" priority="90">
      <formula>$E$67="n/a"</formula>
    </cfRule>
  </conditionalFormatting>
  <conditionalFormatting sqref="F68">
    <cfRule type="expression" dxfId="142" priority="89">
      <formula>$E$68="n/a"</formula>
    </cfRule>
  </conditionalFormatting>
  <conditionalFormatting sqref="F69">
    <cfRule type="expression" dxfId="141" priority="88">
      <formula>$E$69="n/a"</formula>
    </cfRule>
  </conditionalFormatting>
  <conditionalFormatting sqref="F70">
    <cfRule type="expression" dxfId="140" priority="87">
      <formula>$E$70="n/a"</formula>
    </cfRule>
  </conditionalFormatting>
  <conditionalFormatting sqref="F71">
    <cfRule type="expression" dxfId="139" priority="86">
      <formula>$E$71="n/a"</formula>
    </cfRule>
  </conditionalFormatting>
  <conditionalFormatting sqref="I7">
    <cfRule type="expression" dxfId="138" priority="83">
      <formula>$B$7="v"</formula>
    </cfRule>
  </conditionalFormatting>
  <conditionalFormatting sqref="I8">
    <cfRule type="expression" dxfId="137" priority="82">
      <formula>$B$8="v"</formula>
    </cfRule>
  </conditionalFormatting>
  <conditionalFormatting sqref="I9">
    <cfRule type="expression" dxfId="136" priority="81">
      <formula>$B$9="v"</formula>
    </cfRule>
  </conditionalFormatting>
  <conditionalFormatting sqref="I10">
    <cfRule type="expression" dxfId="135" priority="80">
      <formula>$B$10="v"</formula>
    </cfRule>
  </conditionalFormatting>
  <conditionalFormatting sqref="I11">
    <cfRule type="expression" dxfId="134" priority="79">
      <formula>$B$11="v"</formula>
    </cfRule>
  </conditionalFormatting>
  <conditionalFormatting sqref="I12">
    <cfRule type="expression" dxfId="133" priority="78">
      <formula>$B$12="v"</formula>
    </cfRule>
  </conditionalFormatting>
  <conditionalFormatting sqref="I13">
    <cfRule type="expression" dxfId="132" priority="77">
      <formula>$B$13="v"</formula>
    </cfRule>
  </conditionalFormatting>
  <conditionalFormatting sqref="I14">
    <cfRule type="expression" dxfId="131" priority="76">
      <formula>$B$14="v"</formula>
    </cfRule>
  </conditionalFormatting>
  <conditionalFormatting sqref="I15">
    <cfRule type="expression" dxfId="130" priority="75">
      <formula>$B$15="v"</formula>
    </cfRule>
  </conditionalFormatting>
  <conditionalFormatting sqref="I16">
    <cfRule type="expression" dxfId="129" priority="74">
      <formula>$B$16="v"</formula>
    </cfRule>
  </conditionalFormatting>
  <conditionalFormatting sqref="I17">
    <cfRule type="expression" dxfId="128" priority="73">
      <formula>$B$17="v"</formula>
    </cfRule>
  </conditionalFormatting>
  <conditionalFormatting sqref="I18">
    <cfRule type="expression" dxfId="127" priority="72">
      <formula>$B$18="v"</formula>
    </cfRule>
  </conditionalFormatting>
  <conditionalFormatting sqref="I19">
    <cfRule type="expression" dxfId="126" priority="71">
      <formula>$B$19="v"</formula>
    </cfRule>
  </conditionalFormatting>
  <conditionalFormatting sqref="I20">
    <cfRule type="expression" dxfId="125" priority="70">
      <formula>$B$20="v"</formula>
    </cfRule>
  </conditionalFormatting>
  <conditionalFormatting sqref="I21">
    <cfRule type="expression" dxfId="124" priority="69">
      <formula>$B$21="v"</formula>
    </cfRule>
  </conditionalFormatting>
  <conditionalFormatting sqref="I22">
    <cfRule type="expression" dxfId="123" priority="68">
      <formula>$B$22="v"</formula>
    </cfRule>
  </conditionalFormatting>
  <conditionalFormatting sqref="I23">
    <cfRule type="expression" dxfId="122" priority="67">
      <formula>$B$23="v"</formula>
    </cfRule>
  </conditionalFormatting>
  <conditionalFormatting sqref="I24">
    <cfRule type="expression" dxfId="121" priority="66">
      <formula>$B$24="v"</formula>
    </cfRule>
  </conditionalFormatting>
  <conditionalFormatting sqref="I25">
    <cfRule type="expression" dxfId="120" priority="65">
      <formula>$B$25="v"</formula>
    </cfRule>
  </conditionalFormatting>
  <conditionalFormatting sqref="I26">
    <cfRule type="expression" dxfId="119" priority="64">
      <formula>$B$26="v"</formula>
    </cfRule>
  </conditionalFormatting>
  <conditionalFormatting sqref="I27">
    <cfRule type="expression" dxfId="118" priority="63">
      <formula>$B$27="v"</formula>
    </cfRule>
  </conditionalFormatting>
  <conditionalFormatting sqref="I28">
    <cfRule type="expression" dxfId="117" priority="62">
      <formula>$B$28="v"</formula>
    </cfRule>
  </conditionalFormatting>
  <conditionalFormatting sqref="I29">
    <cfRule type="expression" dxfId="116" priority="61">
      <formula>$B$29="v"</formula>
    </cfRule>
  </conditionalFormatting>
  <conditionalFormatting sqref="I30">
    <cfRule type="expression" dxfId="115" priority="60">
      <formula>$B$30="v"</formula>
    </cfRule>
  </conditionalFormatting>
  <conditionalFormatting sqref="I31">
    <cfRule type="expression" dxfId="114" priority="59">
      <formula>$B$31="v"</formula>
    </cfRule>
  </conditionalFormatting>
  <conditionalFormatting sqref="I32">
    <cfRule type="expression" dxfId="113" priority="58">
      <formula>$B$32="v"</formula>
    </cfRule>
  </conditionalFormatting>
  <conditionalFormatting sqref="I33">
    <cfRule type="expression" dxfId="112" priority="57">
      <formula>$B$33="v"</formula>
    </cfRule>
  </conditionalFormatting>
  <conditionalFormatting sqref="I34">
    <cfRule type="expression" dxfId="111" priority="56">
      <formula>$B$34="v"</formula>
    </cfRule>
  </conditionalFormatting>
  <conditionalFormatting sqref="I35">
    <cfRule type="expression" dxfId="110" priority="55">
      <formula>$B$35="v"</formula>
    </cfRule>
  </conditionalFormatting>
  <conditionalFormatting sqref="I36">
    <cfRule type="expression" dxfId="109" priority="54">
      <formula>$B$36="v"</formula>
    </cfRule>
  </conditionalFormatting>
  <conditionalFormatting sqref="I37">
    <cfRule type="expression" dxfId="108" priority="53">
      <formula>$B$37="v"</formula>
    </cfRule>
  </conditionalFormatting>
  <conditionalFormatting sqref="I38">
    <cfRule type="expression" dxfId="107" priority="52">
      <formula>$B$38="v"</formula>
    </cfRule>
  </conditionalFormatting>
  <conditionalFormatting sqref="I39">
    <cfRule type="expression" dxfId="106" priority="51">
      <formula>$B$39="v"</formula>
    </cfRule>
  </conditionalFormatting>
  <conditionalFormatting sqref="I40">
    <cfRule type="expression" dxfId="105" priority="50">
      <formula>$B$40="v"</formula>
    </cfRule>
  </conditionalFormatting>
  <conditionalFormatting sqref="I41">
    <cfRule type="expression" dxfId="104" priority="49">
      <formula>$B$41="v"</formula>
    </cfRule>
  </conditionalFormatting>
  <conditionalFormatting sqref="I42">
    <cfRule type="expression" dxfId="103" priority="48">
      <formula>$B$42="v"</formula>
    </cfRule>
  </conditionalFormatting>
  <conditionalFormatting sqref="I43">
    <cfRule type="expression" dxfId="102" priority="47">
      <formula>$B$43="v"</formula>
    </cfRule>
  </conditionalFormatting>
  <conditionalFormatting sqref="I44">
    <cfRule type="expression" dxfId="101" priority="46">
      <formula>$B$44="v"</formula>
    </cfRule>
  </conditionalFormatting>
  <conditionalFormatting sqref="I45">
    <cfRule type="expression" dxfId="100" priority="45">
      <formula>$B$45="v"</formula>
    </cfRule>
  </conditionalFormatting>
  <conditionalFormatting sqref="I46">
    <cfRule type="expression" dxfId="99" priority="44">
      <formula>$B$46="v"</formula>
    </cfRule>
  </conditionalFormatting>
  <conditionalFormatting sqref="I47">
    <cfRule type="expression" dxfId="98" priority="43">
      <formula>$B$47="v"</formula>
    </cfRule>
  </conditionalFormatting>
  <conditionalFormatting sqref="I48">
    <cfRule type="expression" dxfId="97" priority="42">
      <formula>$B$48="v"</formula>
    </cfRule>
  </conditionalFormatting>
  <conditionalFormatting sqref="I49">
    <cfRule type="expression" dxfId="96" priority="41">
      <formula>$B$49="v"</formula>
    </cfRule>
  </conditionalFormatting>
  <conditionalFormatting sqref="I50">
    <cfRule type="expression" dxfId="95" priority="40">
      <formula>$B$50="v"</formula>
    </cfRule>
  </conditionalFormatting>
  <conditionalFormatting sqref="I51">
    <cfRule type="expression" dxfId="94" priority="39">
      <formula>$B$51="v"</formula>
    </cfRule>
  </conditionalFormatting>
  <conditionalFormatting sqref="I52">
    <cfRule type="expression" dxfId="93" priority="38">
      <formula>$B$52="v"</formula>
    </cfRule>
  </conditionalFormatting>
  <conditionalFormatting sqref="I53">
    <cfRule type="expression" dxfId="92" priority="37">
      <formula>$B$53="v"</formula>
    </cfRule>
  </conditionalFormatting>
  <conditionalFormatting sqref="I54">
    <cfRule type="expression" dxfId="91" priority="36">
      <formula>$B$54="v"</formula>
    </cfRule>
  </conditionalFormatting>
  <conditionalFormatting sqref="I55">
    <cfRule type="expression" dxfId="90" priority="35">
      <formula>$B$55="v"</formula>
    </cfRule>
  </conditionalFormatting>
  <conditionalFormatting sqref="I56">
    <cfRule type="expression" dxfId="89" priority="34">
      <formula>$B$56="v"</formula>
    </cfRule>
  </conditionalFormatting>
  <conditionalFormatting sqref="I57">
    <cfRule type="expression" dxfId="88" priority="33">
      <formula>$B$57="v"</formula>
    </cfRule>
  </conditionalFormatting>
  <conditionalFormatting sqref="I58">
    <cfRule type="expression" dxfId="87" priority="32">
      <formula>$B$58="v"</formula>
    </cfRule>
  </conditionalFormatting>
  <conditionalFormatting sqref="I59">
    <cfRule type="expression" dxfId="86" priority="31">
      <formula>$B$59="v"</formula>
    </cfRule>
  </conditionalFormatting>
  <conditionalFormatting sqref="I60">
    <cfRule type="expression" dxfId="85" priority="30">
      <formula>$B$60="v"</formula>
    </cfRule>
  </conditionalFormatting>
  <conditionalFormatting sqref="I61">
    <cfRule type="expression" dxfId="84" priority="29">
      <formula>$B$61="v"</formula>
    </cfRule>
  </conditionalFormatting>
  <conditionalFormatting sqref="I62">
    <cfRule type="expression" dxfId="83" priority="28">
      <formula>$B$62="v"</formula>
    </cfRule>
  </conditionalFormatting>
  <conditionalFormatting sqref="I63">
    <cfRule type="expression" dxfId="82" priority="27">
      <formula>$B$63="v"</formula>
    </cfRule>
  </conditionalFormatting>
  <conditionalFormatting sqref="I64">
    <cfRule type="expression" dxfId="81" priority="26">
      <formula>$B$64="v"</formula>
    </cfRule>
  </conditionalFormatting>
  <conditionalFormatting sqref="I65">
    <cfRule type="expression" dxfId="80" priority="25">
      <formula>$B$65="v"</formula>
    </cfRule>
  </conditionalFormatting>
  <conditionalFormatting sqref="I66">
    <cfRule type="expression" dxfId="79" priority="24">
      <formula>$B$66="v"</formula>
    </cfRule>
  </conditionalFormatting>
  <conditionalFormatting sqref="I67">
    <cfRule type="expression" dxfId="78" priority="23">
      <formula>$B$67="v"</formula>
    </cfRule>
  </conditionalFormatting>
  <conditionalFormatting sqref="I68">
    <cfRule type="expression" dxfId="77" priority="22">
      <formula>$B$68="v"</formula>
    </cfRule>
  </conditionalFormatting>
  <conditionalFormatting sqref="I69">
    <cfRule type="expression" dxfId="76" priority="21">
      <formula>$B$69="v"</formula>
    </cfRule>
  </conditionalFormatting>
  <conditionalFormatting sqref="I70">
    <cfRule type="expression" dxfId="75" priority="20">
      <formula>$B$70="v"</formula>
    </cfRule>
  </conditionalFormatting>
  <conditionalFormatting sqref="I71">
    <cfRule type="expression" dxfId="74" priority="19">
      <formula>$B$71="v"</formula>
    </cfRule>
  </conditionalFormatting>
  <conditionalFormatting sqref="I72">
    <cfRule type="expression" dxfId="73" priority="18">
      <formula>$B$72="v"</formula>
    </cfRule>
  </conditionalFormatting>
  <conditionalFormatting sqref="I73">
    <cfRule type="expression" dxfId="72" priority="17">
      <formula>$B$73="v"</formula>
    </cfRule>
  </conditionalFormatting>
  <conditionalFormatting sqref="I74">
    <cfRule type="expression" dxfId="71" priority="16">
      <formula>$B$74="v"</formula>
    </cfRule>
  </conditionalFormatting>
  <conditionalFormatting sqref="I75">
    <cfRule type="expression" dxfId="70" priority="15">
      <formula>$B$75="v"</formula>
    </cfRule>
  </conditionalFormatting>
  <conditionalFormatting sqref="I76">
    <cfRule type="expression" dxfId="69" priority="14">
      <formula>$B$76="v"</formula>
    </cfRule>
  </conditionalFormatting>
  <conditionalFormatting sqref="I77">
    <cfRule type="expression" dxfId="68" priority="13">
      <formula>$B$77="v"</formula>
    </cfRule>
  </conditionalFormatting>
  <conditionalFormatting sqref="I78">
    <cfRule type="expression" dxfId="67" priority="12">
      <formula>$B$78="v"</formula>
    </cfRule>
  </conditionalFormatting>
  <conditionalFormatting sqref="I79">
    <cfRule type="expression" dxfId="66" priority="11">
      <formula>$B$79="v"</formula>
    </cfRule>
  </conditionalFormatting>
  <conditionalFormatting sqref="I80">
    <cfRule type="expression" dxfId="65" priority="10">
      <formula>$B$80="v"</formula>
    </cfRule>
  </conditionalFormatting>
  <conditionalFormatting sqref="I81">
    <cfRule type="expression" dxfId="64" priority="9">
      <formula>$B$81="v"</formula>
    </cfRule>
  </conditionalFormatting>
  <conditionalFormatting sqref="I82">
    <cfRule type="expression" dxfId="63" priority="8">
      <formula>$B$82="v"</formula>
    </cfRule>
  </conditionalFormatting>
  <conditionalFormatting sqref="L5:N6">
    <cfRule type="expression" dxfId="62" priority="173">
      <formula>$K$4=1</formula>
    </cfRule>
  </conditionalFormatting>
  <conditionalFormatting sqref="L7:N82">
    <cfRule type="expression" dxfId="61" priority="176">
      <formula>$K$4=1</formula>
    </cfRule>
  </conditionalFormatting>
  <conditionalFormatting sqref="M4:N4">
    <cfRule type="expression" dxfId="60" priority="175">
      <formula>$K$4=1</formula>
    </cfRule>
  </conditionalFormatting>
  <conditionalFormatting sqref="L7:N82">
    <cfRule type="expression" dxfId="59" priority="165">
      <formula>$K$4=""</formula>
    </cfRule>
  </conditionalFormatting>
  <conditionalFormatting sqref="P5:R6">
    <cfRule type="expression" dxfId="58" priority="177">
      <formula>$O$4=1</formula>
    </cfRule>
  </conditionalFormatting>
  <conditionalFormatting sqref="P7:R82">
    <cfRule type="expression" dxfId="57" priority="180">
      <formula>$O$4=1</formula>
    </cfRule>
  </conditionalFormatting>
  <conditionalFormatting sqref="Q4:R4">
    <cfRule type="expression" dxfId="56" priority="179">
      <formula>$O$4=1</formula>
    </cfRule>
  </conditionalFormatting>
  <conditionalFormatting sqref="P7:R82">
    <cfRule type="expression" dxfId="55" priority="163">
      <formula>$O$4=""</formula>
    </cfRule>
  </conditionalFormatting>
  <conditionalFormatting sqref="T5:V6">
    <cfRule type="expression" dxfId="54" priority="181">
      <formula>$S$4=1</formula>
    </cfRule>
  </conditionalFormatting>
  <conditionalFormatting sqref="T7:V82">
    <cfRule type="expression" dxfId="53" priority="226">
      <formula>$S$4=1</formula>
    </cfRule>
  </conditionalFormatting>
  <conditionalFormatting sqref="U4:V4">
    <cfRule type="expression" dxfId="52" priority="183">
      <formula>$S$4=1</formula>
    </cfRule>
  </conditionalFormatting>
  <conditionalFormatting sqref="T7:V82">
    <cfRule type="expression" dxfId="51" priority="161">
      <formula>$S$4=""</formula>
    </cfRule>
  </conditionalFormatting>
  <conditionalFormatting sqref="X5:Z6">
    <cfRule type="expression" dxfId="50" priority="185">
      <formula>$W$4=1</formula>
    </cfRule>
  </conditionalFormatting>
  <conditionalFormatting sqref="X7:Z82">
    <cfRule type="expression" dxfId="49" priority="223">
      <formula>$W$4=1</formula>
    </cfRule>
  </conditionalFormatting>
  <conditionalFormatting sqref="Y4:Z4">
    <cfRule type="expression" dxfId="48" priority="187">
      <formula>$W$4=1</formula>
    </cfRule>
  </conditionalFormatting>
  <conditionalFormatting sqref="X7:Z82">
    <cfRule type="expression" dxfId="47" priority="162">
      <formula>$W$4=""</formula>
    </cfRule>
  </conditionalFormatting>
  <conditionalFormatting sqref="AB5:AD6">
    <cfRule type="expression" dxfId="46" priority="189">
      <formula>$AA$4=1</formula>
    </cfRule>
  </conditionalFormatting>
  <conditionalFormatting sqref="AB7:AD82">
    <cfRule type="expression" dxfId="45" priority="192">
      <formula>$AA$4=1</formula>
    </cfRule>
  </conditionalFormatting>
  <conditionalFormatting sqref="AC4:AD4">
    <cfRule type="expression" dxfId="44" priority="191">
      <formula>$AA$4=1</formula>
    </cfRule>
  </conditionalFormatting>
  <conditionalFormatting sqref="AB7:AD82">
    <cfRule type="expression" dxfId="43" priority="182">
      <formula>$AA$4=""</formula>
    </cfRule>
  </conditionalFormatting>
  <conditionalFormatting sqref="AF5:AH6">
    <cfRule type="expression" dxfId="42" priority="193">
      <formula>$AE$4=1</formula>
    </cfRule>
  </conditionalFormatting>
  <conditionalFormatting sqref="AF7:AH82">
    <cfRule type="expression" dxfId="41" priority="196">
      <formula>$AE$4=1</formula>
    </cfRule>
  </conditionalFormatting>
  <conditionalFormatting sqref="AG4:AH4">
    <cfRule type="expression" dxfId="40" priority="195">
      <formula>$AE$4=1</formula>
    </cfRule>
  </conditionalFormatting>
  <conditionalFormatting sqref="AF7:AH82">
    <cfRule type="expression" dxfId="39" priority="184">
      <formula>$AE$4=""</formula>
    </cfRule>
  </conditionalFormatting>
  <conditionalFormatting sqref="AJ7:AL82">
    <cfRule type="expression" dxfId="38" priority="200">
      <formula>$AI$4=1</formula>
    </cfRule>
  </conditionalFormatting>
  <conditionalFormatting sqref="AK4:AL4">
    <cfRule type="expression" dxfId="37" priority="198">
      <formula>$AI$4=1</formula>
    </cfRule>
  </conditionalFormatting>
  <conditionalFormatting sqref="AJ5:AL6">
    <cfRule type="expression" dxfId="36" priority="199">
      <formula>$AI$4=1</formula>
    </cfRule>
  </conditionalFormatting>
  <conditionalFormatting sqref="AJ7:AL82">
    <cfRule type="expression" dxfId="35" priority="186">
      <formula>$AI$4=""</formula>
    </cfRule>
  </conditionalFormatting>
  <conditionalFormatting sqref="AN7:AP82">
    <cfRule type="expression" dxfId="34" priority="204">
      <formula>$AM$4=1</formula>
    </cfRule>
  </conditionalFormatting>
  <conditionalFormatting sqref="AO4:AP4 AS4:AT4">
    <cfRule type="expression" dxfId="33" priority="202">
      <formula>AQ$4=1</formula>
    </cfRule>
  </conditionalFormatting>
  <conditionalFormatting sqref="AN5:AP6">
    <cfRule type="expression" dxfId="32" priority="203">
      <formula>$AM$4=1</formula>
    </cfRule>
  </conditionalFormatting>
  <conditionalFormatting sqref="AN7:AP82">
    <cfRule type="expression" dxfId="31" priority="188">
      <formula>$AM$4=""</formula>
    </cfRule>
  </conditionalFormatting>
  <conditionalFormatting sqref="AR7:AT82">
    <cfRule type="expression" dxfId="30" priority="207">
      <formula>$AQ$4=1</formula>
    </cfRule>
  </conditionalFormatting>
  <conditionalFormatting sqref="AR5:AT6">
    <cfRule type="expression" dxfId="29" priority="206">
      <formula>$AQ$4=1</formula>
    </cfRule>
  </conditionalFormatting>
  <conditionalFormatting sqref="AR7:AT82">
    <cfRule type="expression" dxfId="28" priority="190">
      <formula>$AQ$4=""</formula>
    </cfRule>
  </conditionalFormatting>
  <conditionalFormatting sqref="AV7:AX82">
    <cfRule type="expression" dxfId="27" priority="210">
      <formula>$AU$4=1</formula>
    </cfRule>
  </conditionalFormatting>
  <conditionalFormatting sqref="AV5:AX6">
    <cfRule type="expression" dxfId="26" priority="209">
      <formula>$AU$4=1</formula>
    </cfRule>
  </conditionalFormatting>
  <conditionalFormatting sqref="AV7:AX82">
    <cfRule type="expression" dxfId="25" priority="160">
      <formula>$AU$4=""</formula>
    </cfRule>
  </conditionalFormatting>
  <conditionalFormatting sqref="AZ7:BB82">
    <cfRule type="expression" dxfId="24" priority="213">
      <formula>$AY$4=1</formula>
    </cfRule>
  </conditionalFormatting>
  <conditionalFormatting sqref="AZ5:BB6">
    <cfRule type="expression" dxfId="23" priority="212">
      <formula>$AY$4=1</formula>
    </cfRule>
  </conditionalFormatting>
  <conditionalFormatting sqref="AZ7:BB82">
    <cfRule type="expression" dxfId="22" priority="194">
      <formula>$AY$4=""</formula>
    </cfRule>
  </conditionalFormatting>
  <conditionalFormatting sqref="BD7:BF82">
    <cfRule type="expression" dxfId="21" priority="216">
      <formula>$BC$4=1</formula>
    </cfRule>
  </conditionalFormatting>
  <conditionalFormatting sqref="BD5:BF6">
    <cfRule type="expression" dxfId="20" priority="215">
      <formula>$BC$4=1</formula>
    </cfRule>
  </conditionalFormatting>
  <conditionalFormatting sqref="BD7:BF82">
    <cfRule type="expression" dxfId="19" priority="197">
      <formula>$BC$4=""</formula>
    </cfRule>
  </conditionalFormatting>
  <conditionalFormatting sqref="BH7:BJ82">
    <cfRule type="expression" dxfId="18" priority="219">
      <formula>$BG$4=1</formula>
    </cfRule>
  </conditionalFormatting>
  <conditionalFormatting sqref="BH5:BJ6">
    <cfRule type="expression" dxfId="17" priority="218">
      <formula>$BG$4=1</formula>
    </cfRule>
  </conditionalFormatting>
  <conditionalFormatting sqref="BH7:BJ82">
    <cfRule type="expression" dxfId="16" priority="201">
      <formula>$BG$4=""</formula>
    </cfRule>
  </conditionalFormatting>
  <conditionalFormatting sqref="BL7:BN82">
    <cfRule type="expression" dxfId="15" priority="222">
      <formula>$BK$4=1</formula>
    </cfRule>
  </conditionalFormatting>
  <conditionalFormatting sqref="BL5:BN6">
    <cfRule type="expression" dxfId="14" priority="221">
      <formula>$BK$4=1</formula>
    </cfRule>
  </conditionalFormatting>
  <conditionalFormatting sqref="BL7:BN82">
    <cfRule type="expression" dxfId="13" priority="205">
      <formula>$BK$4=""</formula>
    </cfRule>
  </conditionalFormatting>
  <conditionalFormatting sqref="BP7:BR82">
    <cfRule type="expression" dxfId="12" priority="225">
      <formula>$BO$4=1</formula>
    </cfRule>
  </conditionalFormatting>
  <conditionalFormatting sqref="BP5:BR6">
    <cfRule type="expression" dxfId="11" priority="224">
      <formula>$BO$4=1</formula>
    </cfRule>
  </conditionalFormatting>
  <conditionalFormatting sqref="BP7:BR82">
    <cfRule type="expression" dxfId="10" priority="211">
      <formula>$BO$4=""</formula>
    </cfRule>
  </conditionalFormatting>
  <conditionalFormatting sqref="BT7:BV82">
    <cfRule type="expression" dxfId="9" priority="228">
      <formula>$BS$4=1</formula>
    </cfRule>
  </conditionalFormatting>
  <conditionalFormatting sqref="BT5:BV6">
    <cfRule type="expression" dxfId="8" priority="227">
      <formula>$BS$4=1</formula>
    </cfRule>
  </conditionalFormatting>
  <conditionalFormatting sqref="BT7:BV82">
    <cfRule type="expression" dxfId="7" priority="214">
      <formula>$BS$4=""</formula>
    </cfRule>
  </conditionalFormatting>
  <conditionalFormatting sqref="AW4:AX4">
    <cfRule type="expression" dxfId="6" priority="7">
      <formula>AU$4=1</formula>
    </cfRule>
  </conditionalFormatting>
  <conditionalFormatting sqref="BA4:BB4">
    <cfRule type="expression" dxfId="5" priority="6">
      <formula>AY$4=1</formula>
    </cfRule>
  </conditionalFormatting>
  <conditionalFormatting sqref="BE4:BF4">
    <cfRule type="expression" dxfId="4" priority="5">
      <formula>BC$4=1</formula>
    </cfRule>
  </conditionalFormatting>
  <conditionalFormatting sqref="BI4:BJ4">
    <cfRule type="expression" dxfId="3" priority="4">
      <formula>BG$4=1</formula>
    </cfRule>
  </conditionalFormatting>
  <conditionalFormatting sqref="BM4:BN4">
    <cfRule type="expression" dxfId="2" priority="3">
      <formula>BK$4=1</formula>
    </cfRule>
  </conditionalFormatting>
  <conditionalFormatting sqref="BQ4:BR4">
    <cfRule type="expression" dxfId="1" priority="2">
      <formula>BO$4=1</formula>
    </cfRule>
  </conditionalFormatting>
  <conditionalFormatting sqref="BU4:BV4">
    <cfRule type="expression" dxfId="0" priority="1">
      <formula>BS$4=1</formula>
    </cfRule>
  </conditionalFormatting>
  <dataValidations count="3">
    <dataValidation type="list" allowBlank="1" showInputMessage="1" showErrorMessage="1" sqref="BP7:BP82 AV7:AV82 BL7:BL82 BT7:BT82 BH7:BH82 BD7:BD82 AZ7:AZ82" xr:uid="{05B26C12-F8CC-4B7B-9BE9-97AAD29A45BC}">
      <formula1>"&lt;, &lt;=, &gt;, &gt;=, ="</formula1>
    </dataValidation>
    <dataValidation type="list" allowBlank="1" showInputMessage="1" showErrorMessage="1" sqref="B7:B82" xr:uid="{1DF7AFFF-7D8F-4C3E-9461-3909FE40734A}">
      <formula1>"v"</formula1>
    </dataValidation>
    <dataValidation type="list" allowBlank="1" showInputMessage="1" showErrorMessage="1" sqref="F2" xr:uid="{AEC4E805-176B-4093-8F24-BD32F8819589}">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DCE58601-FB9E-4836-962E-E7F0BAFF5241}">
          <x14:formula1>
            <xm:f>Sheet3!$A$2:$A$49</xm:f>
          </x14:formula1>
          <xm:sqref>F3</xm:sqref>
        </x14:dataValidation>
        <x14:dataValidation type="list" allowBlank="1" showInputMessage="1" xr:uid="{38A21429-0431-4885-BAF4-76FB233ADA05}">
          <x14:formula1>
            <xm:f>Sheet3!$J$153:$J$168</xm:f>
          </x14:formula1>
          <xm:sqref>H7:H82 N7:N82 R7:R82 V7:V82 Z7:Z82 AD7:AD82 AH7:AH82 AL7:AL82 AP7:AP82 AT7:AT82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6BE68-8CA0-4458-B12F-3EE6BC4E8C22}">
  <sheetPr codeName="Sheet14"/>
  <dimension ref="A1:AA853"/>
  <sheetViews>
    <sheetView topLeftCell="A77" workbookViewId="0">
      <selection activeCell="K94" sqref="K94"/>
    </sheetView>
  </sheetViews>
  <sheetFormatPr defaultRowHeight="16.5"/>
  <cols>
    <col min="2" max="2" width="11.125" bestFit="1" customWidth="1"/>
    <col min="10" max="10" width="30.25" customWidth="1"/>
  </cols>
  <sheetData>
    <row r="1" spans="1:27">
      <c r="A1" t="s">
        <v>7</v>
      </c>
      <c r="I1" t="s">
        <v>21</v>
      </c>
      <c r="J1" t="s">
        <v>22</v>
      </c>
      <c r="K1" t="s">
        <v>23</v>
      </c>
      <c r="L1" s="150" t="s">
        <v>375</v>
      </c>
      <c r="N1" t="s">
        <v>342</v>
      </c>
      <c r="O1" t="s">
        <v>343</v>
      </c>
      <c r="Q1" t="s">
        <v>344</v>
      </c>
      <c r="R1" t="s">
        <v>345</v>
      </c>
      <c r="S1" t="s">
        <v>346</v>
      </c>
      <c r="T1" t="s">
        <v>347</v>
      </c>
      <c r="AA1" t="b">
        <v>1</v>
      </c>
    </row>
    <row r="2" spans="1:27">
      <c r="A2" t="s">
        <v>315</v>
      </c>
      <c r="I2" t="s">
        <v>24</v>
      </c>
      <c r="J2" t="s">
        <v>25</v>
      </c>
      <c r="K2" t="s">
        <v>23</v>
      </c>
      <c r="L2" s="150" t="s">
        <v>375</v>
      </c>
      <c r="N2">
        <v>0</v>
      </c>
      <c r="O2">
        <v>1.0752999999999999</v>
      </c>
      <c r="Q2">
        <v>0.65349999999999997</v>
      </c>
      <c r="R2">
        <v>85</v>
      </c>
      <c r="S2">
        <v>0.65359999999999996</v>
      </c>
      <c r="T2">
        <v>0.65239999999999998</v>
      </c>
      <c r="AA2" t="b">
        <v>0</v>
      </c>
    </row>
    <row r="3" spans="1:27">
      <c r="A3" t="s">
        <v>316</v>
      </c>
      <c r="I3" t="s">
        <v>26</v>
      </c>
      <c r="J3" t="s">
        <v>27</v>
      </c>
      <c r="K3" t="s">
        <v>23</v>
      </c>
      <c r="L3" s="150" t="s">
        <v>375</v>
      </c>
      <c r="N3">
        <v>0.1</v>
      </c>
      <c r="O3">
        <v>1.0745</v>
      </c>
      <c r="Q3">
        <v>0.65380000000000005</v>
      </c>
      <c r="R3">
        <v>84.9</v>
      </c>
      <c r="S3">
        <v>0.65390000000000004</v>
      </c>
      <c r="T3">
        <v>0.65269999999999995</v>
      </c>
    </row>
    <row r="4" spans="1:27">
      <c r="A4" t="s">
        <v>317</v>
      </c>
      <c r="I4" t="s">
        <v>28</v>
      </c>
      <c r="J4" t="s">
        <v>29</v>
      </c>
      <c r="K4" t="s">
        <v>23</v>
      </c>
      <c r="L4" s="150" t="s">
        <v>375</v>
      </c>
      <c r="N4">
        <v>0.2</v>
      </c>
      <c r="O4">
        <v>1.0737000000000001</v>
      </c>
      <c r="Q4">
        <v>0.65410000000000001</v>
      </c>
      <c r="R4">
        <v>84.8</v>
      </c>
      <c r="S4">
        <v>0.6542</v>
      </c>
      <c r="T4">
        <v>0.65300000000000002</v>
      </c>
    </row>
    <row r="5" spans="1:27">
      <c r="A5" t="s">
        <v>318</v>
      </c>
      <c r="I5" t="s">
        <v>30</v>
      </c>
      <c r="J5" t="s">
        <v>31</v>
      </c>
      <c r="K5" t="s">
        <v>23</v>
      </c>
      <c r="L5" s="150" t="s">
        <v>375</v>
      </c>
      <c r="N5">
        <v>0.3</v>
      </c>
      <c r="O5">
        <v>1.0729</v>
      </c>
      <c r="Q5">
        <v>0.65439999999999998</v>
      </c>
      <c r="R5">
        <v>84.7</v>
      </c>
      <c r="S5">
        <v>0.65449999999999997</v>
      </c>
      <c r="T5">
        <v>0.65329999999999999</v>
      </c>
    </row>
    <row r="6" spans="1:27">
      <c r="A6" t="s">
        <v>319</v>
      </c>
      <c r="I6" t="s">
        <v>32</v>
      </c>
      <c r="J6" t="s">
        <v>33</v>
      </c>
      <c r="K6" t="s">
        <v>23</v>
      </c>
      <c r="L6" s="150" t="s">
        <v>375</v>
      </c>
      <c r="N6">
        <v>0.4</v>
      </c>
      <c r="O6">
        <v>1.0721000000000001</v>
      </c>
      <c r="Q6">
        <v>0.65469999999999995</v>
      </c>
      <c r="R6">
        <v>84.6</v>
      </c>
      <c r="S6">
        <v>0.65480000000000005</v>
      </c>
      <c r="T6">
        <v>0.65359999999999996</v>
      </c>
    </row>
    <row r="7" spans="1:27">
      <c r="A7" t="s">
        <v>320</v>
      </c>
      <c r="I7" t="s">
        <v>34</v>
      </c>
      <c r="J7" t="s">
        <v>35</v>
      </c>
      <c r="K7" t="s">
        <v>23</v>
      </c>
      <c r="L7" s="150" t="s">
        <v>375</v>
      </c>
      <c r="N7">
        <v>0.5</v>
      </c>
      <c r="O7">
        <v>1.0712999999999999</v>
      </c>
      <c r="Q7">
        <v>0.65500000000000003</v>
      </c>
      <c r="R7">
        <v>84.5</v>
      </c>
      <c r="S7">
        <v>0.65510000000000002</v>
      </c>
      <c r="T7">
        <v>0.65390000000000004</v>
      </c>
    </row>
    <row r="8" spans="1:27">
      <c r="A8" t="s">
        <v>321</v>
      </c>
      <c r="I8" t="s">
        <v>36</v>
      </c>
      <c r="J8" t="s">
        <v>37</v>
      </c>
      <c r="K8" t="s">
        <v>23</v>
      </c>
      <c r="L8" s="150" t="s">
        <v>375</v>
      </c>
      <c r="N8">
        <v>0.6</v>
      </c>
      <c r="O8">
        <v>1.0705</v>
      </c>
      <c r="Q8">
        <v>0.65529999999999999</v>
      </c>
      <c r="R8">
        <v>84.4</v>
      </c>
      <c r="S8">
        <v>0.65539999999999998</v>
      </c>
      <c r="T8">
        <v>0.6542</v>
      </c>
    </row>
    <row r="9" spans="1:27">
      <c r="A9" t="s">
        <v>275</v>
      </c>
      <c r="I9" t="s">
        <v>38</v>
      </c>
      <c r="J9" t="s">
        <v>39</v>
      </c>
      <c r="K9" t="s">
        <v>23</v>
      </c>
      <c r="L9" s="150" t="s">
        <v>375</v>
      </c>
      <c r="N9">
        <v>0.7</v>
      </c>
      <c r="O9">
        <v>1.0697000000000001</v>
      </c>
      <c r="Q9">
        <v>0.65559999999999996</v>
      </c>
      <c r="R9">
        <v>84.3</v>
      </c>
      <c r="S9">
        <v>0.65569999999999995</v>
      </c>
      <c r="T9">
        <v>0.65449999999999997</v>
      </c>
    </row>
    <row r="10" spans="1:27">
      <c r="A10" t="s">
        <v>276</v>
      </c>
      <c r="I10" t="s">
        <v>40</v>
      </c>
      <c r="J10" t="s">
        <v>41</v>
      </c>
      <c r="K10" t="s">
        <v>23</v>
      </c>
      <c r="L10" s="150" t="s">
        <v>375</v>
      </c>
      <c r="N10">
        <v>0.8</v>
      </c>
      <c r="O10">
        <v>1.0688</v>
      </c>
      <c r="Q10">
        <v>0.65590000000000004</v>
      </c>
      <c r="R10">
        <v>84.2</v>
      </c>
      <c r="S10">
        <v>0.65600000000000003</v>
      </c>
      <c r="T10">
        <v>0.65480000000000005</v>
      </c>
    </row>
    <row r="11" spans="1:27">
      <c r="A11" t="s">
        <v>277</v>
      </c>
      <c r="I11" t="s">
        <v>42</v>
      </c>
      <c r="J11" t="s">
        <v>43</v>
      </c>
      <c r="K11" t="s">
        <v>23</v>
      </c>
      <c r="L11" s="150" t="s">
        <v>375</v>
      </c>
      <c r="N11">
        <v>0.9</v>
      </c>
      <c r="O11">
        <v>1.0680000000000001</v>
      </c>
      <c r="Q11">
        <v>0.65620000000000001</v>
      </c>
      <c r="R11">
        <v>84.1</v>
      </c>
      <c r="S11">
        <v>0.65629999999999999</v>
      </c>
      <c r="T11">
        <v>0.65510000000000002</v>
      </c>
    </row>
    <row r="12" spans="1:27">
      <c r="A12" t="s">
        <v>278</v>
      </c>
      <c r="I12" t="s">
        <v>44</v>
      </c>
      <c r="J12" t="s">
        <v>45</v>
      </c>
      <c r="K12" t="s">
        <v>23</v>
      </c>
      <c r="L12" s="150" t="s">
        <v>375</v>
      </c>
      <c r="N12">
        <v>1</v>
      </c>
      <c r="O12">
        <v>1.0671999999999999</v>
      </c>
      <c r="Q12">
        <v>0.65649999999999997</v>
      </c>
      <c r="R12">
        <v>84</v>
      </c>
      <c r="S12">
        <v>0.65659999999999996</v>
      </c>
      <c r="T12">
        <v>0.65539999999999998</v>
      </c>
    </row>
    <row r="13" spans="1:27">
      <c r="A13" t="s">
        <v>279</v>
      </c>
      <c r="I13" t="s">
        <v>46</v>
      </c>
      <c r="J13" t="s">
        <v>47</v>
      </c>
      <c r="K13" t="s">
        <v>23</v>
      </c>
      <c r="L13" s="150" t="s">
        <v>375</v>
      </c>
      <c r="N13">
        <v>1.1000000000000001</v>
      </c>
      <c r="O13">
        <v>1.0664</v>
      </c>
      <c r="Q13">
        <v>0.65680000000000005</v>
      </c>
      <c r="R13">
        <v>83.9</v>
      </c>
      <c r="S13">
        <v>0.65690000000000004</v>
      </c>
      <c r="T13">
        <v>0.65569999999999995</v>
      </c>
    </row>
    <row r="14" spans="1:27">
      <c r="A14" t="s">
        <v>280</v>
      </c>
      <c r="I14" t="s">
        <v>48</v>
      </c>
      <c r="J14" t="s">
        <v>49</v>
      </c>
      <c r="K14" t="s">
        <v>23</v>
      </c>
      <c r="L14" s="150" t="s">
        <v>375</v>
      </c>
      <c r="N14">
        <v>1.2</v>
      </c>
      <c r="O14">
        <v>1.0656000000000001</v>
      </c>
      <c r="Q14">
        <v>0.65710000000000002</v>
      </c>
      <c r="R14">
        <v>83.8</v>
      </c>
      <c r="S14">
        <v>0.65720000000000001</v>
      </c>
      <c r="T14">
        <v>0.65600000000000003</v>
      </c>
    </row>
    <row r="15" spans="1:27">
      <c r="A15" t="s">
        <v>281</v>
      </c>
      <c r="I15" t="s">
        <v>50</v>
      </c>
      <c r="J15" t="s">
        <v>51</v>
      </c>
      <c r="K15" t="s">
        <v>23</v>
      </c>
      <c r="L15" s="150" t="s">
        <v>375</v>
      </c>
      <c r="N15">
        <v>1.3</v>
      </c>
      <c r="O15">
        <v>1.0648</v>
      </c>
      <c r="Q15">
        <v>0.65739999999999998</v>
      </c>
      <c r="R15">
        <v>83.7</v>
      </c>
      <c r="S15">
        <v>0.65749999999999997</v>
      </c>
      <c r="T15">
        <v>0.65629999999999999</v>
      </c>
    </row>
    <row r="16" spans="1:27">
      <c r="A16" t="s">
        <v>282</v>
      </c>
      <c r="I16" t="s">
        <v>52</v>
      </c>
      <c r="J16" t="s">
        <v>53</v>
      </c>
      <c r="K16" t="s">
        <v>23</v>
      </c>
      <c r="L16" s="150" t="s">
        <v>375</v>
      </c>
      <c r="N16">
        <v>1.4</v>
      </c>
      <c r="O16">
        <v>1.0640000000000001</v>
      </c>
      <c r="Q16">
        <v>0.65769999999999995</v>
      </c>
      <c r="R16">
        <v>83.6</v>
      </c>
      <c r="S16">
        <v>0.65780000000000005</v>
      </c>
      <c r="T16">
        <v>0.65659999999999996</v>
      </c>
    </row>
    <row r="17" spans="1:20">
      <c r="A17" t="s">
        <v>283</v>
      </c>
      <c r="I17" t="s">
        <v>54</v>
      </c>
      <c r="J17" t="s">
        <v>55</v>
      </c>
      <c r="K17" t="s">
        <v>23</v>
      </c>
      <c r="L17" s="150" t="s">
        <v>375</v>
      </c>
      <c r="N17">
        <v>1.5</v>
      </c>
      <c r="O17">
        <v>1.0631999999999999</v>
      </c>
      <c r="Q17">
        <v>0.65800000000000003</v>
      </c>
      <c r="R17">
        <v>83.5</v>
      </c>
      <c r="S17">
        <v>0.65810000000000002</v>
      </c>
      <c r="T17">
        <v>0.65690000000000004</v>
      </c>
    </row>
    <row r="18" spans="1:20">
      <c r="A18" t="s">
        <v>284</v>
      </c>
      <c r="I18" t="s">
        <v>56</v>
      </c>
      <c r="J18" t="s">
        <v>57</v>
      </c>
      <c r="K18" t="s">
        <v>23</v>
      </c>
      <c r="L18" s="150" t="s">
        <v>375</v>
      </c>
      <c r="N18">
        <v>1.6</v>
      </c>
      <c r="O18">
        <v>1.0624</v>
      </c>
      <c r="Q18">
        <v>0.6583</v>
      </c>
      <c r="R18">
        <v>83.4</v>
      </c>
      <c r="S18">
        <v>0.65839999999999999</v>
      </c>
      <c r="T18">
        <v>0.65720000000000001</v>
      </c>
    </row>
    <row r="19" spans="1:20">
      <c r="A19" t="s">
        <v>285</v>
      </c>
      <c r="I19" t="s">
        <v>58</v>
      </c>
      <c r="J19" t="s">
        <v>59</v>
      </c>
      <c r="K19" t="s">
        <v>23</v>
      </c>
      <c r="L19" s="150" t="s">
        <v>375</v>
      </c>
      <c r="N19">
        <v>1.7</v>
      </c>
      <c r="O19">
        <v>1.0616000000000001</v>
      </c>
      <c r="Q19">
        <v>0.65859999999999996</v>
      </c>
      <c r="R19">
        <v>83.3</v>
      </c>
      <c r="S19">
        <v>0.65880000000000005</v>
      </c>
      <c r="T19">
        <v>0.65749999999999997</v>
      </c>
    </row>
    <row r="20" spans="1:20">
      <c r="A20" t="s">
        <v>286</v>
      </c>
      <c r="I20" t="s">
        <v>60</v>
      </c>
      <c r="J20" t="s">
        <v>61</v>
      </c>
      <c r="K20" t="s">
        <v>23</v>
      </c>
      <c r="L20" s="150" t="s">
        <v>375</v>
      </c>
      <c r="N20">
        <v>1.8</v>
      </c>
      <c r="O20">
        <v>1.0608</v>
      </c>
      <c r="Q20">
        <v>0.65890000000000004</v>
      </c>
      <c r="R20">
        <v>83.2</v>
      </c>
      <c r="S20">
        <v>0.65910000000000002</v>
      </c>
      <c r="T20">
        <v>0.65780000000000005</v>
      </c>
    </row>
    <row r="21" spans="1:20">
      <c r="A21" t="s">
        <v>287</v>
      </c>
      <c r="I21" t="s">
        <v>62</v>
      </c>
      <c r="J21" t="s">
        <v>63</v>
      </c>
      <c r="K21" t="s">
        <v>23</v>
      </c>
      <c r="L21" s="150" t="s">
        <v>375</v>
      </c>
      <c r="N21">
        <v>1.9</v>
      </c>
      <c r="O21">
        <v>1.06</v>
      </c>
      <c r="Q21">
        <v>0.6593</v>
      </c>
      <c r="R21">
        <v>83.1</v>
      </c>
      <c r="S21">
        <v>0.65939999999999999</v>
      </c>
      <c r="T21">
        <v>0.65820000000000001</v>
      </c>
    </row>
    <row r="22" spans="1:20">
      <c r="A22" t="s">
        <v>288</v>
      </c>
      <c r="I22" t="s">
        <v>64</v>
      </c>
      <c r="J22" t="s">
        <v>65</v>
      </c>
      <c r="K22" t="s">
        <v>23</v>
      </c>
      <c r="L22" s="150" t="s">
        <v>375</v>
      </c>
      <c r="N22">
        <v>2</v>
      </c>
      <c r="O22">
        <v>1.0591999999999999</v>
      </c>
      <c r="Q22">
        <v>0.65959999999999996</v>
      </c>
      <c r="R22">
        <v>83</v>
      </c>
      <c r="S22">
        <v>0.65969999999999995</v>
      </c>
      <c r="T22">
        <v>0.65849999999999997</v>
      </c>
    </row>
    <row r="23" spans="1:20">
      <c r="A23" t="s">
        <v>289</v>
      </c>
      <c r="I23" t="s">
        <v>66</v>
      </c>
      <c r="J23" t="s">
        <v>67</v>
      </c>
      <c r="K23" t="s">
        <v>23</v>
      </c>
      <c r="L23" s="150" t="s">
        <v>375</v>
      </c>
      <c r="N23">
        <v>2.1</v>
      </c>
      <c r="O23">
        <v>1.0585</v>
      </c>
      <c r="Q23">
        <v>0.65990000000000004</v>
      </c>
      <c r="R23">
        <v>82.9</v>
      </c>
      <c r="S23">
        <v>0.66</v>
      </c>
      <c r="T23">
        <v>0.65880000000000005</v>
      </c>
    </row>
    <row r="24" spans="1:20">
      <c r="A24" t="s">
        <v>290</v>
      </c>
      <c r="I24" t="s">
        <v>68</v>
      </c>
      <c r="J24" t="s">
        <v>69</v>
      </c>
      <c r="K24" t="s">
        <v>23</v>
      </c>
      <c r="L24" s="150" t="s">
        <v>375</v>
      </c>
      <c r="N24">
        <v>2.2000000000000002</v>
      </c>
      <c r="O24">
        <v>1.0577000000000001</v>
      </c>
      <c r="Q24">
        <v>0.66020000000000001</v>
      </c>
      <c r="R24">
        <v>82.8</v>
      </c>
      <c r="S24">
        <v>0.6603</v>
      </c>
      <c r="T24">
        <v>0.65910000000000002</v>
      </c>
    </row>
    <row r="25" spans="1:20">
      <c r="A25" t="s">
        <v>291</v>
      </c>
      <c r="I25" t="s">
        <v>70</v>
      </c>
      <c r="J25" t="s">
        <v>71</v>
      </c>
      <c r="K25" t="s">
        <v>23</v>
      </c>
      <c r="L25" s="150" t="s">
        <v>375</v>
      </c>
      <c r="N25">
        <v>2.2999999999999998</v>
      </c>
      <c r="O25">
        <v>1.0569</v>
      </c>
      <c r="Q25">
        <v>0.66049999999999998</v>
      </c>
      <c r="R25">
        <v>82.7</v>
      </c>
      <c r="S25">
        <v>0.66059999999999997</v>
      </c>
      <c r="T25">
        <v>0.65939999999999999</v>
      </c>
    </row>
    <row r="26" spans="1:20">
      <c r="A26" t="s">
        <v>292</v>
      </c>
      <c r="I26" t="s">
        <v>72</v>
      </c>
      <c r="J26" t="s">
        <v>73</v>
      </c>
      <c r="K26" t="s">
        <v>23</v>
      </c>
      <c r="L26" s="150" t="s">
        <v>375</v>
      </c>
      <c r="N26">
        <v>2.4</v>
      </c>
      <c r="O26">
        <v>1.0561</v>
      </c>
      <c r="Q26">
        <v>0.66080000000000005</v>
      </c>
      <c r="R26">
        <v>82.6</v>
      </c>
      <c r="S26">
        <v>0.66090000000000004</v>
      </c>
      <c r="T26">
        <v>0.65969999999999995</v>
      </c>
    </row>
    <row r="27" spans="1:20">
      <c r="A27" t="s">
        <v>293</v>
      </c>
      <c r="I27" t="s">
        <v>74</v>
      </c>
      <c r="J27" t="s">
        <v>75</v>
      </c>
      <c r="K27" t="s">
        <v>23</v>
      </c>
      <c r="L27" s="150" t="s">
        <v>375</v>
      </c>
      <c r="N27">
        <v>2.5</v>
      </c>
      <c r="O27">
        <v>1.0552999999999999</v>
      </c>
      <c r="Q27">
        <v>0.66110000000000002</v>
      </c>
      <c r="R27">
        <v>82.5</v>
      </c>
      <c r="S27">
        <v>0.66120000000000001</v>
      </c>
      <c r="T27">
        <v>0.66</v>
      </c>
    </row>
    <row r="28" spans="1:20">
      <c r="A28" t="s">
        <v>294</v>
      </c>
      <c r="I28" t="s">
        <v>76</v>
      </c>
      <c r="J28" t="s">
        <v>77</v>
      </c>
      <c r="K28" t="s">
        <v>23</v>
      </c>
      <c r="L28" s="150" t="s">
        <v>375</v>
      </c>
      <c r="N28">
        <v>2.6</v>
      </c>
      <c r="O28">
        <v>1.0545</v>
      </c>
      <c r="Q28">
        <v>0.66139999999999999</v>
      </c>
      <c r="R28">
        <v>82.4</v>
      </c>
      <c r="S28">
        <v>0.66149999999999998</v>
      </c>
      <c r="T28">
        <v>0.6603</v>
      </c>
    </row>
    <row r="29" spans="1:20">
      <c r="A29" t="s">
        <v>295</v>
      </c>
      <c r="I29" t="s">
        <v>78</v>
      </c>
      <c r="J29" t="s">
        <v>79</v>
      </c>
      <c r="K29" t="s">
        <v>23</v>
      </c>
      <c r="L29" s="150" t="s">
        <v>375</v>
      </c>
      <c r="N29">
        <v>2.7</v>
      </c>
      <c r="O29">
        <v>1.0537000000000001</v>
      </c>
      <c r="Q29">
        <v>0.66169999999999995</v>
      </c>
      <c r="R29">
        <v>82.3</v>
      </c>
      <c r="S29">
        <v>0.66180000000000005</v>
      </c>
      <c r="T29">
        <v>0.66059999999999997</v>
      </c>
    </row>
    <row r="30" spans="1:20">
      <c r="A30" t="s">
        <v>296</v>
      </c>
      <c r="F30" s="146"/>
      <c r="I30" t="s">
        <v>80</v>
      </c>
      <c r="J30" t="s">
        <v>81</v>
      </c>
      <c r="K30" t="s">
        <v>23</v>
      </c>
      <c r="L30" s="150" t="s">
        <v>375</v>
      </c>
      <c r="N30">
        <v>2.8</v>
      </c>
      <c r="O30">
        <v>1.0528999999999999</v>
      </c>
      <c r="Q30">
        <v>0.66200000000000003</v>
      </c>
      <c r="R30">
        <v>82.2</v>
      </c>
      <c r="S30">
        <v>0.66210000000000002</v>
      </c>
      <c r="T30">
        <v>0.66090000000000004</v>
      </c>
    </row>
    <row r="31" spans="1:20">
      <c r="A31" t="s">
        <v>297</v>
      </c>
      <c r="I31" t="s">
        <v>82</v>
      </c>
      <c r="J31" t="s">
        <v>83</v>
      </c>
      <c r="K31" t="s">
        <v>23</v>
      </c>
      <c r="L31" s="150" t="s">
        <v>375</v>
      </c>
      <c r="N31">
        <v>2.9</v>
      </c>
      <c r="O31">
        <v>1.0522</v>
      </c>
      <c r="Q31">
        <v>0.6623</v>
      </c>
      <c r="R31">
        <v>82.1</v>
      </c>
      <c r="S31">
        <v>0.66249999999999998</v>
      </c>
      <c r="T31">
        <v>0.66120000000000001</v>
      </c>
    </row>
    <row r="32" spans="1:20">
      <c r="A32" t="s">
        <v>298</v>
      </c>
      <c r="I32" t="s">
        <v>84</v>
      </c>
      <c r="J32" t="s">
        <v>85</v>
      </c>
      <c r="K32" t="s">
        <v>23</v>
      </c>
      <c r="L32" s="150" t="s">
        <v>375</v>
      </c>
      <c r="N32">
        <v>3</v>
      </c>
      <c r="O32">
        <v>1.0513999999999999</v>
      </c>
      <c r="Q32">
        <v>0.66259999999999997</v>
      </c>
      <c r="R32">
        <v>82</v>
      </c>
      <c r="S32">
        <v>0.66279999999999994</v>
      </c>
      <c r="T32">
        <v>0.66149999999999998</v>
      </c>
    </row>
    <row r="33" spans="1:20">
      <c r="A33" t="s">
        <v>299</v>
      </c>
      <c r="I33" t="s">
        <v>86</v>
      </c>
      <c r="J33" t="s">
        <v>87</v>
      </c>
      <c r="K33" t="s">
        <v>23</v>
      </c>
      <c r="L33" s="150" t="s">
        <v>375</v>
      </c>
      <c r="N33">
        <v>3.1</v>
      </c>
      <c r="O33">
        <v>1.0506</v>
      </c>
      <c r="Q33">
        <v>0.66300000000000003</v>
      </c>
      <c r="R33">
        <v>81.900000000000006</v>
      </c>
      <c r="S33">
        <v>0.66310000000000002</v>
      </c>
      <c r="T33">
        <v>0.66190000000000004</v>
      </c>
    </row>
    <row r="34" spans="1:20">
      <c r="A34" t="s">
        <v>300</v>
      </c>
      <c r="I34" t="s">
        <v>88</v>
      </c>
      <c r="J34" t="s">
        <v>89</v>
      </c>
      <c r="K34" t="s">
        <v>23</v>
      </c>
      <c r="L34" s="150" t="s">
        <v>375</v>
      </c>
      <c r="N34">
        <v>3.2</v>
      </c>
      <c r="O34">
        <v>1.0498000000000001</v>
      </c>
      <c r="Q34">
        <v>0.6633</v>
      </c>
      <c r="R34">
        <v>81.8</v>
      </c>
      <c r="S34">
        <v>0.66339999999999999</v>
      </c>
      <c r="T34">
        <v>0.66220000000000001</v>
      </c>
    </row>
    <row r="35" spans="1:20">
      <c r="A35" t="s">
        <v>301</v>
      </c>
      <c r="I35" t="s">
        <v>90</v>
      </c>
      <c r="J35" t="s">
        <v>91</v>
      </c>
      <c r="K35" t="s">
        <v>23</v>
      </c>
      <c r="L35" s="150" t="s">
        <v>375</v>
      </c>
      <c r="N35">
        <v>3.3</v>
      </c>
      <c r="O35">
        <v>1.0489999999999999</v>
      </c>
      <c r="Q35">
        <v>0.66359999999999997</v>
      </c>
      <c r="R35">
        <v>81.7</v>
      </c>
      <c r="S35">
        <v>0.66369999999999996</v>
      </c>
      <c r="T35">
        <v>0.66249999999999998</v>
      </c>
    </row>
    <row r="36" spans="1:20">
      <c r="A36" t="s">
        <v>302</v>
      </c>
      <c r="I36" t="s">
        <v>92</v>
      </c>
      <c r="J36" t="s">
        <v>93</v>
      </c>
      <c r="K36" t="s">
        <v>23</v>
      </c>
      <c r="L36" s="150" t="s">
        <v>375</v>
      </c>
      <c r="N36">
        <v>3.4</v>
      </c>
      <c r="O36">
        <v>1.0483</v>
      </c>
      <c r="Q36">
        <v>0.66390000000000005</v>
      </c>
      <c r="R36">
        <v>81.599999999999994</v>
      </c>
      <c r="S36">
        <v>0.66400000000000003</v>
      </c>
      <c r="T36">
        <v>0.66279999999999994</v>
      </c>
    </row>
    <row r="37" spans="1:20">
      <c r="A37" t="s">
        <v>303</v>
      </c>
      <c r="I37" t="s">
        <v>94</v>
      </c>
      <c r="J37" t="s">
        <v>95</v>
      </c>
      <c r="K37" t="s">
        <v>23</v>
      </c>
      <c r="L37" s="150" t="s">
        <v>375</v>
      </c>
      <c r="N37">
        <v>3.5</v>
      </c>
      <c r="O37">
        <v>1.0475000000000001</v>
      </c>
      <c r="Q37">
        <v>0.66420000000000001</v>
      </c>
      <c r="R37">
        <v>81.5</v>
      </c>
      <c r="S37">
        <v>0.6643</v>
      </c>
      <c r="T37">
        <v>0.66310000000000002</v>
      </c>
    </row>
    <row r="38" spans="1:20">
      <c r="A38" t="s">
        <v>304</v>
      </c>
      <c r="I38" t="s">
        <v>96</v>
      </c>
      <c r="J38" t="s">
        <v>97</v>
      </c>
      <c r="K38" t="s">
        <v>23</v>
      </c>
      <c r="L38" s="150" t="s">
        <v>375</v>
      </c>
      <c r="N38">
        <v>3.6</v>
      </c>
      <c r="O38">
        <v>1.0467</v>
      </c>
      <c r="Q38">
        <v>0.66449999999999998</v>
      </c>
      <c r="R38">
        <v>81.400000000000006</v>
      </c>
      <c r="S38">
        <v>0.66459999999999997</v>
      </c>
      <c r="T38">
        <v>0.66339999999999999</v>
      </c>
    </row>
    <row r="39" spans="1:20">
      <c r="A39" t="s">
        <v>305</v>
      </c>
      <c r="I39" t="s">
        <v>98</v>
      </c>
      <c r="J39" t="s">
        <v>99</v>
      </c>
      <c r="K39" t="s">
        <v>23</v>
      </c>
      <c r="L39" s="150" t="s">
        <v>375</v>
      </c>
      <c r="N39">
        <v>3.7</v>
      </c>
      <c r="O39">
        <v>1.0459000000000001</v>
      </c>
      <c r="Q39">
        <v>0.66479999999999995</v>
      </c>
      <c r="R39">
        <v>81.3</v>
      </c>
      <c r="S39">
        <v>0.66490000000000005</v>
      </c>
      <c r="T39">
        <v>0.66369999999999996</v>
      </c>
    </row>
    <row r="40" spans="1:20">
      <c r="A40" t="s">
        <v>306</v>
      </c>
      <c r="I40" t="s">
        <v>100</v>
      </c>
      <c r="J40" t="s">
        <v>101</v>
      </c>
      <c r="K40" t="s">
        <v>23</v>
      </c>
      <c r="L40" s="150" t="s">
        <v>375</v>
      </c>
      <c r="N40">
        <v>3.8</v>
      </c>
      <c r="O40">
        <v>1.0451999999999999</v>
      </c>
      <c r="Q40">
        <v>0.66510000000000002</v>
      </c>
      <c r="R40">
        <v>81.2</v>
      </c>
      <c r="S40">
        <v>0.6653</v>
      </c>
      <c r="T40">
        <v>0.66400000000000003</v>
      </c>
    </row>
    <row r="41" spans="1:20">
      <c r="A41" t="s">
        <v>307</v>
      </c>
      <c r="I41" t="s">
        <v>102</v>
      </c>
      <c r="J41" t="s">
        <v>103</v>
      </c>
      <c r="K41" t="s">
        <v>23</v>
      </c>
      <c r="L41" s="150" t="s">
        <v>375</v>
      </c>
      <c r="N41">
        <v>3.9</v>
      </c>
      <c r="O41">
        <v>1.0444</v>
      </c>
      <c r="Q41">
        <v>0.66539999999999999</v>
      </c>
      <c r="R41">
        <v>81.099999999999994</v>
      </c>
      <c r="S41">
        <v>0.66559999999999997</v>
      </c>
      <c r="T41">
        <v>0.6643</v>
      </c>
    </row>
    <row r="42" spans="1:20">
      <c r="A42" t="s">
        <v>308</v>
      </c>
      <c r="I42" t="s">
        <v>104</v>
      </c>
      <c r="J42" t="s">
        <v>105</v>
      </c>
      <c r="K42" t="s">
        <v>23</v>
      </c>
      <c r="L42" s="150" t="s">
        <v>375</v>
      </c>
      <c r="N42">
        <v>4</v>
      </c>
      <c r="O42">
        <v>1.0436000000000001</v>
      </c>
      <c r="Q42">
        <v>0.66579999999999995</v>
      </c>
      <c r="R42">
        <v>81</v>
      </c>
      <c r="S42">
        <v>0.66590000000000005</v>
      </c>
      <c r="T42">
        <v>0.66469999999999996</v>
      </c>
    </row>
    <row r="43" spans="1:20">
      <c r="A43" t="s">
        <v>309</v>
      </c>
      <c r="I43" t="s">
        <v>106</v>
      </c>
      <c r="J43" t="s">
        <v>107</v>
      </c>
      <c r="K43" t="s">
        <v>23</v>
      </c>
      <c r="L43" s="150" t="s">
        <v>375</v>
      </c>
      <c r="N43">
        <v>4.0999999999999996</v>
      </c>
      <c r="O43">
        <v>1.0427999999999999</v>
      </c>
      <c r="Q43">
        <v>0.66610000000000003</v>
      </c>
      <c r="R43">
        <v>80.900000000000006</v>
      </c>
      <c r="S43">
        <v>0.66620000000000001</v>
      </c>
      <c r="T43">
        <v>0.66500000000000004</v>
      </c>
    </row>
    <row r="44" spans="1:20">
      <c r="A44" t="s">
        <v>310</v>
      </c>
      <c r="I44" t="s">
        <v>108</v>
      </c>
      <c r="J44" t="s">
        <v>109</v>
      </c>
      <c r="K44" t="s">
        <v>23</v>
      </c>
      <c r="L44" s="150" t="s">
        <v>375</v>
      </c>
      <c r="N44">
        <v>4.2</v>
      </c>
      <c r="O44">
        <v>1.0421</v>
      </c>
      <c r="Q44">
        <v>0.66639999999999999</v>
      </c>
      <c r="R44">
        <v>80.8</v>
      </c>
      <c r="S44">
        <v>0.66649999999999998</v>
      </c>
      <c r="T44">
        <v>0.6653</v>
      </c>
    </row>
    <row r="45" spans="1:20">
      <c r="A45" t="s">
        <v>311</v>
      </c>
      <c r="I45" t="s">
        <v>110</v>
      </c>
      <c r="J45" t="s">
        <v>111</v>
      </c>
      <c r="K45" t="s">
        <v>23</v>
      </c>
      <c r="L45" s="150" t="s">
        <v>375</v>
      </c>
      <c r="N45">
        <v>4.3</v>
      </c>
      <c r="O45">
        <v>1.0412999999999999</v>
      </c>
      <c r="Q45">
        <v>0.66669999999999996</v>
      </c>
      <c r="R45">
        <v>80.7</v>
      </c>
      <c r="S45">
        <v>0.66679999999999995</v>
      </c>
      <c r="T45">
        <v>0.66559999999999997</v>
      </c>
    </row>
    <row r="46" spans="1:20">
      <c r="A46" t="s">
        <v>274</v>
      </c>
      <c r="I46" t="s">
        <v>112</v>
      </c>
      <c r="J46" t="s">
        <v>113</v>
      </c>
      <c r="K46" t="s">
        <v>23</v>
      </c>
      <c r="L46" s="150" t="s">
        <v>375</v>
      </c>
      <c r="N46">
        <v>4.4000000000000004</v>
      </c>
      <c r="O46">
        <v>1.0405</v>
      </c>
      <c r="Q46">
        <v>0.66700000000000004</v>
      </c>
      <c r="R46">
        <v>80.599999999999994</v>
      </c>
      <c r="S46">
        <v>0.66710000000000003</v>
      </c>
      <c r="T46">
        <v>0.66590000000000005</v>
      </c>
    </row>
    <row r="47" spans="1:20">
      <c r="A47" t="s">
        <v>312</v>
      </c>
      <c r="I47" t="s">
        <v>114</v>
      </c>
      <c r="J47" t="s">
        <v>115</v>
      </c>
      <c r="K47" t="s">
        <v>116</v>
      </c>
      <c r="L47" s="150" t="s">
        <v>376</v>
      </c>
      <c r="N47">
        <v>4.5</v>
      </c>
      <c r="O47">
        <v>1.0398000000000001</v>
      </c>
      <c r="Q47">
        <v>0.6673</v>
      </c>
      <c r="R47">
        <v>80.5</v>
      </c>
      <c r="S47">
        <v>0.66749999999999998</v>
      </c>
      <c r="T47">
        <v>0.66620000000000001</v>
      </c>
    </row>
    <row r="48" spans="1:20">
      <c r="A48" t="s">
        <v>313</v>
      </c>
      <c r="I48" t="s">
        <v>117</v>
      </c>
      <c r="J48" t="s">
        <v>118</v>
      </c>
      <c r="K48" t="s">
        <v>116</v>
      </c>
      <c r="L48" s="150" t="s">
        <v>376</v>
      </c>
      <c r="N48">
        <v>4.5999999999999996</v>
      </c>
      <c r="O48">
        <v>1.0389999999999999</v>
      </c>
      <c r="Q48">
        <v>0.66759999999999997</v>
      </c>
      <c r="R48">
        <v>80.400000000000006</v>
      </c>
      <c r="S48">
        <v>0.66779999999999995</v>
      </c>
      <c r="T48">
        <v>0.66649999999999998</v>
      </c>
    </row>
    <row r="49" spans="1:20">
      <c r="A49" t="s">
        <v>314</v>
      </c>
      <c r="I49" t="s">
        <v>119</v>
      </c>
      <c r="J49" t="s">
        <v>120</v>
      </c>
      <c r="K49" t="s">
        <v>116</v>
      </c>
      <c r="L49" s="150" t="s">
        <v>376</v>
      </c>
      <c r="N49">
        <v>4.7</v>
      </c>
      <c r="O49">
        <v>1.0383</v>
      </c>
      <c r="Q49">
        <v>0.66800000000000004</v>
      </c>
      <c r="R49">
        <v>80.3</v>
      </c>
      <c r="S49">
        <v>0.66810000000000003</v>
      </c>
      <c r="T49">
        <v>0.66690000000000005</v>
      </c>
    </row>
    <row r="50" spans="1:20">
      <c r="I50" t="s">
        <v>121</v>
      </c>
      <c r="J50" t="s">
        <v>122</v>
      </c>
      <c r="K50" t="s">
        <v>116</v>
      </c>
      <c r="L50" s="150" t="s">
        <v>376</v>
      </c>
      <c r="N50">
        <v>4.8</v>
      </c>
      <c r="O50">
        <v>1.0375000000000001</v>
      </c>
      <c r="Q50">
        <v>0.66830000000000001</v>
      </c>
      <c r="R50">
        <v>80.2</v>
      </c>
      <c r="S50">
        <v>0.66839999999999999</v>
      </c>
      <c r="T50">
        <v>0.66720000000000002</v>
      </c>
    </row>
    <row r="51" spans="1:20">
      <c r="I51" t="s">
        <v>123</v>
      </c>
      <c r="J51" t="s">
        <v>124</v>
      </c>
      <c r="K51" t="s">
        <v>116</v>
      </c>
      <c r="L51" s="150" t="s">
        <v>376</v>
      </c>
      <c r="N51">
        <v>4.9000000000000004</v>
      </c>
      <c r="O51">
        <v>1.0367</v>
      </c>
      <c r="Q51">
        <v>0.66859999999999997</v>
      </c>
      <c r="R51">
        <v>80.099999999999994</v>
      </c>
      <c r="S51">
        <v>0.66869999999999996</v>
      </c>
      <c r="T51">
        <v>0.66749999999999998</v>
      </c>
    </row>
    <row r="52" spans="1:20">
      <c r="A52" t="s">
        <v>208</v>
      </c>
      <c r="I52" t="s">
        <v>125</v>
      </c>
      <c r="J52" t="s">
        <v>126</v>
      </c>
      <c r="K52" t="s">
        <v>116</v>
      </c>
      <c r="L52" s="150" t="s">
        <v>376</v>
      </c>
      <c r="N52">
        <v>5</v>
      </c>
      <c r="O52">
        <v>1.036</v>
      </c>
      <c r="Q52">
        <v>0.66890000000000005</v>
      </c>
      <c r="R52">
        <v>80</v>
      </c>
      <c r="S52">
        <v>0.66900000000000004</v>
      </c>
      <c r="T52">
        <v>0.66779999999999995</v>
      </c>
    </row>
    <row r="53" spans="1:20">
      <c r="A53" t="s">
        <v>209</v>
      </c>
      <c r="I53" t="s">
        <v>127</v>
      </c>
      <c r="J53" t="s">
        <v>128</v>
      </c>
      <c r="K53" t="s">
        <v>116</v>
      </c>
      <c r="L53" s="150" t="s">
        <v>376</v>
      </c>
      <c r="N53">
        <v>5.0999999999999996</v>
      </c>
      <c r="O53">
        <v>1.0351999999999999</v>
      </c>
      <c r="Q53">
        <v>0.66920000000000002</v>
      </c>
      <c r="R53">
        <v>79.900000000000006</v>
      </c>
      <c r="S53">
        <v>0.66930000000000001</v>
      </c>
      <c r="T53">
        <v>0.66810000000000003</v>
      </c>
    </row>
    <row r="54" spans="1:20">
      <c r="A54" t="s">
        <v>210</v>
      </c>
      <c r="I54" t="s">
        <v>129</v>
      </c>
      <c r="J54" t="s">
        <v>130</v>
      </c>
      <c r="K54" t="s">
        <v>116</v>
      </c>
      <c r="L54" s="150" t="s">
        <v>376</v>
      </c>
      <c r="N54">
        <v>5.2</v>
      </c>
      <c r="O54">
        <v>1.0345</v>
      </c>
      <c r="Q54">
        <v>0.66949999999999998</v>
      </c>
      <c r="R54">
        <v>79.8</v>
      </c>
      <c r="S54">
        <v>0.66969999999999996</v>
      </c>
      <c r="T54">
        <v>0.66839999999999999</v>
      </c>
    </row>
    <row r="55" spans="1:20">
      <c r="A55" t="s">
        <v>211</v>
      </c>
      <c r="I55" t="s">
        <v>131</v>
      </c>
      <c r="J55" t="s">
        <v>132</v>
      </c>
      <c r="K55" t="s">
        <v>116</v>
      </c>
      <c r="L55" s="150" t="s">
        <v>376</v>
      </c>
      <c r="N55">
        <v>5.3</v>
      </c>
      <c r="O55">
        <v>1.0337000000000001</v>
      </c>
      <c r="Q55">
        <v>0.66990000000000005</v>
      </c>
      <c r="R55">
        <v>79.7</v>
      </c>
      <c r="S55">
        <v>0.67</v>
      </c>
      <c r="T55">
        <v>0.66879999999999995</v>
      </c>
    </row>
    <row r="56" spans="1:20">
      <c r="A56" t="s">
        <v>212</v>
      </c>
      <c r="I56" t="s">
        <v>133</v>
      </c>
      <c r="J56" t="s">
        <v>134</v>
      </c>
      <c r="K56" t="s">
        <v>116</v>
      </c>
      <c r="L56" s="150" t="s">
        <v>376</v>
      </c>
      <c r="N56">
        <v>5.4</v>
      </c>
      <c r="O56">
        <v>1.0329999999999999</v>
      </c>
      <c r="Q56">
        <v>0.67020000000000002</v>
      </c>
      <c r="R56">
        <v>79.599999999999994</v>
      </c>
      <c r="S56">
        <v>0.67030000000000001</v>
      </c>
      <c r="T56">
        <v>0.66910000000000003</v>
      </c>
    </row>
    <row r="57" spans="1:20">
      <c r="A57" t="s">
        <v>213</v>
      </c>
      <c r="I57" t="s">
        <v>135</v>
      </c>
      <c r="J57" t="s">
        <v>136</v>
      </c>
      <c r="K57" t="s">
        <v>116</v>
      </c>
      <c r="L57" s="150" t="s">
        <v>376</v>
      </c>
      <c r="N57">
        <v>5.5</v>
      </c>
      <c r="O57">
        <v>1.0322</v>
      </c>
      <c r="Q57">
        <v>0.67049999999999998</v>
      </c>
      <c r="R57">
        <v>79.5</v>
      </c>
      <c r="S57">
        <v>0.67059999999999997</v>
      </c>
      <c r="T57">
        <v>0.6694</v>
      </c>
    </row>
    <row r="58" spans="1:20">
      <c r="A58" t="s">
        <v>214</v>
      </c>
      <c r="I58" t="s">
        <v>137</v>
      </c>
      <c r="J58" t="s">
        <v>138</v>
      </c>
      <c r="K58" t="s">
        <v>116</v>
      </c>
      <c r="L58" s="150" t="s">
        <v>376</v>
      </c>
      <c r="N58">
        <v>5.6</v>
      </c>
      <c r="O58">
        <v>1.0314000000000001</v>
      </c>
      <c r="Q58">
        <v>0.67079999999999995</v>
      </c>
      <c r="R58">
        <v>79.400000000000006</v>
      </c>
      <c r="S58">
        <v>0.67090000000000005</v>
      </c>
      <c r="T58">
        <v>0.66969999999999996</v>
      </c>
    </row>
    <row r="59" spans="1:20">
      <c r="I59" t="s">
        <v>139</v>
      </c>
      <c r="J59" t="s">
        <v>140</v>
      </c>
      <c r="K59" t="s">
        <v>116</v>
      </c>
      <c r="L59" s="150" t="s">
        <v>376</v>
      </c>
      <c r="N59">
        <v>5.7</v>
      </c>
      <c r="O59">
        <v>1.0306999999999999</v>
      </c>
      <c r="Q59">
        <v>0.67110000000000003</v>
      </c>
      <c r="R59">
        <v>79.3</v>
      </c>
      <c r="S59">
        <v>0.67130000000000001</v>
      </c>
      <c r="T59">
        <v>0.67</v>
      </c>
    </row>
    <row r="60" spans="1:20">
      <c r="I60" t="s">
        <v>141</v>
      </c>
      <c r="J60" t="s">
        <v>142</v>
      </c>
      <c r="K60" t="s">
        <v>116</v>
      </c>
      <c r="L60" s="150" t="s">
        <v>376</v>
      </c>
      <c r="N60">
        <v>5.8</v>
      </c>
      <c r="O60">
        <v>1.0299</v>
      </c>
      <c r="Q60">
        <v>0.6714</v>
      </c>
      <c r="R60">
        <v>79.2</v>
      </c>
      <c r="S60">
        <v>0.67159999999999997</v>
      </c>
      <c r="T60">
        <v>0.67030000000000001</v>
      </c>
    </row>
    <row r="61" spans="1:20">
      <c r="I61" t="s">
        <v>143</v>
      </c>
      <c r="J61" t="s">
        <v>144</v>
      </c>
      <c r="K61" t="s">
        <v>116</v>
      </c>
      <c r="L61" s="150" t="s">
        <v>376</v>
      </c>
      <c r="N61">
        <v>5.9</v>
      </c>
      <c r="O61">
        <v>1.0291999999999999</v>
      </c>
      <c r="Q61">
        <v>0.67179999999999995</v>
      </c>
      <c r="R61">
        <v>79.099999999999994</v>
      </c>
      <c r="S61">
        <v>0.67190000000000005</v>
      </c>
      <c r="T61">
        <v>0.67069999999999996</v>
      </c>
    </row>
    <row r="62" spans="1:20">
      <c r="A62" t="s">
        <v>243</v>
      </c>
      <c r="I62" t="s">
        <v>145</v>
      </c>
      <c r="J62" t="s">
        <v>146</v>
      </c>
      <c r="K62" t="s">
        <v>116</v>
      </c>
      <c r="L62" s="150" t="s">
        <v>376</v>
      </c>
      <c r="N62">
        <v>6</v>
      </c>
      <c r="O62">
        <v>1.0284</v>
      </c>
      <c r="Q62">
        <v>0.67210000000000003</v>
      </c>
      <c r="R62">
        <v>79</v>
      </c>
      <c r="S62">
        <v>0.67220000000000002</v>
      </c>
      <c r="T62">
        <v>0.67100000000000004</v>
      </c>
    </row>
    <row r="63" spans="1:20">
      <c r="A63" t="s">
        <v>334</v>
      </c>
      <c r="I63" t="s">
        <v>147</v>
      </c>
      <c r="J63" t="s">
        <v>148</v>
      </c>
      <c r="K63" t="s">
        <v>116</v>
      </c>
      <c r="L63" s="150" t="s">
        <v>376</v>
      </c>
      <c r="N63">
        <v>6.1</v>
      </c>
      <c r="O63">
        <v>1.0277000000000001</v>
      </c>
      <c r="Q63">
        <v>0.6724</v>
      </c>
      <c r="R63">
        <v>78.900000000000006</v>
      </c>
      <c r="S63">
        <v>0.67249999999999999</v>
      </c>
      <c r="T63">
        <v>0.67130000000000001</v>
      </c>
    </row>
    <row r="64" spans="1:20">
      <c r="A64" t="s">
        <v>244</v>
      </c>
      <c r="I64" t="s">
        <v>149</v>
      </c>
      <c r="J64" t="s">
        <v>150</v>
      </c>
      <c r="K64" t="s">
        <v>116</v>
      </c>
      <c r="L64" s="150" t="s">
        <v>376</v>
      </c>
      <c r="N64">
        <v>6.2</v>
      </c>
      <c r="O64">
        <v>1.0269999999999999</v>
      </c>
      <c r="Q64">
        <v>0.67269999999999996</v>
      </c>
      <c r="R64">
        <v>78.8</v>
      </c>
      <c r="S64">
        <v>0.67279999999999995</v>
      </c>
      <c r="T64">
        <v>0.67159999999999997</v>
      </c>
    </row>
    <row r="65" spans="1:20">
      <c r="A65" t="s">
        <v>335</v>
      </c>
      <c r="I65" t="s">
        <v>151</v>
      </c>
      <c r="J65" t="s">
        <v>152</v>
      </c>
      <c r="K65" t="s">
        <v>116</v>
      </c>
      <c r="L65" s="150" t="s">
        <v>376</v>
      </c>
      <c r="N65">
        <v>6.3</v>
      </c>
      <c r="O65">
        <v>1.0262</v>
      </c>
      <c r="Q65">
        <v>0.67300000000000004</v>
      </c>
      <c r="R65">
        <v>78.7</v>
      </c>
      <c r="S65">
        <v>0.67320000000000002</v>
      </c>
      <c r="T65">
        <v>0.67190000000000005</v>
      </c>
    </row>
    <row r="66" spans="1:20">
      <c r="A66" t="s">
        <v>245</v>
      </c>
      <c r="I66" t="s">
        <v>153</v>
      </c>
      <c r="J66" t="s">
        <v>154</v>
      </c>
      <c r="K66" t="s">
        <v>116</v>
      </c>
      <c r="L66" s="150" t="s">
        <v>376</v>
      </c>
      <c r="N66">
        <v>6.4</v>
      </c>
      <c r="O66">
        <v>1.0255000000000001</v>
      </c>
      <c r="Q66">
        <v>0.6734</v>
      </c>
      <c r="R66">
        <v>78.599999999999994</v>
      </c>
      <c r="S66">
        <v>0.67349999999999999</v>
      </c>
      <c r="T66">
        <v>0.67230000000000001</v>
      </c>
    </row>
    <row r="67" spans="1:20">
      <c r="A67" t="s">
        <v>247</v>
      </c>
      <c r="I67" t="s">
        <v>155</v>
      </c>
      <c r="J67" t="s">
        <v>156</v>
      </c>
      <c r="K67" t="s">
        <v>116</v>
      </c>
      <c r="L67" s="150" t="s">
        <v>376</v>
      </c>
      <c r="N67">
        <v>6.5</v>
      </c>
      <c r="O67">
        <v>1.0246999999999999</v>
      </c>
      <c r="Q67">
        <v>0.67369999999999997</v>
      </c>
      <c r="R67">
        <v>78.5</v>
      </c>
      <c r="S67">
        <v>0.67379999999999995</v>
      </c>
      <c r="T67">
        <v>0.67259999999999998</v>
      </c>
    </row>
    <row r="68" spans="1:20">
      <c r="A68" t="s">
        <v>248</v>
      </c>
      <c r="I68" t="s">
        <v>157</v>
      </c>
      <c r="J68" t="s">
        <v>158</v>
      </c>
      <c r="K68" t="s">
        <v>159</v>
      </c>
      <c r="L68" s="150" t="s">
        <v>378</v>
      </c>
      <c r="N68">
        <v>6.6</v>
      </c>
      <c r="O68">
        <v>1.024</v>
      </c>
      <c r="Q68">
        <v>0.67400000000000004</v>
      </c>
      <c r="R68">
        <v>78.400000000000006</v>
      </c>
      <c r="S68">
        <v>0.67410000000000003</v>
      </c>
      <c r="T68">
        <v>0.67290000000000005</v>
      </c>
    </row>
    <row r="69" spans="1:20">
      <c r="A69" t="s">
        <v>336</v>
      </c>
      <c r="I69" t="s">
        <v>160</v>
      </c>
      <c r="J69" t="s">
        <v>161</v>
      </c>
      <c r="K69" t="s">
        <v>159</v>
      </c>
      <c r="L69" s="151" t="s">
        <v>378</v>
      </c>
      <c r="N69">
        <v>6.7</v>
      </c>
      <c r="O69">
        <v>1.0232000000000001</v>
      </c>
      <c r="Q69">
        <v>0.67430000000000001</v>
      </c>
      <c r="R69">
        <v>78.3</v>
      </c>
      <c r="S69">
        <v>0.67449999999999999</v>
      </c>
      <c r="T69">
        <v>0.67320000000000002</v>
      </c>
    </row>
    <row r="70" spans="1:20">
      <c r="A70" t="s">
        <v>337</v>
      </c>
      <c r="I70" t="s">
        <v>162</v>
      </c>
      <c r="J70" t="s">
        <v>163</v>
      </c>
      <c r="K70" t="s">
        <v>159</v>
      </c>
      <c r="L70" s="151" t="s">
        <v>378</v>
      </c>
      <c r="N70">
        <v>6.8</v>
      </c>
      <c r="O70">
        <v>1.0225</v>
      </c>
      <c r="Q70">
        <v>0.67459999999999998</v>
      </c>
      <c r="R70">
        <v>78.2</v>
      </c>
      <c r="S70">
        <v>0.67479999999999996</v>
      </c>
      <c r="T70">
        <v>0.67349999999999999</v>
      </c>
    </row>
    <row r="71" spans="1:20">
      <c r="A71" t="s">
        <v>246</v>
      </c>
      <c r="I71" t="s">
        <v>164</v>
      </c>
      <c r="J71" t="s">
        <v>165</v>
      </c>
      <c r="K71" t="s">
        <v>159</v>
      </c>
      <c r="L71" s="151" t="s">
        <v>378</v>
      </c>
      <c r="N71">
        <v>6.9</v>
      </c>
      <c r="O71">
        <v>1.0218</v>
      </c>
      <c r="Q71">
        <v>0.67500000000000004</v>
      </c>
      <c r="R71">
        <v>78.099999999999994</v>
      </c>
      <c r="S71">
        <v>0.67510000000000003</v>
      </c>
      <c r="T71">
        <v>0.67390000000000005</v>
      </c>
    </row>
    <row r="72" spans="1:20">
      <c r="A72" t="s">
        <v>338</v>
      </c>
      <c r="I72" t="s">
        <v>166</v>
      </c>
      <c r="J72" t="s">
        <v>167</v>
      </c>
      <c r="K72" t="s">
        <v>159</v>
      </c>
      <c r="L72" s="151" t="s">
        <v>378</v>
      </c>
      <c r="N72">
        <v>7</v>
      </c>
      <c r="O72">
        <v>1.0209999999999999</v>
      </c>
      <c r="Q72">
        <v>0.67530000000000001</v>
      </c>
      <c r="R72">
        <v>78</v>
      </c>
      <c r="S72">
        <v>0.6754</v>
      </c>
      <c r="T72">
        <v>0.67420000000000002</v>
      </c>
    </row>
    <row r="73" spans="1:20">
      <c r="A73" t="s">
        <v>249</v>
      </c>
      <c r="I73" t="s">
        <v>168</v>
      </c>
      <c r="J73" t="s">
        <v>169</v>
      </c>
      <c r="K73" t="s">
        <v>159</v>
      </c>
      <c r="L73" s="151" t="s">
        <v>378</v>
      </c>
      <c r="N73">
        <v>7.1</v>
      </c>
      <c r="O73">
        <v>1.0203</v>
      </c>
      <c r="Q73">
        <v>0.67559999999999998</v>
      </c>
      <c r="R73">
        <v>77.900000000000006</v>
      </c>
      <c r="S73">
        <v>0.67569999999999997</v>
      </c>
      <c r="T73">
        <v>0.67449999999999999</v>
      </c>
    </row>
    <row r="74" spans="1:20">
      <c r="A74" t="s">
        <v>250</v>
      </c>
      <c r="I74" t="s">
        <v>170</v>
      </c>
      <c r="J74" t="s">
        <v>171</v>
      </c>
      <c r="K74" t="s">
        <v>159</v>
      </c>
      <c r="L74" s="151" t="s">
        <v>378</v>
      </c>
      <c r="N74">
        <v>7.2</v>
      </c>
      <c r="O74">
        <v>1.0196000000000001</v>
      </c>
      <c r="Q74">
        <v>0.67589999999999995</v>
      </c>
      <c r="R74">
        <v>77.8</v>
      </c>
      <c r="S74">
        <v>0.67610000000000003</v>
      </c>
      <c r="T74">
        <v>0.67479999999999996</v>
      </c>
    </row>
    <row r="75" spans="1:20">
      <c r="I75" t="s">
        <v>172</v>
      </c>
      <c r="J75" t="s">
        <v>173</v>
      </c>
      <c r="K75" t="s">
        <v>159</v>
      </c>
      <c r="L75" s="151" t="s">
        <v>378</v>
      </c>
      <c r="N75">
        <v>7.3</v>
      </c>
      <c r="O75">
        <v>1.0187999999999999</v>
      </c>
      <c r="Q75">
        <v>0.67620000000000002</v>
      </c>
      <c r="R75">
        <v>77.7</v>
      </c>
      <c r="S75">
        <v>0.6764</v>
      </c>
      <c r="T75">
        <v>0.67510000000000003</v>
      </c>
    </row>
    <row r="76" spans="1:20">
      <c r="I76" t="s">
        <v>174</v>
      </c>
      <c r="J76" t="s">
        <v>175</v>
      </c>
      <c r="K76" t="s">
        <v>159</v>
      </c>
      <c r="L76" s="151" t="s">
        <v>378</v>
      </c>
      <c r="N76">
        <v>7.4</v>
      </c>
      <c r="O76">
        <v>1.0181</v>
      </c>
      <c r="Q76">
        <v>0.67659999999999998</v>
      </c>
      <c r="R76">
        <v>77.599999999999994</v>
      </c>
      <c r="S76">
        <v>0.67669999999999997</v>
      </c>
      <c r="T76">
        <v>0.67549999999999999</v>
      </c>
    </row>
    <row r="77" spans="1:20">
      <c r="I77" t="s">
        <v>176</v>
      </c>
      <c r="J77" t="s">
        <v>177</v>
      </c>
      <c r="K77" t="s">
        <v>178</v>
      </c>
      <c r="L77" s="151" t="s">
        <v>378</v>
      </c>
      <c r="N77">
        <v>7.5</v>
      </c>
      <c r="O77">
        <v>1.0174000000000001</v>
      </c>
      <c r="Q77">
        <v>0.67689999999999995</v>
      </c>
      <c r="R77">
        <v>77.5</v>
      </c>
      <c r="S77">
        <v>0.67700000000000005</v>
      </c>
      <c r="T77">
        <v>0.67579999999999996</v>
      </c>
    </row>
    <row r="78" spans="1:20">
      <c r="I78" t="s">
        <v>179</v>
      </c>
      <c r="J78" t="s">
        <v>180</v>
      </c>
      <c r="K78" t="s">
        <v>178</v>
      </c>
      <c r="L78" s="151" t="s">
        <v>378</v>
      </c>
      <c r="N78">
        <v>7.6</v>
      </c>
      <c r="O78">
        <v>1.0165999999999999</v>
      </c>
      <c r="Q78">
        <v>0.67720000000000002</v>
      </c>
      <c r="R78">
        <v>77.400000000000006</v>
      </c>
      <c r="S78">
        <v>0.6774</v>
      </c>
      <c r="T78">
        <v>0.67610000000000003</v>
      </c>
    </row>
    <row r="79" spans="1:20">
      <c r="A79" t="s">
        <v>253</v>
      </c>
      <c r="I79" t="s">
        <v>181</v>
      </c>
      <c r="J79" t="s">
        <v>182</v>
      </c>
      <c r="K79" t="s">
        <v>178</v>
      </c>
      <c r="L79" s="151" t="s">
        <v>378</v>
      </c>
      <c r="N79">
        <v>7.7</v>
      </c>
      <c r="O79">
        <v>1.0159</v>
      </c>
      <c r="Q79">
        <v>0.67749999999999999</v>
      </c>
      <c r="R79">
        <v>77.3</v>
      </c>
      <c r="S79">
        <v>0.67769999999999997</v>
      </c>
      <c r="T79">
        <v>0.6764</v>
      </c>
    </row>
    <row r="80" spans="1:20">
      <c r="A80" t="s">
        <v>256</v>
      </c>
      <c r="I80" t="s">
        <v>183</v>
      </c>
      <c r="J80" t="s">
        <v>184</v>
      </c>
      <c r="K80" t="s">
        <v>178</v>
      </c>
      <c r="L80" s="151" t="s">
        <v>378</v>
      </c>
      <c r="N80">
        <v>7.8</v>
      </c>
      <c r="O80">
        <v>1.0152000000000001</v>
      </c>
      <c r="Q80">
        <v>0.67789999999999995</v>
      </c>
      <c r="R80">
        <v>77.2</v>
      </c>
      <c r="S80">
        <v>0.67800000000000005</v>
      </c>
      <c r="T80">
        <v>0.67679999999999996</v>
      </c>
    </row>
    <row r="81" spans="1:20">
      <c r="A81" t="s">
        <v>254</v>
      </c>
      <c r="I81" t="s">
        <v>185</v>
      </c>
      <c r="J81" t="s">
        <v>186</v>
      </c>
      <c r="K81" t="s">
        <v>187</v>
      </c>
      <c r="L81" s="150" t="s">
        <v>377</v>
      </c>
      <c r="N81">
        <v>7.9</v>
      </c>
      <c r="O81">
        <v>1.0144</v>
      </c>
      <c r="Q81">
        <v>0.67820000000000003</v>
      </c>
      <c r="R81">
        <v>77.099999999999994</v>
      </c>
      <c r="S81">
        <v>0.67830000000000001</v>
      </c>
      <c r="T81">
        <v>0.67710000000000004</v>
      </c>
    </row>
    <row r="82" spans="1:20">
      <c r="I82" t="s">
        <v>188</v>
      </c>
      <c r="J82" t="s">
        <v>189</v>
      </c>
      <c r="K82" t="s">
        <v>187</v>
      </c>
      <c r="L82" s="151" t="s">
        <v>377</v>
      </c>
      <c r="N82">
        <v>8</v>
      </c>
      <c r="O82">
        <v>1.0137</v>
      </c>
      <c r="Q82">
        <v>0.67849999999999999</v>
      </c>
      <c r="R82">
        <v>77</v>
      </c>
      <c r="S82">
        <v>0.67869999999999997</v>
      </c>
      <c r="T82">
        <v>0.6774</v>
      </c>
    </row>
    <row r="83" spans="1:20">
      <c r="I83" t="s">
        <v>190</v>
      </c>
      <c r="J83" t="s">
        <v>191</v>
      </c>
      <c r="K83" t="s">
        <v>187</v>
      </c>
      <c r="L83" s="151" t="s">
        <v>377</v>
      </c>
      <c r="N83">
        <v>8.1</v>
      </c>
      <c r="O83">
        <v>1.0129999999999999</v>
      </c>
      <c r="Q83">
        <v>0.67879999999999996</v>
      </c>
      <c r="R83">
        <v>76.900000000000006</v>
      </c>
      <c r="S83">
        <v>0.67900000000000005</v>
      </c>
      <c r="T83">
        <v>0.67769999999999997</v>
      </c>
    </row>
    <row r="84" spans="1:20">
      <c r="I84" t="s">
        <v>192</v>
      </c>
      <c r="J84" t="s">
        <v>193</v>
      </c>
      <c r="K84" t="s">
        <v>187</v>
      </c>
      <c r="L84" s="151" t="s">
        <v>377</v>
      </c>
      <c r="N84">
        <v>8.1999999999999993</v>
      </c>
      <c r="O84">
        <v>1.0123</v>
      </c>
      <c r="Q84">
        <v>0.67920000000000003</v>
      </c>
      <c r="R84">
        <v>76.8</v>
      </c>
      <c r="S84">
        <v>0.67930000000000001</v>
      </c>
      <c r="T84">
        <v>0.67810000000000004</v>
      </c>
    </row>
    <row r="85" spans="1:20">
      <c r="I85" t="s">
        <v>221</v>
      </c>
      <c r="J85" t="s">
        <v>220</v>
      </c>
      <c r="K85" t="s">
        <v>222</v>
      </c>
      <c r="L85" s="151" t="s">
        <v>377</v>
      </c>
      <c r="N85">
        <v>8.3000000000000007</v>
      </c>
      <c r="O85">
        <v>1.0115000000000001</v>
      </c>
      <c r="Q85">
        <v>0.67949999999999999</v>
      </c>
      <c r="R85">
        <v>76.7</v>
      </c>
      <c r="S85">
        <v>0.67959999999999998</v>
      </c>
      <c r="T85">
        <v>0.6784</v>
      </c>
    </row>
    <row r="86" spans="1:20">
      <c r="A86" t="s">
        <v>400</v>
      </c>
      <c r="B86" s="154">
        <f ca="1">TODAY()</f>
        <v>45240</v>
      </c>
      <c r="I86" t="s">
        <v>259</v>
      </c>
      <c r="J86" t="s">
        <v>260</v>
      </c>
      <c r="K86" t="s">
        <v>259</v>
      </c>
      <c r="L86" s="150" t="s">
        <v>395</v>
      </c>
      <c r="N86">
        <v>8.4</v>
      </c>
      <c r="O86">
        <v>1.0107999999999999</v>
      </c>
      <c r="Q86">
        <v>0.67979999999999996</v>
      </c>
      <c r="R86">
        <v>76.599999999999994</v>
      </c>
      <c r="S86">
        <v>0.68</v>
      </c>
      <c r="T86">
        <v>0.67869999999999997</v>
      </c>
    </row>
    <row r="87" spans="1:20">
      <c r="I87" t="s">
        <v>686</v>
      </c>
      <c r="J87" s="146" t="s">
        <v>690</v>
      </c>
      <c r="K87" t="s">
        <v>686</v>
      </c>
      <c r="L87" s="146" t="s">
        <v>690</v>
      </c>
      <c r="N87">
        <v>8.5</v>
      </c>
      <c r="O87">
        <v>1.0101</v>
      </c>
      <c r="Q87">
        <v>0.68010000000000004</v>
      </c>
      <c r="R87">
        <v>76.5</v>
      </c>
      <c r="S87">
        <v>0.68030000000000002</v>
      </c>
      <c r="T87">
        <v>0.67900000000000005</v>
      </c>
    </row>
    <row r="88" spans="1:20">
      <c r="I88" t="s">
        <v>687</v>
      </c>
      <c r="J88" s="146" t="s">
        <v>691</v>
      </c>
      <c r="K88" t="s">
        <v>687</v>
      </c>
      <c r="L88" s="146" t="s">
        <v>691</v>
      </c>
      <c r="N88">
        <v>8.6</v>
      </c>
      <c r="O88">
        <v>1.0094000000000001</v>
      </c>
      <c r="Q88">
        <v>0.68049999999999999</v>
      </c>
      <c r="R88">
        <v>76.400000000000006</v>
      </c>
      <c r="S88">
        <v>0.68059999999999998</v>
      </c>
      <c r="T88">
        <v>0.6794</v>
      </c>
    </row>
    <row r="89" spans="1:20">
      <c r="I89" t="s">
        <v>688</v>
      </c>
      <c r="J89" s="146" t="s">
        <v>692</v>
      </c>
      <c r="K89" t="s">
        <v>688</v>
      </c>
      <c r="L89" s="146" t="s">
        <v>692</v>
      </c>
      <c r="N89">
        <v>8.6999999999999993</v>
      </c>
      <c r="O89">
        <v>1.0085999999999999</v>
      </c>
      <c r="Q89">
        <v>0.68079999999999996</v>
      </c>
      <c r="R89">
        <v>76.3</v>
      </c>
      <c r="S89">
        <v>0.68089999999999995</v>
      </c>
      <c r="T89">
        <v>0.67969999999999997</v>
      </c>
    </row>
    <row r="90" spans="1:20">
      <c r="I90" t="s">
        <v>689</v>
      </c>
      <c r="J90" s="146" t="s">
        <v>692</v>
      </c>
      <c r="K90" t="s">
        <v>689</v>
      </c>
      <c r="L90" s="146" t="s">
        <v>692</v>
      </c>
      <c r="N90">
        <v>8.8000000000000007</v>
      </c>
      <c r="O90">
        <v>1.0079</v>
      </c>
      <c r="Q90">
        <v>0.68110000000000004</v>
      </c>
      <c r="R90">
        <v>76.2</v>
      </c>
      <c r="S90">
        <v>0.68130000000000002</v>
      </c>
      <c r="T90">
        <v>0.68</v>
      </c>
    </row>
    <row r="91" spans="1:20">
      <c r="I91" t="s">
        <v>693</v>
      </c>
      <c r="J91" s="146" t="s">
        <v>694</v>
      </c>
      <c r="K91" t="s">
        <v>693</v>
      </c>
      <c r="L91" s="146" t="s">
        <v>694</v>
      </c>
      <c r="N91">
        <v>8.9</v>
      </c>
      <c r="O91">
        <v>1.0072000000000001</v>
      </c>
      <c r="Q91">
        <v>0.68149999999999999</v>
      </c>
      <c r="R91">
        <v>76.099999999999994</v>
      </c>
      <c r="S91">
        <v>0.68159999999999998</v>
      </c>
      <c r="T91">
        <v>0.6804</v>
      </c>
    </row>
    <row r="92" spans="1:20">
      <c r="N92">
        <v>9</v>
      </c>
      <c r="O92">
        <v>1.0065</v>
      </c>
      <c r="Q92">
        <v>0.68179999999999996</v>
      </c>
      <c r="R92">
        <v>76</v>
      </c>
      <c r="S92">
        <v>0.68189999999999995</v>
      </c>
      <c r="T92">
        <v>0.68069999999999997</v>
      </c>
    </row>
    <row r="93" spans="1:20">
      <c r="N93">
        <v>9.1</v>
      </c>
      <c r="O93">
        <v>1.0058</v>
      </c>
      <c r="Q93">
        <v>0.68210000000000004</v>
      </c>
      <c r="R93">
        <v>75.900000000000006</v>
      </c>
      <c r="S93">
        <v>0.68230000000000002</v>
      </c>
      <c r="T93">
        <v>0.68100000000000005</v>
      </c>
    </row>
    <row r="94" spans="1:20">
      <c r="N94">
        <v>9.1999999999999993</v>
      </c>
      <c r="O94">
        <v>1.0051000000000001</v>
      </c>
      <c r="Q94">
        <v>0.68240000000000001</v>
      </c>
      <c r="R94">
        <v>75.8</v>
      </c>
      <c r="S94">
        <v>0.68259999999999998</v>
      </c>
      <c r="T94">
        <v>0.68130000000000002</v>
      </c>
    </row>
    <row r="95" spans="1:20">
      <c r="N95">
        <v>9.3000000000000007</v>
      </c>
      <c r="O95">
        <v>1.0044</v>
      </c>
      <c r="Q95">
        <v>0.68279999999999996</v>
      </c>
      <c r="R95">
        <v>75.7</v>
      </c>
      <c r="S95">
        <v>0.68289999999999995</v>
      </c>
      <c r="T95">
        <v>0.68169999999999997</v>
      </c>
    </row>
    <row r="96" spans="1:20">
      <c r="N96">
        <v>9.4</v>
      </c>
      <c r="O96">
        <v>1.0036</v>
      </c>
      <c r="Q96">
        <v>0.68310000000000004</v>
      </c>
      <c r="R96">
        <v>75.599999999999994</v>
      </c>
      <c r="S96">
        <v>0.68320000000000003</v>
      </c>
      <c r="T96">
        <v>0.68200000000000005</v>
      </c>
    </row>
    <row r="97" spans="1:20">
      <c r="N97">
        <v>9.5</v>
      </c>
      <c r="O97">
        <v>1.0028999999999999</v>
      </c>
      <c r="Q97">
        <v>0.68340000000000001</v>
      </c>
      <c r="R97">
        <v>75.5</v>
      </c>
      <c r="S97">
        <v>0.68359999999999999</v>
      </c>
      <c r="T97">
        <v>0.68230000000000002</v>
      </c>
    </row>
    <row r="98" spans="1:20">
      <c r="N98">
        <v>9.6</v>
      </c>
      <c r="O98">
        <v>1.0022</v>
      </c>
      <c r="Q98">
        <v>0.68379999999999996</v>
      </c>
      <c r="R98">
        <v>75.400000000000006</v>
      </c>
      <c r="S98">
        <v>0.68389999999999995</v>
      </c>
      <c r="T98">
        <v>0.68269999999999997</v>
      </c>
    </row>
    <row r="99" spans="1:20">
      <c r="N99">
        <v>9.6999999999999993</v>
      </c>
      <c r="O99">
        <v>1.0015000000000001</v>
      </c>
      <c r="Q99">
        <v>0.68410000000000004</v>
      </c>
      <c r="R99">
        <v>75.3</v>
      </c>
      <c r="S99">
        <v>0.68420000000000003</v>
      </c>
      <c r="T99">
        <v>0.68300000000000005</v>
      </c>
    </row>
    <row r="100" spans="1:20">
      <c r="N100">
        <v>9.8000000000000007</v>
      </c>
      <c r="O100">
        <v>1.0007999999999999</v>
      </c>
      <c r="Q100">
        <v>0.68440000000000001</v>
      </c>
      <c r="R100">
        <v>75.2</v>
      </c>
      <c r="S100">
        <v>0.68459999999999999</v>
      </c>
      <c r="T100">
        <v>0.68330000000000002</v>
      </c>
    </row>
    <row r="101" spans="1:20">
      <c r="A101" t="s">
        <v>584</v>
      </c>
      <c r="N101">
        <v>9.9</v>
      </c>
      <c r="O101">
        <v>1.0001</v>
      </c>
      <c r="Q101">
        <v>0.68469999999999998</v>
      </c>
      <c r="R101">
        <v>75.099999999999994</v>
      </c>
      <c r="S101">
        <v>0.68489999999999995</v>
      </c>
      <c r="T101">
        <v>0.68359999999999999</v>
      </c>
    </row>
    <row r="102" spans="1:20">
      <c r="A102" t="s">
        <v>585</v>
      </c>
      <c r="N102">
        <v>10</v>
      </c>
      <c r="O102">
        <v>0.99939999999999996</v>
      </c>
      <c r="Q102">
        <v>0.68510000000000004</v>
      </c>
      <c r="R102">
        <v>75</v>
      </c>
      <c r="S102">
        <v>0.68520000000000003</v>
      </c>
      <c r="T102">
        <v>0.68400000000000005</v>
      </c>
    </row>
    <row r="103" spans="1:20">
      <c r="A103" t="s">
        <v>586</v>
      </c>
      <c r="N103">
        <v>10.1</v>
      </c>
      <c r="O103">
        <v>0.99870000000000003</v>
      </c>
      <c r="Q103">
        <v>0.68540000000000001</v>
      </c>
      <c r="R103">
        <v>74.900000000000006</v>
      </c>
      <c r="S103">
        <v>0.68559999999999999</v>
      </c>
      <c r="T103">
        <v>0.68430000000000002</v>
      </c>
    </row>
    <row r="104" spans="1:20">
      <c r="A104" t="s">
        <v>587</v>
      </c>
      <c r="N104">
        <v>10.199999999999999</v>
      </c>
      <c r="O104">
        <v>0.998</v>
      </c>
      <c r="Q104">
        <v>0.68569999999999998</v>
      </c>
      <c r="R104">
        <v>74.8</v>
      </c>
      <c r="S104">
        <v>0.68589999999999995</v>
      </c>
      <c r="T104">
        <v>0.68459999999999999</v>
      </c>
    </row>
    <row r="105" spans="1:20">
      <c r="A105" t="s">
        <v>588</v>
      </c>
      <c r="N105">
        <v>10.3</v>
      </c>
      <c r="O105">
        <v>0.99729999999999996</v>
      </c>
      <c r="Q105">
        <v>0.68610000000000004</v>
      </c>
      <c r="R105">
        <v>74.7</v>
      </c>
      <c r="S105">
        <v>0.68620000000000003</v>
      </c>
      <c r="T105">
        <v>0.68500000000000005</v>
      </c>
    </row>
    <row r="106" spans="1:20">
      <c r="A106" t="s">
        <v>589</v>
      </c>
      <c r="N106">
        <v>10.4</v>
      </c>
      <c r="O106">
        <v>0.99660000000000004</v>
      </c>
      <c r="Q106">
        <v>0.68640000000000001</v>
      </c>
      <c r="R106">
        <v>74.599999999999994</v>
      </c>
      <c r="S106">
        <v>0.68659999999999999</v>
      </c>
      <c r="T106">
        <v>0.68530000000000002</v>
      </c>
    </row>
    <row r="107" spans="1:20">
      <c r="A107" t="s">
        <v>590</v>
      </c>
      <c r="I107" s="152" t="s">
        <v>412</v>
      </c>
      <c r="J107" s="152" t="s">
        <v>401</v>
      </c>
      <c r="N107">
        <v>10.5</v>
      </c>
      <c r="O107">
        <v>0.99590000000000001</v>
      </c>
      <c r="Q107">
        <v>0.68669999999999998</v>
      </c>
      <c r="R107">
        <v>74.5</v>
      </c>
      <c r="S107">
        <v>0.68689999999999996</v>
      </c>
      <c r="T107">
        <v>0.68559999999999999</v>
      </c>
    </row>
    <row r="108" spans="1:20">
      <c r="A108" t="s">
        <v>591</v>
      </c>
      <c r="I108" s="152" t="s">
        <v>413</v>
      </c>
      <c r="J108" s="152" t="s">
        <v>402</v>
      </c>
      <c r="N108">
        <v>10.6</v>
      </c>
      <c r="O108">
        <v>0.99519999999999997</v>
      </c>
      <c r="Q108">
        <v>0.68710000000000004</v>
      </c>
      <c r="R108">
        <v>74.400000000000006</v>
      </c>
      <c r="S108">
        <v>0.68720000000000003</v>
      </c>
      <c r="T108">
        <v>0.68600000000000005</v>
      </c>
    </row>
    <row r="109" spans="1:20">
      <c r="A109" t="s">
        <v>592</v>
      </c>
      <c r="I109" s="152" t="s">
        <v>414</v>
      </c>
      <c r="J109" t="s">
        <v>403</v>
      </c>
      <c r="N109">
        <v>10.7</v>
      </c>
      <c r="O109">
        <v>0.99450000000000005</v>
      </c>
      <c r="Q109">
        <v>0.68740000000000001</v>
      </c>
      <c r="R109">
        <v>74.3</v>
      </c>
      <c r="S109">
        <v>0.68759999999999999</v>
      </c>
      <c r="T109">
        <v>0.68630000000000002</v>
      </c>
    </row>
    <row r="110" spans="1:20">
      <c r="A110" t="s">
        <v>593</v>
      </c>
      <c r="I110" s="152" t="s">
        <v>415</v>
      </c>
      <c r="J110" s="155">
        <f>IF(LEFT('Navarik 설정'!C16,5)="SET 1",1,2)</f>
        <v>2</v>
      </c>
      <c r="N110">
        <v>10.8</v>
      </c>
      <c r="O110">
        <v>0.99380000000000002</v>
      </c>
      <c r="Q110">
        <v>0.68769999999999998</v>
      </c>
      <c r="R110">
        <v>74.2</v>
      </c>
      <c r="S110">
        <v>0.68789999999999996</v>
      </c>
      <c r="T110">
        <v>0.68659999999999999</v>
      </c>
    </row>
    <row r="111" spans="1:20">
      <c r="A111" t="s">
        <v>594</v>
      </c>
      <c r="I111" s="152" t="s">
        <v>416</v>
      </c>
      <c r="N111">
        <v>10.9</v>
      </c>
      <c r="O111">
        <v>0.99309999999999998</v>
      </c>
      <c r="Q111">
        <v>0.68810000000000004</v>
      </c>
      <c r="R111">
        <v>74.099999999999994</v>
      </c>
      <c r="S111">
        <v>0.68820000000000003</v>
      </c>
      <c r="T111">
        <v>0.68700000000000006</v>
      </c>
    </row>
    <row r="112" spans="1:20">
      <c r="A112" t="s">
        <v>595</v>
      </c>
      <c r="I112" s="152" t="s">
        <v>417</v>
      </c>
      <c r="J112" t="s">
        <v>404</v>
      </c>
      <c r="N112">
        <v>11</v>
      </c>
      <c r="O112">
        <v>0.99239999999999995</v>
      </c>
      <c r="Q112">
        <v>0.68840000000000001</v>
      </c>
      <c r="R112">
        <v>74</v>
      </c>
      <c r="S112">
        <v>0.68859999999999999</v>
      </c>
      <c r="T112">
        <v>0.68730000000000002</v>
      </c>
    </row>
    <row r="113" spans="1:20">
      <c r="A113" t="s">
        <v>596</v>
      </c>
      <c r="I113" s="152" t="s">
        <v>418</v>
      </c>
      <c r="J113" t="s">
        <v>406</v>
      </c>
      <c r="N113">
        <v>11.1</v>
      </c>
      <c r="O113">
        <v>0.99170000000000003</v>
      </c>
      <c r="Q113">
        <v>0.68869999999999998</v>
      </c>
      <c r="R113">
        <v>73.900000000000006</v>
      </c>
      <c r="S113">
        <v>0.68889999999999996</v>
      </c>
      <c r="T113">
        <v>0.68759999999999999</v>
      </c>
    </row>
    <row r="114" spans="1:20">
      <c r="A114" t="s">
        <v>597</v>
      </c>
      <c r="I114" s="152" t="s">
        <v>419</v>
      </c>
      <c r="J114" t="s">
        <v>405</v>
      </c>
      <c r="N114">
        <v>11.2</v>
      </c>
      <c r="O114">
        <v>0.99099999999999999</v>
      </c>
      <c r="Q114">
        <v>0.68910000000000005</v>
      </c>
      <c r="R114">
        <v>73.8</v>
      </c>
      <c r="S114">
        <v>0.68920000000000003</v>
      </c>
      <c r="T114">
        <v>0.68799999999999994</v>
      </c>
    </row>
    <row r="115" spans="1:20">
      <c r="A115" t="s">
        <v>598</v>
      </c>
      <c r="I115" s="152" t="s">
        <v>420</v>
      </c>
      <c r="J115" s="152" t="s">
        <v>352</v>
      </c>
      <c r="N115">
        <v>11.3</v>
      </c>
      <c r="O115">
        <v>0.99029999999999996</v>
      </c>
      <c r="Q115">
        <v>0.68940000000000001</v>
      </c>
      <c r="R115">
        <v>73.7</v>
      </c>
      <c r="S115">
        <v>0.68959999999999999</v>
      </c>
      <c r="T115">
        <v>0.68830000000000002</v>
      </c>
    </row>
    <row r="116" spans="1:20">
      <c r="A116" t="s">
        <v>599</v>
      </c>
      <c r="I116" s="152" t="s">
        <v>421</v>
      </c>
      <c r="J116" s="152" t="s">
        <v>353</v>
      </c>
      <c r="N116">
        <v>11.4</v>
      </c>
      <c r="O116">
        <v>0.98960000000000004</v>
      </c>
      <c r="Q116">
        <v>0.68969999999999998</v>
      </c>
      <c r="R116">
        <v>73.599999999999994</v>
      </c>
      <c r="S116">
        <v>0.68989999999999996</v>
      </c>
      <c r="T116">
        <v>0.68859999999999999</v>
      </c>
    </row>
    <row r="117" spans="1:20">
      <c r="A117" t="s">
        <v>600</v>
      </c>
      <c r="J117" s="152" t="s">
        <v>354</v>
      </c>
      <c r="N117">
        <v>11.5</v>
      </c>
      <c r="O117">
        <v>0.9889</v>
      </c>
      <c r="Q117">
        <v>0.69010000000000005</v>
      </c>
      <c r="R117">
        <v>73.5</v>
      </c>
      <c r="S117">
        <v>0.69020000000000004</v>
      </c>
      <c r="T117">
        <v>0.68899999999999995</v>
      </c>
    </row>
    <row r="118" spans="1:20">
      <c r="A118" t="s">
        <v>601</v>
      </c>
      <c r="I118" s="152" t="s">
        <v>412</v>
      </c>
      <c r="J118" s="152" t="s">
        <v>355</v>
      </c>
      <c r="N118">
        <v>11.6</v>
      </c>
      <c r="O118">
        <v>0.98819999999999997</v>
      </c>
      <c r="Q118">
        <v>0.69040000000000001</v>
      </c>
      <c r="R118">
        <v>73.400000000000006</v>
      </c>
      <c r="S118">
        <v>0.69059999999999999</v>
      </c>
      <c r="T118">
        <v>0.68930000000000002</v>
      </c>
    </row>
    <row r="119" spans="1:20">
      <c r="A119" t="s">
        <v>602</v>
      </c>
      <c r="I119" s="152" t="s">
        <v>413</v>
      </c>
      <c r="J119" s="152" t="s">
        <v>356</v>
      </c>
      <c r="N119">
        <v>11.7</v>
      </c>
      <c r="O119">
        <v>0.98750000000000004</v>
      </c>
      <c r="Q119">
        <v>0.69079999999999997</v>
      </c>
      <c r="R119">
        <v>73.3</v>
      </c>
      <c r="S119">
        <v>0.69089999999999996</v>
      </c>
      <c r="T119">
        <v>0.68969999999999998</v>
      </c>
    </row>
    <row r="120" spans="1:20">
      <c r="A120" t="s">
        <v>603</v>
      </c>
      <c r="I120" s="152" t="s">
        <v>414</v>
      </c>
      <c r="J120" s="152" t="s">
        <v>357</v>
      </c>
      <c r="N120">
        <v>11.8</v>
      </c>
      <c r="O120">
        <v>0.98680000000000001</v>
      </c>
      <c r="Q120">
        <v>0.69110000000000005</v>
      </c>
      <c r="R120">
        <v>73.2</v>
      </c>
      <c r="S120">
        <v>0.69130000000000003</v>
      </c>
      <c r="T120">
        <v>0.69</v>
      </c>
    </row>
    <row r="121" spans="1:20">
      <c r="A121" t="s">
        <v>604</v>
      </c>
      <c r="I121" s="152" t="s">
        <v>415</v>
      </c>
      <c r="J121" s="152" t="s">
        <v>358</v>
      </c>
      <c r="N121">
        <v>11.9</v>
      </c>
      <c r="O121">
        <v>0.98619999999999997</v>
      </c>
      <c r="Q121">
        <v>0.69140000000000001</v>
      </c>
      <c r="R121">
        <v>73.099999999999994</v>
      </c>
      <c r="S121">
        <v>0.69159999999999999</v>
      </c>
      <c r="T121">
        <v>0.69030000000000002</v>
      </c>
    </row>
    <row r="122" spans="1:20">
      <c r="A122" t="s">
        <v>605</v>
      </c>
      <c r="I122" s="152" t="s">
        <v>416</v>
      </c>
      <c r="J122" s="152" t="s">
        <v>359</v>
      </c>
      <c r="N122">
        <v>12</v>
      </c>
      <c r="O122">
        <v>0.98550000000000004</v>
      </c>
      <c r="Q122">
        <v>0.69179999999999997</v>
      </c>
      <c r="R122">
        <v>73</v>
      </c>
      <c r="S122">
        <v>0.69189999999999996</v>
      </c>
      <c r="T122">
        <v>0.69069999999999998</v>
      </c>
    </row>
    <row r="123" spans="1:20">
      <c r="A123" t="s">
        <v>606</v>
      </c>
      <c r="I123" s="152" t="s">
        <v>417</v>
      </c>
      <c r="J123" s="152" t="s">
        <v>360</v>
      </c>
      <c r="N123">
        <v>12.1</v>
      </c>
      <c r="O123">
        <v>0.98480000000000001</v>
      </c>
      <c r="Q123">
        <v>0.69210000000000005</v>
      </c>
      <c r="R123">
        <v>72.900000000000006</v>
      </c>
      <c r="S123">
        <v>0.69230000000000003</v>
      </c>
      <c r="T123">
        <v>0.69099999999999995</v>
      </c>
    </row>
    <row r="124" spans="1:20">
      <c r="A124" t="s">
        <v>607</v>
      </c>
      <c r="I124" s="152" t="s">
        <v>418</v>
      </c>
      <c r="J124" s="152" t="s">
        <v>361</v>
      </c>
      <c r="N124">
        <v>12.2</v>
      </c>
      <c r="O124">
        <v>0.98409999999999997</v>
      </c>
      <c r="Q124">
        <v>0.69240000000000002</v>
      </c>
      <c r="R124">
        <v>72.8</v>
      </c>
      <c r="S124">
        <v>0.69259999999999999</v>
      </c>
      <c r="T124">
        <v>0.69130000000000003</v>
      </c>
    </row>
    <row r="125" spans="1:20">
      <c r="A125" t="s">
        <v>608</v>
      </c>
      <c r="I125" s="152" t="s">
        <v>419</v>
      </c>
      <c r="J125" s="152" t="s">
        <v>362</v>
      </c>
      <c r="N125">
        <v>12.3</v>
      </c>
      <c r="O125">
        <v>0.98340000000000005</v>
      </c>
      <c r="Q125">
        <v>0.69279999999999997</v>
      </c>
      <c r="R125">
        <v>72.7</v>
      </c>
      <c r="S125">
        <v>0.69289999999999996</v>
      </c>
      <c r="T125">
        <v>0.69169999999999998</v>
      </c>
    </row>
    <row r="126" spans="1:20">
      <c r="A126" t="s">
        <v>609</v>
      </c>
      <c r="I126" s="152" t="s">
        <v>420</v>
      </c>
      <c r="J126" s="152" t="s">
        <v>363</v>
      </c>
      <c r="N126">
        <v>12.4</v>
      </c>
      <c r="O126">
        <v>0.98270000000000002</v>
      </c>
      <c r="Q126">
        <v>0.69310000000000005</v>
      </c>
      <c r="R126">
        <v>72.599999999999994</v>
      </c>
      <c r="S126">
        <v>0.69330000000000003</v>
      </c>
      <c r="T126">
        <v>0.69199999999999995</v>
      </c>
    </row>
    <row r="127" spans="1:20">
      <c r="A127" t="s">
        <v>610</v>
      </c>
      <c r="I127" s="152" t="s">
        <v>421</v>
      </c>
      <c r="J127" s="152" t="s">
        <v>364</v>
      </c>
      <c r="N127">
        <v>12.5</v>
      </c>
      <c r="O127">
        <v>0.98199999999999998</v>
      </c>
      <c r="Q127">
        <v>0.69350000000000001</v>
      </c>
      <c r="R127">
        <v>72.5</v>
      </c>
      <c r="S127">
        <v>0.69359999999999999</v>
      </c>
      <c r="T127">
        <v>0.69240000000000002</v>
      </c>
    </row>
    <row r="128" spans="1:20">
      <c r="A128" t="s">
        <v>611</v>
      </c>
      <c r="J128" s="152" t="s">
        <v>365</v>
      </c>
      <c r="N128">
        <v>12.6</v>
      </c>
      <c r="O128">
        <v>0.98140000000000005</v>
      </c>
      <c r="Q128">
        <v>0.69379999999999997</v>
      </c>
      <c r="R128">
        <v>72.400000000000006</v>
      </c>
      <c r="S128">
        <v>0.69399999999999995</v>
      </c>
      <c r="T128">
        <v>0.69269999999999998</v>
      </c>
    </row>
    <row r="129" spans="1:20">
      <c r="A129" t="s">
        <v>612</v>
      </c>
      <c r="J129" s="152" t="s">
        <v>366</v>
      </c>
      <c r="N129">
        <v>12.7</v>
      </c>
      <c r="O129">
        <v>0.98070000000000002</v>
      </c>
      <c r="Q129">
        <v>0.69410000000000005</v>
      </c>
      <c r="R129">
        <v>72.3</v>
      </c>
      <c r="S129">
        <v>0.69430000000000003</v>
      </c>
      <c r="T129">
        <v>0.69299999999999995</v>
      </c>
    </row>
    <row r="130" spans="1:20">
      <c r="A130" t="s">
        <v>613</v>
      </c>
      <c r="J130" s="152" t="s">
        <v>367</v>
      </c>
      <c r="N130">
        <v>12.8</v>
      </c>
      <c r="O130">
        <v>0.98</v>
      </c>
      <c r="Q130">
        <v>0.69450000000000001</v>
      </c>
      <c r="R130">
        <v>72.2</v>
      </c>
      <c r="S130">
        <v>0.6946</v>
      </c>
      <c r="T130">
        <v>0.69340000000000002</v>
      </c>
    </row>
    <row r="131" spans="1:20">
      <c r="A131" t="s">
        <v>614</v>
      </c>
      <c r="J131" s="152" t="s">
        <v>368</v>
      </c>
      <c r="N131">
        <v>12.9</v>
      </c>
      <c r="O131">
        <v>0.97929999999999995</v>
      </c>
      <c r="Q131">
        <v>0.69479999999999997</v>
      </c>
      <c r="R131">
        <v>72.099999999999994</v>
      </c>
      <c r="S131">
        <v>0.69499999999999995</v>
      </c>
      <c r="T131">
        <v>0.69369999999999998</v>
      </c>
    </row>
    <row r="132" spans="1:20">
      <c r="A132" t="s">
        <v>615</v>
      </c>
      <c r="N132">
        <v>13</v>
      </c>
      <c r="O132">
        <v>0.97860000000000003</v>
      </c>
      <c r="Q132">
        <v>0.69520000000000004</v>
      </c>
      <c r="R132">
        <v>72</v>
      </c>
      <c r="S132">
        <v>0.69530000000000003</v>
      </c>
      <c r="T132">
        <v>0.69410000000000005</v>
      </c>
    </row>
    <row r="133" spans="1:20">
      <c r="A133" t="s">
        <v>616</v>
      </c>
      <c r="N133">
        <v>13.1</v>
      </c>
      <c r="O133">
        <v>0.97799999999999998</v>
      </c>
      <c r="Q133">
        <v>0.69550000000000001</v>
      </c>
      <c r="R133">
        <v>71.900000000000006</v>
      </c>
      <c r="S133">
        <v>0.69569999999999999</v>
      </c>
      <c r="T133">
        <v>0.69440000000000002</v>
      </c>
    </row>
    <row r="134" spans="1:20">
      <c r="A134" t="s">
        <v>617</v>
      </c>
      <c r="N134">
        <v>13.2</v>
      </c>
      <c r="O134">
        <v>0.97729999999999995</v>
      </c>
      <c r="Q134">
        <v>0.69579999999999997</v>
      </c>
      <c r="R134">
        <v>71.8</v>
      </c>
      <c r="S134">
        <v>0.69599999999999995</v>
      </c>
      <c r="T134">
        <v>0.69469999999999998</v>
      </c>
    </row>
    <row r="135" spans="1:20">
      <c r="A135" t="s">
        <v>618</v>
      </c>
      <c r="N135">
        <v>13.3</v>
      </c>
      <c r="O135">
        <v>0.97660000000000002</v>
      </c>
      <c r="Q135">
        <v>0.69620000000000004</v>
      </c>
      <c r="R135">
        <v>71.7</v>
      </c>
      <c r="S135">
        <v>0.69640000000000002</v>
      </c>
      <c r="T135">
        <v>0.69510000000000005</v>
      </c>
    </row>
    <row r="136" spans="1:20">
      <c r="A136" t="s">
        <v>619</v>
      </c>
      <c r="N136">
        <v>13.4</v>
      </c>
      <c r="O136">
        <v>0.97589999999999999</v>
      </c>
      <c r="Q136">
        <v>0.69650000000000001</v>
      </c>
      <c r="R136">
        <v>71.599999999999994</v>
      </c>
      <c r="S136">
        <v>0.69669999999999999</v>
      </c>
      <c r="T136">
        <v>0.69540000000000002</v>
      </c>
    </row>
    <row r="137" spans="1:20">
      <c r="A137" t="s">
        <v>620</v>
      </c>
      <c r="N137">
        <v>13.5</v>
      </c>
      <c r="O137">
        <v>0.97529999999999994</v>
      </c>
      <c r="Q137">
        <v>0.69689999999999996</v>
      </c>
      <c r="R137">
        <v>71.5</v>
      </c>
      <c r="S137">
        <v>0.69699999999999995</v>
      </c>
      <c r="T137">
        <v>0.69579999999999997</v>
      </c>
    </row>
    <row r="138" spans="1:20">
      <c r="A138" t="s">
        <v>621</v>
      </c>
      <c r="N138">
        <v>13.6</v>
      </c>
      <c r="O138">
        <v>0.97460000000000002</v>
      </c>
      <c r="Q138">
        <v>0.69720000000000004</v>
      </c>
      <c r="R138">
        <v>71.400000000000006</v>
      </c>
      <c r="S138">
        <v>0.69740000000000002</v>
      </c>
      <c r="T138">
        <v>0.69610000000000005</v>
      </c>
    </row>
    <row r="139" spans="1:20">
      <c r="A139" t="s">
        <v>622</v>
      </c>
      <c r="N139">
        <v>13.7</v>
      </c>
      <c r="O139">
        <v>0.97389999999999999</v>
      </c>
      <c r="Q139">
        <v>0.6976</v>
      </c>
      <c r="R139">
        <v>71.3</v>
      </c>
      <c r="S139">
        <v>0.69769999999999999</v>
      </c>
      <c r="T139">
        <v>0.69650000000000001</v>
      </c>
    </row>
    <row r="140" spans="1:20">
      <c r="A140" t="s">
        <v>623</v>
      </c>
      <c r="N140">
        <v>13.8</v>
      </c>
      <c r="O140">
        <v>0.97330000000000005</v>
      </c>
      <c r="Q140">
        <v>0.69789999999999996</v>
      </c>
      <c r="R140">
        <v>71.2</v>
      </c>
      <c r="S140">
        <v>0.69810000000000005</v>
      </c>
      <c r="T140">
        <v>0.69679999999999997</v>
      </c>
    </row>
    <row r="141" spans="1:20">
      <c r="A141" t="s">
        <v>624</v>
      </c>
      <c r="N141">
        <v>13.9</v>
      </c>
      <c r="O141">
        <v>0.97260000000000002</v>
      </c>
      <c r="Q141">
        <v>0.69820000000000004</v>
      </c>
      <c r="R141">
        <v>71.099999999999994</v>
      </c>
      <c r="S141">
        <v>0.69840000000000002</v>
      </c>
      <c r="T141">
        <v>0.69710000000000005</v>
      </c>
    </row>
    <row r="142" spans="1:20">
      <c r="A142" t="s">
        <v>625</v>
      </c>
      <c r="N142">
        <v>14</v>
      </c>
      <c r="O142">
        <v>0.97189999999999999</v>
      </c>
      <c r="Q142">
        <v>0.6986</v>
      </c>
      <c r="R142">
        <v>71</v>
      </c>
      <c r="S142">
        <v>0.69879999999999998</v>
      </c>
      <c r="T142">
        <v>0.69750000000000001</v>
      </c>
    </row>
    <row r="143" spans="1:20">
      <c r="A143" t="s">
        <v>626</v>
      </c>
      <c r="J143" t="s">
        <v>370</v>
      </c>
      <c r="K143" s="146" t="s">
        <v>375</v>
      </c>
      <c r="L143" t="s">
        <v>379</v>
      </c>
      <c r="M143" t="s">
        <v>386</v>
      </c>
      <c r="N143">
        <v>14.1</v>
      </c>
      <c r="O143">
        <v>0.97130000000000005</v>
      </c>
      <c r="Q143">
        <v>0.69889999999999997</v>
      </c>
      <c r="R143">
        <v>70.900000000000006</v>
      </c>
      <c r="S143">
        <v>0.69910000000000005</v>
      </c>
      <c r="T143">
        <v>0.69779999999999998</v>
      </c>
    </row>
    <row r="144" spans="1:20">
      <c r="A144" t="s">
        <v>627</v>
      </c>
      <c r="J144" t="s">
        <v>371</v>
      </c>
      <c r="K144" s="146" t="s">
        <v>376</v>
      </c>
      <c r="L144" t="s">
        <v>380</v>
      </c>
      <c r="M144" t="s">
        <v>387</v>
      </c>
      <c r="N144">
        <v>14.2</v>
      </c>
      <c r="O144">
        <v>0.97060000000000002</v>
      </c>
      <c r="Q144">
        <v>0.69930000000000003</v>
      </c>
      <c r="R144">
        <v>70.8</v>
      </c>
      <c r="S144">
        <v>0.69950000000000001</v>
      </c>
      <c r="T144">
        <v>0.69820000000000004</v>
      </c>
    </row>
    <row r="145" spans="1:20">
      <c r="A145" t="s">
        <v>628</v>
      </c>
      <c r="J145" t="s">
        <v>372</v>
      </c>
      <c r="K145" s="146" t="s">
        <v>378</v>
      </c>
      <c r="L145" t="s">
        <v>381</v>
      </c>
      <c r="M145" t="s">
        <v>388</v>
      </c>
      <c r="N145">
        <v>14.3</v>
      </c>
      <c r="O145">
        <v>0.96989999999999998</v>
      </c>
      <c r="Q145">
        <v>0.6996</v>
      </c>
      <c r="R145">
        <v>70.7</v>
      </c>
      <c r="S145">
        <v>0.69979999999999998</v>
      </c>
      <c r="T145">
        <v>0.69850000000000001</v>
      </c>
    </row>
    <row r="146" spans="1:20">
      <c r="A146" t="s">
        <v>629</v>
      </c>
      <c r="J146" t="s">
        <v>373</v>
      </c>
      <c r="K146" s="146" t="s">
        <v>378</v>
      </c>
      <c r="L146" t="s">
        <v>382</v>
      </c>
      <c r="M146" t="s">
        <v>389</v>
      </c>
      <c r="N146">
        <v>14.4</v>
      </c>
      <c r="O146">
        <v>0.96930000000000005</v>
      </c>
      <c r="Q146">
        <v>0.7</v>
      </c>
      <c r="R146">
        <v>70.599999999999994</v>
      </c>
      <c r="S146">
        <v>0.70009999999999994</v>
      </c>
      <c r="T146">
        <v>0.69889999999999997</v>
      </c>
    </row>
    <row r="147" spans="1:20">
      <c r="A147" t="s">
        <v>630</v>
      </c>
      <c r="J147" t="s">
        <v>374</v>
      </c>
      <c r="K147" s="146" t="s">
        <v>377</v>
      </c>
      <c r="L147" t="s">
        <v>383</v>
      </c>
      <c r="M147" t="s">
        <v>390</v>
      </c>
      <c r="N147">
        <v>14.5</v>
      </c>
      <c r="O147">
        <v>0.96860000000000002</v>
      </c>
      <c r="Q147">
        <v>0.70030000000000003</v>
      </c>
      <c r="R147">
        <v>70.5</v>
      </c>
      <c r="S147">
        <v>0.70050000000000001</v>
      </c>
      <c r="T147">
        <v>0.69920000000000004</v>
      </c>
    </row>
    <row r="148" spans="1:20">
      <c r="A148" t="s">
        <v>631</v>
      </c>
      <c r="J148" t="s">
        <v>259</v>
      </c>
      <c r="K148" s="146" t="s">
        <v>260</v>
      </c>
      <c r="L148" t="s">
        <v>384</v>
      </c>
      <c r="M148" t="s">
        <v>391</v>
      </c>
      <c r="N148">
        <v>14.6</v>
      </c>
      <c r="O148">
        <v>0.96789999999999998</v>
      </c>
      <c r="Q148">
        <v>0.70069999999999999</v>
      </c>
      <c r="R148">
        <v>70.400000000000006</v>
      </c>
      <c r="S148">
        <v>0.70079999999999998</v>
      </c>
      <c r="T148">
        <v>0.6996</v>
      </c>
    </row>
    <row r="149" spans="1:20">
      <c r="A149" t="s">
        <v>632</v>
      </c>
      <c r="N149">
        <v>14.7</v>
      </c>
      <c r="O149">
        <v>0.96730000000000005</v>
      </c>
      <c r="Q149">
        <v>0.70099999999999996</v>
      </c>
      <c r="R149">
        <v>70.3</v>
      </c>
      <c r="S149">
        <v>0.70120000000000005</v>
      </c>
      <c r="T149">
        <v>0.69989999999999997</v>
      </c>
    </row>
    <row r="150" spans="1:20">
      <c r="A150" t="s">
        <v>633</v>
      </c>
      <c r="N150">
        <v>14.8</v>
      </c>
      <c r="O150">
        <v>0.96660000000000001</v>
      </c>
      <c r="Q150">
        <v>0.70140000000000002</v>
      </c>
      <c r="R150">
        <v>70.2</v>
      </c>
      <c r="S150">
        <v>0.70150000000000001</v>
      </c>
      <c r="T150">
        <v>0.70030000000000003</v>
      </c>
    </row>
    <row r="151" spans="1:20">
      <c r="A151" t="s">
        <v>634</v>
      </c>
      <c r="N151">
        <v>14.9</v>
      </c>
      <c r="O151">
        <v>0.96599999999999997</v>
      </c>
      <c r="Q151">
        <v>0.70169999999999999</v>
      </c>
      <c r="R151">
        <v>70.099999999999994</v>
      </c>
      <c r="S151">
        <v>0.70189999999999997</v>
      </c>
      <c r="T151">
        <v>0.7006</v>
      </c>
    </row>
    <row r="152" spans="1:20">
      <c r="A152" t="s">
        <v>635</v>
      </c>
      <c r="N152">
        <v>15</v>
      </c>
      <c r="O152">
        <v>0.96530000000000005</v>
      </c>
      <c r="Q152">
        <v>0.70209999999999995</v>
      </c>
      <c r="R152">
        <v>70</v>
      </c>
      <c r="S152">
        <v>0.70220000000000005</v>
      </c>
      <c r="T152">
        <v>0.70099999999999996</v>
      </c>
    </row>
    <row r="153" spans="1:20">
      <c r="A153" t="s">
        <v>636</v>
      </c>
      <c r="N153">
        <v>15.1</v>
      </c>
      <c r="O153">
        <v>0.96460000000000001</v>
      </c>
      <c r="Q153">
        <v>0.70240000000000002</v>
      </c>
      <c r="R153">
        <v>69.900000000000006</v>
      </c>
      <c r="S153">
        <v>0.7026</v>
      </c>
      <c r="T153">
        <v>0.70130000000000003</v>
      </c>
    </row>
    <row r="154" spans="1:20">
      <c r="A154" t="s">
        <v>637</v>
      </c>
      <c r="J154" t="s">
        <v>661</v>
      </c>
      <c r="N154">
        <v>15.2</v>
      </c>
      <c r="O154">
        <v>0.96399999999999997</v>
      </c>
      <c r="Q154">
        <v>0.70279999999999998</v>
      </c>
      <c r="R154">
        <v>69.8</v>
      </c>
      <c r="S154">
        <v>0.70289999999999997</v>
      </c>
      <c r="T154">
        <v>0.70169999999999999</v>
      </c>
    </row>
    <row r="155" spans="1:20">
      <c r="A155" t="s">
        <v>638</v>
      </c>
      <c r="J155" t="s">
        <v>667</v>
      </c>
      <c r="N155">
        <v>15.3</v>
      </c>
      <c r="O155">
        <v>0.96330000000000005</v>
      </c>
      <c r="Q155">
        <v>0.70309999999999995</v>
      </c>
      <c r="R155">
        <v>69.7</v>
      </c>
      <c r="S155">
        <v>0.70330000000000004</v>
      </c>
      <c r="T155">
        <v>0.70199999999999996</v>
      </c>
    </row>
    <row r="156" spans="1:20">
      <c r="A156" t="s">
        <v>639</v>
      </c>
      <c r="J156" t="s">
        <v>653</v>
      </c>
      <c r="N156">
        <v>15.4</v>
      </c>
      <c r="O156">
        <v>0.9627</v>
      </c>
      <c r="Q156">
        <v>0.70350000000000001</v>
      </c>
      <c r="R156">
        <v>69.599999999999994</v>
      </c>
      <c r="S156">
        <v>0.7036</v>
      </c>
      <c r="T156">
        <v>0.70240000000000002</v>
      </c>
    </row>
    <row r="157" spans="1:20">
      <c r="A157" t="s">
        <v>640</v>
      </c>
      <c r="J157" t="s">
        <v>654</v>
      </c>
      <c r="N157">
        <v>15.5</v>
      </c>
      <c r="O157">
        <v>0.96199999999999997</v>
      </c>
      <c r="Q157">
        <v>0.70379999999999998</v>
      </c>
      <c r="R157">
        <v>69.5</v>
      </c>
      <c r="S157">
        <v>0.70399999999999996</v>
      </c>
      <c r="T157">
        <v>0.70269999999999999</v>
      </c>
    </row>
    <row r="158" spans="1:20">
      <c r="A158" t="s">
        <v>641</v>
      </c>
      <c r="J158" t="s">
        <v>655</v>
      </c>
      <c r="N158">
        <v>15.6</v>
      </c>
      <c r="O158">
        <v>0.96140000000000003</v>
      </c>
      <c r="Q158">
        <v>0.70420000000000005</v>
      </c>
      <c r="R158">
        <v>69.400000000000006</v>
      </c>
      <c r="S158">
        <v>0.70430000000000004</v>
      </c>
      <c r="T158">
        <v>0.70309999999999995</v>
      </c>
    </row>
    <row r="159" spans="1:20">
      <c r="A159" t="s">
        <v>422</v>
      </c>
      <c r="J159" t="s">
        <v>656</v>
      </c>
      <c r="N159">
        <v>15.7</v>
      </c>
      <c r="O159">
        <v>0.9607</v>
      </c>
      <c r="Q159">
        <v>0.70450000000000002</v>
      </c>
      <c r="R159">
        <v>69.3</v>
      </c>
      <c r="S159">
        <v>0.70469999999999999</v>
      </c>
      <c r="T159">
        <v>0.70340000000000003</v>
      </c>
    </row>
    <row r="160" spans="1:20">
      <c r="A160" t="s">
        <v>423</v>
      </c>
      <c r="J160" t="s">
        <v>657</v>
      </c>
      <c r="N160">
        <v>15.8</v>
      </c>
      <c r="O160">
        <v>0.96009999999999995</v>
      </c>
      <c r="Q160">
        <v>0.70489999999999997</v>
      </c>
      <c r="R160">
        <v>69.2</v>
      </c>
      <c r="S160">
        <v>0.70499999999999996</v>
      </c>
      <c r="T160">
        <v>0.70379999999999998</v>
      </c>
    </row>
    <row r="161" spans="1:20">
      <c r="A161" t="s">
        <v>424</v>
      </c>
      <c r="J161" t="s">
        <v>658</v>
      </c>
      <c r="N161">
        <v>15.9</v>
      </c>
      <c r="O161">
        <v>0.95940000000000003</v>
      </c>
      <c r="Q161">
        <v>0.70520000000000005</v>
      </c>
      <c r="R161">
        <v>69.099999999999994</v>
      </c>
      <c r="S161">
        <v>0.70540000000000003</v>
      </c>
      <c r="T161">
        <v>0.70409999999999995</v>
      </c>
    </row>
    <row r="162" spans="1:20">
      <c r="A162" t="s">
        <v>425</v>
      </c>
      <c r="J162" t="s">
        <v>659</v>
      </c>
      <c r="N162">
        <v>16</v>
      </c>
      <c r="O162">
        <v>0.95879999999999999</v>
      </c>
      <c r="Q162">
        <v>0.7056</v>
      </c>
      <c r="R162">
        <v>69</v>
      </c>
      <c r="S162">
        <v>0.70569999999999999</v>
      </c>
      <c r="T162">
        <v>0.70450000000000002</v>
      </c>
    </row>
    <row r="163" spans="1:20">
      <c r="A163" t="s">
        <v>426</v>
      </c>
      <c r="J163" t="s">
        <v>660</v>
      </c>
      <c r="N163">
        <v>16.100000000000001</v>
      </c>
      <c r="O163">
        <v>0.95809999999999995</v>
      </c>
      <c r="Q163">
        <v>0.70589999999999997</v>
      </c>
      <c r="R163">
        <v>68.900000000000006</v>
      </c>
      <c r="S163">
        <v>0.70609999999999995</v>
      </c>
      <c r="T163">
        <v>0.70479999999999998</v>
      </c>
    </row>
    <row r="164" spans="1:20">
      <c r="A164" t="s">
        <v>427</v>
      </c>
      <c r="J164" t="s">
        <v>662</v>
      </c>
      <c r="N164">
        <v>16.2</v>
      </c>
      <c r="O164">
        <v>0.95750000000000002</v>
      </c>
      <c r="Q164">
        <v>0.70630000000000004</v>
      </c>
      <c r="R164">
        <v>68.8</v>
      </c>
      <c r="S164">
        <v>0.70640000000000003</v>
      </c>
      <c r="T164">
        <v>0.70520000000000005</v>
      </c>
    </row>
    <row r="165" spans="1:20">
      <c r="A165" t="s">
        <v>428</v>
      </c>
      <c r="J165" t="s">
        <v>663</v>
      </c>
      <c r="N165">
        <v>16.3</v>
      </c>
      <c r="O165">
        <v>0.95679999999999998</v>
      </c>
      <c r="Q165">
        <v>0.70660000000000001</v>
      </c>
      <c r="R165">
        <v>68.7</v>
      </c>
      <c r="S165">
        <v>0.70679999999999998</v>
      </c>
      <c r="T165">
        <v>0.70550000000000002</v>
      </c>
    </row>
    <row r="166" spans="1:20">
      <c r="A166" t="s">
        <v>429</v>
      </c>
      <c r="J166" t="s">
        <v>664</v>
      </c>
      <c r="N166">
        <v>16.399999999999999</v>
      </c>
      <c r="O166">
        <v>0.95620000000000005</v>
      </c>
      <c r="Q166">
        <v>0.70699999999999996</v>
      </c>
      <c r="R166">
        <v>68.599999999999994</v>
      </c>
      <c r="S166">
        <v>0.70709999999999995</v>
      </c>
      <c r="T166">
        <v>0.70589999999999997</v>
      </c>
    </row>
    <row r="167" spans="1:20">
      <c r="A167" t="s">
        <v>430</v>
      </c>
      <c r="J167" t="s">
        <v>665</v>
      </c>
      <c r="N167">
        <v>16.5</v>
      </c>
      <c r="O167">
        <v>0.95550000000000002</v>
      </c>
      <c r="Q167">
        <v>0.70730000000000004</v>
      </c>
      <c r="R167">
        <v>68.5</v>
      </c>
      <c r="S167">
        <v>0.70750000000000002</v>
      </c>
      <c r="T167">
        <v>0.70620000000000005</v>
      </c>
    </row>
    <row r="168" spans="1:20">
      <c r="A168" t="s">
        <v>431</v>
      </c>
      <c r="J168" t="s">
        <v>666</v>
      </c>
      <c r="N168">
        <v>16.600000000000001</v>
      </c>
      <c r="O168">
        <v>0.95489999999999997</v>
      </c>
      <c r="Q168">
        <v>0.7077</v>
      </c>
      <c r="R168">
        <v>68.400000000000006</v>
      </c>
      <c r="S168">
        <v>0.70789999999999997</v>
      </c>
      <c r="T168">
        <v>0.70660000000000001</v>
      </c>
    </row>
    <row r="169" spans="1:20">
      <c r="A169" t="s">
        <v>432</v>
      </c>
      <c r="N169">
        <v>16.7</v>
      </c>
      <c r="O169">
        <v>0.95420000000000005</v>
      </c>
      <c r="Q169">
        <v>0.70799999999999996</v>
      </c>
      <c r="R169">
        <v>68.3</v>
      </c>
      <c r="S169">
        <v>0.70820000000000005</v>
      </c>
      <c r="T169">
        <v>0.70689999999999997</v>
      </c>
    </row>
    <row r="170" spans="1:20">
      <c r="A170" t="s">
        <v>433</v>
      </c>
      <c r="N170">
        <v>16.8</v>
      </c>
      <c r="O170">
        <v>0.9536</v>
      </c>
      <c r="Q170">
        <v>0.70840000000000003</v>
      </c>
      <c r="R170">
        <v>68.2</v>
      </c>
      <c r="S170">
        <v>0.70860000000000001</v>
      </c>
      <c r="T170">
        <v>0.70730000000000004</v>
      </c>
    </row>
    <row r="171" spans="1:20">
      <c r="A171" t="s">
        <v>434</v>
      </c>
      <c r="N171">
        <v>16.899999999999999</v>
      </c>
      <c r="O171">
        <v>0.95289999999999997</v>
      </c>
      <c r="Q171">
        <v>0.7087</v>
      </c>
      <c r="R171">
        <v>68.099999999999994</v>
      </c>
      <c r="S171">
        <v>0.70889999999999997</v>
      </c>
      <c r="T171">
        <v>0.70760000000000001</v>
      </c>
    </row>
    <row r="172" spans="1:20">
      <c r="A172" t="s">
        <v>435</v>
      </c>
      <c r="N172">
        <v>17</v>
      </c>
      <c r="O172">
        <v>0.95230000000000004</v>
      </c>
      <c r="Q172">
        <v>0.70909999999999995</v>
      </c>
      <c r="R172">
        <v>68</v>
      </c>
      <c r="S172">
        <v>0.70930000000000004</v>
      </c>
      <c r="T172">
        <v>0.70799999999999996</v>
      </c>
    </row>
    <row r="173" spans="1:20">
      <c r="A173" t="s">
        <v>436</v>
      </c>
      <c r="N173">
        <v>17.100000000000001</v>
      </c>
      <c r="O173">
        <v>0.95169999999999999</v>
      </c>
      <c r="Q173">
        <v>0.70940000000000003</v>
      </c>
      <c r="R173">
        <v>67.900000000000006</v>
      </c>
      <c r="S173">
        <v>0.70960000000000001</v>
      </c>
      <c r="T173">
        <v>0.70830000000000004</v>
      </c>
    </row>
    <row r="174" spans="1:20">
      <c r="A174" t="s">
        <v>437</v>
      </c>
      <c r="N174">
        <v>17.2</v>
      </c>
      <c r="O174">
        <v>0.95099999999999996</v>
      </c>
      <c r="Q174">
        <v>0.70979999999999999</v>
      </c>
      <c r="R174">
        <v>67.8</v>
      </c>
      <c r="S174">
        <v>0.71</v>
      </c>
      <c r="T174">
        <v>0.7087</v>
      </c>
    </row>
    <row r="175" spans="1:20">
      <c r="A175" t="s">
        <v>438</v>
      </c>
      <c r="N175">
        <v>17.3</v>
      </c>
      <c r="O175">
        <v>0.95040000000000002</v>
      </c>
      <c r="Q175">
        <v>0.71020000000000005</v>
      </c>
      <c r="R175">
        <v>67.7</v>
      </c>
      <c r="S175">
        <v>0.71030000000000004</v>
      </c>
      <c r="T175">
        <v>0.70909999999999995</v>
      </c>
    </row>
    <row r="176" spans="1:20">
      <c r="A176" t="s">
        <v>439</v>
      </c>
      <c r="J176" s="152" t="b">
        <f>'Navarik 설정'!$B$48</f>
        <v>0</v>
      </c>
      <c r="N176">
        <v>17.399999999999999</v>
      </c>
      <c r="O176">
        <v>0.94969999999999999</v>
      </c>
      <c r="Q176">
        <v>0.71050000000000002</v>
      </c>
      <c r="R176">
        <v>67.599999999999994</v>
      </c>
      <c r="S176">
        <v>0.7107</v>
      </c>
      <c r="T176">
        <v>0.70940000000000003</v>
      </c>
    </row>
    <row r="177" spans="1:20">
      <c r="A177" t="s">
        <v>440</v>
      </c>
      <c r="J177" s="152" t="b">
        <f>'Navarik 설정'!$B$49</f>
        <v>1</v>
      </c>
      <c r="N177">
        <v>17.5</v>
      </c>
      <c r="O177">
        <v>0.94910000000000005</v>
      </c>
      <c r="Q177">
        <v>0.71089999999999998</v>
      </c>
      <c r="R177">
        <v>67.5</v>
      </c>
      <c r="S177">
        <v>0.71109999999999995</v>
      </c>
      <c r="T177">
        <v>0.70979999999999999</v>
      </c>
    </row>
    <row r="178" spans="1:20">
      <c r="A178" t="s">
        <v>441</v>
      </c>
      <c r="J178" s="152" t="b">
        <f>'Navarik 설정'!$B$50</f>
        <v>1</v>
      </c>
      <c r="N178">
        <v>17.600000000000001</v>
      </c>
      <c r="O178">
        <v>0.94850000000000001</v>
      </c>
      <c r="Q178">
        <v>0.71120000000000005</v>
      </c>
      <c r="R178">
        <v>67.400000000000006</v>
      </c>
      <c r="S178">
        <v>0.71140000000000003</v>
      </c>
      <c r="T178">
        <v>0.71009999999999995</v>
      </c>
    </row>
    <row r="179" spans="1:20">
      <c r="A179" t="s">
        <v>442</v>
      </c>
      <c r="J179" s="152" t="b">
        <f>'Navarik 설정'!$B$58</f>
        <v>0</v>
      </c>
      <c r="N179">
        <v>17.7</v>
      </c>
      <c r="O179">
        <v>0.94779999999999998</v>
      </c>
      <c r="Q179">
        <v>0.71160000000000001</v>
      </c>
      <c r="R179">
        <v>67.3</v>
      </c>
      <c r="S179">
        <v>0.71179999999999999</v>
      </c>
      <c r="T179">
        <v>0.71050000000000002</v>
      </c>
    </row>
    <row r="180" spans="1:20">
      <c r="A180" t="s">
        <v>443</v>
      </c>
      <c r="J180" s="152" t="b">
        <f>'Navarik 설정'!$B$59</f>
        <v>1</v>
      </c>
      <c r="N180">
        <v>17.8</v>
      </c>
      <c r="O180">
        <v>0.94720000000000004</v>
      </c>
      <c r="Q180">
        <v>0.71189999999999998</v>
      </c>
      <c r="R180">
        <v>67.2</v>
      </c>
      <c r="S180">
        <v>0.71209999999999996</v>
      </c>
      <c r="T180">
        <v>0.71079999999999999</v>
      </c>
    </row>
    <row r="181" spans="1:20">
      <c r="A181" t="s">
        <v>444</v>
      </c>
      <c r="N181">
        <v>17.899999999999999</v>
      </c>
      <c r="O181">
        <v>0.9466</v>
      </c>
      <c r="Q181">
        <v>0.71230000000000004</v>
      </c>
      <c r="R181">
        <v>67.099999999999994</v>
      </c>
      <c r="S181">
        <v>0.71250000000000002</v>
      </c>
      <c r="T181">
        <v>0.71120000000000005</v>
      </c>
    </row>
    <row r="182" spans="1:20">
      <c r="A182" t="s">
        <v>445</v>
      </c>
      <c r="N182">
        <v>18</v>
      </c>
      <c r="O182">
        <v>0.94589999999999996</v>
      </c>
      <c r="Q182">
        <v>0.7127</v>
      </c>
      <c r="R182">
        <v>67</v>
      </c>
      <c r="S182">
        <v>0.71279999999999999</v>
      </c>
      <c r="T182">
        <v>0.71160000000000001</v>
      </c>
    </row>
    <row r="183" spans="1:20">
      <c r="A183" t="s">
        <v>446</v>
      </c>
      <c r="N183">
        <v>18.100000000000001</v>
      </c>
      <c r="O183">
        <v>0.94530000000000003</v>
      </c>
      <c r="Q183">
        <v>0.71299999999999997</v>
      </c>
      <c r="R183">
        <v>66.900000000000006</v>
      </c>
      <c r="S183">
        <v>0.71319999999999995</v>
      </c>
      <c r="T183">
        <v>0.71189999999999998</v>
      </c>
    </row>
    <row r="184" spans="1:20">
      <c r="A184" t="s">
        <v>447</v>
      </c>
      <c r="N184">
        <v>18.2</v>
      </c>
      <c r="O184">
        <v>0.94469999999999998</v>
      </c>
      <c r="Q184">
        <v>0.71340000000000003</v>
      </c>
      <c r="R184">
        <v>66.8</v>
      </c>
      <c r="S184">
        <v>0.71360000000000001</v>
      </c>
      <c r="T184">
        <v>0.71230000000000004</v>
      </c>
    </row>
    <row r="185" spans="1:20">
      <c r="A185" t="s">
        <v>448</v>
      </c>
      <c r="N185">
        <v>18.3</v>
      </c>
      <c r="O185">
        <v>0.94399999999999995</v>
      </c>
      <c r="Q185">
        <v>0.7137</v>
      </c>
      <c r="R185">
        <v>66.7</v>
      </c>
      <c r="S185">
        <v>0.71389999999999998</v>
      </c>
      <c r="T185">
        <v>0.71260000000000001</v>
      </c>
    </row>
    <row r="186" spans="1:20">
      <c r="A186" t="s">
        <v>449</v>
      </c>
      <c r="N186">
        <v>18.399999999999999</v>
      </c>
      <c r="O186">
        <v>0.94340000000000002</v>
      </c>
      <c r="Q186">
        <v>0.71409999999999996</v>
      </c>
      <c r="R186">
        <v>66.599999999999994</v>
      </c>
      <c r="S186">
        <v>0.71430000000000005</v>
      </c>
      <c r="T186">
        <v>0.71299999999999997</v>
      </c>
    </row>
    <row r="187" spans="1:20">
      <c r="A187" t="s">
        <v>450</v>
      </c>
      <c r="N187">
        <v>18.5</v>
      </c>
      <c r="O187">
        <v>0.94279999999999997</v>
      </c>
      <c r="Q187">
        <v>0.71450000000000002</v>
      </c>
      <c r="R187">
        <v>66.5</v>
      </c>
      <c r="S187">
        <v>0.71460000000000001</v>
      </c>
      <c r="T187">
        <v>0.71340000000000003</v>
      </c>
    </row>
    <row r="188" spans="1:20">
      <c r="A188" t="s">
        <v>451</v>
      </c>
      <c r="N188">
        <v>18.600000000000001</v>
      </c>
      <c r="O188">
        <v>0.94220000000000004</v>
      </c>
      <c r="Q188">
        <v>0.71479999999999999</v>
      </c>
      <c r="R188">
        <v>66.400000000000006</v>
      </c>
      <c r="S188">
        <v>0.71499999999999997</v>
      </c>
      <c r="T188">
        <v>0.7137</v>
      </c>
    </row>
    <row r="189" spans="1:20">
      <c r="A189" t="s">
        <v>452</v>
      </c>
      <c r="N189">
        <v>18.7</v>
      </c>
      <c r="O189">
        <v>0.9415</v>
      </c>
      <c r="Q189">
        <v>0.71519999999999995</v>
      </c>
      <c r="R189">
        <v>66.3</v>
      </c>
      <c r="S189">
        <v>0.71540000000000004</v>
      </c>
      <c r="T189">
        <v>0.71409999999999996</v>
      </c>
    </row>
    <row r="190" spans="1:20">
      <c r="A190" t="s">
        <v>453</v>
      </c>
      <c r="N190">
        <v>18.8</v>
      </c>
      <c r="O190">
        <v>0.94089999999999996</v>
      </c>
      <c r="Q190">
        <v>0.71550000000000002</v>
      </c>
      <c r="R190">
        <v>66.2</v>
      </c>
      <c r="S190">
        <v>0.7157</v>
      </c>
      <c r="T190">
        <v>0.71440000000000003</v>
      </c>
    </row>
    <row r="191" spans="1:20">
      <c r="A191" t="s">
        <v>454</v>
      </c>
      <c r="N191">
        <v>18.899999999999999</v>
      </c>
      <c r="O191">
        <v>0.94030000000000002</v>
      </c>
      <c r="Q191">
        <v>0.71589999999999998</v>
      </c>
      <c r="R191">
        <v>66.099999999999994</v>
      </c>
      <c r="S191">
        <v>0.71609999999999996</v>
      </c>
      <c r="T191">
        <v>0.71479999999999999</v>
      </c>
    </row>
    <row r="192" spans="1:20">
      <c r="A192" t="s">
        <v>455</v>
      </c>
      <c r="N192">
        <v>19</v>
      </c>
      <c r="O192">
        <v>0.93969999999999998</v>
      </c>
      <c r="Q192">
        <v>0.71630000000000005</v>
      </c>
      <c r="R192">
        <v>66</v>
      </c>
      <c r="S192">
        <v>0.71650000000000003</v>
      </c>
      <c r="T192">
        <v>0.71519999999999995</v>
      </c>
    </row>
    <row r="193" spans="1:20">
      <c r="A193" t="s">
        <v>456</v>
      </c>
      <c r="N193">
        <v>19.100000000000001</v>
      </c>
      <c r="O193">
        <v>0.93899999999999995</v>
      </c>
      <c r="Q193">
        <v>0.71660000000000001</v>
      </c>
      <c r="R193">
        <v>65.900000000000006</v>
      </c>
      <c r="S193">
        <v>0.71679999999999999</v>
      </c>
      <c r="T193">
        <v>0.71550000000000002</v>
      </c>
    </row>
    <row r="194" spans="1:20">
      <c r="A194" t="s">
        <v>457</v>
      </c>
      <c r="N194">
        <v>19.2</v>
      </c>
      <c r="O194">
        <v>0.93840000000000001</v>
      </c>
      <c r="Q194">
        <v>0.71699999999999997</v>
      </c>
      <c r="R194">
        <v>65.8</v>
      </c>
      <c r="S194">
        <v>0.71719999999999995</v>
      </c>
      <c r="T194">
        <v>0.71589999999999998</v>
      </c>
    </row>
    <row r="195" spans="1:20">
      <c r="A195" t="s">
        <v>458</v>
      </c>
      <c r="N195">
        <v>19.3</v>
      </c>
      <c r="O195">
        <v>0.93779999999999997</v>
      </c>
      <c r="Q195">
        <v>0.71730000000000005</v>
      </c>
      <c r="R195">
        <v>65.7</v>
      </c>
      <c r="S195">
        <v>0.71750000000000003</v>
      </c>
      <c r="T195">
        <v>0.71619999999999995</v>
      </c>
    </row>
    <row r="196" spans="1:20">
      <c r="A196" t="s">
        <v>459</v>
      </c>
      <c r="N196">
        <v>19.399999999999999</v>
      </c>
      <c r="O196">
        <v>0.93720000000000003</v>
      </c>
      <c r="Q196">
        <v>0.7177</v>
      </c>
      <c r="R196">
        <v>65.599999999999994</v>
      </c>
      <c r="S196">
        <v>0.71789999999999998</v>
      </c>
      <c r="T196">
        <v>0.71660000000000001</v>
      </c>
    </row>
    <row r="197" spans="1:20">
      <c r="A197" t="s">
        <v>460</v>
      </c>
      <c r="N197">
        <v>19.5</v>
      </c>
      <c r="O197">
        <v>0.9365</v>
      </c>
      <c r="Q197">
        <v>0.71809999999999996</v>
      </c>
      <c r="R197">
        <v>65.5</v>
      </c>
      <c r="S197">
        <v>0.71830000000000005</v>
      </c>
      <c r="T197">
        <v>0.71699999999999997</v>
      </c>
    </row>
    <row r="198" spans="1:20">
      <c r="A198" t="s">
        <v>461</v>
      </c>
      <c r="N198">
        <v>19.600000000000001</v>
      </c>
      <c r="O198">
        <v>0.93589999999999995</v>
      </c>
      <c r="Q198">
        <v>0.71840000000000004</v>
      </c>
      <c r="R198">
        <v>65.400000000000006</v>
      </c>
      <c r="S198">
        <v>0.71860000000000002</v>
      </c>
      <c r="T198">
        <v>0.71730000000000005</v>
      </c>
    </row>
    <row r="199" spans="1:20">
      <c r="A199" t="s">
        <v>462</v>
      </c>
      <c r="N199">
        <v>19.7</v>
      </c>
      <c r="O199">
        <v>0.93530000000000002</v>
      </c>
      <c r="Q199">
        <v>0.71879999999999999</v>
      </c>
      <c r="R199">
        <v>65.3</v>
      </c>
      <c r="S199">
        <v>0.71899999999999997</v>
      </c>
      <c r="T199">
        <v>0.7177</v>
      </c>
    </row>
    <row r="200" spans="1:20">
      <c r="A200" t="s">
        <v>463</v>
      </c>
      <c r="N200">
        <v>19.8</v>
      </c>
      <c r="O200">
        <v>0.93469999999999998</v>
      </c>
      <c r="Q200">
        <v>0.71919999999999995</v>
      </c>
      <c r="R200">
        <v>65.2</v>
      </c>
      <c r="S200">
        <v>0.71940000000000004</v>
      </c>
      <c r="T200">
        <v>0.71809999999999996</v>
      </c>
    </row>
    <row r="201" spans="1:20">
      <c r="A201" t="s">
        <v>464</v>
      </c>
      <c r="N201">
        <v>19.899999999999999</v>
      </c>
      <c r="O201">
        <v>0.93410000000000004</v>
      </c>
      <c r="Q201">
        <v>0.71950000000000003</v>
      </c>
      <c r="R201">
        <v>65.099999999999994</v>
      </c>
      <c r="S201">
        <v>0.71970000000000001</v>
      </c>
      <c r="T201">
        <v>0.71840000000000004</v>
      </c>
    </row>
    <row r="202" spans="1:20">
      <c r="A202" t="s">
        <v>465</v>
      </c>
      <c r="N202">
        <v>20</v>
      </c>
      <c r="O202">
        <v>0.9335</v>
      </c>
      <c r="Q202">
        <v>0.71989999999999998</v>
      </c>
      <c r="R202">
        <v>65</v>
      </c>
      <c r="S202">
        <v>0.72009999999999996</v>
      </c>
      <c r="T202">
        <v>0.71879999999999999</v>
      </c>
    </row>
    <row r="203" spans="1:20">
      <c r="A203" t="s">
        <v>466</v>
      </c>
      <c r="N203">
        <v>20.100000000000001</v>
      </c>
      <c r="O203">
        <v>0.93279999999999996</v>
      </c>
      <c r="Q203">
        <v>0.72030000000000005</v>
      </c>
      <c r="R203">
        <v>64.900000000000006</v>
      </c>
      <c r="S203">
        <v>0.72050000000000003</v>
      </c>
      <c r="T203">
        <v>0.71919999999999995</v>
      </c>
    </row>
    <row r="204" spans="1:20">
      <c r="A204" t="s">
        <v>467</v>
      </c>
      <c r="N204">
        <v>20.2</v>
      </c>
      <c r="O204">
        <v>0.93220000000000003</v>
      </c>
      <c r="Q204">
        <v>0.72060000000000002</v>
      </c>
      <c r="R204">
        <v>64.8</v>
      </c>
      <c r="S204">
        <v>0.7208</v>
      </c>
      <c r="T204">
        <v>0.71950000000000003</v>
      </c>
    </row>
    <row r="205" spans="1:20">
      <c r="A205" t="s">
        <v>468</v>
      </c>
      <c r="N205">
        <v>20.3</v>
      </c>
      <c r="O205">
        <v>0.93159999999999998</v>
      </c>
      <c r="Q205">
        <v>0.72099999999999997</v>
      </c>
      <c r="R205">
        <v>64.7</v>
      </c>
      <c r="S205">
        <v>0.72119999999999995</v>
      </c>
      <c r="T205">
        <v>0.71989999999999998</v>
      </c>
    </row>
    <row r="206" spans="1:20">
      <c r="A206" t="s">
        <v>469</v>
      </c>
      <c r="N206">
        <v>20.399999999999999</v>
      </c>
      <c r="O206">
        <v>0.93100000000000005</v>
      </c>
      <c r="Q206">
        <v>0.72140000000000004</v>
      </c>
      <c r="R206">
        <v>64.599999999999994</v>
      </c>
      <c r="S206">
        <v>0.72160000000000002</v>
      </c>
      <c r="T206">
        <v>0.72030000000000005</v>
      </c>
    </row>
    <row r="207" spans="1:20">
      <c r="A207" t="s">
        <v>470</v>
      </c>
      <c r="N207">
        <v>20.5</v>
      </c>
      <c r="O207">
        <v>0.9304</v>
      </c>
      <c r="Q207">
        <v>0.72170000000000001</v>
      </c>
      <c r="R207">
        <v>64.5</v>
      </c>
      <c r="S207">
        <v>0.72189999999999999</v>
      </c>
      <c r="T207">
        <v>0.72060000000000002</v>
      </c>
    </row>
    <row r="208" spans="1:20">
      <c r="A208" t="s">
        <v>471</v>
      </c>
      <c r="N208">
        <v>20.6</v>
      </c>
      <c r="O208">
        <v>0.92979999999999996</v>
      </c>
      <c r="Q208">
        <v>0.72209999999999996</v>
      </c>
      <c r="R208">
        <v>64.400000000000006</v>
      </c>
      <c r="S208">
        <v>0.72230000000000005</v>
      </c>
      <c r="T208">
        <v>0.72099999999999997</v>
      </c>
    </row>
    <row r="209" spans="1:20">
      <c r="A209" t="s">
        <v>472</v>
      </c>
      <c r="N209">
        <v>20.7</v>
      </c>
      <c r="O209">
        <v>0.92920000000000003</v>
      </c>
      <c r="Q209">
        <v>0.72250000000000003</v>
      </c>
      <c r="R209">
        <v>64.3</v>
      </c>
      <c r="S209">
        <v>0.72270000000000001</v>
      </c>
      <c r="T209">
        <v>0.72140000000000004</v>
      </c>
    </row>
    <row r="210" spans="1:20">
      <c r="A210" t="s">
        <v>473</v>
      </c>
      <c r="N210">
        <v>20.8</v>
      </c>
      <c r="O210">
        <v>0.92859999999999998</v>
      </c>
      <c r="Q210">
        <v>0.7228</v>
      </c>
      <c r="R210">
        <v>64.2</v>
      </c>
      <c r="S210">
        <v>0.72299999999999998</v>
      </c>
      <c r="T210">
        <v>0.72170000000000001</v>
      </c>
    </row>
    <row r="211" spans="1:20">
      <c r="A211" t="s">
        <v>474</v>
      </c>
      <c r="N211">
        <v>20.9</v>
      </c>
      <c r="O211">
        <v>0.92789999999999995</v>
      </c>
      <c r="Q211">
        <v>0.72319999999999995</v>
      </c>
      <c r="R211">
        <v>64.099999999999994</v>
      </c>
      <c r="S211">
        <v>0.72340000000000004</v>
      </c>
      <c r="T211">
        <v>0.72209999999999996</v>
      </c>
    </row>
    <row r="212" spans="1:20">
      <c r="A212" t="s">
        <v>475</v>
      </c>
      <c r="N212">
        <v>21</v>
      </c>
      <c r="O212">
        <v>0.92730000000000001</v>
      </c>
      <c r="Q212">
        <v>0.72360000000000002</v>
      </c>
      <c r="R212">
        <v>64</v>
      </c>
      <c r="S212">
        <v>0.7238</v>
      </c>
      <c r="T212">
        <v>0.72250000000000003</v>
      </c>
    </row>
    <row r="213" spans="1:20">
      <c r="A213" t="s">
        <v>476</v>
      </c>
      <c r="N213">
        <v>21.1</v>
      </c>
      <c r="O213">
        <v>0.92669999999999997</v>
      </c>
      <c r="Q213">
        <v>0.72389999999999999</v>
      </c>
      <c r="R213">
        <v>63.9</v>
      </c>
      <c r="S213">
        <v>0.72419999999999995</v>
      </c>
      <c r="T213">
        <v>0.7228</v>
      </c>
    </row>
    <row r="214" spans="1:20">
      <c r="A214" t="s">
        <v>477</v>
      </c>
      <c r="N214">
        <v>21.2</v>
      </c>
      <c r="O214">
        <v>0.92610000000000003</v>
      </c>
      <c r="Q214">
        <v>0.72430000000000005</v>
      </c>
      <c r="R214">
        <v>63.8</v>
      </c>
      <c r="S214">
        <v>0.72450000000000003</v>
      </c>
      <c r="T214">
        <v>0.72319999999999995</v>
      </c>
    </row>
    <row r="215" spans="1:20">
      <c r="A215" t="s">
        <v>478</v>
      </c>
      <c r="N215">
        <v>21.3</v>
      </c>
      <c r="O215">
        <v>0.92549999999999999</v>
      </c>
      <c r="Q215">
        <v>0.72470000000000001</v>
      </c>
      <c r="R215">
        <v>63.7</v>
      </c>
      <c r="S215">
        <v>0.72489999999999999</v>
      </c>
      <c r="T215">
        <v>0.72360000000000002</v>
      </c>
    </row>
    <row r="216" spans="1:20">
      <c r="A216" t="s">
        <v>479</v>
      </c>
      <c r="N216">
        <v>21.4</v>
      </c>
      <c r="O216">
        <v>0.92490000000000006</v>
      </c>
      <c r="Q216">
        <v>0.72509999999999997</v>
      </c>
      <c r="R216">
        <v>63.6</v>
      </c>
      <c r="S216">
        <v>0.72529999999999994</v>
      </c>
      <c r="T216">
        <v>0.72399999999999998</v>
      </c>
    </row>
    <row r="217" spans="1:20">
      <c r="A217" t="s">
        <v>480</v>
      </c>
      <c r="N217">
        <v>21.5</v>
      </c>
      <c r="O217">
        <v>0.92430000000000001</v>
      </c>
      <c r="Q217">
        <v>0.72540000000000004</v>
      </c>
      <c r="R217">
        <v>63.5</v>
      </c>
      <c r="S217">
        <v>0.72560000000000002</v>
      </c>
      <c r="T217">
        <v>0.72430000000000005</v>
      </c>
    </row>
    <row r="218" spans="1:20">
      <c r="A218" t="s">
        <v>481</v>
      </c>
      <c r="N218">
        <v>21.6</v>
      </c>
      <c r="O218">
        <v>0.92369999999999997</v>
      </c>
      <c r="Q218">
        <v>0.7258</v>
      </c>
      <c r="R218">
        <v>63.4</v>
      </c>
      <c r="S218">
        <v>0.72599999999999998</v>
      </c>
      <c r="T218">
        <v>0.72470000000000001</v>
      </c>
    </row>
    <row r="219" spans="1:20">
      <c r="A219" t="s">
        <v>482</v>
      </c>
      <c r="N219">
        <v>21.7</v>
      </c>
      <c r="O219">
        <v>0.92310000000000003</v>
      </c>
      <c r="Q219">
        <v>0.72619999999999996</v>
      </c>
      <c r="R219">
        <v>63.3</v>
      </c>
      <c r="S219">
        <v>0.72640000000000005</v>
      </c>
      <c r="T219">
        <v>0.72509999999999997</v>
      </c>
    </row>
    <row r="220" spans="1:20">
      <c r="A220" t="s">
        <v>483</v>
      </c>
      <c r="N220">
        <v>21.8</v>
      </c>
      <c r="O220">
        <v>0.92249999999999999</v>
      </c>
      <c r="Q220">
        <v>0.72650000000000003</v>
      </c>
      <c r="R220">
        <v>63.2</v>
      </c>
      <c r="S220">
        <v>0.7268</v>
      </c>
      <c r="T220">
        <v>0.72540000000000004</v>
      </c>
    </row>
    <row r="221" spans="1:20">
      <c r="A221" t="s">
        <v>484</v>
      </c>
      <c r="N221">
        <v>21.9</v>
      </c>
      <c r="O221">
        <v>0.92190000000000005</v>
      </c>
      <c r="Q221">
        <v>0.72689999999999999</v>
      </c>
      <c r="R221">
        <v>63.1</v>
      </c>
      <c r="S221">
        <v>0.72709999999999997</v>
      </c>
      <c r="T221">
        <v>0.7258</v>
      </c>
    </row>
    <row r="222" spans="1:20">
      <c r="A222" t="s">
        <v>485</v>
      </c>
      <c r="N222">
        <v>22</v>
      </c>
      <c r="O222">
        <v>0.92130000000000001</v>
      </c>
      <c r="Q222">
        <v>0.72729999999999995</v>
      </c>
      <c r="R222">
        <v>63</v>
      </c>
      <c r="S222">
        <v>0.72750000000000004</v>
      </c>
      <c r="T222">
        <v>0.72619999999999996</v>
      </c>
    </row>
    <row r="223" spans="1:20">
      <c r="A223" t="s">
        <v>486</v>
      </c>
      <c r="N223">
        <v>22.1</v>
      </c>
      <c r="O223">
        <v>0.92069999999999996</v>
      </c>
      <c r="Q223">
        <v>0.72770000000000001</v>
      </c>
      <c r="R223">
        <v>62.9</v>
      </c>
      <c r="S223">
        <v>0.72789999999999999</v>
      </c>
      <c r="T223">
        <v>0.72660000000000002</v>
      </c>
    </row>
    <row r="224" spans="1:20">
      <c r="A224" t="s">
        <v>487</v>
      </c>
      <c r="N224">
        <v>22.2</v>
      </c>
      <c r="O224">
        <v>0.92010000000000003</v>
      </c>
      <c r="Q224">
        <v>0.72799999999999998</v>
      </c>
      <c r="R224">
        <v>62.8</v>
      </c>
      <c r="S224">
        <v>0.72829999999999995</v>
      </c>
      <c r="T224">
        <v>0.72689999999999999</v>
      </c>
    </row>
    <row r="225" spans="1:20">
      <c r="A225" t="s">
        <v>488</v>
      </c>
      <c r="N225">
        <v>22.3</v>
      </c>
      <c r="O225">
        <v>0.91949999999999998</v>
      </c>
      <c r="Q225">
        <v>0.72840000000000005</v>
      </c>
      <c r="R225">
        <v>62.7</v>
      </c>
      <c r="S225">
        <v>0.72860000000000003</v>
      </c>
      <c r="T225">
        <v>0.72729999999999995</v>
      </c>
    </row>
    <row r="226" spans="1:20">
      <c r="A226" t="s">
        <v>489</v>
      </c>
      <c r="N226">
        <v>22.4</v>
      </c>
      <c r="O226">
        <v>0.91890000000000005</v>
      </c>
      <c r="Q226">
        <v>0.7288</v>
      </c>
      <c r="R226">
        <v>62.6</v>
      </c>
      <c r="S226">
        <v>0.72899999999999998</v>
      </c>
      <c r="T226">
        <v>0.72770000000000001</v>
      </c>
    </row>
    <row r="227" spans="1:20">
      <c r="A227" t="s">
        <v>490</v>
      </c>
      <c r="N227">
        <v>22.5</v>
      </c>
      <c r="O227">
        <v>0.91830000000000001</v>
      </c>
      <c r="Q227">
        <v>0.72919999999999996</v>
      </c>
      <c r="R227">
        <v>62.5</v>
      </c>
      <c r="S227">
        <v>0.72940000000000005</v>
      </c>
      <c r="T227">
        <v>0.72809999999999997</v>
      </c>
    </row>
    <row r="228" spans="1:20">
      <c r="A228" t="s">
        <v>491</v>
      </c>
      <c r="N228">
        <v>22.6</v>
      </c>
      <c r="O228">
        <v>0.91769999999999996</v>
      </c>
      <c r="Q228">
        <v>0.72950000000000004</v>
      </c>
      <c r="R228">
        <v>62.4</v>
      </c>
      <c r="S228">
        <v>0.7298</v>
      </c>
      <c r="T228">
        <v>0.72840000000000005</v>
      </c>
    </row>
    <row r="229" spans="1:20">
      <c r="A229" t="s">
        <v>492</v>
      </c>
      <c r="N229">
        <v>22.7</v>
      </c>
      <c r="O229">
        <v>0.91710000000000003</v>
      </c>
      <c r="Q229">
        <v>0.72989999999999999</v>
      </c>
      <c r="R229">
        <v>62.3</v>
      </c>
      <c r="S229">
        <v>0.73009999999999997</v>
      </c>
      <c r="T229">
        <v>0.7288</v>
      </c>
    </row>
    <row r="230" spans="1:20">
      <c r="A230" t="s">
        <v>493</v>
      </c>
      <c r="N230">
        <v>22.8</v>
      </c>
      <c r="O230">
        <v>0.91649999999999998</v>
      </c>
      <c r="Q230">
        <v>0.73029999999999995</v>
      </c>
      <c r="R230">
        <v>62.2</v>
      </c>
      <c r="S230">
        <v>0.73050000000000004</v>
      </c>
      <c r="T230">
        <v>0.72919999999999996</v>
      </c>
    </row>
    <row r="231" spans="1:20">
      <c r="A231" t="s">
        <v>494</v>
      </c>
      <c r="N231">
        <v>22.9</v>
      </c>
      <c r="O231">
        <v>0.91590000000000005</v>
      </c>
      <c r="Q231">
        <v>0.73070000000000002</v>
      </c>
      <c r="R231">
        <v>62.1</v>
      </c>
      <c r="S231">
        <v>0.73089999999999999</v>
      </c>
      <c r="T231">
        <v>0.72960000000000003</v>
      </c>
    </row>
    <row r="232" spans="1:20">
      <c r="A232" t="s">
        <v>495</v>
      </c>
      <c r="N232">
        <v>23</v>
      </c>
      <c r="O232">
        <v>0.9153</v>
      </c>
      <c r="Q232">
        <v>0.73109999999999997</v>
      </c>
      <c r="R232">
        <v>62</v>
      </c>
      <c r="S232">
        <v>0.73129999999999995</v>
      </c>
      <c r="T232">
        <v>0.73</v>
      </c>
    </row>
    <row r="233" spans="1:20">
      <c r="A233" t="s">
        <v>496</v>
      </c>
      <c r="N233">
        <v>23.1</v>
      </c>
      <c r="O233">
        <v>0.91469999999999996</v>
      </c>
      <c r="Q233">
        <v>0.73140000000000005</v>
      </c>
      <c r="R233">
        <v>61.9</v>
      </c>
      <c r="S233">
        <v>0.73160000000000003</v>
      </c>
      <c r="T233">
        <v>0.73029999999999995</v>
      </c>
    </row>
    <row r="234" spans="1:20">
      <c r="A234" t="s">
        <v>497</v>
      </c>
      <c r="N234">
        <v>23.2</v>
      </c>
      <c r="O234">
        <v>0.91420000000000001</v>
      </c>
      <c r="Q234">
        <v>0.73180000000000001</v>
      </c>
      <c r="R234">
        <v>61.8</v>
      </c>
      <c r="S234">
        <v>0.73199999999999998</v>
      </c>
      <c r="T234">
        <v>0.73070000000000002</v>
      </c>
    </row>
    <row r="235" spans="1:20">
      <c r="A235" t="s">
        <v>498</v>
      </c>
      <c r="N235">
        <v>23.3</v>
      </c>
      <c r="O235">
        <v>0.91359999999999997</v>
      </c>
      <c r="Q235">
        <v>0.73219999999999996</v>
      </c>
      <c r="R235">
        <v>61.7</v>
      </c>
      <c r="S235">
        <v>0.73240000000000005</v>
      </c>
      <c r="T235">
        <v>0.73109999999999997</v>
      </c>
    </row>
    <row r="236" spans="1:20">
      <c r="A236" t="s">
        <v>499</v>
      </c>
      <c r="N236">
        <v>23.4</v>
      </c>
      <c r="O236">
        <v>0.91300000000000003</v>
      </c>
      <c r="Q236">
        <v>0.73260000000000003</v>
      </c>
      <c r="R236">
        <v>61.6</v>
      </c>
      <c r="S236">
        <v>0.73280000000000001</v>
      </c>
      <c r="T236">
        <v>0.73150000000000004</v>
      </c>
    </row>
    <row r="237" spans="1:20">
      <c r="A237" t="s">
        <v>500</v>
      </c>
      <c r="N237">
        <v>23.5</v>
      </c>
      <c r="O237">
        <v>0.91239999999999999</v>
      </c>
      <c r="Q237">
        <v>0.7329</v>
      </c>
      <c r="R237">
        <v>61.5</v>
      </c>
      <c r="S237">
        <v>0.73319999999999996</v>
      </c>
      <c r="T237">
        <v>0.73180000000000001</v>
      </c>
    </row>
    <row r="238" spans="1:20">
      <c r="A238" t="s">
        <v>501</v>
      </c>
      <c r="N238">
        <v>23.6</v>
      </c>
      <c r="O238">
        <v>0.91180000000000005</v>
      </c>
      <c r="Q238">
        <v>0.73329999999999995</v>
      </c>
      <c r="R238">
        <v>61.4</v>
      </c>
      <c r="S238">
        <v>0.73350000000000004</v>
      </c>
      <c r="T238">
        <v>0.73219999999999996</v>
      </c>
    </row>
    <row r="239" spans="1:20">
      <c r="A239" t="s">
        <v>502</v>
      </c>
      <c r="N239">
        <v>23.7</v>
      </c>
      <c r="O239">
        <v>0.91120000000000001</v>
      </c>
      <c r="Q239">
        <v>0.73370000000000002</v>
      </c>
      <c r="R239">
        <v>61.3</v>
      </c>
      <c r="S239">
        <v>0.7339</v>
      </c>
      <c r="T239">
        <v>0.73260000000000003</v>
      </c>
    </row>
    <row r="240" spans="1:20">
      <c r="A240" t="s">
        <v>503</v>
      </c>
      <c r="N240">
        <v>23.8</v>
      </c>
      <c r="O240">
        <v>0.91059999999999997</v>
      </c>
      <c r="Q240">
        <v>0.73409999999999997</v>
      </c>
      <c r="R240">
        <v>61.2</v>
      </c>
      <c r="S240">
        <v>0.73429999999999995</v>
      </c>
      <c r="T240">
        <v>0.73299999999999998</v>
      </c>
    </row>
    <row r="241" spans="1:20">
      <c r="A241" t="s">
        <v>504</v>
      </c>
      <c r="N241">
        <v>23.9</v>
      </c>
      <c r="O241">
        <v>0.91</v>
      </c>
      <c r="Q241">
        <v>0.73450000000000004</v>
      </c>
      <c r="R241">
        <v>61.1</v>
      </c>
      <c r="S241">
        <v>0.73470000000000002</v>
      </c>
      <c r="T241">
        <v>0.73340000000000005</v>
      </c>
    </row>
    <row r="242" spans="1:20">
      <c r="A242" t="s">
        <v>505</v>
      </c>
      <c r="N242">
        <v>24</v>
      </c>
      <c r="O242">
        <v>0.90949999999999998</v>
      </c>
      <c r="Q242">
        <v>0.73480000000000001</v>
      </c>
      <c r="R242">
        <v>61</v>
      </c>
      <c r="S242">
        <v>0.73509999999999998</v>
      </c>
      <c r="T242">
        <v>0.73370000000000002</v>
      </c>
    </row>
    <row r="243" spans="1:20">
      <c r="A243" t="s">
        <v>506</v>
      </c>
      <c r="N243">
        <v>24.1</v>
      </c>
      <c r="O243">
        <v>0.90890000000000004</v>
      </c>
      <c r="Q243">
        <v>0.73519999999999996</v>
      </c>
      <c r="R243">
        <v>60.9</v>
      </c>
      <c r="S243">
        <v>0.73540000000000005</v>
      </c>
      <c r="T243">
        <v>0.73409999999999997</v>
      </c>
    </row>
    <row r="244" spans="1:20">
      <c r="A244" t="s">
        <v>507</v>
      </c>
      <c r="N244">
        <v>24.2</v>
      </c>
      <c r="O244">
        <v>0.9083</v>
      </c>
      <c r="Q244">
        <v>0.73560000000000003</v>
      </c>
      <c r="R244">
        <v>60.8</v>
      </c>
      <c r="S244">
        <v>0.73580000000000001</v>
      </c>
      <c r="T244">
        <v>0.73450000000000004</v>
      </c>
    </row>
    <row r="245" spans="1:20">
      <c r="A245" t="s">
        <v>508</v>
      </c>
      <c r="N245">
        <v>24.3</v>
      </c>
      <c r="O245">
        <v>0.90769999999999995</v>
      </c>
      <c r="Q245">
        <v>0.73599999999999999</v>
      </c>
      <c r="R245">
        <v>60.7</v>
      </c>
      <c r="S245">
        <v>0.73619999999999997</v>
      </c>
      <c r="T245">
        <v>0.7349</v>
      </c>
    </row>
    <row r="246" spans="1:20">
      <c r="A246" t="s">
        <v>509</v>
      </c>
      <c r="N246">
        <v>24.4</v>
      </c>
      <c r="O246">
        <v>0.90710000000000002</v>
      </c>
      <c r="Q246">
        <v>0.73640000000000005</v>
      </c>
      <c r="R246">
        <v>60.6</v>
      </c>
      <c r="S246">
        <v>0.73660000000000003</v>
      </c>
      <c r="T246">
        <v>0.73529999999999995</v>
      </c>
    </row>
    <row r="247" spans="1:20">
      <c r="A247" t="s">
        <v>510</v>
      </c>
      <c r="N247">
        <v>24.5</v>
      </c>
      <c r="O247">
        <v>0.90649999999999997</v>
      </c>
      <c r="Q247">
        <v>0.73680000000000001</v>
      </c>
      <c r="R247">
        <v>60.5</v>
      </c>
      <c r="S247">
        <v>0.73699999999999999</v>
      </c>
      <c r="T247">
        <v>0.73570000000000002</v>
      </c>
    </row>
    <row r="248" spans="1:20">
      <c r="A248" t="s">
        <v>511</v>
      </c>
      <c r="N248">
        <v>24.6</v>
      </c>
      <c r="O248">
        <v>0.90600000000000003</v>
      </c>
      <c r="Q248">
        <v>0.73709999999999998</v>
      </c>
      <c r="R248">
        <v>60.4</v>
      </c>
      <c r="S248">
        <v>0.73740000000000006</v>
      </c>
      <c r="T248">
        <v>0.73599999999999999</v>
      </c>
    </row>
    <row r="249" spans="1:20">
      <c r="A249" t="s">
        <v>512</v>
      </c>
      <c r="N249">
        <v>24.7</v>
      </c>
      <c r="O249">
        <v>0.90539999999999998</v>
      </c>
      <c r="Q249">
        <v>0.73750000000000004</v>
      </c>
      <c r="R249">
        <v>60.3</v>
      </c>
      <c r="S249">
        <v>0.73770000000000002</v>
      </c>
      <c r="T249">
        <v>0.73640000000000005</v>
      </c>
    </row>
    <row r="250" spans="1:20">
      <c r="A250" t="s">
        <v>513</v>
      </c>
      <c r="N250">
        <v>24.8</v>
      </c>
      <c r="O250">
        <v>0.90480000000000005</v>
      </c>
      <c r="Q250">
        <v>0.7379</v>
      </c>
      <c r="R250">
        <v>60.2</v>
      </c>
      <c r="S250">
        <v>0.73809999999999998</v>
      </c>
      <c r="T250">
        <v>0.73680000000000001</v>
      </c>
    </row>
    <row r="251" spans="1:20">
      <c r="A251" t="s">
        <v>514</v>
      </c>
      <c r="N251">
        <v>24.9</v>
      </c>
      <c r="O251">
        <v>0.9042</v>
      </c>
      <c r="Q251">
        <v>0.73829999999999996</v>
      </c>
      <c r="R251">
        <v>60.1</v>
      </c>
      <c r="S251">
        <v>0.73850000000000005</v>
      </c>
      <c r="T251">
        <v>0.73719999999999997</v>
      </c>
    </row>
    <row r="252" spans="1:20">
      <c r="A252" t="s">
        <v>515</v>
      </c>
      <c r="N252">
        <v>25</v>
      </c>
      <c r="O252">
        <v>0.90359999999999996</v>
      </c>
      <c r="Q252">
        <v>0.73870000000000002</v>
      </c>
      <c r="R252">
        <v>60</v>
      </c>
      <c r="S252">
        <v>0.7389</v>
      </c>
      <c r="T252">
        <v>0.73760000000000003</v>
      </c>
    </row>
    <row r="253" spans="1:20">
      <c r="A253" t="s">
        <v>516</v>
      </c>
      <c r="N253">
        <v>25.1</v>
      </c>
      <c r="O253">
        <v>0.90310000000000001</v>
      </c>
      <c r="Q253">
        <v>0.73909999999999998</v>
      </c>
      <c r="R253">
        <v>59.9</v>
      </c>
      <c r="S253">
        <v>0.73929999999999996</v>
      </c>
      <c r="T253">
        <v>0.73799999999999999</v>
      </c>
    </row>
    <row r="254" spans="1:20">
      <c r="A254" t="s">
        <v>517</v>
      </c>
      <c r="N254">
        <v>25.2</v>
      </c>
      <c r="O254">
        <v>0.90249999999999997</v>
      </c>
      <c r="Q254">
        <v>0.73939999999999995</v>
      </c>
      <c r="R254">
        <v>59.8</v>
      </c>
      <c r="S254">
        <v>0.73970000000000002</v>
      </c>
      <c r="T254">
        <v>0.73829999999999996</v>
      </c>
    </row>
    <row r="255" spans="1:20">
      <c r="A255" t="s">
        <v>518</v>
      </c>
      <c r="N255">
        <v>25.3</v>
      </c>
      <c r="O255">
        <v>0.90190000000000003</v>
      </c>
      <c r="Q255">
        <v>0.73980000000000001</v>
      </c>
      <c r="R255">
        <v>59.7</v>
      </c>
      <c r="S255">
        <v>0.74009999999999998</v>
      </c>
      <c r="T255">
        <v>0.73870000000000002</v>
      </c>
    </row>
    <row r="256" spans="1:20">
      <c r="A256" t="s">
        <v>519</v>
      </c>
      <c r="N256">
        <v>25.4</v>
      </c>
      <c r="O256">
        <v>0.90129999999999999</v>
      </c>
      <c r="Q256">
        <v>0.74019999999999997</v>
      </c>
      <c r="R256">
        <v>59.6</v>
      </c>
      <c r="S256">
        <v>0.74050000000000005</v>
      </c>
      <c r="T256">
        <v>0.73909999999999998</v>
      </c>
    </row>
    <row r="257" spans="1:20">
      <c r="A257" t="s">
        <v>520</v>
      </c>
      <c r="N257">
        <v>25.5</v>
      </c>
      <c r="O257">
        <v>0.90080000000000005</v>
      </c>
      <c r="Q257">
        <v>0.74060000000000004</v>
      </c>
      <c r="R257">
        <v>59.5</v>
      </c>
      <c r="S257">
        <v>0.74080000000000001</v>
      </c>
      <c r="T257">
        <v>0.73950000000000005</v>
      </c>
    </row>
    <row r="258" spans="1:20">
      <c r="A258" t="s">
        <v>521</v>
      </c>
      <c r="N258">
        <v>25.6</v>
      </c>
      <c r="O258">
        <v>0.9002</v>
      </c>
      <c r="Q258">
        <v>0.74099999999999999</v>
      </c>
      <c r="R258">
        <v>59.4</v>
      </c>
      <c r="S258">
        <v>0.74119999999999997</v>
      </c>
      <c r="T258">
        <v>0.7399</v>
      </c>
    </row>
    <row r="259" spans="1:20">
      <c r="A259" t="s">
        <v>522</v>
      </c>
      <c r="N259">
        <v>25.7</v>
      </c>
      <c r="O259">
        <v>0.89959999999999996</v>
      </c>
      <c r="Q259">
        <v>0.74139999999999995</v>
      </c>
      <c r="R259">
        <v>59.3</v>
      </c>
      <c r="S259">
        <v>0.74160000000000004</v>
      </c>
      <c r="T259">
        <v>0.74029999999999996</v>
      </c>
    </row>
    <row r="260" spans="1:20">
      <c r="A260" t="s">
        <v>523</v>
      </c>
      <c r="N260">
        <v>25.8</v>
      </c>
      <c r="O260">
        <v>0.89910000000000001</v>
      </c>
      <c r="Q260">
        <v>0.74180000000000001</v>
      </c>
      <c r="R260">
        <v>59.2</v>
      </c>
      <c r="S260">
        <v>0.74199999999999999</v>
      </c>
      <c r="T260">
        <v>0.74070000000000003</v>
      </c>
    </row>
    <row r="261" spans="1:20">
      <c r="A261" t="s">
        <v>524</v>
      </c>
      <c r="N261">
        <v>25.9</v>
      </c>
      <c r="O261">
        <v>0.89849999999999997</v>
      </c>
      <c r="Q261">
        <v>0.74219999999999997</v>
      </c>
      <c r="R261">
        <v>59.1</v>
      </c>
      <c r="S261">
        <v>0.74239999999999995</v>
      </c>
      <c r="T261">
        <v>0.74109999999999998</v>
      </c>
    </row>
    <row r="262" spans="1:20">
      <c r="A262" t="s">
        <v>525</v>
      </c>
      <c r="N262">
        <v>26</v>
      </c>
      <c r="O262">
        <v>0.89790000000000003</v>
      </c>
      <c r="Q262">
        <v>0.74260000000000004</v>
      </c>
      <c r="R262">
        <v>59</v>
      </c>
      <c r="S262">
        <v>0.74280000000000002</v>
      </c>
      <c r="T262">
        <v>0.74150000000000005</v>
      </c>
    </row>
    <row r="263" spans="1:20">
      <c r="A263" t="s">
        <v>526</v>
      </c>
      <c r="N263">
        <v>26.1</v>
      </c>
      <c r="O263">
        <v>0.89729999999999999</v>
      </c>
      <c r="Q263">
        <v>0.7429</v>
      </c>
      <c r="R263">
        <v>58.9</v>
      </c>
      <c r="S263">
        <v>0.74319999999999997</v>
      </c>
      <c r="T263">
        <v>0.74180000000000001</v>
      </c>
    </row>
    <row r="264" spans="1:20">
      <c r="A264" t="s">
        <v>527</v>
      </c>
      <c r="N264">
        <v>26.2</v>
      </c>
      <c r="O264">
        <v>0.89680000000000004</v>
      </c>
      <c r="Q264">
        <v>0.74329999999999996</v>
      </c>
      <c r="R264">
        <v>58.8</v>
      </c>
      <c r="S264">
        <v>0.74360000000000004</v>
      </c>
      <c r="T264">
        <v>0.74219999999999997</v>
      </c>
    </row>
    <row r="265" spans="1:20">
      <c r="A265" t="s">
        <v>528</v>
      </c>
      <c r="N265">
        <v>26.3</v>
      </c>
      <c r="O265">
        <v>0.8962</v>
      </c>
      <c r="Q265">
        <v>0.74370000000000003</v>
      </c>
      <c r="R265">
        <v>58.7</v>
      </c>
      <c r="S265">
        <v>0.74399999999999999</v>
      </c>
      <c r="T265">
        <v>0.74260000000000004</v>
      </c>
    </row>
    <row r="266" spans="1:20">
      <c r="A266" t="s">
        <v>529</v>
      </c>
      <c r="N266">
        <v>26.4</v>
      </c>
      <c r="O266">
        <v>0.89559999999999995</v>
      </c>
      <c r="Q266">
        <v>0.74409999999999998</v>
      </c>
      <c r="R266">
        <v>58.6</v>
      </c>
      <c r="S266">
        <v>0.74429999999999996</v>
      </c>
      <c r="T266">
        <v>0.74299999999999999</v>
      </c>
    </row>
    <row r="267" spans="1:20">
      <c r="A267" t="s">
        <v>530</v>
      </c>
      <c r="N267">
        <v>26.5</v>
      </c>
      <c r="O267">
        <v>0.89510000000000001</v>
      </c>
      <c r="Q267">
        <v>0.74450000000000005</v>
      </c>
      <c r="R267">
        <v>58.5</v>
      </c>
      <c r="S267">
        <v>0.74470000000000003</v>
      </c>
      <c r="T267">
        <v>0.74339999999999995</v>
      </c>
    </row>
    <row r="268" spans="1:20">
      <c r="A268" t="s">
        <v>531</v>
      </c>
      <c r="N268">
        <v>26.6</v>
      </c>
      <c r="O268">
        <v>0.89449999999999996</v>
      </c>
      <c r="Q268">
        <v>0.74490000000000001</v>
      </c>
      <c r="R268">
        <v>58.4</v>
      </c>
      <c r="S268">
        <v>0.74509999999999998</v>
      </c>
      <c r="T268">
        <v>0.74380000000000002</v>
      </c>
    </row>
    <row r="269" spans="1:20">
      <c r="A269" t="s">
        <v>532</v>
      </c>
      <c r="N269">
        <v>26.7</v>
      </c>
      <c r="O269">
        <v>0.89390000000000003</v>
      </c>
      <c r="Q269">
        <v>0.74529999999999996</v>
      </c>
      <c r="R269">
        <v>58.3</v>
      </c>
      <c r="S269">
        <v>0.74550000000000005</v>
      </c>
      <c r="T269">
        <v>0.74419999999999997</v>
      </c>
    </row>
    <row r="270" spans="1:20">
      <c r="A270" t="s">
        <v>533</v>
      </c>
      <c r="N270">
        <v>26.8</v>
      </c>
      <c r="O270">
        <v>0.89339999999999997</v>
      </c>
      <c r="Q270">
        <v>0.74570000000000003</v>
      </c>
      <c r="R270">
        <v>58.2</v>
      </c>
      <c r="S270">
        <v>0.74590000000000001</v>
      </c>
      <c r="T270">
        <v>0.74460000000000004</v>
      </c>
    </row>
    <row r="271" spans="1:20">
      <c r="A271" t="s">
        <v>524</v>
      </c>
      <c r="N271">
        <v>26.9</v>
      </c>
      <c r="O271">
        <v>0.89280000000000004</v>
      </c>
      <c r="Q271">
        <v>0.74609999999999999</v>
      </c>
      <c r="R271">
        <v>58.1</v>
      </c>
      <c r="S271">
        <v>0.74629999999999996</v>
      </c>
      <c r="T271">
        <v>0.745</v>
      </c>
    </row>
    <row r="272" spans="1:20">
      <c r="A272" t="s">
        <v>525</v>
      </c>
      <c r="N272">
        <v>27</v>
      </c>
      <c r="O272">
        <v>0.89219999999999999</v>
      </c>
      <c r="Q272">
        <v>0.74650000000000005</v>
      </c>
      <c r="R272">
        <v>58</v>
      </c>
      <c r="S272">
        <v>0.74670000000000003</v>
      </c>
      <c r="T272">
        <v>0.74539999999999995</v>
      </c>
    </row>
    <row r="273" spans="1:20">
      <c r="A273" t="s">
        <v>526</v>
      </c>
      <c r="N273">
        <v>27.1</v>
      </c>
      <c r="O273">
        <v>0.89170000000000005</v>
      </c>
      <c r="Q273">
        <v>0.74690000000000001</v>
      </c>
      <c r="R273">
        <v>57.9</v>
      </c>
      <c r="S273">
        <v>0.74709999999999999</v>
      </c>
      <c r="T273">
        <v>0.74580000000000002</v>
      </c>
    </row>
    <row r="274" spans="1:20">
      <c r="A274" t="s">
        <v>527</v>
      </c>
      <c r="N274">
        <v>27.2</v>
      </c>
      <c r="O274">
        <v>0.8911</v>
      </c>
      <c r="Q274">
        <v>0.74729999999999996</v>
      </c>
      <c r="R274">
        <v>57.8</v>
      </c>
      <c r="S274">
        <v>0.74750000000000005</v>
      </c>
      <c r="T274">
        <v>0.74619999999999997</v>
      </c>
    </row>
    <row r="275" spans="1:20">
      <c r="A275" t="s">
        <v>528</v>
      </c>
      <c r="N275">
        <v>27.3</v>
      </c>
      <c r="O275">
        <v>0.89059999999999995</v>
      </c>
      <c r="Q275">
        <v>0.74760000000000004</v>
      </c>
      <c r="R275">
        <v>57.7</v>
      </c>
      <c r="S275">
        <v>0.74790000000000001</v>
      </c>
      <c r="T275">
        <v>0.74650000000000005</v>
      </c>
    </row>
    <row r="276" spans="1:20">
      <c r="A276" t="s">
        <v>529</v>
      </c>
      <c r="N276">
        <v>27.4</v>
      </c>
      <c r="O276">
        <v>0.89</v>
      </c>
      <c r="Q276">
        <v>0.748</v>
      </c>
      <c r="R276">
        <v>57.6</v>
      </c>
      <c r="S276">
        <v>0.74829999999999997</v>
      </c>
      <c r="T276">
        <v>0.74690000000000001</v>
      </c>
    </row>
    <row r="277" spans="1:20">
      <c r="A277" t="s">
        <v>530</v>
      </c>
      <c r="N277">
        <v>27.5</v>
      </c>
      <c r="O277">
        <v>0.88939999999999997</v>
      </c>
      <c r="Q277">
        <v>0.74839999999999995</v>
      </c>
      <c r="R277">
        <v>57.5</v>
      </c>
      <c r="S277">
        <v>0.74870000000000003</v>
      </c>
      <c r="T277">
        <v>0.74729999999999996</v>
      </c>
    </row>
    <row r="278" spans="1:20">
      <c r="A278" t="s">
        <v>531</v>
      </c>
      <c r="N278">
        <v>27.6</v>
      </c>
      <c r="O278">
        <v>0.88890000000000002</v>
      </c>
      <c r="Q278">
        <v>0.74880000000000002</v>
      </c>
      <c r="R278">
        <v>57.4</v>
      </c>
      <c r="S278">
        <v>0.74909999999999999</v>
      </c>
      <c r="T278">
        <v>0.74770000000000003</v>
      </c>
    </row>
    <row r="279" spans="1:20">
      <c r="A279" t="s">
        <v>532</v>
      </c>
      <c r="N279">
        <v>27.7</v>
      </c>
      <c r="O279">
        <v>0.88829999999999998</v>
      </c>
      <c r="Q279">
        <v>0.74919999999999998</v>
      </c>
      <c r="R279">
        <v>57.3</v>
      </c>
      <c r="S279">
        <v>0.74950000000000006</v>
      </c>
      <c r="T279">
        <v>0.74809999999999999</v>
      </c>
    </row>
    <row r="280" spans="1:20">
      <c r="A280" t="s">
        <v>533</v>
      </c>
      <c r="N280">
        <v>27.8</v>
      </c>
      <c r="O280">
        <v>0.88780000000000003</v>
      </c>
      <c r="Q280">
        <v>0.74960000000000004</v>
      </c>
      <c r="R280">
        <v>57.2</v>
      </c>
      <c r="S280">
        <v>0.74990000000000001</v>
      </c>
      <c r="T280">
        <v>0.74850000000000005</v>
      </c>
    </row>
    <row r="281" spans="1:20">
      <c r="A281" t="s">
        <v>534</v>
      </c>
      <c r="N281">
        <v>27.9</v>
      </c>
      <c r="O281">
        <v>0.88719999999999999</v>
      </c>
      <c r="Q281">
        <v>0.75</v>
      </c>
      <c r="R281">
        <v>57.1</v>
      </c>
      <c r="S281">
        <v>0.75029999999999997</v>
      </c>
      <c r="T281">
        <v>0.74890000000000001</v>
      </c>
    </row>
    <row r="282" spans="1:20">
      <c r="A282" t="s">
        <v>535</v>
      </c>
      <c r="N282">
        <v>28</v>
      </c>
      <c r="O282">
        <v>0.88670000000000004</v>
      </c>
      <c r="Q282">
        <v>0.75039999999999996</v>
      </c>
      <c r="R282">
        <v>57</v>
      </c>
      <c r="S282">
        <v>0.75070000000000003</v>
      </c>
      <c r="T282">
        <v>0.74929999999999997</v>
      </c>
    </row>
    <row r="283" spans="1:20">
      <c r="A283" t="s">
        <v>536</v>
      </c>
      <c r="N283">
        <v>28.1</v>
      </c>
      <c r="O283">
        <v>0.8861</v>
      </c>
      <c r="Q283">
        <v>0.75080000000000002</v>
      </c>
      <c r="R283">
        <v>56.9</v>
      </c>
      <c r="S283">
        <v>0.75109999999999999</v>
      </c>
      <c r="T283">
        <v>0.74970000000000003</v>
      </c>
    </row>
    <row r="284" spans="1:20">
      <c r="A284" t="s">
        <v>537</v>
      </c>
      <c r="N284">
        <v>28.2</v>
      </c>
      <c r="O284">
        <v>0.88549999999999995</v>
      </c>
      <c r="Q284">
        <v>0.75119999999999998</v>
      </c>
      <c r="R284">
        <v>56.8</v>
      </c>
      <c r="S284">
        <v>0.75149999999999995</v>
      </c>
      <c r="T284">
        <v>0.75009999999999999</v>
      </c>
    </row>
    <row r="285" spans="1:20">
      <c r="A285" t="s">
        <v>538</v>
      </c>
      <c r="N285">
        <v>28.3</v>
      </c>
      <c r="O285">
        <v>0.88500000000000001</v>
      </c>
      <c r="Q285">
        <v>0.75160000000000005</v>
      </c>
      <c r="R285">
        <v>56.7</v>
      </c>
      <c r="S285">
        <v>0.75190000000000001</v>
      </c>
      <c r="T285">
        <v>0.75049999999999994</v>
      </c>
    </row>
    <row r="286" spans="1:20">
      <c r="A286" t="s">
        <v>539</v>
      </c>
      <c r="N286">
        <v>28.4</v>
      </c>
      <c r="O286">
        <v>0.88439999999999996</v>
      </c>
      <c r="Q286">
        <v>0.752</v>
      </c>
      <c r="R286">
        <v>56.6</v>
      </c>
      <c r="S286">
        <v>0.75229999999999997</v>
      </c>
      <c r="T286">
        <v>0.75090000000000001</v>
      </c>
    </row>
    <row r="287" spans="1:20">
      <c r="A287" t="s">
        <v>540</v>
      </c>
      <c r="N287">
        <v>28.5</v>
      </c>
      <c r="O287">
        <v>0.88390000000000002</v>
      </c>
      <c r="Q287">
        <v>0.75239999999999996</v>
      </c>
      <c r="R287">
        <v>56.5</v>
      </c>
      <c r="S287">
        <v>0.75270000000000004</v>
      </c>
      <c r="T287">
        <v>0.75129999999999997</v>
      </c>
    </row>
    <row r="288" spans="1:20">
      <c r="A288" t="s">
        <v>541</v>
      </c>
      <c r="N288">
        <v>28.6</v>
      </c>
      <c r="O288">
        <v>0.88329999999999997</v>
      </c>
      <c r="Q288">
        <v>0.75280000000000002</v>
      </c>
      <c r="R288">
        <v>56.4</v>
      </c>
      <c r="S288">
        <v>0.75309999999999999</v>
      </c>
      <c r="T288">
        <v>0.75170000000000003</v>
      </c>
    </row>
    <row r="289" spans="1:20">
      <c r="A289" t="s">
        <v>542</v>
      </c>
      <c r="N289">
        <v>28.7</v>
      </c>
      <c r="O289">
        <v>0.88280000000000003</v>
      </c>
      <c r="Q289">
        <v>0.75319999999999998</v>
      </c>
      <c r="R289">
        <v>56.3</v>
      </c>
      <c r="S289">
        <v>0.75349999999999995</v>
      </c>
      <c r="T289">
        <v>0.75209999999999999</v>
      </c>
    </row>
    <row r="290" spans="1:20">
      <c r="A290" t="s">
        <v>543</v>
      </c>
      <c r="N290">
        <v>28.8</v>
      </c>
      <c r="O290">
        <v>0.88219999999999998</v>
      </c>
      <c r="Q290">
        <v>0.75360000000000005</v>
      </c>
      <c r="R290">
        <v>56.2</v>
      </c>
      <c r="S290">
        <v>0.75390000000000001</v>
      </c>
      <c r="T290">
        <v>0.75249999999999995</v>
      </c>
    </row>
    <row r="291" spans="1:20">
      <c r="A291" t="s">
        <v>544</v>
      </c>
      <c r="N291">
        <v>28.9</v>
      </c>
      <c r="O291">
        <v>0.88170000000000004</v>
      </c>
      <c r="Q291">
        <v>0.754</v>
      </c>
      <c r="R291">
        <v>56.1</v>
      </c>
      <c r="S291">
        <v>0.75429999999999997</v>
      </c>
      <c r="T291">
        <v>0.75290000000000001</v>
      </c>
    </row>
    <row r="292" spans="1:20">
      <c r="A292" t="s">
        <v>545</v>
      </c>
      <c r="N292">
        <v>29</v>
      </c>
      <c r="O292">
        <v>0.88109999999999999</v>
      </c>
      <c r="Q292">
        <v>0.75439999999999996</v>
      </c>
      <c r="R292">
        <v>56</v>
      </c>
      <c r="S292">
        <v>0.75470000000000004</v>
      </c>
      <c r="T292">
        <v>0.75329999999999997</v>
      </c>
    </row>
    <row r="293" spans="1:20">
      <c r="A293" t="s">
        <v>546</v>
      </c>
      <c r="N293">
        <v>29.1</v>
      </c>
      <c r="O293">
        <v>0.88060000000000005</v>
      </c>
      <c r="Q293">
        <v>0.75480000000000003</v>
      </c>
      <c r="R293">
        <v>55.9</v>
      </c>
      <c r="S293">
        <v>0.75509999999999999</v>
      </c>
      <c r="T293">
        <v>0.75370000000000004</v>
      </c>
    </row>
    <row r="294" spans="1:20">
      <c r="A294" t="s">
        <v>547</v>
      </c>
      <c r="N294">
        <v>29.2</v>
      </c>
      <c r="O294">
        <v>0.88</v>
      </c>
      <c r="Q294">
        <v>0.75519999999999998</v>
      </c>
      <c r="R294">
        <v>55.8</v>
      </c>
      <c r="S294">
        <v>0.75549999999999995</v>
      </c>
      <c r="T294">
        <v>0.75409999999999999</v>
      </c>
    </row>
    <row r="295" spans="1:20">
      <c r="A295" t="s">
        <v>548</v>
      </c>
      <c r="N295">
        <v>29.3</v>
      </c>
      <c r="O295">
        <v>0.87949999999999995</v>
      </c>
      <c r="Q295">
        <v>0.75560000000000005</v>
      </c>
      <c r="R295">
        <v>55.7</v>
      </c>
      <c r="S295">
        <v>0.75590000000000002</v>
      </c>
      <c r="T295">
        <v>0.75449999999999995</v>
      </c>
    </row>
    <row r="296" spans="1:20">
      <c r="A296" t="s">
        <v>549</v>
      </c>
      <c r="N296">
        <v>29.4</v>
      </c>
      <c r="O296">
        <v>0.87890000000000001</v>
      </c>
      <c r="Q296">
        <v>0.75600000000000001</v>
      </c>
      <c r="R296">
        <v>55.6</v>
      </c>
      <c r="S296">
        <v>0.75629999999999997</v>
      </c>
      <c r="T296">
        <v>0.75490000000000002</v>
      </c>
    </row>
    <row r="297" spans="1:20">
      <c r="A297" t="s">
        <v>550</v>
      </c>
      <c r="N297">
        <v>29.5</v>
      </c>
      <c r="O297">
        <v>0.87839999999999996</v>
      </c>
      <c r="Q297">
        <v>0.75639999999999996</v>
      </c>
      <c r="R297">
        <v>55.5</v>
      </c>
      <c r="S297">
        <v>0.75670000000000004</v>
      </c>
      <c r="T297">
        <v>0.75529999999999997</v>
      </c>
    </row>
    <row r="298" spans="1:20">
      <c r="A298" t="s">
        <v>551</v>
      </c>
      <c r="N298">
        <v>29.6</v>
      </c>
      <c r="O298">
        <v>0.87790000000000001</v>
      </c>
      <c r="Q298">
        <v>0.75680000000000003</v>
      </c>
      <c r="R298">
        <v>55.4</v>
      </c>
      <c r="S298">
        <v>0.7571</v>
      </c>
      <c r="T298">
        <v>0.75570000000000004</v>
      </c>
    </row>
    <row r="299" spans="1:20">
      <c r="A299" t="s">
        <v>552</v>
      </c>
      <c r="N299">
        <v>29.7</v>
      </c>
      <c r="O299">
        <v>0.87729999999999997</v>
      </c>
      <c r="Q299">
        <v>0.75719999999999998</v>
      </c>
      <c r="R299">
        <v>55.3</v>
      </c>
      <c r="S299">
        <v>0.75749999999999995</v>
      </c>
      <c r="T299">
        <v>0.75609999999999999</v>
      </c>
    </row>
    <row r="300" spans="1:20">
      <c r="A300" t="s">
        <v>553</v>
      </c>
      <c r="N300">
        <v>29.8</v>
      </c>
      <c r="O300">
        <v>0.87680000000000002</v>
      </c>
      <c r="Q300">
        <v>0.75760000000000005</v>
      </c>
      <c r="R300">
        <v>55.2</v>
      </c>
      <c r="S300">
        <v>0.75790000000000002</v>
      </c>
      <c r="T300">
        <v>0.75649999999999995</v>
      </c>
    </row>
    <row r="301" spans="1:20">
      <c r="A301" t="s">
        <v>554</v>
      </c>
      <c r="N301">
        <v>29.9</v>
      </c>
      <c r="O301">
        <v>0.87619999999999998</v>
      </c>
      <c r="Q301">
        <v>0.7581</v>
      </c>
      <c r="R301">
        <v>55.1</v>
      </c>
      <c r="S301">
        <v>0.75829999999999997</v>
      </c>
      <c r="T301">
        <v>0.75700000000000001</v>
      </c>
    </row>
    <row r="302" spans="1:20">
      <c r="A302" t="s">
        <v>555</v>
      </c>
      <c r="N302">
        <v>30</v>
      </c>
      <c r="O302">
        <v>0.87570000000000003</v>
      </c>
      <c r="Q302">
        <v>0.75849999999999995</v>
      </c>
      <c r="R302">
        <v>55</v>
      </c>
      <c r="S302">
        <v>0.75870000000000004</v>
      </c>
      <c r="T302">
        <v>0.75739999999999996</v>
      </c>
    </row>
    <row r="303" spans="1:20">
      <c r="A303" t="s">
        <v>556</v>
      </c>
      <c r="N303">
        <v>30.1</v>
      </c>
      <c r="O303">
        <v>0.87509999999999999</v>
      </c>
      <c r="Q303">
        <v>0.75890000000000002</v>
      </c>
      <c r="R303">
        <v>54.9</v>
      </c>
      <c r="S303">
        <v>0.7591</v>
      </c>
      <c r="T303">
        <v>0.75780000000000003</v>
      </c>
    </row>
    <row r="304" spans="1:20">
      <c r="A304" t="s">
        <v>557</v>
      </c>
      <c r="N304">
        <v>30.2</v>
      </c>
      <c r="O304">
        <v>0.87460000000000004</v>
      </c>
      <c r="Q304">
        <v>0.75929999999999997</v>
      </c>
      <c r="R304">
        <v>54.8</v>
      </c>
      <c r="S304">
        <v>0.75949999999999995</v>
      </c>
      <c r="T304">
        <v>0.75819999999999999</v>
      </c>
    </row>
    <row r="305" spans="1:20">
      <c r="A305" t="s">
        <v>558</v>
      </c>
      <c r="N305">
        <v>30.3</v>
      </c>
      <c r="O305">
        <v>0.87409999999999999</v>
      </c>
      <c r="Q305">
        <v>0.75970000000000004</v>
      </c>
      <c r="R305">
        <v>54.7</v>
      </c>
      <c r="S305">
        <v>0.75990000000000002</v>
      </c>
      <c r="T305">
        <v>0.75860000000000005</v>
      </c>
    </row>
    <row r="306" spans="1:20">
      <c r="A306" t="s">
        <v>559</v>
      </c>
      <c r="N306">
        <v>30.4</v>
      </c>
      <c r="O306">
        <v>0.87350000000000005</v>
      </c>
      <c r="Q306">
        <v>0.7601</v>
      </c>
      <c r="R306">
        <v>54.6</v>
      </c>
      <c r="S306">
        <v>0.76029999999999998</v>
      </c>
      <c r="T306">
        <v>0.75900000000000001</v>
      </c>
    </row>
    <row r="307" spans="1:20">
      <c r="A307" t="s">
        <v>560</v>
      </c>
      <c r="N307">
        <v>30.5</v>
      </c>
      <c r="O307">
        <v>0.873</v>
      </c>
      <c r="Q307">
        <v>0.76049999999999995</v>
      </c>
      <c r="R307">
        <v>54.5</v>
      </c>
      <c r="S307">
        <v>0.76080000000000003</v>
      </c>
      <c r="T307">
        <v>0.75939999999999996</v>
      </c>
    </row>
    <row r="308" spans="1:20">
      <c r="A308" t="s">
        <v>561</v>
      </c>
      <c r="N308">
        <v>30.6</v>
      </c>
      <c r="O308">
        <v>0.87239999999999995</v>
      </c>
      <c r="Q308">
        <v>0.76090000000000002</v>
      </c>
      <c r="R308">
        <v>54.4</v>
      </c>
      <c r="S308">
        <v>0.76119999999999999</v>
      </c>
      <c r="T308">
        <v>0.75980000000000003</v>
      </c>
    </row>
    <row r="309" spans="1:20">
      <c r="A309" t="s">
        <v>562</v>
      </c>
      <c r="N309">
        <v>30.7</v>
      </c>
      <c r="O309">
        <v>0.87190000000000001</v>
      </c>
      <c r="Q309">
        <v>0.76129999999999998</v>
      </c>
      <c r="R309">
        <v>54.3</v>
      </c>
      <c r="S309">
        <v>0.76160000000000005</v>
      </c>
      <c r="T309">
        <v>0.76019999999999999</v>
      </c>
    </row>
    <row r="310" spans="1:20">
      <c r="A310" t="s">
        <v>563</v>
      </c>
      <c r="N310">
        <v>30.8</v>
      </c>
      <c r="O310">
        <v>0.87139999999999995</v>
      </c>
      <c r="Q310">
        <v>0.76170000000000004</v>
      </c>
      <c r="R310">
        <v>54.2</v>
      </c>
      <c r="S310">
        <v>0.76200000000000001</v>
      </c>
      <c r="T310">
        <v>0.76060000000000005</v>
      </c>
    </row>
    <row r="311" spans="1:20">
      <c r="A311" t="s">
        <v>564</v>
      </c>
      <c r="N311">
        <v>30.9</v>
      </c>
      <c r="O311">
        <v>0.87080000000000002</v>
      </c>
      <c r="Q311">
        <v>0.7621</v>
      </c>
      <c r="R311">
        <v>54.1</v>
      </c>
      <c r="S311">
        <v>0.76239999999999997</v>
      </c>
      <c r="T311">
        <v>0.76100000000000001</v>
      </c>
    </row>
    <row r="312" spans="1:20">
      <c r="A312" t="s">
        <v>565</v>
      </c>
      <c r="N312">
        <v>31</v>
      </c>
      <c r="O312">
        <v>0.87029999999999996</v>
      </c>
      <c r="Q312">
        <v>0.76249999999999996</v>
      </c>
      <c r="R312">
        <v>54</v>
      </c>
      <c r="S312">
        <v>0.76280000000000003</v>
      </c>
      <c r="T312">
        <v>0.76139999999999997</v>
      </c>
    </row>
    <row r="313" spans="1:20">
      <c r="A313" t="s">
        <v>566</v>
      </c>
      <c r="N313">
        <v>31.1</v>
      </c>
      <c r="O313">
        <v>0.86980000000000002</v>
      </c>
      <c r="Q313">
        <v>0.76300000000000001</v>
      </c>
      <c r="R313">
        <v>53.9</v>
      </c>
      <c r="S313">
        <v>0.76319999999999999</v>
      </c>
      <c r="T313">
        <v>0.76190000000000002</v>
      </c>
    </row>
    <row r="314" spans="1:20">
      <c r="A314" t="s">
        <v>567</v>
      </c>
      <c r="N314">
        <v>31.2</v>
      </c>
      <c r="O314">
        <v>0.86919999999999997</v>
      </c>
      <c r="Q314">
        <v>0.76339999999999997</v>
      </c>
      <c r="R314">
        <v>53.8</v>
      </c>
      <c r="S314">
        <v>0.76359999999999995</v>
      </c>
      <c r="T314">
        <v>0.76229999999999998</v>
      </c>
    </row>
    <row r="315" spans="1:20">
      <c r="A315" t="s">
        <v>568</v>
      </c>
      <c r="N315">
        <v>31.3</v>
      </c>
      <c r="O315">
        <v>0.86870000000000003</v>
      </c>
      <c r="Q315">
        <v>0.76380000000000003</v>
      </c>
      <c r="R315">
        <v>53.7</v>
      </c>
      <c r="S315">
        <v>0.76400000000000001</v>
      </c>
      <c r="T315">
        <v>0.76270000000000004</v>
      </c>
    </row>
    <row r="316" spans="1:20">
      <c r="A316" t="s">
        <v>569</v>
      </c>
      <c r="N316">
        <v>31.4</v>
      </c>
      <c r="O316">
        <v>0.86819999999999997</v>
      </c>
      <c r="Q316">
        <v>0.76419999999999999</v>
      </c>
      <c r="R316">
        <v>53.6</v>
      </c>
      <c r="S316">
        <v>0.76449999999999996</v>
      </c>
      <c r="T316">
        <v>0.7631</v>
      </c>
    </row>
    <row r="317" spans="1:20">
      <c r="A317" t="s">
        <v>570</v>
      </c>
      <c r="N317">
        <v>31.5</v>
      </c>
      <c r="O317">
        <v>0.86760000000000004</v>
      </c>
      <c r="Q317">
        <v>0.76459999999999995</v>
      </c>
      <c r="R317">
        <v>53.5</v>
      </c>
      <c r="S317">
        <v>0.76490000000000002</v>
      </c>
      <c r="T317">
        <v>0.76349999999999996</v>
      </c>
    </row>
    <row r="318" spans="1:20">
      <c r="A318" t="s">
        <v>571</v>
      </c>
      <c r="N318">
        <v>31.6</v>
      </c>
      <c r="O318">
        <v>0.86709999999999998</v>
      </c>
      <c r="Q318">
        <v>0.76500000000000001</v>
      </c>
      <c r="R318">
        <v>53.4</v>
      </c>
      <c r="S318">
        <v>0.76529999999999998</v>
      </c>
      <c r="T318">
        <v>0.76390000000000002</v>
      </c>
    </row>
    <row r="319" spans="1:20">
      <c r="A319" t="s">
        <v>572</v>
      </c>
      <c r="N319">
        <v>31.7</v>
      </c>
      <c r="O319">
        <v>0.86660000000000004</v>
      </c>
      <c r="Q319">
        <v>0.76539999999999997</v>
      </c>
      <c r="R319">
        <v>53.3</v>
      </c>
      <c r="S319">
        <v>0.76570000000000005</v>
      </c>
      <c r="T319">
        <v>0.76429999999999998</v>
      </c>
    </row>
    <row r="320" spans="1:20">
      <c r="A320" t="s">
        <v>573</v>
      </c>
      <c r="N320">
        <v>31.8</v>
      </c>
      <c r="O320">
        <v>0.86599999999999999</v>
      </c>
      <c r="Q320">
        <v>0.76580000000000004</v>
      </c>
      <c r="R320">
        <v>53.2</v>
      </c>
      <c r="S320">
        <v>0.7661</v>
      </c>
      <c r="T320">
        <v>0.76470000000000005</v>
      </c>
    </row>
    <row r="321" spans="1:20">
      <c r="A321" t="s">
        <v>574</v>
      </c>
      <c r="N321">
        <v>31.9</v>
      </c>
      <c r="O321">
        <v>0.86550000000000005</v>
      </c>
      <c r="Q321">
        <v>0.76629999999999998</v>
      </c>
      <c r="R321">
        <v>53.1</v>
      </c>
      <c r="S321">
        <v>0.76649999999999996</v>
      </c>
      <c r="T321">
        <v>0.76519999999999999</v>
      </c>
    </row>
    <row r="322" spans="1:20">
      <c r="A322" t="s">
        <v>575</v>
      </c>
      <c r="N322">
        <v>32</v>
      </c>
      <c r="O322">
        <v>0.86499999999999999</v>
      </c>
      <c r="Q322">
        <v>0.76670000000000005</v>
      </c>
      <c r="R322">
        <v>53</v>
      </c>
      <c r="S322">
        <v>0.76690000000000003</v>
      </c>
      <c r="T322">
        <v>0.76559999999999995</v>
      </c>
    </row>
    <row r="323" spans="1:20">
      <c r="A323" t="s">
        <v>576</v>
      </c>
      <c r="N323">
        <v>32.1</v>
      </c>
      <c r="O323">
        <v>0.86450000000000005</v>
      </c>
      <c r="Q323">
        <v>0.7671</v>
      </c>
      <c r="R323">
        <v>52.9</v>
      </c>
      <c r="S323">
        <v>0.76739999999999997</v>
      </c>
      <c r="T323">
        <v>0.76600000000000001</v>
      </c>
    </row>
    <row r="324" spans="1:20">
      <c r="A324" t="s">
        <v>577</v>
      </c>
      <c r="N324">
        <v>32.200000000000003</v>
      </c>
      <c r="O324">
        <v>0.8639</v>
      </c>
      <c r="Q324">
        <v>0.76749999999999996</v>
      </c>
      <c r="R324">
        <v>52.8</v>
      </c>
      <c r="S324">
        <v>0.76780000000000004</v>
      </c>
      <c r="T324">
        <v>0.76639999999999997</v>
      </c>
    </row>
    <row r="325" spans="1:20">
      <c r="A325" t="s">
        <v>578</v>
      </c>
      <c r="N325">
        <v>32.299999999999997</v>
      </c>
      <c r="O325">
        <v>0.86339999999999995</v>
      </c>
      <c r="Q325">
        <v>0.76790000000000003</v>
      </c>
      <c r="R325">
        <v>52.7</v>
      </c>
      <c r="S325">
        <v>0.76819999999999999</v>
      </c>
      <c r="T325">
        <v>0.76680000000000004</v>
      </c>
    </row>
    <row r="326" spans="1:20">
      <c r="A326" t="s">
        <v>579</v>
      </c>
      <c r="N326">
        <v>32.4</v>
      </c>
      <c r="O326">
        <v>0.8629</v>
      </c>
      <c r="Q326">
        <v>0.76829999999999998</v>
      </c>
      <c r="R326">
        <v>52.6</v>
      </c>
      <c r="S326">
        <v>0.76859999999999995</v>
      </c>
      <c r="T326">
        <v>0.76719999999999999</v>
      </c>
    </row>
    <row r="327" spans="1:20">
      <c r="A327" t="s">
        <v>580</v>
      </c>
      <c r="N327">
        <v>32.5</v>
      </c>
      <c r="O327">
        <v>0.86229999999999996</v>
      </c>
      <c r="Q327">
        <v>0.76880000000000004</v>
      </c>
      <c r="R327">
        <v>52.5</v>
      </c>
      <c r="S327">
        <v>0.76900000000000002</v>
      </c>
      <c r="T327">
        <v>0.76770000000000005</v>
      </c>
    </row>
    <row r="328" spans="1:20">
      <c r="A328" t="s">
        <v>581</v>
      </c>
      <c r="N328">
        <v>32.6</v>
      </c>
      <c r="O328">
        <v>0.86180000000000001</v>
      </c>
      <c r="Q328">
        <v>0.76919999999999999</v>
      </c>
      <c r="R328">
        <v>52.4</v>
      </c>
      <c r="S328">
        <v>0.76939999999999997</v>
      </c>
      <c r="T328">
        <v>0.7681</v>
      </c>
    </row>
    <row r="329" spans="1:20">
      <c r="A329" t="s">
        <v>582</v>
      </c>
      <c r="N329">
        <v>32.700000000000003</v>
      </c>
      <c r="O329">
        <v>0.86129999999999995</v>
      </c>
      <c r="Q329">
        <v>0.76959999999999995</v>
      </c>
      <c r="R329">
        <v>52.3</v>
      </c>
      <c r="S329">
        <v>0.76990000000000003</v>
      </c>
      <c r="T329">
        <v>0.76849999999999996</v>
      </c>
    </row>
    <row r="330" spans="1:20">
      <c r="A330" t="s">
        <v>583</v>
      </c>
      <c r="N330">
        <v>32.799999999999997</v>
      </c>
      <c r="O330">
        <v>0.86080000000000001</v>
      </c>
      <c r="Q330">
        <v>0.77</v>
      </c>
      <c r="R330">
        <v>52.2</v>
      </c>
      <c r="S330">
        <v>0.77029999999999998</v>
      </c>
      <c r="T330">
        <v>0.76890000000000003</v>
      </c>
    </row>
    <row r="331" spans="1:20">
      <c r="N331">
        <v>32.9</v>
      </c>
      <c r="O331">
        <v>0.86019999999999996</v>
      </c>
      <c r="Q331">
        <v>0.77039999999999997</v>
      </c>
      <c r="R331">
        <v>52.1</v>
      </c>
      <c r="S331">
        <v>0.77070000000000005</v>
      </c>
      <c r="T331">
        <v>0.76929999999999998</v>
      </c>
    </row>
    <row r="332" spans="1:20">
      <c r="N332">
        <v>33</v>
      </c>
      <c r="O332">
        <v>0.85970000000000002</v>
      </c>
      <c r="Q332">
        <v>0.77080000000000004</v>
      </c>
      <c r="R332">
        <v>52</v>
      </c>
      <c r="S332">
        <v>0.77110000000000001</v>
      </c>
      <c r="T332">
        <v>0.76970000000000005</v>
      </c>
    </row>
    <row r="333" spans="1:20">
      <c r="N333">
        <v>33.1</v>
      </c>
      <c r="O333">
        <v>0.85919999999999996</v>
      </c>
      <c r="Q333">
        <v>0.77129999999999999</v>
      </c>
      <c r="R333">
        <v>51.9</v>
      </c>
      <c r="S333">
        <v>0.77149999999999996</v>
      </c>
      <c r="T333">
        <v>0.7702</v>
      </c>
    </row>
    <row r="334" spans="1:20">
      <c r="N334">
        <v>33.200000000000003</v>
      </c>
      <c r="O334">
        <v>0.85870000000000002</v>
      </c>
      <c r="Q334">
        <v>0.77170000000000005</v>
      </c>
      <c r="R334">
        <v>51.8</v>
      </c>
      <c r="S334">
        <v>0.77200000000000002</v>
      </c>
      <c r="T334">
        <v>0.77059999999999995</v>
      </c>
    </row>
    <row r="335" spans="1:20">
      <c r="N335">
        <v>33.299999999999997</v>
      </c>
      <c r="O335">
        <v>0.85819999999999996</v>
      </c>
      <c r="Q335">
        <v>0.77210000000000001</v>
      </c>
      <c r="R335">
        <v>51.7</v>
      </c>
      <c r="S335">
        <v>0.77239999999999998</v>
      </c>
      <c r="T335">
        <v>0.77100000000000002</v>
      </c>
    </row>
    <row r="336" spans="1:20">
      <c r="N336">
        <v>33.4</v>
      </c>
      <c r="O336">
        <v>0.85760000000000003</v>
      </c>
      <c r="Q336">
        <v>0.77249999999999996</v>
      </c>
      <c r="R336">
        <v>51.6</v>
      </c>
      <c r="S336">
        <v>0.77280000000000004</v>
      </c>
      <c r="T336">
        <v>0.77139999999999997</v>
      </c>
    </row>
    <row r="337" spans="14:20">
      <c r="N337">
        <v>33.5</v>
      </c>
      <c r="O337">
        <v>0.85709999999999997</v>
      </c>
      <c r="Q337">
        <v>0.77290000000000003</v>
      </c>
      <c r="R337">
        <v>51.5</v>
      </c>
      <c r="S337">
        <v>0.7732</v>
      </c>
      <c r="T337">
        <v>0.77180000000000004</v>
      </c>
    </row>
    <row r="338" spans="14:20">
      <c r="N338">
        <v>33.6</v>
      </c>
      <c r="O338">
        <v>0.85660000000000003</v>
      </c>
      <c r="Q338">
        <v>0.77339999999999998</v>
      </c>
      <c r="R338">
        <v>51.4</v>
      </c>
      <c r="S338">
        <v>0.77359999999999995</v>
      </c>
      <c r="T338">
        <v>0.77229999999999999</v>
      </c>
    </row>
    <row r="339" spans="14:20">
      <c r="N339">
        <v>33.700000000000003</v>
      </c>
      <c r="O339">
        <v>0.85609999999999997</v>
      </c>
      <c r="Q339">
        <v>0.77380000000000004</v>
      </c>
      <c r="R339">
        <v>51.3</v>
      </c>
      <c r="S339">
        <v>0.77410000000000001</v>
      </c>
      <c r="T339">
        <v>0.77270000000000005</v>
      </c>
    </row>
    <row r="340" spans="14:20">
      <c r="N340">
        <v>33.799999999999997</v>
      </c>
      <c r="O340">
        <v>0.85560000000000003</v>
      </c>
      <c r="Q340">
        <v>0.7742</v>
      </c>
      <c r="R340">
        <v>51.2</v>
      </c>
      <c r="S340">
        <v>0.77449999999999997</v>
      </c>
      <c r="T340">
        <v>0.77310000000000001</v>
      </c>
    </row>
    <row r="341" spans="14:20">
      <c r="N341">
        <v>33.9</v>
      </c>
      <c r="O341">
        <v>0.85499999999999998</v>
      </c>
      <c r="Q341">
        <v>0.77459999999999996</v>
      </c>
      <c r="R341">
        <v>51.1</v>
      </c>
      <c r="S341">
        <v>0.77490000000000003</v>
      </c>
      <c r="T341">
        <v>0.77349999999999997</v>
      </c>
    </row>
    <row r="342" spans="14:20">
      <c r="N342">
        <v>34</v>
      </c>
      <c r="O342">
        <v>0.85450000000000004</v>
      </c>
      <c r="Q342">
        <v>0.77510000000000001</v>
      </c>
      <c r="R342">
        <v>51</v>
      </c>
      <c r="S342">
        <v>0.77529999999999999</v>
      </c>
      <c r="T342">
        <v>0.77400000000000002</v>
      </c>
    </row>
    <row r="343" spans="14:20">
      <c r="N343">
        <v>34.1</v>
      </c>
      <c r="O343">
        <v>0.85399999999999998</v>
      </c>
      <c r="Q343">
        <v>0.77549999999999997</v>
      </c>
      <c r="R343">
        <v>50.9</v>
      </c>
      <c r="S343">
        <v>0.77580000000000005</v>
      </c>
      <c r="T343">
        <v>0.77439999999999998</v>
      </c>
    </row>
    <row r="344" spans="14:20">
      <c r="N344">
        <v>34.200000000000003</v>
      </c>
      <c r="O344">
        <v>0.85350000000000004</v>
      </c>
      <c r="Q344">
        <v>0.77590000000000003</v>
      </c>
      <c r="R344">
        <v>50.8</v>
      </c>
      <c r="S344">
        <v>0.7762</v>
      </c>
      <c r="T344">
        <v>0.77480000000000004</v>
      </c>
    </row>
    <row r="345" spans="14:20">
      <c r="N345">
        <v>34.299999999999997</v>
      </c>
      <c r="O345">
        <v>0.85299999999999998</v>
      </c>
      <c r="Q345">
        <v>0.77629999999999999</v>
      </c>
      <c r="R345">
        <v>50.7</v>
      </c>
      <c r="S345">
        <v>0.77659999999999996</v>
      </c>
      <c r="T345">
        <v>0.7752</v>
      </c>
    </row>
    <row r="346" spans="14:20">
      <c r="N346">
        <v>34.4</v>
      </c>
      <c r="O346">
        <v>0.85250000000000004</v>
      </c>
      <c r="Q346">
        <v>0.77669999999999995</v>
      </c>
      <c r="R346">
        <v>50.6</v>
      </c>
      <c r="S346">
        <v>0.77700000000000002</v>
      </c>
      <c r="T346">
        <v>0.77559999999999996</v>
      </c>
    </row>
    <row r="347" spans="14:20">
      <c r="N347">
        <v>34.5</v>
      </c>
      <c r="O347">
        <v>0.85199999999999998</v>
      </c>
      <c r="Q347">
        <v>0.7772</v>
      </c>
      <c r="R347">
        <v>50.5</v>
      </c>
      <c r="S347">
        <v>0.77749999999999997</v>
      </c>
      <c r="T347">
        <v>0.77610000000000001</v>
      </c>
    </row>
    <row r="348" spans="14:20">
      <c r="N348">
        <v>34.6</v>
      </c>
      <c r="O348">
        <v>0.85140000000000005</v>
      </c>
      <c r="Q348">
        <v>0.77759999999999996</v>
      </c>
      <c r="R348">
        <v>50.4</v>
      </c>
      <c r="S348">
        <v>0.77790000000000004</v>
      </c>
      <c r="T348">
        <v>0.77649999999999997</v>
      </c>
    </row>
    <row r="349" spans="14:20">
      <c r="N349">
        <v>34.700000000000003</v>
      </c>
      <c r="O349">
        <v>0.85089999999999999</v>
      </c>
      <c r="Q349">
        <v>0.77800000000000002</v>
      </c>
      <c r="R349">
        <v>50.3</v>
      </c>
      <c r="S349">
        <v>0.77829999999999999</v>
      </c>
      <c r="T349">
        <v>0.77690000000000003</v>
      </c>
    </row>
    <row r="350" spans="14:20">
      <c r="N350">
        <v>34.799999999999997</v>
      </c>
      <c r="O350">
        <v>0.85040000000000004</v>
      </c>
      <c r="Q350">
        <v>0.77839999999999998</v>
      </c>
      <c r="R350">
        <v>50.2</v>
      </c>
      <c r="S350">
        <v>0.77880000000000005</v>
      </c>
      <c r="T350">
        <v>0.77729999999999999</v>
      </c>
    </row>
    <row r="351" spans="14:20">
      <c r="N351">
        <v>34.9</v>
      </c>
      <c r="O351">
        <v>0.84989999999999999</v>
      </c>
      <c r="Q351">
        <v>0.77890000000000004</v>
      </c>
      <c r="R351">
        <v>50.1</v>
      </c>
      <c r="S351">
        <v>0.7792</v>
      </c>
      <c r="T351">
        <v>0.77780000000000005</v>
      </c>
    </row>
    <row r="352" spans="14:20">
      <c r="N352">
        <v>35</v>
      </c>
      <c r="O352">
        <v>0.84940000000000004</v>
      </c>
      <c r="Q352">
        <v>0.77929999999999999</v>
      </c>
      <c r="R352">
        <v>50</v>
      </c>
      <c r="S352">
        <v>0.77959999999999996</v>
      </c>
      <c r="T352">
        <v>0.7782</v>
      </c>
    </row>
    <row r="353" spans="14:20">
      <c r="N353">
        <v>35.1</v>
      </c>
      <c r="O353">
        <v>0.84889999999999999</v>
      </c>
      <c r="Q353">
        <v>0.77969999999999995</v>
      </c>
      <c r="R353">
        <v>49.9</v>
      </c>
      <c r="S353">
        <v>0.78</v>
      </c>
      <c r="T353">
        <v>0.77859999999999996</v>
      </c>
    </row>
    <row r="354" spans="14:20">
      <c r="N354">
        <v>35.200000000000003</v>
      </c>
      <c r="O354">
        <v>0.84840000000000004</v>
      </c>
      <c r="Q354">
        <v>0.7802</v>
      </c>
      <c r="R354">
        <v>49.8</v>
      </c>
      <c r="S354">
        <v>0.78049999999999997</v>
      </c>
      <c r="T354">
        <v>0.77910000000000001</v>
      </c>
    </row>
    <row r="355" spans="14:20">
      <c r="N355">
        <v>35.299999999999997</v>
      </c>
      <c r="O355">
        <v>0.84789999999999999</v>
      </c>
      <c r="Q355">
        <v>0.78059999999999996</v>
      </c>
      <c r="R355">
        <v>49.7</v>
      </c>
      <c r="S355">
        <v>0.78090000000000004</v>
      </c>
      <c r="T355">
        <v>0.77949999999999997</v>
      </c>
    </row>
    <row r="356" spans="14:20">
      <c r="N356">
        <v>35.4</v>
      </c>
      <c r="O356">
        <v>0.84740000000000004</v>
      </c>
      <c r="Q356">
        <v>0.78100000000000003</v>
      </c>
      <c r="R356">
        <v>49.6</v>
      </c>
      <c r="S356">
        <v>0.78129999999999999</v>
      </c>
      <c r="T356">
        <v>0.77990000000000004</v>
      </c>
    </row>
    <row r="357" spans="14:20">
      <c r="N357">
        <v>35.5</v>
      </c>
      <c r="O357">
        <v>0.84689999999999999</v>
      </c>
      <c r="Q357">
        <v>0.78139999999999998</v>
      </c>
      <c r="R357">
        <v>49.5</v>
      </c>
      <c r="S357">
        <v>0.78180000000000005</v>
      </c>
      <c r="T357">
        <v>0.78029999999999999</v>
      </c>
    </row>
    <row r="358" spans="14:20">
      <c r="N358">
        <v>35.6</v>
      </c>
      <c r="O358">
        <v>0.84640000000000004</v>
      </c>
      <c r="Q358">
        <v>0.78190000000000004</v>
      </c>
      <c r="R358">
        <v>49.4</v>
      </c>
      <c r="S358">
        <v>0.78220000000000001</v>
      </c>
      <c r="T358">
        <v>0.78080000000000005</v>
      </c>
    </row>
    <row r="359" spans="14:20">
      <c r="N359">
        <v>35.700000000000003</v>
      </c>
      <c r="O359">
        <v>0.8458</v>
      </c>
      <c r="Q359">
        <v>0.7823</v>
      </c>
      <c r="R359">
        <v>49.3</v>
      </c>
      <c r="S359">
        <v>0.78259999999999996</v>
      </c>
      <c r="T359">
        <v>0.78120000000000001</v>
      </c>
    </row>
    <row r="360" spans="14:20">
      <c r="N360">
        <v>35.799999999999997</v>
      </c>
      <c r="O360">
        <v>0.84530000000000005</v>
      </c>
      <c r="Q360">
        <v>0.78269999999999995</v>
      </c>
      <c r="R360">
        <v>49.2</v>
      </c>
      <c r="S360">
        <v>0.78310000000000002</v>
      </c>
      <c r="T360">
        <v>0.78159999999999996</v>
      </c>
    </row>
    <row r="361" spans="14:20">
      <c r="N361">
        <v>35.9</v>
      </c>
      <c r="O361">
        <v>0.8448</v>
      </c>
      <c r="Q361">
        <v>0.78320000000000001</v>
      </c>
      <c r="R361">
        <v>49.1</v>
      </c>
      <c r="S361">
        <v>0.78349999999999997</v>
      </c>
      <c r="T361">
        <v>0.78210000000000002</v>
      </c>
    </row>
    <row r="362" spans="14:20">
      <c r="N362">
        <v>36</v>
      </c>
      <c r="O362">
        <v>0.84430000000000005</v>
      </c>
      <c r="Q362">
        <v>0.78359999999999996</v>
      </c>
      <c r="R362">
        <v>49</v>
      </c>
      <c r="S362">
        <v>0.78390000000000004</v>
      </c>
      <c r="T362">
        <v>0.78249999999999997</v>
      </c>
    </row>
    <row r="363" spans="14:20">
      <c r="N363">
        <v>36.1</v>
      </c>
      <c r="O363">
        <v>0.84379999999999999</v>
      </c>
      <c r="Q363">
        <v>0.78400000000000003</v>
      </c>
      <c r="R363">
        <v>48.9</v>
      </c>
      <c r="S363">
        <v>0.78439999999999999</v>
      </c>
      <c r="T363">
        <v>0.78290000000000004</v>
      </c>
    </row>
    <row r="364" spans="14:20">
      <c r="N364">
        <v>36.200000000000003</v>
      </c>
      <c r="O364">
        <v>0.84330000000000005</v>
      </c>
      <c r="Q364">
        <v>0.78449999999999998</v>
      </c>
      <c r="R364">
        <v>48.8</v>
      </c>
      <c r="S364">
        <v>0.78480000000000005</v>
      </c>
      <c r="T364">
        <v>0.78339999999999999</v>
      </c>
    </row>
    <row r="365" spans="14:20">
      <c r="N365">
        <v>36.299999999999997</v>
      </c>
      <c r="O365">
        <v>0.84279999999999999</v>
      </c>
      <c r="Q365">
        <v>0.78490000000000004</v>
      </c>
      <c r="R365">
        <v>48.7</v>
      </c>
      <c r="S365">
        <v>0.78520000000000001</v>
      </c>
      <c r="T365">
        <v>0.78380000000000005</v>
      </c>
    </row>
    <row r="366" spans="14:20">
      <c r="N366">
        <v>36.4</v>
      </c>
      <c r="O366">
        <v>0.84230000000000005</v>
      </c>
      <c r="Q366">
        <v>0.7853</v>
      </c>
      <c r="R366">
        <v>48.6</v>
      </c>
      <c r="S366">
        <v>0.78569999999999995</v>
      </c>
      <c r="T366">
        <v>0.78420000000000001</v>
      </c>
    </row>
    <row r="367" spans="14:20">
      <c r="N367">
        <v>36.5</v>
      </c>
      <c r="O367">
        <v>0.84179999999999999</v>
      </c>
      <c r="Q367">
        <v>0.78580000000000005</v>
      </c>
      <c r="R367">
        <v>48.5</v>
      </c>
      <c r="S367">
        <v>0.78610000000000002</v>
      </c>
      <c r="T367">
        <v>0.78469999999999995</v>
      </c>
    </row>
    <row r="368" spans="14:20">
      <c r="N368">
        <v>36.6</v>
      </c>
      <c r="O368">
        <v>0.84130000000000005</v>
      </c>
      <c r="Q368">
        <v>0.78620000000000001</v>
      </c>
      <c r="R368">
        <v>48.4</v>
      </c>
      <c r="S368">
        <v>0.78649999999999998</v>
      </c>
      <c r="T368">
        <v>0.78510000000000002</v>
      </c>
    </row>
    <row r="369" spans="14:20">
      <c r="N369">
        <v>36.700000000000003</v>
      </c>
      <c r="O369">
        <v>0.84079999999999999</v>
      </c>
      <c r="Q369">
        <v>0.78659999999999997</v>
      </c>
      <c r="R369">
        <v>48.3</v>
      </c>
      <c r="S369">
        <v>0.78700000000000003</v>
      </c>
      <c r="T369">
        <v>0.78549999999999998</v>
      </c>
    </row>
    <row r="370" spans="14:20">
      <c r="N370">
        <v>36.799999999999997</v>
      </c>
      <c r="O370">
        <v>0.84030000000000005</v>
      </c>
      <c r="Q370">
        <v>0.78710000000000002</v>
      </c>
      <c r="R370">
        <v>48.2</v>
      </c>
      <c r="S370">
        <v>0.78739999999999999</v>
      </c>
      <c r="T370">
        <v>0.78600000000000003</v>
      </c>
    </row>
    <row r="371" spans="14:20">
      <c r="N371">
        <v>36.9</v>
      </c>
      <c r="O371">
        <v>0.83979999999999999</v>
      </c>
      <c r="Q371">
        <v>0.78749999999999998</v>
      </c>
      <c r="R371">
        <v>48.1</v>
      </c>
      <c r="S371">
        <v>0.78790000000000004</v>
      </c>
      <c r="T371">
        <v>0.78639999999999999</v>
      </c>
    </row>
    <row r="372" spans="14:20">
      <c r="N372">
        <v>37</v>
      </c>
      <c r="O372">
        <v>0.83930000000000005</v>
      </c>
      <c r="Q372">
        <v>0.78790000000000004</v>
      </c>
      <c r="R372">
        <v>48</v>
      </c>
      <c r="S372">
        <v>0.7883</v>
      </c>
      <c r="T372">
        <v>0.78680000000000005</v>
      </c>
    </row>
    <row r="373" spans="14:20">
      <c r="N373">
        <v>37.1</v>
      </c>
      <c r="O373">
        <v>0.83879999999999999</v>
      </c>
      <c r="Q373">
        <v>0.78839999999999999</v>
      </c>
      <c r="R373">
        <v>47.9</v>
      </c>
      <c r="S373">
        <v>0.78869999999999996</v>
      </c>
      <c r="T373">
        <v>0.7873</v>
      </c>
    </row>
    <row r="374" spans="14:20">
      <c r="N374">
        <v>37.200000000000003</v>
      </c>
      <c r="O374">
        <v>0.83830000000000005</v>
      </c>
      <c r="Q374">
        <v>0.78879999999999995</v>
      </c>
      <c r="R374">
        <v>47.8</v>
      </c>
      <c r="S374">
        <v>0.78920000000000001</v>
      </c>
      <c r="T374">
        <v>0.78769999999999996</v>
      </c>
    </row>
    <row r="375" spans="14:20">
      <c r="N375">
        <v>37.299999999999997</v>
      </c>
      <c r="O375">
        <v>0.83779999999999999</v>
      </c>
      <c r="Q375">
        <v>0.7893</v>
      </c>
      <c r="R375">
        <v>47.7</v>
      </c>
      <c r="S375">
        <v>0.78959999999999997</v>
      </c>
      <c r="T375">
        <v>0.78820000000000001</v>
      </c>
    </row>
    <row r="376" spans="14:20">
      <c r="N376">
        <v>37.4</v>
      </c>
      <c r="O376">
        <v>0.83730000000000004</v>
      </c>
      <c r="Q376">
        <v>0.78969999999999996</v>
      </c>
      <c r="R376">
        <v>47.6</v>
      </c>
      <c r="S376">
        <v>0.79010000000000002</v>
      </c>
      <c r="T376">
        <v>0.78859999999999997</v>
      </c>
    </row>
    <row r="377" spans="14:20">
      <c r="N377">
        <v>37.5</v>
      </c>
      <c r="O377">
        <v>0.83679999999999999</v>
      </c>
      <c r="Q377">
        <v>0.79010000000000002</v>
      </c>
      <c r="R377">
        <v>47.5</v>
      </c>
      <c r="S377">
        <v>0.79049999999999998</v>
      </c>
      <c r="T377">
        <v>0.78900000000000003</v>
      </c>
    </row>
    <row r="378" spans="14:20">
      <c r="N378">
        <v>37.6</v>
      </c>
      <c r="O378">
        <v>0.83640000000000003</v>
      </c>
      <c r="Q378">
        <v>0.79059999999999997</v>
      </c>
      <c r="R378">
        <v>47.4</v>
      </c>
      <c r="S378">
        <v>0.79090000000000005</v>
      </c>
      <c r="T378">
        <v>0.78949999999999998</v>
      </c>
    </row>
    <row r="379" spans="14:20">
      <c r="N379">
        <v>37.700000000000003</v>
      </c>
      <c r="O379">
        <v>0.83589999999999998</v>
      </c>
      <c r="Q379">
        <v>0.79100000000000004</v>
      </c>
      <c r="R379">
        <v>47.3</v>
      </c>
      <c r="S379">
        <v>0.79139999999999999</v>
      </c>
      <c r="T379">
        <v>0.78990000000000005</v>
      </c>
    </row>
    <row r="380" spans="14:20">
      <c r="N380">
        <v>37.799999999999997</v>
      </c>
      <c r="O380">
        <v>0.83540000000000003</v>
      </c>
      <c r="Q380">
        <v>0.79149999999999998</v>
      </c>
      <c r="R380">
        <v>47.2</v>
      </c>
      <c r="S380">
        <v>0.79179999999999995</v>
      </c>
      <c r="T380">
        <v>0.79039999999999999</v>
      </c>
    </row>
    <row r="381" spans="14:20">
      <c r="N381">
        <v>37.9</v>
      </c>
      <c r="O381">
        <v>0.83489999999999998</v>
      </c>
      <c r="Q381">
        <v>0.79190000000000005</v>
      </c>
      <c r="R381">
        <v>47.1</v>
      </c>
      <c r="S381">
        <v>0.7923</v>
      </c>
      <c r="T381">
        <v>0.79079999999999995</v>
      </c>
    </row>
    <row r="382" spans="14:20">
      <c r="N382">
        <v>38</v>
      </c>
      <c r="O382">
        <v>0.83440000000000003</v>
      </c>
      <c r="Q382">
        <v>0.79239999999999999</v>
      </c>
      <c r="R382">
        <v>47</v>
      </c>
      <c r="S382">
        <v>0.79269999999999996</v>
      </c>
      <c r="T382">
        <v>0.7913</v>
      </c>
    </row>
    <row r="383" spans="14:20">
      <c r="N383">
        <v>38.1</v>
      </c>
      <c r="O383">
        <v>0.83389999999999997</v>
      </c>
      <c r="Q383">
        <v>0.79279999999999995</v>
      </c>
      <c r="R383">
        <v>46.9</v>
      </c>
      <c r="S383">
        <v>0.79320000000000002</v>
      </c>
      <c r="T383">
        <v>0.79169999999999996</v>
      </c>
    </row>
    <row r="384" spans="14:20">
      <c r="N384">
        <v>38.200000000000003</v>
      </c>
      <c r="O384">
        <v>0.83340000000000003</v>
      </c>
      <c r="Q384">
        <v>0.79320000000000002</v>
      </c>
      <c r="R384">
        <v>46.8</v>
      </c>
      <c r="S384">
        <v>0.79359999999999997</v>
      </c>
      <c r="T384">
        <v>0.79210000000000003</v>
      </c>
    </row>
    <row r="385" spans="14:20">
      <c r="N385">
        <v>38.299999999999997</v>
      </c>
      <c r="O385">
        <v>0.83289999999999997</v>
      </c>
      <c r="Q385">
        <v>0.79369999999999996</v>
      </c>
      <c r="R385">
        <v>46.7</v>
      </c>
      <c r="S385">
        <v>0.79410000000000003</v>
      </c>
      <c r="T385">
        <v>0.79259999999999997</v>
      </c>
    </row>
    <row r="386" spans="14:20">
      <c r="N386">
        <v>38.4</v>
      </c>
      <c r="O386">
        <v>0.83240000000000003</v>
      </c>
      <c r="Q386">
        <v>0.79410000000000003</v>
      </c>
      <c r="R386">
        <v>46.6</v>
      </c>
      <c r="S386">
        <v>0.79449999999999998</v>
      </c>
      <c r="T386">
        <v>0.79300000000000004</v>
      </c>
    </row>
    <row r="387" spans="14:20">
      <c r="N387">
        <v>38.5</v>
      </c>
      <c r="O387">
        <v>0.83189999999999997</v>
      </c>
      <c r="Q387">
        <v>0.79459999999999997</v>
      </c>
      <c r="R387">
        <v>46.5</v>
      </c>
      <c r="S387">
        <v>0.79490000000000005</v>
      </c>
      <c r="T387">
        <v>0.79349999999999998</v>
      </c>
    </row>
    <row r="388" spans="14:20">
      <c r="N388">
        <v>38.6</v>
      </c>
      <c r="O388">
        <v>0.83140000000000003</v>
      </c>
      <c r="Q388">
        <v>0.79500000000000004</v>
      </c>
      <c r="R388">
        <v>46.4</v>
      </c>
      <c r="S388">
        <v>0.7954</v>
      </c>
      <c r="T388">
        <v>0.79390000000000005</v>
      </c>
    </row>
    <row r="389" spans="14:20">
      <c r="N389">
        <v>38.700000000000003</v>
      </c>
      <c r="O389">
        <v>0.83099999999999996</v>
      </c>
      <c r="Q389">
        <v>0.79549999999999998</v>
      </c>
      <c r="R389">
        <v>46.3</v>
      </c>
      <c r="S389">
        <v>0.79579999999999995</v>
      </c>
      <c r="T389">
        <v>0.7944</v>
      </c>
    </row>
    <row r="390" spans="14:20">
      <c r="N390">
        <v>38.799999999999997</v>
      </c>
      <c r="O390">
        <v>0.83050000000000002</v>
      </c>
      <c r="Q390">
        <v>0.79590000000000005</v>
      </c>
      <c r="R390">
        <v>46.2</v>
      </c>
      <c r="S390">
        <v>0.79630000000000001</v>
      </c>
      <c r="T390">
        <v>0.79479999999999995</v>
      </c>
    </row>
    <row r="391" spans="14:20">
      <c r="N391">
        <v>38.9</v>
      </c>
      <c r="O391">
        <v>0.83</v>
      </c>
      <c r="Q391">
        <v>0.7964</v>
      </c>
      <c r="R391">
        <v>46.1</v>
      </c>
      <c r="S391">
        <v>0.79669999999999996</v>
      </c>
      <c r="T391">
        <v>0.79530000000000001</v>
      </c>
    </row>
    <row r="392" spans="14:20">
      <c r="N392">
        <v>39</v>
      </c>
      <c r="O392">
        <v>0.82950000000000002</v>
      </c>
      <c r="Q392">
        <v>0.79679999999999995</v>
      </c>
      <c r="R392">
        <v>46</v>
      </c>
      <c r="S392">
        <v>0.79720000000000002</v>
      </c>
      <c r="T392">
        <v>0.79569999999999996</v>
      </c>
    </row>
    <row r="393" spans="14:20">
      <c r="N393">
        <v>39.1</v>
      </c>
      <c r="O393">
        <v>0.82899999999999996</v>
      </c>
      <c r="Q393">
        <v>0.79730000000000001</v>
      </c>
      <c r="R393">
        <v>45.9</v>
      </c>
      <c r="S393">
        <v>0.79759999999999998</v>
      </c>
      <c r="T393">
        <v>0.79620000000000002</v>
      </c>
    </row>
    <row r="394" spans="14:20">
      <c r="N394">
        <v>39.200000000000003</v>
      </c>
      <c r="O394">
        <v>0.82850000000000001</v>
      </c>
      <c r="Q394">
        <v>0.79769999999999996</v>
      </c>
      <c r="R394">
        <v>45.8</v>
      </c>
      <c r="S394">
        <v>0.79810000000000003</v>
      </c>
      <c r="T394">
        <v>0.79659999999999997</v>
      </c>
    </row>
    <row r="395" spans="14:20">
      <c r="N395">
        <v>39.299999999999997</v>
      </c>
      <c r="O395">
        <v>0.82799999999999996</v>
      </c>
      <c r="Q395">
        <v>0.79820000000000002</v>
      </c>
      <c r="R395">
        <v>45.7</v>
      </c>
      <c r="S395">
        <v>0.79849999999999999</v>
      </c>
      <c r="T395">
        <v>0.79710000000000003</v>
      </c>
    </row>
    <row r="396" spans="14:20">
      <c r="N396">
        <v>39.4</v>
      </c>
      <c r="O396">
        <v>0.8276</v>
      </c>
      <c r="Q396">
        <v>0.79859999999999998</v>
      </c>
      <c r="R396">
        <v>45.6</v>
      </c>
      <c r="S396">
        <v>0.79900000000000004</v>
      </c>
      <c r="T396">
        <v>0.79749999999999999</v>
      </c>
    </row>
    <row r="397" spans="14:20">
      <c r="N397">
        <v>39.5</v>
      </c>
      <c r="O397">
        <v>0.82709999999999995</v>
      </c>
      <c r="Q397">
        <v>0.79910000000000003</v>
      </c>
      <c r="R397">
        <v>45.5</v>
      </c>
      <c r="S397">
        <v>0.7994</v>
      </c>
      <c r="T397">
        <v>0.79800000000000004</v>
      </c>
    </row>
    <row r="398" spans="14:20">
      <c r="N398">
        <v>39.6</v>
      </c>
      <c r="O398">
        <v>0.8266</v>
      </c>
      <c r="Q398">
        <v>0.79949999999999999</v>
      </c>
      <c r="R398">
        <v>45.4</v>
      </c>
      <c r="S398">
        <v>0.79990000000000006</v>
      </c>
      <c r="T398">
        <v>0.7984</v>
      </c>
    </row>
    <row r="399" spans="14:20">
      <c r="N399">
        <v>39.700000000000003</v>
      </c>
      <c r="O399">
        <v>0.82609999999999995</v>
      </c>
      <c r="Q399">
        <v>0.8</v>
      </c>
      <c r="R399">
        <v>45.3</v>
      </c>
      <c r="S399">
        <v>0.80030000000000001</v>
      </c>
      <c r="T399">
        <v>0.79890000000000005</v>
      </c>
    </row>
    <row r="400" spans="14:20">
      <c r="N400">
        <v>39.799999999999997</v>
      </c>
      <c r="O400">
        <v>0.8256</v>
      </c>
      <c r="Q400">
        <v>0.8004</v>
      </c>
      <c r="R400">
        <v>45.2</v>
      </c>
      <c r="S400">
        <v>0.80079999999999996</v>
      </c>
      <c r="T400">
        <v>0.79930000000000001</v>
      </c>
    </row>
    <row r="401" spans="14:20">
      <c r="N401">
        <v>39.9</v>
      </c>
      <c r="O401">
        <v>0.82509999999999994</v>
      </c>
      <c r="Q401">
        <v>0.80089999999999995</v>
      </c>
      <c r="R401">
        <v>45.1</v>
      </c>
      <c r="S401">
        <v>0.80120000000000002</v>
      </c>
      <c r="T401">
        <v>0.79979999999999996</v>
      </c>
    </row>
    <row r="402" spans="14:20">
      <c r="N402">
        <v>40</v>
      </c>
      <c r="O402">
        <v>0.82469999999999999</v>
      </c>
      <c r="Q402">
        <v>0.80130000000000001</v>
      </c>
      <c r="R402">
        <v>45</v>
      </c>
      <c r="S402">
        <v>0.80169999999999997</v>
      </c>
      <c r="T402">
        <v>0.80020000000000002</v>
      </c>
    </row>
    <row r="403" spans="14:20">
      <c r="N403">
        <v>40.1</v>
      </c>
      <c r="O403">
        <v>0.82420000000000004</v>
      </c>
      <c r="Q403">
        <v>0.80179999999999996</v>
      </c>
      <c r="R403">
        <v>44.9</v>
      </c>
      <c r="S403">
        <v>0.80220000000000002</v>
      </c>
      <c r="T403">
        <v>0.80069999999999997</v>
      </c>
    </row>
    <row r="404" spans="14:20">
      <c r="N404">
        <v>40.200000000000003</v>
      </c>
      <c r="O404">
        <v>0.82369999999999999</v>
      </c>
      <c r="Q404">
        <v>0.80220000000000002</v>
      </c>
      <c r="R404">
        <v>44.8</v>
      </c>
      <c r="S404">
        <v>0.80259999999999998</v>
      </c>
      <c r="T404">
        <v>0.80110000000000003</v>
      </c>
    </row>
    <row r="405" spans="14:20">
      <c r="N405">
        <v>40.299999999999997</v>
      </c>
      <c r="O405">
        <v>0.82320000000000004</v>
      </c>
      <c r="Q405">
        <v>0.80269999999999997</v>
      </c>
      <c r="R405">
        <v>44.7</v>
      </c>
      <c r="S405">
        <v>0.80310000000000004</v>
      </c>
      <c r="T405">
        <v>0.80159999999999998</v>
      </c>
    </row>
    <row r="406" spans="14:20">
      <c r="N406">
        <v>40.4</v>
      </c>
      <c r="O406">
        <v>0.82269999999999999</v>
      </c>
      <c r="Q406">
        <v>0.80310000000000004</v>
      </c>
      <c r="R406">
        <v>44.6</v>
      </c>
      <c r="S406">
        <v>0.80349999999999999</v>
      </c>
      <c r="T406">
        <v>0.80200000000000005</v>
      </c>
    </row>
    <row r="407" spans="14:20">
      <c r="N407">
        <v>40.5</v>
      </c>
      <c r="O407">
        <v>0.82230000000000003</v>
      </c>
      <c r="Q407">
        <v>0.80359999999999998</v>
      </c>
      <c r="R407">
        <v>44.5</v>
      </c>
      <c r="S407">
        <v>0.80400000000000005</v>
      </c>
      <c r="T407">
        <v>0.80249999999999999</v>
      </c>
    </row>
    <row r="408" spans="14:20">
      <c r="N408">
        <v>40.6</v>
      </c>
      <c r="O408">
        <v>0.82179999999999997</v>
      </c>
      <c r="Q408">
        <v>0.80410000000000004</v>
      </c>
      <c r="R408">
        <v>44.4</v>
      </c>
      <c r="S408">
        <v>0.8044</v>
      </c>
      <c r="T408">
        <v>0.80300000000000005</v>
      </c>
    </row>
    <row r="409" spans="14:20">
      <c r="N409">
        <v>40.700000000000003</v>
      </c>
      <c r="O409">
        <v>0.82130000000000003</v>
      </c>
      <c r="Q409">
        <v>0.80449999999999999</v>
      </c>
      <c r="R409">
        <v>44.3</v>
      </c>
      <c r="S409">
        <v>0.80489999999999995</v>
      </c>
      <c r="T409">
        <v>0.8034</v>
      </c>
    </row>
    <row r="410" spans="14:20">
      <c r="N410">
        <v>40.799999999999997</v>
      </c>
      <c r="O410">
        <v>0.82079999999999997</v>
      </c>
      <c r="Q410">
        <v>0.80500000000000005</v>
      </c>
      <c r="R410">
        <v>44.2</v>
      </c>
      <c r="S410">
        <v>0.8054</v>
      </c>
      <c r="T410">
        <v>0.80389999999999995</v>
      </c>
    </row>
    <row r="411" spans="14:20">
      <c r="N411">
        <v>40.9</v>
      </c>
      <c r="O411">
        <v>0.82040000000000002</v>
      </c>
      <c r="Q411">
        <v>0.8054</v>
      </c>
      <c r="R411">
        <v>44.1</v>
      </c>
      <c r="S411">
        <v>0.80579999999999996</v>
      </c>
      <c r="T411">
        <v>0.80430000000000001</v>
      </c>
    </row>
    <row r="412" spans="14:20">
      <c r="N412">
        <v>41</v>
      </c>
      <c r="O412">
        <v>0.81989999999999996</v>
      </c>
      <c r="Q412">
        <v>0.80589999999999995</v>
      </c>
      <c r="R412">
        <v>44</v>
      </c>
      <c r="S412">
        <v>0.80630000000000002</v>
      </c>
      <c r="T412">
        <v>0.80479999999999996</v>
      </c>
    </row>
    <row r="413" spans="14:20">
      <c r="N413">
        <v>41.1</v>
      </c>
      <c r="O413">
        <v>0.81940000000000002</v>
      </c>
      <c r="Q413">
        <v>0.80630000000000002</v>
      </c>
      <c r="R413">
        <v>43.9</v>
      </c>
      <c r="S413">
        <v>0.80669999999999997</v>
      </c>
      <c r="T413">
        <v>0.80520000000000003</v>
      </c>
    </row>
    <row r="414" spans="14:20">
      <c r="N414">
        <v>41.2</v>
      </c>
      <c r="O414">
        <v>0.81889999999999996</v>
      </c>
      <c r="Q414">
        <v>0.80679999999999996</v>
      </c>
      <c r="R414">
        <v>43.8</v>
      </c>
      <c r="S414">
        <v>0.80720000000000003</v>
      </c>
      <c r="T414">
        <v>0.80569999999999997</v>
      </c>
    </row>
    <row r="415" spans="14:20">
      <c r="N415">
        <v>41.3</v>
      </c>
      <c r="O415">
        <v>0.81850000000000001</v>
      </c>
      <c r="Q415">
        <v>0.80730000000000002</v>
      </c>
      <c r="R415">
        <v>43.7</v>
      </c>
      <c r="S415">
        <v>0.80759999999999998</v>
      </c>
      <c r="T415">
        <v>0.80620000000000003</v>
      </c>
    </row>
    <row r="416" spans="14:20">
      <c r="N416">
        <v>41.4</v>
      </c>
      <c r="O416">
        <v>0.81799999999999995</v>
      </c>
      <c r="Q416">
        <v>0.80769999999999997</v>
      </c>
      <c r="R416">
        <v>43.6</v>
      </c>
      <c r="S416">
        <v>0.80810000000000004</v>
      </c>
      <c r="T416">
        <v>0.80659999999999998</v>
      </c>
    </row>
    <row r="417" spans="14:20">
      <c r="N417">
        <v>41.5</v>
      </c>
      <c r="O417">
        <v>0.8175</v>
      </c>
      <c r="Q417">
        <v>0.80820000000000003</v>
      </c>
      <c r="R417">
        <v>43.5</v>
      </c>
      <c r="S417">
        <v>0.80859999999999999</v>
      </c>
      <c r="T417">
        <v>0.80710000000000004</v>
      </c>
    </row>
    <row r="418" spans="14:20">
      <c r="N418">
        <v>41.6</v>
      </c>
      <c r="O418">
        <v>0.81699999999999995</v>
      </c>
      <c r="Q418">
        <v>0.80859999999999999</v>
      </c>
      <c r="R418">
        <v>43.4</v>
      </c>
      <c r="S418">
        <v>0.80900000000000005</v>
      </c>
      <c r="T418">
        <v>0.8075</v>
      </c>
    </row>
    <row r="419" spans="14:20">
      <c r="N419">
        <v>41.7</v>
      </c>
      <c r="O419">
        <v>0.81659999999999999</v>
      </c>
      <c r="Q419">
        <v>0.80910000000000004</v>
      </c>
      <c r="R419">
        <v>43.3</v>
      </c>
      <c r="S419">
        <v>0.8095</v>
      </c>
      <c r="T419">
        <v>0.80800000000000005</v>
      </c>
    </row>
    <row r="420" spans="14:20">
      <c r="N420">
        <v>41.8</v>
      </c>
      <c r="O420">
        <v>0.81610000000000005</v>
      </c>
      <c r="Q420">
        <v>0.80959999999999999</v>
      </c>
      <c r="R420">
        <v>43.2</v>
      </c>
      <c r="S420">
        <v>0.81</v>
      </c>
      <c r="T420">
        <v>0.8085</v>
      </c>
    </row>
    <row r="421" spans="14:20">
      <c r="N421">
        <v>41.9</v>
      </c>
      <c r="O421">
        <v>0.81559999999999999</v>
      </c>
      <c r="Q421">
        <v>0.81</v>
      </c>
      <c r="R421">
        <v>43.1</v>
      </c>
      <c r="S421">
        <v>0.81040000000000001</v>
      </c>
      <c r="T421">
        <v>0.80889999999999995</v>
      </c>
    </row>
    <row r="422" spans="14:20">
      <c r="N422">
        <v>42</v>
      </c>
      <c r="O422">
        <v>0.81520000000000004</v>
      </c>
      <c r="Q422">
        <v>0.8105</v>
      </c>
      <c r="R422">
        <v>43</v>
      </c>
      <c r="S422">
        <v>0.81089999999999995</v>
      </c>
      <c r="T422">
        <v>0.80940000000000001</v>
      </c>
    </row>
    <row r="423" spans="14:20">
      <c r="N423">
        <v>42.1</v>
      </c>
      <c r="O423">
        <v>0.81469999999999998</v>
      </c>
      <c r="Q423">
        <v>0.81100000000000005</v>
      </c>
      <c r="R423">
        <v>42.9</v>
      </c>
      <c r="S423">
        <v>0.81140000000000001</v>
      </c>
      <c r="T423">
        <v>0.80989999999999995</v>
      </c>
    </row>
    <row r="424" spans="14:20">
      <c r="N424">
        <v>42.2</v>
      </c>
      <c r="O424">
        <v>0.81420000000000003</v>
      </c>
      <c r="Q424">
        <v>0.81140000000000001</v>
      </c>
      <c r="R424">
        <v>42.8</v>
      </c>
      <c r="S424">
        <v>0.81179999999999997</v>
      </c>
      <c r="T424">
        <v>0.81030000000000002</v>
      </c>
    </row>
    <row r="425" spans="14:20">
      <c r="N425">
        <v>42.3</v>
      </c>
      <c r="O425">
        <v>0.81379999999999997</v>
      </c>
      <c r="Q425">
        <v>0.81189999999999996</v>
      </c>
      <c r="R425">
        <v>42.7</v>
      </c>
      <c r="S425">
        <v>0.81230000000000002</v>
      </c>
      <c r="T425">
        <v>0.81079999999999997</v>
      </c>
    </row>
    <row r="426" spans="14:20">
      <c r="N426">
        <v>42.4</v>
      </c>
      <c r="O426">
        <v>0.81330000000000002</v>
      </c>
      <c r="Q426">
        <v>0.81240000000000001</v>
      </c>
      <c r="R426">
        <v>42.6</v>
      </c>
      <c r="S426">
        <v>0.81279999999999997</v>
      </c>
      <c r="T426">
        <v>0.81130000000000002</v>
      </c>
    </row>
    <row r="427" spans="14:20">
      <c r="N427">
        <v>42.5</v>
      </c>
      <c r="O427">
        <v>0.81279999999999997</v>
      </c>
      <c r="Q427">
        <v>0.81279999999999997</v>
      </c>
      <c r="R427">
        <v>42.5</v>
      </c>
      <c r="S427">
        <v>0.81320000000000003</v>
      </c>
      <c r="T427">
        <v>0.81169999999999998</v>
      </c>
    </row>
    <row r="428" spans="14:20">
      <c r="N428">
        <v>42.6</v>
      </c>
      <c r="O428">
        <v>0.81240000000000001</v>
      </c>
      <c r="Q428">
        <v>0.81330000000000002</v>
      </c>
      <c r="R428">
        <v>42.4</v>
      </c>
      <c r="S428">
        <v>0.81369999999999998</v>
      </c>
      <c r="T428">
        <v>0.81220000000000003</v>
      </c>
    </row>
    <row r="429" spans="14:20">
      <c r="N429">
        <v>42.7</v>
      </c>
      <c r="O429">
        <v>0.81189999999999996</v>
      </c>
      <c r="Q429">
        <v>0.81379999999999997</v>
      </c>
      <c r="R429">
        <v>42.3</v>
      </c>
      <c r="S429">
        <v>0.81420000000000003</v>
      </c>
      <c r="T429">
        <v>0.81269999999999998</v>
      </c>
    </row>
    <row r="430" spans="14:20">
      <c r="N430">
        <v>42.8</v>
      </c>
      <c r="O430">
        <v>0.81140000000000001</v>
      </c>
      <c r="Q430">
        <v>0.81420000000000003</v>
      </c>
      <c r="R430">
        <v>42.2</v>
      </c>
      <c r="S430">
        <v>0.81459999999999999</v>
      </c>
      <c r="T430">
        <v>0.81310000000000004</v>
      </c>
    </row>
    <row r="431" spans="14:20">
      <c r="N431">
        <v>42.9</v>
      </c>
      <c r="O431">
        <v>0.81100000000000005</v>
      </c>
      <c r="Q431">
        <v>0.81469999999999998</v>
      </c>
      <c r="R431">
        <v>42.1</v>
      </c>
      <c r="S431">
        <v>0.81510000000000005</v>
      </c>
      <c r="T431">
        <v>0.81359999999999999</v>
      </c>
    </row>
    <row r="432" spans="14:20">
      <c r="N432">
        <v>43</v>
      </c>
      <c r="O432">
        <v>0.8105</v>
      </c>
      <c r="Q432">
        <v>0.81520000000000004</v>
      </c>
      <c r="R432">
        <v>42</v>
      </c>
      <c r="S432">
        <v>0.81559999999999999</v>
      </c>
      <c r="T432">
        <v>0.81410000000000005</v>
      </c>
    </row>
    <row r="433" spans="14:20">
      <c r="N433">
        <v>43.1</v>
      </c>
      <c r="O433">
        <v>0.81</v>
      </c>
      <c r="Q433">
        <v>0.81559999999999999</v>
      </c>
      <c r="R433">
        <v>41.9</v>
      </c>
      <c r="S433">
        <v>0.81599999999999995</v>
      </c>
      <c r="T433">
        <v>0.8145</v>
      </c>
    </row>
    <row r="434" spans="14:20">
      <c r="N434">
        <v>43.2</v>
      </c>
      <c r="O434">
        <v>0.80959999999999999</v>
      </c>
      <c r="Q434">
        <v>0.81610000000000005</v>
      </c>
      <c r="R434">
        <v>41.8</v>
      </c>
      <c r="S434">
        <v>0.8165</v>
      </c>
      <c r="T434">
        <v>0.81499999999999995</v>
      </c>
    </row>
    <row r="435" spans="14:20">
      <c r="N435">
        <v>43.3</v>
      </c>
      <c r="O435">
        <v>0.80910000000000004</v>
      </c>
      <c r="Q435">
        <v>0.81659999999999999</v>
      </c>
      <c r="R435">
        <v>41.7</v>
      </c>
      <c r="S435">
        <v>0.81699999999999995</v>
      </c>
      <c r="T435">
        <v>0.8155</v>
      </c>
    </row>
    <row r="436" spans="14:20">
      <c r="N436">
        <v>43.4</v>
      </c>
      <c r="O436">
        <v>0.80859999999999999</v>
      </c>
      <c r="Q436">
        <v>0.81699999999999995</v>
      </c>
      <c r="R436">
        <v>41.6</v>
      </c>
      <c r="S436">
        <v>0.81740000000000002</v>
      </c>
      <c r="T436">
        <v>0.81589999999999996</v>
      </c>
    </row>
    <row r="437" spans="14:20">
      <c r="N437">
        <v>43.5</v>
      </c>
      <c r="O437">
        <v>0.80820000000000003</v>
      </c>
      <c r="Q437">
        <v>0.8175</v>
      </c>
      <c r="R437">
        <v>41.5</v>
      </c>
      <c r="S437">
        <v>0.81789999999999996</v>
      </c>
      <c r="T437">
        <v>0.81640000000000001</v>
      </c>
    </row>
    <row r="438" spans="14:20">
      <c r="N438">
        <v>43.6</v>
      </c>
      <c r="O438">
        <v>0.80769999999999997</v>
      </c>
      <c r="Q438">
        <v>0.81799999999999995</v>
      </c>
      <c r="R438">
        <v>41.4</v>
      </c>
      <c r="S438">
        <v>0.81840000000000002</v>
      </c>
      <c r="T438">
        <v>0.81689999999999996</v>
      </c>
    </row>
    <row r="439" spans="14:20">
      <c r="N439">
        <v>43.7</v>
      </c>
      <c r="O439">
        <v>0.80730000000000002</v>
      </c>
      <c r="Q439">
        <v>0.81850000000000001</v>
      </c>
      <c r="R439">
        <v>41.3</v>
      </c>
      <c r="S439">
        <v>0.81889999999999996</v>
      </c>
      <c r="T439">
        <v>0.81740000000000002</v>
      </c>
    </row>
    <row r="440" spans="14:20">
      <c r="N440">
        <v>43.8</v>
      </c>
      <c r="O440">
        <v>0.80679999999999996</v>
      </c>
      <c r="Q440">
        <v>0.81889999999999996</v>
      </c>
      <c r="R440">
        <v>41.2</v>
      </c>
      <c r="S440">
        <v>0.81930000000000003</v>
      </c>
      <c r="T440">
        <v>0.81779999999999997</v>
      </c>
    </row>
    <row r="441" spans="14:20">
      <c r="N441">
        <v>43.9</v>
      </c>
      <c r="O441">
        <v>0.80630000000000002</v>
      </c>
      <c r="Q441">
        <v>0.81940000000000002</v>
      </c>
      <c r="R441">
        <v>41.1</v>
      </c>
      <c r="S441">
        <v>0.81979999999999997</v>
      </c>
      <c r="T441">
        <v>0.81830000000000003</v>
      </c>
    </row>
    <row r="442" spans="14:20">
      <c r="N442">
        <v>44</v>
      </c>
      <c r="O442">
        <v>0.80589999999999995</v>
      </c>
      <c r="Q442">
        <v>0.81989999999999996</v>
      </c>
      <c r="R442">
        <v>41</v>
      </c>
      <c r="S442">
        <v>0.82030000000000003</v>
      </c>
      <c r="T442">
        <v>0.81879999999999997</v>
      </c>
    </row>
    <row r="443" spans="14:20">
      <c r="N443">
        <v>44.1</v>
      </c>
      <c r="O443">
        <v>0.8054</v>
      </c>
      <c r="Q443">
        <v>0.82040000000000002</v>
      </c>
      <c r="R443">
        <v>40.9</v>
      </c>
      <c r="S443">
        <v>0.82079999999999997</v>
      </c>
      <c r="T443">
        <v>0.81930000000000003</v>
      </c>
    </row>
    <row r="444" spans="14:20">
      <c r="N444">
        <v>44.2</v>
      </c>
      <c r="O444">
        <v>0.80500000000000005</v>
      </c>
      <c r="Q444">
        <v>0.82079999999999997</v>
      </c>
      <c r="R444">
        <v>40.799999999999997</v>
      </c>
      <c r="S444">
        <v>0.82120000000000004</v>
      </c>
      <c r="T444">
        <v>0.81969999999999998</v>
      </c>
    </row>
    <row r="445" spans="14:20">
      <c r="N445">
        <v>44.3</v>
      </c>
      <c r="O445">
        <v>0.80449999999999999</v>
      </c>
      <c r="Q445">
        <v>0.82130000000000003</v>
      </c>
      <c r="R445">
        <v>40.700000000000003</v>
      </c>
      <c r="S445">
        <v>0.82169999999999999</v>
      </c>
      <c r="T445">
        <v>0.82020000000000004</v>
      </c>
    </row>
    <row r="446" spans="14:20">
      <c r="N446">
        <v>44.4</v>
      </c>
      <c r="O446">
        <v>0.80410000000000004</v>
      </c>
      <c r="Q446">
        <v>0.82179999999999997</v>
      </c>
      <c r="R446">
        <v>40.6</v>
      </c>
      <c r="S446">
        <v>0.82220000000000004</v>
      </c>
      <c r="T446">
        <v>0.82069999999999999</v>
      </c>
    </row>
    <row r="447" spans="14:20">
      <c r="N447">
        <v>44.5</v>
      </c>
      <c r="O447">
        <v>0.80359999999999998</v>
      </c>
      <c r="Q447">
        <v>0.82230000000000003</v>
      </c>
      <c r="R447">
        <v>40.5</v>
      </c>
      <c r="S447">
        <v>0.82269999999999999</v>
      </c>
      <c r="T447">
        <v>0.82120000000000004</v>
      </c>
    </row>
    <row r="448" spans="14:20">
      <c r="N448">
        <v>44.6</v>
      </c>
      <c r="O448">
        <v>0.80310000000000004</v>
      </c>
      <c r="Q448">
        <v>0.82269999999999999</v>
      </c>
      <c r="R448">
        <v>40.4</v>
      </c>
      <c r="S448">
        <v>0.82320000000000004</v>
      </c>
      <c r="T448">
        <v>0.8216</v>
      </c>
    </row>
    <row r="449" spans="14:20">
      <c r="N449">
        <v>44.7</v>
      </c>
      <c r="O449">
        <v>0.80269999999999997</v>
      </c>
      <c r="Q449">
        <v>0.82320000000000004</v>
      </c>
      <c r="R449">
        <v>40.299999999999997</v>
      </c>
      <c r="S449">
        <v>0.8236</v>
      </c>
      <c r="T449">
        <v>0.82210000000000005</v>
      </c>
    </row>
    <row r="450" spans="14:20">
      <c r="N450">
        <v>44.8</v>
      </c>
      <c r="O450">
        <v>0.80220000000000002</v>
      </c>
      <c r="Q450">
        <v>0.82369999999999999</v>
      </c>
      <c r="R450">
        <v>40.200000000000003</v>
      </c>
      <c r="S450">
        <v>0.82410000000000005</v>
      </c>
      <c r="T450">
        <v>0.8226</v>
      </c>
    </row>
    <row r="451" spans="14:20">
      <c r="N451">
        <v>44.9</v>
      </c>
      <c r="O451">
        <v>0.80179999999999996</v>
      </c>
      <c r="Q451">
        <v>0.82420000000000004</v>
      </c>
      <c r="R451">
        <v>40.1</v>
      </c>
      <c r="S451">
        <v>0.8246</v>
      </c>
      <c r="T451">
        <v>0.82310000000000005</v>
      </c>
    </row>
    <row r="452" spans="14:20">
      <c r="N452">
        <v>45</v>
      </c>
      <c r="O452">
        <v>0.80130000000000001</v>
      </c>
      <c r="Q452">
        <v>0.82469999999999999</v>
      </c>
      <c r="R452">
        <v>40</v>
      </c>
      <c r="S452">
        <v>0.82509999999999994</v>
      </c>
      <c r="T452">
        <v>0.8236</v>
      </c>
    </row>
    <row r="453" spans="14:20">
      <c r="N453">
        <v>45.1</v>
      </c>
      <c r="O453">
        <v>0.80089999999999995</v>
      </c>
      <c r="Q453">
        <v>0.82509999999999994</v>
      </c>
      <c r="R453">
        <v>39.9</v>
      </c>
      <c r="S453">
        <v>0.8256</v>
      </c>
      <c r="T453">
        <v>0.82399999999999995</v>
      </c>
    </row>
    <row r="454" spans="14:20">
      <c r="N454">
        <v>45.2</v>
      </c>
      <c r="O454">
        <v>0.8004</v>
      </c>
      <c r="Q454">
        <v>0.8256</v>
      </c>
      <c r="R454">
        <v>39.799999999999997</v>
      </c>
      <c r="S454">
        <v>0.82599999999999996</v>
      </c>
      <c r="T454">
        <v>0.82450000000000001</v>
      </c>
    </row>
    <row r="455" spans="14:20">
      <c r="N455">
        <v>45.3</v>
      </c>
      <c r="O455">
        <v>0.8</v>
      </c>
      <c r="Q455">
        <v>0.82609999999999995</v>
      </c>
      <c r="R455">
        <v>39.700000000000003</v>
      </c>
      <c r="S455">
        <v>0.82650000000000001</v>
      </c>
      <c r="T455">
        <v>0.82499999999999996</v>
      </c>
    </row>
    <row r="456" spans="14:20">
      <c r="N456">
        <v>45.4</v>
      </c>
      <c r="O456">
        <v>0.79949999999999999</v>
      </c>
      <c r="Q456">
        <v>0.8266</v>
      </c>
      <c r="R456">
        <v>39.6</v>
      </c>
      <c r="S456">
        <v>0.82699999999999996</v>
      </c>
      <c r="T456">
        <v>0.82550000000000001</v>
      </c>
    </row>
    <row r="457" spans="14:20">
      <c r="N457">
        <v>45.5</v>
      </c>
      <c r="O457">
        <v>0.79910000000000003</v>
      </c>
      <c r="Q457">
        <v>0.82709999999999995</v>
      </c>
      <c r="R457">
        <v>39.5</v>
      </c>
      <c r="S457">
        <v>0.82750000000000001</v>
      </c>
      <c r="T457">
        <v>0.82599999999999996</v>
      </c>
    </row>
    <row r="458" spans="14:20">
      <c r="N458">
        <v>45.6</v>
      </c>
      <c r="O458">
        <v>0.79859999999999998</v>
      </c>
      <c r="Q458">
        <v>0.8276</v>
      </c>
      <c r="R458">
        <v>39.4</v>
      </c>
      <c r="S458">
        <v>0.82799999999999996</v>
      </c>
      <c r="T458">
        <v>0.82650000000000001</v>
      </c>
    </row>
    <row r="459" spans="14:20">
      <c r="N459">
        <v>45.7</v>
      </c>
      <c r="O459">
        <v>0.79820000000000002</v>
      </c>
      <c r="Q459">
        <v>0.82799999999999996</v>
      </c>
      <c r="R459">
        <v>39.299999999999997</v>
      </c>
      <c r="S459">
        <v>0.82850000000000001</v>
      </c>
      <c r="T459">
        <v>0.82689999999999997</v>
      </c>
    </row>
    <row r="460" spans="14:20">
      <c r="N460">
        <v>45.8</v>
      </c>
      <c r="O460">
        <v>0.79769999999999996</v>
      </c>
      <c r="Q460">
        <v>0.82850000000000001</v>
      </c>
      <c r="R460">
        <v>39.200000000000003</v>
      </c>
      <c r="S460">
        <v>0.82889999999999997</v>
      </c>
      <c r="T460">
        <v>0.82740000000000002</v>
      </c>
    </row>
    <row r="461" spans="14:20">
      <c r="N461">
        <v>45.9</v>
      </c>
      <c r="O461">
        <v>0.79730000000000001</v>
      </c>
      <c r="Q461">
        <v>0.82899999999999996</v>
      </c>
      <c r="R461">
        <v>39.1</v>
      </c>
      <c r="S461">
        <v>0.82940000000000003</v>
      </c>
      <c r="T461">
        <v>0.82789999999999997</v>
      </c>
    </row>
    <row r="462" spans="14:20">
      <c r="N462">
        <v>46</v>
      </c>
      <c r="O462">
        <v>0.79679999999999995</v>
      </c>
      <c r="Q462">
        <v>0.82950000000000002</v>
      </c>
      <c r="R462">
        <v>39</v>
      </c>
      <c r="S462">
        <v>0.82989999999999997</v>
      </c>
      <c r="T462">
        <v>0.82840000000000003</v>
      </c>
    </row>
    <row r="463" spans="14:20">
      <c r="N463">
        <v>46.1</v>
      </c>
      <c r="O463">
        <v>0.7964</v>
      </c>
      <c r="Q463">
        <v>0.83</v>
      </c>
      <c r="R463">
        <v>38.9</v>
      </c>
      <c r="S463">
        <v>0.83040000000000003</v>
      </c>
      <c r="T463">
        <v>0.82889999999999997</v>
      </c>
    </row>
    <row r="464" spans="14:20">
      <c r="N464">
        <v>46.2</v>
      </c>
      <c r="O464">
        <v>0.79590000000000005</v>
      </c>
      <c r="Q464">
        <v>0.83050000000000002</v>
      </c>
      <c r="R464">
        <v>38.799999999999997</v>
      </c>
      <c r="S464">
        <v>0.83089999999999997</v>
      </c>
      <c r="T464">
        <v>0.82940000000000003</v>
      </c>
    </row>
    <row r="465" spans="14:20">
      <c r="N465">
        <v>46.3</v>
      </c>
      <c r="O465">
        <v>0.79549999999999998</v>
      </c>
      <c r="Q465">
        <v>0.83099999999999996</v>
      </c>
      <c r="R465">
        <v>38.700000000000003</v>
      </c>
      <c r="S465">
        <v>0.83140000000000003</v>
      </c>
      <c r="T465">
        <v>0.82989999999999997</v>
      </c>
    </row>
    <row r="466" spans="14:20">
      <c r="N466">
        <v>46.4</v>
      </c>
      <c r="O466">
        <v>0.79500000000000004</v>
      </c>
      <c r="Q466">
        <v>0.83140000000000003</v>
      </c>
      <c r="R466">
        <v>38.6</v>
      </c>
      <c r="S466">
        <v>0.83189999999999997</v>
      </c>
      <c r="T466">
        <v>0.83030000000000004</v>
      </c>
    </row>
    <row r="467" spans="14:20">
      <c r="N467">
        <v>46.5</v>
      </c>
      <c r="O467">
        <v>0.79459999999999997</v>
      </c>
      <c r="Q467">
        <v>0.83189999999999997</v>
      </c>
      <c r="R467">
        <v>38.5</v>
      </c>
      <c r="S467">
        <v>0.83240000000000003</v>
      </c>
      <c r="T467">
        <v>0.83079999999999998</v>
      </c>
    </row>
    <row r="468" spans="14:20">
      <c r="N468">
        <v>46.6</v>
      </c>
      <c r="O468">
        <v>0.79410000000000003</v>
      </c>
      <c r="Q468">
        <v>0.83240000000000003</v>
      </c>
      <c r="R468">
        <v>38.4</v>
      </c>
      <c r="S468">
        <v>0.83279999999999998</v>
      </c>
      <c r="T468">
        <v>0.83130000000000004</v>
      </c>
    </row>
    <row r="469" spans="14:20">
      <c r="N469">
        <v>46.7</v>
      </c>
      <c r="O469">
        <v>0.79369999999999996</v>
      </c>
      <c r="Q469">
        <v>0.83289999999999997</v>
      </c>
      <c r="R469">
        <v>38.299999999999997</v>
      </c>
      <c r="S469">
        <v>0.83330000000000004</v>
      </c>
      <c r="T469">
        <v>0.83179999999999998</v>
      </c>
    </row>
    <row r="470" spans="14:20">
      <c r="N470">
        <v>46.8</v>
      </c>
      <c r="O470">
        <v>0.79320000000000002</v>
      </c>
      <c r="Q470">
        <v>0.83340000000000003</v>
      </c>
      <c r="R470">
        <v>38.200000000000003</v>
      </c>
      <c r="S470">
        <v>0.83379999999999999</v>
      </c>
      <c r="T470">
        <v>0.83230000000000004</v>
      </c>
    </row>
    <row r="471" spans="14:20">
      <c r="N471">
        <v>46.9</v>
      </c>
      <c r="O471">
        <v>0.79279999999999995</v>
      </c>
      <c r="Q471">
        <v>0.83389999999999997</v>
      </c>
      <c r="R471">
        <v>38.1</v>
      </c>
      <c r="S471">
        <v>0.83430000000000004</v>
      </c>
      <c r="T471">
        <v>0.83279999999999998</v>
      </c>
    </row>
    <row r="472" spans="14:20">
      <c r="N472">
        <v>47</v>
      </c>
      <c r="O472">
        <v>0.79239999999999999</v>
      </c>
      <c r="Q472">
        <v>0.83440000000000003</v>
      </c>
      <c r="R472">
        <v>38</v>
      </c>
      <c r="S472">
        <v>0.83479999999999999</v>
      </c>
      <c r="T472">
        <v>0.83330000000000004</v>
      </c>
    </row>
    <row r="473" spans="14:20">
      <c r="N473">
        <v>47.1</v>
      </c>
      <c r="O473">
        <v>0.79190000000000005</v>
      </c>
      <c r="Q473">
        <v>0.83489999999999998</v>
      </c>
      <c r="R473">
        <v>37.9</v>
      </c>
      <c r="S473">
        <v>0.83530000000000004</v>
      </c>
      <c r="T473">
        <v>0.83379999999999999</v>
      </c>
    </row>
    <row r="474" spans="14:20">
      <c r="N474">
        <v>47.2</v>
      </c>
      <c r="O474">
        <v>0.79149999999999998</v>
      </c>
      <c r="Q474">
        <v>0.83540000000000003</v>
      </c>
      <c r="R474">
        <v>37.799999999999997</v>
      </c>
      <c r="S474">
        <v>0.83579999999999999</v>
      </c>
      <c r="T474">
        <v>0.83430000000000004</v>
      </c>
    </row>
    <row r="475" spans="14:20">
      <c r="N475">
        <v>47.3</v>
      </c>
      <c r="O475">
        <v>0.79100000000000004</v>
      </c>
      <c r="Q475">
        <v>0.83589999999999998</v>
      </c>
      <c r="R475">
        <v>37.700000000000003</v>
      </c>
      <c r="S475">
        <v>0.83630000000000004</v>
      </c>
      <c r="T475">
        <v>0.83479999999999999</v>
      </c>
    </row>
    <row r="476" spans="14:20">
      <c r="N476">
        <v>47.4</v>
      </c>
      <c r="O476">
        <v>0.79059999999999997</v>
      </c>
      <c r="Q476">
        <v>0.83640000000000003</v>
      </c>
      <c r="R476">
        <v>37.6</v>
      </c>
      <c r="S476">
        <v>0.83679999999999999</v>
      </c>
      <c r="T476">
        <v>0.83530000000000004</v>
      </c>
    </row>
    <row r="477" spans="14:20">
      <c r="N477">
        <v>47.5</v>
      </c>
      <c r="O477">
        <v>0.79010000000000002</v>
      </c>
      <c r="Q477">
        <v>0.83679999999999999</v>
      </c>
      <c r="R477">
        <v>37.5</v>
      </c>
      <c r="S477">
        <v>0.83730000000000004</v>
      </c>
      <c r="T477">
        <v>0.8357</v>
      </c>
    </row>
    <row r="478" spans="14:20">
      <c r="N478">
        <v>47.6</v>
      </c>
      <c r="O478">
        <v>0.78969999999999996</v>
      </c>
      <c r="Q478">
        <v>0.83730000000000004</v>
      </c>
      <c r="R478">
        <v>37.4</v>
      </c>
      <c r="S478">
        <v>0.83779999999999999</v>
      </c>
      <c r="T478">
        <v>0.83620000000000005</v>
      </c>
    </row>
    <row r="479" spans="14:20">
      <c r="N479">
        <v>47.7</v>
      </c>
      <c r="O479">
        <v>0.7893</v>
      </c>
      <c r="Q479">
        <v>0.83779999999999999</v>
      </c>
      <c r="R479">
        <v>37.299999999999997</v>
      </c>
      <c r="S479">
        <v>0.83830000000000005</v>
      </c>
      <c r="T479">
        <v>0.8367</v>
      </c>
    </row>
    <row r="480" spans="14:20">
      <c r="N480">
        <v>47.8</v>
      </c>
      <c r="O480">
        <v>0.78879999999999995</v>
      </c>
      <c r="Q480">
        <v>0.83830000000000005</v>
      </c>
      <c r="R480">
        <v>37.200000000000003</v>
      </c>
      <c r="S480">
        <v>0.83879999999999999</v>
      </c>
      <c r="T480">
        <v>0.83720000000000006</v>
      </c>
    </row>
    <row r="481" spans="14:20">
      <c r="N481">
        <v>47.9</v>
      </c>
      <c r="O481">
        <v>0.78839999999999999</v>
      </c>
      <c r="Q481">
        <v>0.83879999999999999</v>
      </c>
      <c r="R481">
        <v>37.1</v>
      </c>
      <c r="S481">
        <v>0.83930000000000005</v>
      </c>
      <c r="T481">
        <v>0.8377</v>
      </c>
    </row>
    <row r="482" spans="14:20">
      <c r="N482">
        <v>48</v>
      </c>
      <c r="O482">
        <v>0.78790000000000004</v>
      </c>
      <c r="Q482">
        <v>0.83930000000000005</v>
      </c>
      <c r="R482">
        <v>37</v>
      </c>
      <c r="S482">
        <v>0.83979999999999999</v>
      </c>
      <c r="T482">
        <v>0.83819999999999995</v>
      </c>
    </row>
    <row r="483" spans="14:20">
      <c r="N483">
        <v>48.1</v>
      </c>
      <c r="O483">
        <v>0.78749999999999998</v>
      </c>
      <c r="Q483">
        <v>0.83979999999999999</v>
      </c>
      <c r="R483">
        <v>36.9</v>
      </c>
      <c r="S483">
        <v>0.84030000000000005</v>
      </c>
      <c r="T483">
        <v>0.8387</v>
      </c>
    </row>
    <row r="484" spans="14:20">
      <c r="N484">
        <v>48.2</v>
      </c>
      <c r="O484">
        <v>0.78710000000000002</v>
      </c>
      <c r="Q484">
        <v>0.84030000000000005</v>
      </c>
      <c r="R484">
        <v>36.799999999999997</v>
      </c>
      <c r="S484">
        <v>0.84079999999999999</v>
      </c>
      <c r="T484">
        <v>0.83919999999999995</v>
      </c>
    </row>
    <row r="485" spans="14:20">
      <c r="N485">
        <v>48.3</v>
      </c>
      <c r="O485">
        <v>0.78659999999999997</v>
      </c>
      <c r="Q485">
        <v>0.84079999999999999</v>
      </c>
      <c r="R485">
        <v>36.700000000000003</v>
      </c>
      <c r="S485">
        <v>0.84130000000000005</v>
      </c>
      <c r="T485">
        <v>0.8397</v>
      </c>
    </row>
    <row r="486" spans="14:20">
      <c r="N486">
        <v>48.4</v>
      </c>
      <c r="O486">
        <v>0.78620000000000001</v>
      </c>
      <c r="Q486">
        <v>0.84130000000000005</v>
      </c>
      <c r="R486">
        <v>36.6</v>
      </c>
      <c r="S486">
        <v>0.84179999999999999</v>
      </c>
      <c r="T486">
        <v>0.84019999999999995</v>
      </c>
    </row>
    <row r="487" spans="14:20">
      <c r="N487">
        <v>48.5</v>
      </c>
      <c r="O487">
        <v>0.78580000000000005</v>
      </c>
      <c r="Q487">
        <v>0.84179999999999999</v>
      </c>
      <c r="R487">
        <v>36.5</v>
      </c>
      <c r="S487">
        <v>0.84230000000000005</v>
      </c>
      <c r="T487">
        <v>0.8407</v>
      </c>
    </row>
    <row r="488" spans="14:20">
      <c r="N488">
        <v>48.6</v>
      </c>
      <c r="O488">
        <v>0.7853</v>
      </c>
      <c r="Q488">
        <v>0.84230000000000005</v>
      </c>
      <c r="R488">
        <v>36.4</v>
      </c>
      <c r="S488">
        <v>0.84279999999999999</v>
      </c>
      <c r="T488">
        <v>0.84119999999999995</v>
      </c>
    </row>
    <row r="489" spans="14:20">
      <c r="N489">
        <v>48.7</v>
      </c>
      <c r="O489">
        <v>0.78490000000000004</v>
      </c>
      <c r="Q489">
        <v>0.84279999999999999</v>
      </c>
      <c r="R489">
        <v>36.299999999999997</v>
      </c>
      <c r="S489">
        <v>0.84330000000000005</v>
      </c>
      <c r="T489">
        <v>0.8417</v>
      </c>
    </row>
    <row r="490" spans="14:20">
      <c r="N490">
        <v>48.8</v>
      </c>
      <c r="O490">
        <v>0.78449999999999998</v>
      </c>
      <c r="Q490">
        <v>0.84330000000000005</v>
      </c>
      <c r="R490">
        <v>36.200000000000003</v>
      </c>
      <c r="S490">
        <v>0.84379999999999999</v>
      </c>
      <c r="T490">
        <v>0.84219999999999995</v>
      </c>
    </row>
    <row r="491" spans="14:20">
      <c r="N491">
        <v>48.9</v>
      </c>
      <c r="O491">
        <v>0.78400000000000003</v>
      </c>
      <c r="Q491">
        <v>0.84379999999999999</v>
      </c>
      <c r="R491">
        <v>36.1</v>
      </c>
      <c r="S491">
        <v>0.84430000000000005</v>
      </c>
      <c r="T491">
        <v>0.8427</v>
      </c>
    </row>
    <row r="492" spans="14:20">
      <c r="N492">
        <v>49</v>
      </c>
      <c r="O492">
        <v>0.78359999999999996</v>
      </c>
      <c r="Q492">
        <v>0.84430000000000005</v>
      </c>
      <c r="R492">
        <v>36</v>
      </c>
      <c r="S492">
        <v>0.8448</v>
      </c>
      <c r="T492">
        <v>0.84319999999999995</v>
      </c>
    </row>
    <row r="493" spans="14:20">
      <c r="N493">
        <v>49.1</v>
      </c>
      <c r="O493">
        <v>0.78320000000000001</v>
      </c>
      <c r="Q493">
        <v>0.8448</v>
      </c>
      <c r="R493">
        <v>35.9</v>
      </c>
      <c r="S493">
        <v>0.84530000000000005</v>
      </c>
      <c r="T493">
        <v>0.84370000000000001</v>
      </c>
    </row>
    <row r="494" spans="14:20">
      <c r="N494">
        <v>49.2</v>
      </c>
      <c r="O494">
        <v>0.78269999999999995</v>
      </c>
      <c r="Q494">
        <v>0.84530000000000005</v>
      </c>
      <c r="R494">
        <v>35.799999999999997</v>
      </c>
      <c r="S494">
        <v>0.8458</v>
      </c>
      <c r="T494">
        <v>0.84419999999999995</v>
      </c>
    </row>
    <row r="495" spans="14:20">
      <c r="N495">
        <v>49.3</v>
      </c>
      <c r="O495">
        <v>0.7823</v>
      </c>
      <c r="Q495">
        <v>0.8458</v>
      </c>
      <c r="R495">
        <v>35.700000000000003</v>
      </c>
      <c r="S495">
        <v>0.84630000000000005</v>
      </c>
      <c r="T495">
        <v>0.84470000000000001</v>
      </c>
    </row>
    <row r="496" spans="14:20">
      <c r="N496">
        <v>49.4</v>
      </c>
      <c r="O496">
        <v>0.78190000000000004</v>
      </c>
      <c r="Q496">
        <v>0.84640000000000004</v>
      </c>
      <c r="R496">
        <v>35.6</v>
      </c>
      <c r="S496">
        <v>0.8468</v>
      </c>
      <c r="T496">
        <v>0.84530000000000005</v>
      </c>
    </row>
    <row r="497" spans="14:20">
      <c r="N497">
        <v>49.5</v>
      </c>
      <c r="O497">
        <v>0.78139999999999998</v>
      </c>
      <c r="Q497">
        <v>0.84689999999999999</v>
      </c>
      <c r="R497">
        <v>35.5</v>
      </c>
      <c r="S497">
        <v>0.84730000000000005</v>
      </c>
      <c r="T497">
        <v>0.8458</v>
      </c>
    </row>
    <row r="498" spans="14:20">
      <c r="N498">
        <v>49.6</v>
      </c>
      <c r="O498">
        <v>0.78100000000000003</v>
      </c>
      <c r="Q498">
        <v>0.84740000000000004</v>
      </c>
      <c r="R498">
        <v>35.4</v>
      </c>
      <c r="S498">
        <v>0.8478</v>
      </c>
      <c r="T498">
        <v>0.84630000000000005</v>
      </c>
    </row>
    <row r="499" spans="14:20">
      <c r="N499">
        <v>49.7</v>
      </c>
      <c r="O499">
        <v>0.78059999999999996</v>
      </c>
      <c r="Q499">
        <v>0.84789999999999999</v>
      </c>
      <c r="R499">
        <v>35.299999999999997</v>
      </c>
      <c r="S499">
        <v>0.84830000000000005</v>
      </c>
      <c r="T499">
        <v>0.8468</v>
      </c>
    </row>
    <row r="500" spans="14:20">
      <c r="N500">
        <v>49.8</v>
      </c>
      <c r="O500">
        <v>0.7802</v>
      </c>
      <c r="Q500">
        <v>0.84840000000000004</v>
      </c>
      <c r="R500">
        <v>35.200000000000003</v>
      </c>
      <c r="S500">
        <v>0.8488</v>
      </c>
      <c r="T500">
        <v>0.84730000000000005</v>
      </c>
    </row>
    <row r="501" spans="14:20">
      <c r="N501">
        <v>49.9</v>
      </c>
      <c r="O501">
        <v>0.77969999999999995</v>
      </c>
      <c r="Q501">
        <v>0.84889999999999999</v>
      </c>
      <c r="R501">
        <v>35.1</v>
      </c>
      <c r="S501">
        <v>0.84930000000000005</v>
      </c>
      <c r="T501">
        <v>0.8478</v>
      </c>
    </row>
    <row r="502" spans="14:20">
      <c r="N502">
        <v>50</v>
      </c>
      <c r="O502">
        <v>0.77929999999999999</v>
      </c>
      <c r="Q502">
        <v>0.84940000000000004</v>
      </c>
      <c r="R502">
        <v>35</v>
      </c>
      <c r="S502">
        <v>0.8498</v>
      </c>
      <c r="T502">
        <v>0.84830000000000005</v>
      </c>
    </row>
    <row r="503" spans="14:20">
      <c r="N503">
        <v>50.1</v>
      </c>
      <c r="O503">
        <v>0.77890000000000004</v>
      </c>
      <c r="Q503">
        <v>0.84989999999999999</v>
      </c>
      <c r="R503">
        <v>34.9</v>
      </c>
      <c r="S503">
        <v>0.85040000000000004</v>
      </c>
      <c r="T503">
        <v>0.8488</v>
      </c>
    </row>
    <row r="504" spans="14:20">
      <c r="N504">
        <v>50.2</v>
      </c>
      <c r="O504">
        <v>0.77839999999999998</v>
      </c>
      <c r="Q504">
        <v>0.85040000000000004</v>
      </c>
      <c r="R504">
        <v>34.799999999999997</v>
      </c>
      <c r="S504">
        <v>0.85089999999999999</v>
      </c>
      <c r="T504">
        <v>0.84930000000000005</v>
      </c>
    </row>
    <row r="505" spans="14:20">
      <c r="N505">
        <v>50.3</v>
      </c>
      <c r="O505">
        <v>0.77800000000000002</v>
      </c>
      <c r="Q505">
        <v>0.85089999999999999</v>
      </c>
      <c r="R505">
        <v>34.700000000000003</v>
      </c>
      <c r="S505">
        <v>0.85140000000000005</v>
      </c>
      <c r="T505">
        <v>0.8498</v>
      </c>
    </row>
    <row r="506" spans="14:20">
      <c r="N506">
        <v>50.4</v>
      </c>
      <c r="O506">
        <v>0.77759999999999996</v>
      </c>
      <c r="Q506">
        <v>0.85140000000000005</v>
      </c>
      <c r="R506">
        <v>34.6</v>
      </c>
      <c r="S506">
        <v>0.85189999999999999</v>
      </c>
      <c r="T506">
        <v>0.85029999999999994</v>
      </c>
    </row>
    <row r="507" spans="14:20">
      <c r="N507">
        <v>50.5</v>
      </c>
      <c r="O507">
        <v>0.7772</v>
      </c>
      <c r="Q507">
        <v>0.85199999999999998</v>
      </c>
      <c r="R507">
        <v>34.5</v>
      </c>
      <c r="S507">
        <v>0.85240000000000005</v>
      </c>
      <c r="T507">
        <v>0.85089999999999999</v>
      </c>
    </row>
    <row r="508" spans="14:20">
      <c r="N508">
        <v>50.6</v>
      </c>
      <c r="O508">
        <v>0.77669999999999995</v>
      </c>
      <c r="Q508">
        <v>0.85250000000000004</v>
      </c>
      <c r="R508">
        <v>34.4</v>
      </c>
      <c r="S508">
        <v>0.85289999999999999</v>
      </c>
      <c r="T508">
        <v>0.85140000000000005</v>
      </c>
    </row>
    <row r="509" spans="14:20">
      <c r="N509">
        <v>50.7</v>
      </c>
      <c r="O509">
        <v>0.77629999999999999</v>
      </c>
      <c r="Q509">
        <v>0.85299999999999998</v>
      </c>
      <c r="R509">
        <v>34.299999999999997</v>
      </c>
      <c r="S509">
        <v>0.85340000000000005</v>
      </c>
      <c r="T509">
        <v>0.85189999999999999</v>
      </c>
    </row>
    <row r="510" spans="14:20">
      <c r="N510">
        <v>50.8</v>
      </c>
      <c r="O510">
        <v>0.77590000000000003</v>
      </c>
      <c r="Q510">
        <v>0.85350000000000004</v>
      </c>
      <c r="R510">
        <v>34.200000000000003</v>
      </c>
      <c r="S510">
        <v>0.85399999999999998</v>
      </c>
      <c r="T510">
        <v>0.85240000000000005</v>
      </c>
    </row>
    <row r="511" spans="14:20">
      <c r="N511">
        <v>50.9</v>
      </c>
      <c r="O511">
        <v>0.77549999999999997</v>
      </c>
      <c r="Q511">
        <v>0.85399999999999998</v>
      </c>
      <c r="R511">
        <v>34.1</v>
      </c>
      <c r="S511">
        <v>0.85450000000000004</v>
      </c>
      <c r="T511">
        <v>0.85289999999999999</v>
      </c>
    </row>
    <row r="512" spans="14:20">
      <c r="N512">
        <v>51</v>
      </c>
      <c r="O512">
        <v>0.77510000000000001</v>
      </c>
      <c r="Q512">
        <v>0.85450000000000004</v>
      </c>
      <c r="R512">
        <v>34</v>
      </c>
      <c r="S512">
        <v>0.85499999999999998</v>
      </c>
      <c r="T512">
        <v>0.85340000000000005</v>
      </c>
    </row>
    <row r="513" spans="14:20">
      <c r="N513">
        <v>51.1</v>
      </c>
      <c r="O513">
        <v>0.77459999999999996</v>
      </c>
      <c r="Q513">
        <v>0.85499999999999998</v>
      </c>
      <c r="R513">
        <v>33.9</v>
      </c>
      <c r="S513">
        <v>0.85550000000000004</v>
      </c>
      <c r="T513">
        <v>0.85389999999999999</v>
      </c>
    </row>
    <row r="514" spans="14:20">
      <c r="N514">
        <v>51.2</v>
      </c>
      <c r="O514">
        <v>0.7742</v>
      </c>
      <c r="Q514">
        <v>0.85560000000000003</v>
      </c>
      <c r="R514">
        <v>33.799999999999997</v>
      </c>
      <c r="S514">
        <v>0.85599999999999998</v>
      </c>
      <c r="T514">
        <v>0.85450000000000004</v>
      </c>
    </row>
    <row r="515" spans="14:20">
      <c r="N515">
        <v>51.3</v>
      </c>
      <c r="O515">
        <v>0.77380000000000004</v>
      </c>
      <c r="Q515">
        <v>0.85609999999999997</v>
      </c>
      <c r="R515">
        <v>33.700000000000003</v>
      </c>
      <c r="S515">
        <v>0.85650000000000004</v>
      </c>
      <c r="T515">
        <v>0.85499999999999998</v>
      </c>
    </row>
    <row r="516" spans="14:20">
      <c r="N516">
        <v>51.4</v>
      </c>
      <c r="O516">
        <v>0.77339999999999998</v>
      </c>
      <c r="Q516">
        <v>0.85660000000000003</v>
      </c>
      <c r="R516">
        <v>33.6</v>
      </c>
      <c r="S516">
        <v>0.85709999999999997</v>
      </c>
      <c r="T516">
        <v>0.85550000000000004</v>
      </c>
    </row>
    <row r="517" spans="14:20">
      <c r="N517">
        <v>51.5</v>
      </c>
      <c r="O517">
        <v>0.77290000000000003</v>
      </c>
      <c r="Q517">
        <v>0.85709999999999997</v>
      </c>
      <c r="R517">
        <v>33.5</v>
      </c>
      <c r="S517">
        <v>0.85760000000000003</v>
      </c>
      <c r="T517">
        <v>0.85599999999999998</v>
      </c>
    </row>
    <row r="518" spans="14:20">
      <c r="N518">
        <v>51.6</v>
      </c>
      <c r="O518">
        <v>0.77249999999999996</v>
      </c>
      <c r="Q518">
        <v>0.85760000000000003</v>
      </c>
      <c r="R518">
        <v>33.4</v>
      </c>
      <c r="S518">
        <v>0.85809999999999997</v>
      </c>
      <c r="T518">
        <v>0.85650000000000004</v>
      </c>
    </row>
    <row r="519" spans="14:20">
      <c r="N519">
        <v>51.7</v>
      </c>
      <c r="O519">
        <v>0.77210000000000001</v>
      </c>
      <c r="Q519">
        <v>0.85819999999999996</v>
      </c>
      <c r="R519">
        <v>33.299999999999997</v>
      </c>
      <c r="S519">
        <v>0.85860000000000003</v>
      </c>
      <c r="T519">
        <v>0.85709999999999997</v>
      </c>
    </row>
    <row r="520" spans="14:20">
      <c r="N520">
        <v>51.8</v>
      </c>
      <c r="O520">
        <v>0.77170000000000005</v>
      </c>
      <c r="Q520">
        <v>0.85870000000000002</v>
      </c>
      <c r="R520">
        <v>33.200000000000003</v>
      </c>
      <c r="S520">
        <v>0.85909999999999997</v>
      </c>
      <c r="T520">
        <v>0.85760000000000003</v>
      </c>
    </row>
    <row r="521" spans="14:20">
      <c r="N521">
        <v>51.9</v>
      </c>
      <c r="O521">
        <v>0.77129999999999999</v>
      </c>
      <c r="Q521">
        <v>0.85919999999999996</v>
      </c>
      <c r="R521">
        <v>33.1</v>
      </c>
      <c r="S521">
        <v>0.85970000000000002</v>
      </c>
      <c r="T521">
        <v>0.85809999999999997</v>
      </c>
    </row>
    <row r="522" spans="14:20">
      <c r="N522">
        <v>52</v>
      </c>
      <c r="O522">
        <v>0.77080000000000004</v>
      </c>
      <c r="Q522">
        <v>0.85970000000000002</v>
      </c>
      <c r="R522">
        <v>33</v>
      </c>
      <c r="S522">
        <v>0.86019999999999996</v>
      </c>
      <c r="T522">
        <v>0.85860000000000003</v>
      </c>
    </row>
    <row r="523" spans="14:20">
      <c r="N523">
        <v>52.1</v>
      </c>
      <c r="O523">
        <v>0.77039999999999997</v>
      </c>
      <c r="Q523">
        <v>0.86019999999999996</v>
      </c>
      <c r="R523">
        <v>32.9</v>
      </c>
      <c r="S523">
        <v>0.86070000000000002</v>
      </c>
      <c r="T523">
        <v>0.85909999999999997</v>
      </c>
    </row>
    <row r="524" spans="14:20">
      <c r="N524">
        <v>52.2</v>
      </c>
      <c r="O524">
        <v>0.77</v>
      </c>
      <c r="Q524">
        <v>0.86080000000000001</v>
      </c>
      <c r="R524">
        <v>32.799999999999997</v>
      </c>
      <c r="S524">
        <v>0.86119999999999997</v>
      </c>
      <c r="T524">
        <v>0.85970000000000002</v>
      </c>
    </row>
    <row r="525" spans="14:20">
      <c r="N525">
        <v>52.3</v>
      </c>
      <c r="O525">
        <v>0.76959999999999995</v>
      </c>
      <c r="Q525">
        <v>0.86129999999999995</v>
      </c>
      <c r="R525">
        <v>32.700000000000003</v>
      </c>
      <c r="S525">
        <v>0.86180000000000001</v>
      </c>
      <c r="T525">
        <v>0.86019999999999996</v>
      </c>
    </row>
    <row r="526" spans="14:20">
      <c r="N526">
        <v>52.4</v>
      </c>
      <c r="O526">
        <v>0.76919999999999999</v>
      </c>
      <c r="Q526">
        <v>0.86180000000000001</v>
      </c>
      <c r="R526">
        <v>32.6</v>
      </c>
      <c r="S526">
        <v>0.86229999999999996</v>
      </c>
      <c r="T526">
        <v>0.86070000000000002</v>
      </c>
    </row>
    <row r="527" spans="14:20">
      <c r="N527">
        <v>52.5</v>
      </c>
      <c r="O527">
        <v>0.76880000000000004</v>
      </c>
      <c r="Q527">
        <v>0.86229999999999996</v>
      </c>
      <c r="R527">
        <v>32.5</v>
      </c>
      <c r="S527">
        <v>0.86280000000000001</v>
      </c>
      <c r="T527">
        <v>0.86119999999999997</v>
      </c>
    </row>
    <row r="528" spans="14:20">
      <c r="N528">
        <v>52.6</v>
      </c>
      <c r="O528">
        <v>0.76829999999999998</v>
      </c>
      <c r="Q528">
        <v>0.8629</v>
      </c>
      <c r="R528">
        <v>32.4</v>
      </c>
      <c r="S528">
        <v>0.86329999999999996</v>
      </c>
      <c r="T528">
        <v>0.86180000000000001</v>
      </c>
    </row>
    <row r="529" spans="14:20">
      <c r="N529">
        <v>52.7</v>
      </c>
      <c r="O529">
        <v>0.76790000000000003</v>
      </c>
      <c r="Q529">
        <v>0.86339999999999995</v>
      </c>
      <c r="R529">
        <v>32.299999999999997</v>
      </c>
      <c r="S529">
        <v>0.8639</v>
      </c>
      <c r="T529">
        <v>0.86229999999999996</v>
      </c>
    </row>
    <row r="530" spans="14:20">
      <c r="N530">
        <v>52.8</v>
      </c>
      <c r="O530">
        <v>0.76749999999999996</v>
      </c>
      <c r="Q530">
        <v>0.8639</v>
      </c>
      <c r="R530">
        <v>32.200000000000003</v>
      </c>
      <c r="S530">
        <v>0.86439999999999995</v>
      </c>
      <c r="T530">
        <v>0.86280000000000001</v>
      </c>
    </row>
    <row r="531" spans="14:20">
      <c r="N531">
        <v>52.9</v>
      </c>
      <c r="O531">
        <v>0.7671</v>
      </c>
      <c r="Q531">
        <v>0.86450000000000005</v>
      </c>
      <c r="R531">
        <v>32.1</v>
      </c>
      <c r="S531">
        <v>0.8649</v>
      </c>
      <c r="T531">
        <v>0.86339999999999995</v>
      </c>
    </row>
    <row r="532" spans="14:20">
      <c r="N532">
        <v>53</v>
      </c>
      <c r="O532">
        <v>0.76670000000000005</v>
      </c>
      <c r="Q532">
        <v>0.86499999999999999</v>
      </c>
      <c r="R532">
        <v>32</v>
      </c>
      <c r="S532">
        <v>0.86539999999999995</v>
      </c>
      <c r="T532">
        <v>0.8639</v>
      </c>
    </row>
    <row r="533" spans="14:20">
      <c r="N533">
        <v>53.1</v>
      </c>
      <c r="O533">
        <v>0.76629999999999998</v>
      </c>
      <c r="Q533">
        <v>0.86550000000000005</v>
      </c>
      <c r="R533">
        <v>31.9</v>
      </c>
      <c r="S533">
        <v>0.86599999999999999</v>
      </c>
      <c r="T533">
        <v>0.86439999999999995</v>
      </c>
    </row>
    <row r="534" spans="14:20">
      <c r="N534">
        <v>53.2</v>
      </c>
      <c r="O534">
        <v>0.76580000000000004</v>
      </c>
      <c r="Q534">
        <v>0.86599999999999999</v>
      </c>
      <c r="R534">
        <v>31.8</v>
      </c>
      <c r="S534">
        <v>0.86650000000000005</v>
      </c>
      <c r="T534">
        <v>0.8649</v>
      </c>
    </row>
    <row r="535" spans="14:20">
      <c r="N535">
        <v>53.3</v>
      </c>
      <c r="O535">
        <v>0.76539999999999997</v>
      </c>
      <c r="Q535">
        <v>0.86660000000000004</v>
      </c>
      <c r="R535">
        <v>31.7</v>
      </c>
      <c r="S535">
        <v>0.86699999999999999</v>
      </c>
      <c r="T535">
        <v>0.86550000000000005</v>
      </c>
    </row>
    <row r="536" spans="14:20">
      <c r="N536">
        <v>53.4</v>
      </c>
      <c r="O536">
        <v>0.76500000000000001</v>
      </c>
      <c r="Q536">
        <v>0.86709999999999998</v>
      </c>
      <c r="R536">
        <v>31.6</v>
      </c>
      <c r="S536">
        <v>0.86760000000000004</v>
      </c>
      <c r="T536">
        <v>0.86599999999999999</v>
      </c>
    </row>
    <row r="537" spans="14:20">
      <c r="N537">
        <v>53.5</v>
      </c>
      <c r="O537">
        <v>0.76459999999999995</v>
      </c>
      <c r="Q537">
        <v>0.86760000000000004</v>
      </c>
      <c r="R537">
        <v>31.5</v>
      </c>
      <c r="S537">
        <v>0.86809999999999998</v>
      </c>
      <c r="T537">
        <v>0.86650000000000005</v>
      </c>
    </row>
    <row r="538" spans="14:20">
      <c r="N538">
        <v>53.6</v>
      </c>
      <c r="O538">
        <v>0.76419999999999999</v>
      </c>
      <c r="Q538">
        <v>0.86819999999999997</v>
      </c>
      <c r="R538">
        <v>31.4</v>
      </c>
      <c r="S538">
        <v>0.86860000000000004</v>
      </c>
      <c r="T538">
        <v>0.86709999999999998</v>
      </c>
    </row>
    <row r="539" spans="14:20">
      <c r="N539">
        <v>53.7</v>
      </c>
      <c r="O539">
        <v>0.76380000000000003</v>
      </c>
      <c r="Q539">
        <v>0.86870000000000003</v>
      </c>
      <c r="R539">
        <v>31.3</v>
      </c>
      <c r="S539">
        <v>0.86919999999999997</v>
      </c>
      <c r="T539">
        <v>0.86760000000000004</v>
      </c>
    </row>
    <row r="540" spans="14:20">
      <c r="N540">
        <v>53.8</v>
      </c>
      <c r="O540">
        <v>0.76339999999999997</v>
      </c>
      <c r="Q540">
        <v>0.86919999999999997</v>
      </c>
      <c r="R540">
        <v>31.2</v>
      </c>
      <c r="S540">
        <v>0.86970000000000003</v>
      </c>
      <c r="T540">
        <v>0.86809999999999998</v>
      </c>
    </row>
    <row r="541" spans="14:20">
      <c r="N541">
        <v>53.9</v>
      </c>
      <c r="O541">
        <v>0.76300000000000001</v>
      </c>
      <c r="Q541">
        <v>0.86980000000000002</v>
      </c>
      <c r="R541">
        <v>31.1</v>
      </c>
      <c r="S541">
        <v>0.87019999999999997</v>
      </c>
      <c r="T541">
        <v>0.86870000000000003</v>
      </c>
    </row>
    <row r="542" spans="14:20">
      <c r="N542">
        <v>54</v>
      </c>
      <c r="O542">
        <v>0.76249999999999996</v>
      </c>
      <c r="Q542">
        <v>0.87029999999999996</v>
      </c>
      <c r="R542">
        <v>31</v>
      </c>
      <c r="S542">
        <v>0.87080000000000002</v>
      </c>
      <c r="T542">
        <v>0.86919999999999997</v>
      </c>
    </row>
    <row r="543" spans="14:20">
      <c r="N543">
        <v>54.1</v>
      </c>
      <c r="O543">
        <v>0.7621</v>
      </c>
      <c r="Q543">
        <v>0.87080000000000002</v>
      </c>
      <c r="R543">
        <v>30.9</v>
      </c>
      <c r="S543">
        <v>0.87129999999999996</v>
      </c>
      <c r="T543">
        <v>0.86970000000000003</v>
      </c>
    </row>
    <row r="544" spans="14:20">
      <c r="N544">
        <v>54.2</v>
      </c>
      <c r="O544">
        <v>0.76170000000000004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45">
        <v>0.87080000000000002</v>
      </c>
    </row>
    <row r="546" spans="14:20">
      <c r="N546">
        <v>54.4</v>
      </c>
      <c r="O546">
        <v>0.76090000000000002</v>
      </c>
      <c r="Q546">
        <v>0.87239999999999995</v>
      </c>
      <c r="R546">
        <v>30.6</v>
      </c>
      <c r="S546">
        <v>0.87290000000000001</v>
      </c>
      <c r="T546">
        <v>0.87129999999999996</v>
      </c>
    </row>
    <row r="547" spans="14:20">
      <c r="N547">
        <v>54.5</v>
      </c>
      <c r="O547">
        <v>0.76049999999999995</v>
      </c>
      <c r="Q547">
        <v>0.873</v>
      </c>
      <c r="R547">
        <v>30.5</v>
      </c>
      <c r="S547">
        <v>0.87350000000000005</v>
      </c>
      <c r="T547">
        <v>0.87190000000000001</v>
      </c>
    </row>
    <row r="548" spans="14:20">
      <c r="N548">
        <v>54.6</v>
      </c>
      <c r="O548">
        <v>0.7601</v>
      </c>
      <c r="Q548">
        <v>0.87350000000000005</v>
      </c>
      <c r="R548">
        <v>30.4</v>
      </c>
      <c r="S548">
        <v>0.874</v>
      </c>
      <c r="T548">
        <v>0.87239999999999995</v>
      </c>
    </row>
    <row r="549" spans="14:20">
      <c r="N549">
        <v>54.7</v>
      </c>
      <c r="O549">
        <v>0.75970000000000004</v>
      </c>
      <c r="Q549">
        <v>0.87409999999999999</v>
      </c>
      <c r="R549">
        <v>30.3</v>
      </c>
      <c r="S549">
        <v>0.87450000000000006</v>
      </c>
      <c r="T549">
        <v>0.873</v>
      </c>
    </row>
    <row r="550" spans="14:20">
      <c r="N550">
        <v>54.8</v>
      </c>
      <c r="O550">
        <v>0.75929999999999997</v>
      </c>
      <c r="Q550">
        <v>0.87460000000000004</v>
      </c>
      <c r="R550">
        <v>30.2</v>
      </c>
      <c r="S550">
        <v>0.87509999999999999</v>
      </c>
      <c r="T550">
        <v>0.87350000000000005</v>
      </c>
    </row>
    <row r="551" spans="14:20">
      <c r="N551">
        <v>54.9</v>
      </c>
      <c r="O551">
        <v>0.75890000000000002</v>
      </c>
      <c r="Q551">
        <v>0.87509999999999999</v>
      </c>
      <c r="R551">
        <v>30.1</v>
      </c>
      <c r="S551">
        <v>0.87560000000000004</v>
      </c>
      <c r="T551">
        <v>0.874</v>
      </c>
    </row>
    <row r="552" spans="14:20">
      <c r="N552">
        <v>55</v>
      </c>
      <c r="O552">
        <v>0.75849999999999995</v>
      </c>
      <c r="Q552">
        <v>0.87570000000000003</v>
      </c>
      <c r="R552">
        <v>30</v>
      </c>
      <c r="S552">
        <v>0.87619999999999998</v>
      </c>
      <c r="T552">
        <v>0.87460000000000004</v>
      </c>
    </row>
    <row r="553" spans="14:20">
      <c r="N553">
        <v>55.1</v>
      </c>
      <c r="O553">
        <v>0.7581</v>
      </c>
      <c r="Q553">
        <v>0.87619999999999998</v>
      </c>
      <c r="R553">
        <v>29.9</v>
      </c>
      <c r="S553">
        <v>0.87670000000000003</v>
      </c>
      <c r="T553">
        <v>0.87509999999999999</v>
      </c>
    </row>
    <row r="554" spans="14:20">
      <c r="N554">
        <v>55.2</v>
      </c>
      <c r="O554">
        <v>0.75760000000000005</v>
      </c>
      <c r="Q554">
        <v>0.87680000000000002</v>
      </c>
      <c r="R554">
        <v>29.8</v>
      </c>
      <c r="S554">
        <v>0.87719999999999998</v>
      </c>
      <c r="T554">
        <v>0.87570000000000003</v>
      </c>
    </row>
    <row r="555" spans="14:20">
      <c r="N555">
        <v>55.3</v>
      </c>
      <c r="O555">
        <v>0.75719999999999998</v>
      </c>
      <c r="Q555">
        <v>0.87729999999999997</v>
      </c>
      <c r="R555">
        <v>29.7</v>
      </c>
      <c r="S555">
        <v>0.87780000000000002</v>
      </c>
      <c r="T555">
        <v>0.87619999999999998</v>
      </c>
    </row>
    <row r="556" spans="14:20">
      <c r="N556">
        <v>55.4</v>
      </c>
      <c r="O556">
        <v>0.75680000000000003</v>
      </c>
      <c r="Q556">
        <v>0.87790000000000001</v>
      </c>
      <c r="R556">
        <v>29.6</v>
      </c>
      <c r="S556">
        <v>0.87829999999999997</v>
      </c>
      <c r="T556">
        <v>0.87680000000000002</v>
      </c>
    </row>
    <row r="557" spans="14:20">
      <c r="N557">
        <v>55.5</v>
      </c>
      <c r="O557">
        <v>0.75639999999999996</v>
      </c>
      <c r="Q557">
        <v>0.87839999999999996</v>
      </c>
      <c r="R557">
        <v>29.5</v>
      </c>
      <c r="S557">
        <v>0.87890000000000001</v>
      </c>
      <c r="T557">
        <v>0.87729999999999997</v>
      </c>
    </row>
    <row r="558" spans="14:20">
      <c r="N558">
        <v>55.6</v>
      </c>
      <c r="O558">
        <v>0.75600000000000001</v>
      </c>
      <c r="Q558">
        <v>0.87890000000000001</v>
      </c>
      <c r="R558">
        <v>29.4</v>
      </c>
      <c r="S558">
        <v>0.87939999999999996</v>
      </c>
      <c r="T558">
        <v>0.87780000000000002</v>
      </c>
    </row>
    <row r="559" spans="14:20">
      <c r="N559">
        <v>55.7</v>
      </c>
      <c r="O559">
        <v>0.75560000000000005</v>
      </c>
      <c r="Q559">
        <v>0.87949999999999995</v>
      </c>
      <c r="R559">
        <v>29.3</v>
      </c>
      <c r="S559">
        <v>0.88</v>
      </c>
      <c r="T559">
        <v>0.87839999999999996</v>
      </c>
    </row>
    <row r="560" spans="14:20">
      <c r="N560">
        <v>55.8</v>
      </c>
      <c r="O560">
        <v>0.75519999999999998</v>
      </c>
      <c r="Q560">
        <v>0.88</v>
      </c>
      <c r="R560">
        <v>29.2</v>
      </c>
      <c r="S560">
        <v>0.88049999999999995</v>
      </c>
      <c r="T560">
        <v>0.87890000000000001</v>
      </c>
    </row>
    <row r="561" spans="14:20">
      <c r="N561">
        <v>55.9</v>
      </c>
      <c r="O561">
        <v>0.75480000000000003</v>
      </c>
      <c r="Q561">
        <v>0.88060000000000005</v>
      </c>
      <c r="R561">
        <v>29.1</v>
      </c>
      <c r="S561">
        <v>0.88109999999999999</v>
      </c>
      <c r="T561">
        <v>0.87949999999999995</v>
      </c>
    </row>
    <row r="562" spans="14:20">
      <c r="N562">
        <v>56</v>
      </c>
      <c r="O562">
        <v>0.75439999999999996</v>
      </c>
      <c r="Q562">
        <v>0.88109999999999999</v>
      </c>
      <c r="R562">
        <v>29</v>
      </c>
      <c r="S562">
        <v>0.88160000000000005</v>
      </c>
      <c r="T562">
        <v>0.88</v>
      </c>
    </row>
    <row r="563" spans="14:20">
      <c r="N563">
        <v>56.1</v>
      </c>
      <c r="O563">
        <v>0.754</v>
      </c>
      <c r="Q563">
        <v>0.88170000000000004</v>
      </c>
      <c r="R563">
        <v>28.9</v>
      </c>
      <c r="S563">
        <v>0.88219999999999998</v>
      </c>
      <c r="T563">
        <v>0.88060000000000005</v>
      </c>
    </row>
    <row r="564" spans="14:20">
      <c r="N564">
        <v>56.2</v>
      </c>
      <c r="O564">
        <v>0.75360000000000005</v>
      </c>
      <c r="Q564">
        <v>0.88219999999999998</v>
      </c>
      <c r="R564">
        <v>28.8</v>
      </c>
      <c r="S564">
        <v>0.88270000000000004</v>
      </c>
      <c r="T564">
        <v>0.88109999999999999</v>
      </c>
    </row>
    <row r="565" spans="14:20">
      <c r="N565">
        <v>56.3</v>
      </c>
      <c r="O565">
        <v>0.75319999999999998</v>
      </c>
      <c r="Q565">
        <v>0.88280000000000003</v>
      </c>
      <c r="R565">
        <v>28.7</v>
      </c>
      <c r="S565">
        <v>0.88329999999999997</v>
      </c>
      <c r="T565">
        <v>0.88170000000000004</v>
      </c>
    </row>
    <row r="566" spans="14:20">
      <c r="N566">
        <v>56.4</v>
      </c>
      <c r="O566">
        <v>0.75280000000000002</v>
      </c>
      <c r="Q566">
        <v>0.88329999999999997</v>
      </c>
      <c r="R566">
        <v>28.6</v>
      </c>
      <c r="S566">
        <v>0.88380000000000003</v>
      </c>
      <c r="T566">
        <v>0.88219999999999998</v>
      </c>
    </row>
    <row r="567" spans="14:20">
      <c r="N567">
        <v>56.5</v>
      </c>
      <c r="O567">
        <v>0.75239999999999996</v>
      </c>
      <c r="Q567">
        <v>0.88390000000000002</v>
      </c>
      <c r="R567">
        <v>28.5</v>
      </c>
      <c r="S567">
        <v>0.88439999999999996</v>
      </c>
      <c r="T567">
        <v>0.88280000000000003</v>
      </c>
    </row>
    <row r="568" spans="14:20">
      <c r="N568">
        <v>56.6</v>
      </c>
      <c r="O568">
        <v>0.752</v>
      </c>
      <c r="Q568">
        <v>0.88439999999999996</v>
      </c>
      <c r="R568">
        <v>28.4</v>
      </c>
      <c r="S568">
        <v>0.88490000000000002</v>
      </c>
      <c r="T568">
        <v>0.88329999999999997</v>
      </c>
    </row>
    <row r="569" spans="14:20">
      <c r="N569">
        <v>56.7</v>
      </c>
      <c r="O569">
        <v>0.75160000000000005</v>
      </c>
      <c r="Q569">
        <v>0.88500000000000001</v>
      </c>
      <c r="R569">
        <v>28.3</v>
      </c>
      <c r="S569">
        <v>0.88549999999999995</v>
      </c>
      <c r="T569">
        <v>0.88390000000000002</v>
      </c>
    </row>
    <row r="570" spans="14:20">
      <c r="N570">
        <v>56.8</v>
      </c>
      <c r="O570">
        <v>0.75119999999999998</v>
      </c>
      <c r="Q570">
        <v>0.88549999999999995</v>
      </c>
      <c r="R570">
        <v>28.2</v>
      </c>
      <c r="S570">
        <v>0.88600000000000001</v>
      </c>
      <c r="T570">
        <v>0.88439999999999996</v>
      </c>
    </row>
    <row r="571" spans="14:20">
      <c r="N571">
        <v>56.9</v>
      </c>
      <c r="O571">
        <v>0.75080000000000002</v>
      </c>
      <c r="Q571">
        <v>0.8861</v>
      </c>
      <c r="R571">
        <v>28.1</v>
      </c>
      <c r="S571">
        <v>0.88660000000000005</v>
      </c>
      <c r="T571">
        <v>0.88500000000000001</v>
      </c>
    </row>
    <row r="572" spans="14:20">
      <c r="N572">
        <v>57</v>
      </c>
      <c r="O572">
        <v>0.75039999999999996</v>
      </c>
      <c r="Q572">
        <v>0.88670000000000004</v>
      </c>
      <c r="R572">
        <v>28</v>
      </c>
      <c r="S572">
        <v>0.8871</v>
      </c>
      <c r="T572">
        <v>0.88560000000000005</v>
      </c>
    </row>
    <row r="573" spans="14:20">
      <c r="N573">
        <v>57.1</v>
      </c>
      <c r="O573">
        <v>0.75</v>
      </c>
      <c r="Q573">
        <v>0.88719999999999999</v>
      </c>
      <c r="R573">
        <v>27.9</v>
      </c>
      <c r="S573">
        <v>0.88770000000000004</v>
      </c>
      <c r="T573">
        <v>0.8861</v>
      </c>
    </row>
    <row r="574" spans="14:20">
      <c r="N574">
        <v>57.2</v>
      </c>
      <c r="O574">
        <v>0.74960000000000004</v>
      </c>
      <c r="Q574">
        <v>0.88780000000000003</v>
      </c>
      <c r="R574">
        <v>27.8</v>
      </c>
      <c r="S574">
        <v>0.88829999999999998</v>
      </c>
      <c r="T574">
        <v>0.88670000000000004</v>
      </c>
    </row>
    <row r="575" spans="14:20">
      <c r="N575">
        <v>57.3</v>
      </c>
      <c r="O575">
        <v>0.74919999999999998</v>
      </c>
      <c r="Q575">
        <v>0.88829999999999998</v>
      </c>
      <c r="R575">
        <v>27.7</v>
      </c>
      <c r="S575">
        <v>0.88880000000000003</v>
      </c>
      <c r="T575">
        <v>0.88719999999999999</v>
      </c>
    </row>
    <row r="576" spans="14:20">
      <c r="N576">
        <v>57.4</v>
      </c>
      <c r="O576">
        <v>0.74880000000000002</v>
      </c>
      <c r="Q576">
        <v>0.88890000000000002</v>
      </c>
      <c r="R576">
        <v>27.6</v>
      </c>
      <c r="S576">
        <v>0.88939999999999997</v>
      </c>
      <c r="T576">
        <v>0.88780000000000003</v>
      </c>
    </row>
    <row r="577" spans="14:20">
      <c r="N577">
        <v>57.5</v>
      </c>
      <c r="O577">
        <v>0.74839999999999995</v>
      </c>
      <c r="Q577">
        <v>0.88939999999999997</v>
      </c>
      <c r="R577">
        <v>27.5</v>
      </c>
      <c r="S577">
        <v>0.88990000000000002</v>
      </c>
      <c r="T577">
        <v>0.88829999999999998</v>
      </c>
    </row>
    <row r="578" spans="14:20">
      <c r="N578">
        <v>57.6</v>
      </c>
      <c r="O578">
        <v>0.748</v>
      </c>
      <c r="Q578">
        <v>0.89</v>
      </c>
      <c r="R578">
        <v>27.4</v>
      </c>
      <c r="S578">
        <v>0.89049999999999996</v>
      </c>
      <c r="T578">
        <v>0.88890000000000002</v>
      </c>
    </row>
    <row r="579" spans="14:20">
      <c r="N579">
        <v>57.7</v>
      </c>
      <c r="O579">
        <v>0.74760000000000004</v>
      </c>
      <c r="Q579">
        <v>0.89059999999999995</v>
      </c>
      <c r="R579">
        <v>27.3</v>
      </c>
      <c r="S579">
        <v>0.8911</v>
      </c>
      <c r="T579">
        <v>0.88949999999999996</v>
      </c>
    </row>
    <row r="580" spans="14:20">
      <c r="N580">
        <v>57.8</v>
      </c>
      <c r="O580">
        <v>0.74729999999999996</v>
      </c>
      <c r="Q580">
        <v>0.8911</v>
      </c>
      <c r="R580">
        <v>27.2</v>
      </c>
      <c r="S580">
        <v>0.89159999999999995</v>
      </c>
      <c r="T580">
        <v>0.89</v>
      </c>
    </row>
    <row r="581" spans="14:20">
      <c r="N581">
        <v>57.9</v>
      </c>
      <c r="O581">
        <v>0.74690000000000001</v>
      </c>
      <c r="Q581">
        <v>0.89170000000000005</v>
      </c>
      <c r="R581">
        <v>27.1</v>
      </c>
      <c r="S581">
        <v>0.89219999999999999</v>
      </c>
      <c r="T581">
        <v>0.89059999999999995</v>
      </c>
    </row>
    <row r="582" spans="14:20">
      <c r="N582">
        <v>58</v>
      </c>
      <c r="O582">
        <v>0.74650000000000005</v>
      </c>
      <c r="Q582">
        <v>0.89219999999999999</v>
      </c>
      <c r="R582">
        <v>27</v>
      </c>
      <c r="S582">
        <v>0.89270000000000005</v>
      </c>
      <c r="T582">
        <v>0.8911</v>
      </c>
    </row>
    <row r="583" spans="14:20">
      <c r="N583">
        <v>58.1</v>
      </c>
      <c r="O583">
        <v>0.74609999999999999</v>
      </c>
      <c r="Q583">
        <v>0.89280000000000004</v>
      </c>
      <c r="R583">
        <v>26.9</v>
      </c>
      <c r="S583">
        <v>0.89329999999999998</v>
      </c>
      <c r="T583">
        <v>0.89170000000000005</v>
      </c>
    </row>
    <row r="584" spans="14:20">
      <c r="N584">
        <v>58.2</v>
      </c>
      <c r="O584">
        <v>0.74570000000000003</v>
      </c>
      <c r="Q584">
        <v>0.89339999999999997</v>
      </c>
      <c r="R584">
        <v>26.8</v>
      </c>
      <c r="S584">
        <v>0.89390000000000003</v>
      </c>
      <c r="T584">
        <v>0.89229999999999998</v>
      </c>
    </row>
    <row r="585" spans="14:20">
      <c r="N585">
        <v>58.3</v>
      </c>
      <c r="O585">
        <v>0.74529999999999996</v>
      </c>
      <c r="Q585">
        <v>0.89390000000000003</v>
      </c>
      <c r="R585">
        <v>26.7</v>
      </c>
      <c r="S585">
        <v>0.89439999999999997</v>
      </c>
      <c r="T585">
        <v>0.89280000000000004</v>
      </c>
    </row>
    <row r="586" spans="14:20">
      <c r="N586">
        <v>58.4</v>
      </c>
      <c r="O586">
        <v>0.74490000000000001</v>
      </c>
      <c r="Q586">
        <v>0.89449999999999996</v>
      </c>
      <c r="R586">
        <v>26.6</v>
      </c>
      <c r="S586">
        <v>0.89500000000000002</v>
      </c>
      <c r="T586">
        <v>0.89339999999999997</v>
      </c>
    </row>
    <row r="587" spans="14:20">
      <c r="N587">
        <v>58.5</v>
      </c>
      <c r="O587">
        <v>0.74450000000000005</v>
      </c>
      <c r="Q587">
        <v>0.89510000000000001</v>
      </c>
      <c r="R587">
        <v>26.5</v>
      </c>
      <c r="S587">
        <v>0.89559999999999995</v>
      </c>
      <c r="T587">
        <v>0.89400000000000002</v>
      </c>
    </row>
    <row r="588" spans="14:20">
      <c r="N588">
        <v>58.6</v>
      </c>
      <c r="O588">
        <v>0.74409999999999998</v>
      </c>
      <c r="Q588">
        <v>0.89559999999999995</v>
      </c>
      <c r="R588">
        <v>26.4</v>
      </c>
      <c r="S588">
        <v>0.89610000000000001</v>
      </c>
      <c r="T588">
        <v>0.89449999999999996</v>
      </c>
    </row>
    <row r="589" spans="14:20">
      <c r="N589">
        <v>58.7</v>
      </c>
      <c r="O589">
        <v>0.74370000000000003</v>
      </c>
      <c r="Q589">
        <v>0.8962</v>
      </c>
      <c r="R589">
        <v>26.3</v>
      </c>
      <c r="S589">
        <v>0.89670000000000005</v>
      </c>
      <c r="T589">
        <v>0.89510000000000001</v>
      </c>
    </row>
    <row r="590" spans="14:20">
      <c r="N590">
        <v>58.8</v>
      </c>
      <c r="O590">
        <v>0.74329999999999996</v>
      </c>
      <c r="Q590">
        <v>0.89680000000000004</v>
      </c>
      <c r="R590">
        <v>26.2</v>
      </c>
      <c r="S590">
        <v>0.89729999999999999</v>
      </c>
      <c r="T590">
        <v>0.89570000000000005</v>
      </c>
    </row>
    <row r="591" spans="14:20">
      <c r="N591">
        <v>58.9</v>
      </c>
      <c r="O591">
        <v>0.7429</v>
      </c>
      <c r="Q591">
        <v>0.89729999999999999</v>
      </c>
      <c r="R591">
        <v>26.1</v>
      </c>
      <c r="S591">
        <v>0.89780000000000004</v>
      </c>
      <c r="T591">
        <v>0.8962</v>
      </c>
    </row>
    <row r="592" spans="14:20">
      <c r="N592">
        <v>59</v>
      </c>
      <c r="O592">
        <v>0.74260000000000004</v>
      </c>
      <c r="Q592">
        <v>0.89790000000000003</v>
      </c>
      <c r="R592">
        <v>26</v>
      </c>
      <c r="S592">
        <v>0.89839999999999998</v>
      </c>
      <c r="T592">
        <v>0.89680000000000004</v>
      </c>
    </row>
    <row r="593" spans="14:20">
      <c r="N593">
        <v>59.1</v>
      </c>
      <c r="O593">
        <v>0.74219999999999997</v>
      </c>
      <c r="Q593">
        <v>0.89849999999999997</v>
      </c>
      <c r="R593">
        <v>25.9</v>
      </c>
      <c r="S593">
        <v>0.89900000000000002</v>
      </c>
      <c r="T593">
        <v>0.89739999999999998</v>
      </c>
    </row>
    <row r="594" spans="14:20">
      <c r="N594">
        <v>59.2</v>
      </c>
      <c r="O594">
        <v>0.74180000000000001</v>
      </c>
      <c r="Q594">
        <v>0.89910000000000001</v>
      </c>
      <c r="R594">
        <v>25.8</v>
      </c>
      <c r="S594">
        <v>0.89959999999999996</v>
      </c>
      <c r="T594">
        <v>0.89800000000000002</v>
      </c>
    </row>
    <row r="595" spans="14:20">
      <c r="N595">
        <v>59.3</v>
      </c>
      <c r="O595">
        <v>0.74139999999999995</v>
      </c>
      <c r="Q595">
        <v>0.89959999999999996</v>
      </c>
      <c r="R595">
        <v>25.7</v>
      </c>
      <c r="S595">
        <v>0.90010000000000001</v>
      </c>
      <c r="T595">
        <v>0.89849999999999997</v>
      </c>
    </row>
    <row r="596" spans="14:20">
      <c r="N596">
        <v>59.4</v>
      </c>
      <c r="O596">
        <v>0.74099999999999999</v>
      </c>
      <c r="Q596">
        <v>0.9002</v>
      </c>
      <c r="R596">
        <v>25.6</v>
      </c>
      <c r="S596">
        <v>0.90069999999999995</v>
      </c>
      <c r="T596">
        <v>0.89910000000000001</v>
      </c>
    </row>
    <row r="597" spans="14:20">
      <c r="N597">
        <v>59.5</v>
      </c>
      <c r="O597">
        <v>0.74060000000000004</v>
      </c>
      <c r="Q597">
        <v>0.90080000000000005</v>
      </c>
      <c r="R597">
        <v>25.5</v>
      </c>
      <c r="S597">
        <v>0.90129999999999999</v>
      </c>
      <c r="T597">
        <v>0.89970000000000006</v>
      </c>
    </row>
    <row r="598" spans="14:20">
      <c r="N598">
        <v>59.6</v>
      </c>
      <c r="O598">
        <v>0.74019999999999997</v>
      </c>
      <c r="Q598">
        <v>0.90129999999999999</v>
      </c>
      <c r="R598">
        <v>25.4</v>
      </c>
      <c r="S598">
        <v>0.90180000000000005</v>
      </c>
      <c r="T598">
        <v>0.9002</v>
      </c>
    </row>
    <row r="599" spans="14:20">
      <c r="N599">
        <v>59.7</v>
      </c>
      <c r="O599">
        <v>0.73980000000000001</v>
      </c>
      <c r="Q599">
        <v>0.90190000000000003</v>
      </c>
      <c r="R599">
        <v>25.3</v>
      </c>
      <c r="S599">
        <v>0.90239999999999998</v>
      </c>
      <c r="T599">
        <v>0.90080000000000005</v>
      </c>
    </row>
    <row r="600" spans="14:20">
      <c r="N600">
        <v>59.8</v>
      </c>
      <c r="O600">
        <v>0.73939999999999995</v>
      </c>
      <c r="Q600">
        <v>0.90249999999999997</v>
      </c>
      <c r="R600">
        <v>25.2</v>
      </c>
      <c r="S600">
        <v>0.90300000000000002</v>
      </c>
      <c r="T600">
        <v>0.90139999999999998</v>
      </c>
    </row>
    <row r="601" spans="14:20">
      <c r="N601">
        <v>59.9</v>
      </c>
      <c r="O601">
        <v>0.73909999999999998</v>
      </c>
      <c r="Q601">
        <v>0.90310000000000001</v>
      </c>
      <c r="R601">
        <v>25.1</v>
      </c>
      <c r="S601">
        <v>0.90359999999999996</v>
      </c>
      <c r="T601">
        <v>0.90200000000000002</v>
      </c>
    </row>
    <row r="602" spans="14:20">
      <c r="N602">
        <v>60</v>
      </c>
      <c r="O602">
        <v>0.73870000000000002</v>
      </c>
      <c r="Q602">
        <v>0.90359999999999996</v>
      </c>
      <c r="R602">
        <v>25</v>
      </c>
      <c r="S602">
        <v>0.9042</v>
      </c>
      <c r="T602">
        <v>0.90249999999999997</v>
      </c>
    </row>
    <row r="603" spans="14:20">
      <c r="N603">
        <v>60.1</v>
      </c>
      <c r="O603">
        <v>0.73829999999999996</v>
      </c>
      <c r="Q603">
        <v>0.9042</v>
      </c>
      <c r="R603">
        <v>24.9</v>
      </c>
      <c r="S603">
        <v>0.90469999999999995</v>
      </c>
      <c r="T603">
        <v>0.90310000000000001</v>
      </c>
    </row>
    <row r="604" spans="14:20">
      <c r="N604">
        <v>60.2</v>
      </c>
      <c r="O604">
        <v>0.7379</v>
      </c>
      <c r="Q604">
        <v>0.90480000000000005</v>
      </c>
      <c r="R604">
        <v>24.8</v>
      </c>
      <c r="S604">
        <v>0.90529999999999999</v>
      </c>
      <c r="T604">
        <v>0.90369999999999995</v>
      </c>
    </row>
    <row r="605" spans="14:20">
      <c r="N605">
        <v>60.3</v>
      </c>
      <c r="O605">
        <v>0.73750000000000004</v>
      </c>
      <c r="Q605">
        <v>0.90539999999999998</v>
      </c>
      <c r="R605">
        <v>24.7</v>
      </c>
      <c r="S605">
        <v>0.90590000000000004</v>
      </c>
      <c r="T605">
        <v>0.90429999999999999</v>
      </c>
    </row>
    <row r="606" spans="14:20">
      <c r="N606">
        <v>60.4</v>
      </c>
      <c r="O606">
        <v>0.73709999999999998</v>
      </c>
      <c r="Q606">
        <v>0.90600000000000003</v>
      </c>
      <c r="R606">
        <v>24.6</v>
      </c>
      <c r="S606">
        <v>0.90649999999999997</v>
      </c>
      <c r="T606">
        <v>0.90490000000000004</v>
      </c>
    </row>
    <row r="607" spans="14:20">
      <c r="N607">
        <v>60.5</v>
      </c>
      <c r="O607">
        <v>0.73680000000000001</v>
      </c>
      <c r="Q607">
        <v>0.90649999999999997</v>
      </c>
      <c r="R607">
        <v>24.5</v>
      </c>
      <c r="S607">
        <v>0.90710000000000002</v>
      </c>
      <c r="T607">
        <v>0.90539999999999998</v>
      </c>
    </row>
    <row r="608" spans="14:20">
      <c r="N608">
        <v>60.6</v>
      </c>
      <c r="O608">
        <v>0.73640000000000005</v>
      </c>
      <c r="Q608">
        <v>0.90710000000000002</v>
      </c>
      <c r="R608">
        <v>24.4</v>
      </c>
      <c r="S608">
        <v>0.90759999999999996</v>
      </c>
      <c r="T608">
        <v>0.90600000000000003</v>
      </c>
    </row>
    <row r="609" spans="14:20">
      <c r="N609">
        <v>60.7</v>
      </c>
      <c r="O609">
        <v>0.73599999999999999</v>
      </c>
      <c r="Q609">
        <v>0.90769999999999995</v>
      </c>
      <c r="R609">
        <v>24.3</v>
      </c>
      <c r="S609">
        <v>0.90820000000000001</v>
      </c>
      <c r="T609">
        <v>0.90659999999999996</v>
      </c>
    </row>
    <row r="610" spans="14:20">
      <c r="N610">
        <v>60.8</v>
      </c>
      <c r="O610">
        <v>0.73560000000000003</v>
      </c>
      <c r="Q610">
        <v>0.9083</v>
      </c>
      <c r="R610">
        <v>24.2</v>
      </c>
      <c r="S610">
        <v>0.90880000000000005</v>
      </c>
      <c r="T610">
        <v>0.90720000000000001</v>
      </c>
    </row>
    <row r="611" spans="14:20">
      <c r="N611">
        <v>60.9</v>
      </c>
      <c r="O611">
        <v>0.73519999999999996</v>
      </c>
      <c r="Q611">
        <v>0.90890000000000004</v>
      </c>
      <c r="R611">
        <v>24.1</v>
      </c>
      <c r="S611">
        <v>0.90939999999999999</v>
      </c>
      <c r="T611">
        <v>0.90780000000000005</v>
      </c>
    </row>
    <row r="612" spans="14:20">
      <c r="N612">
        <v>61</v>
      </c>
      <c r="O612">
        <v>0.73480000000000001</v>
      </c>
      <c r="Q612">
        <v>0.90949999999999998</v>
      </c>
      <c r="R612">
        <v>24</v>
      </c>
      <c r="S612">
        <v>0.91</v>
      </c>
      <c r="T612">
        <v>0.90839999999999999</v>
      </c>
    </row>
    <row r="613" spans="14:20">
      <c r="N613">
        <v>61.1</v>
      </c>
      <c r="O613">
        <v>0.73450000000000004</v>
      </c>
      <c r="Q613">
        <v>0.91</v>
      </c>
      <c r="R613">
        <v>23.9</v>
      </c>
      <c r="S613">
        <v>0.91059999999999997</v>
      </c>
      <c r="T613">
        <v>0.90890000000000004</v>
      </c>
    </row>
    <row r="614" spans="14:20">
      <c r="N614">
        <v>61.2</v>
      </c>
      <c r="O614">
        <v>0.73409999999999997</v>
      </c>
      <c r="Q614">
        <v>0.91059999999999997</v>
      </c>
      <c r="R614">
        <v>23.8</v>
      </c>
      <c r="S614">
        <v>0.91110000000000002</v>
      </c>
      <c r="T614">
        <v>0.90949999999999998</v>
      </c>
    </row>
    <row r="615" spans="14:20">
      <c r="N615">
        <v>61.3</v>
      </c>
      <c r="O615">
        <v>0.73370000000000002</v>
      </c>
      <c r="Q615">
        <v>0.91120000000000001</v>
      </c>
      <c r="R615">
        <v>23.7</v>
      </c>
      <c r="S615">
        <v>0.91169999999999995</v>
      </c>
      <c r="T615">
        <v>0.91010000000000002</v>
      </c>
    </row>
    <row r="616" spans="14:20">
      <c r="N616">
        <v>61.4</v>
      </c>
      <c r="O616">
        <v>0.73329999999999995</v>
      </c>
      <c r="Q616">
        <v>0.91180000000000005</v>
      </c>
      <c r="R616">
        <v>23.6</v>
      </c>
      <c r="S616">
        <v>0.9123</v>
      </c>
      <c r="T616">
        <v>0.91069999999999995</v>
      </c>
    </row>
    <row r="617" spans="14:20">
      <c r="N617">
        <v>61.5</v>
      </c>
      <c r="O617">
        <v>0.7329</v>
      </c>
      <c r="Q617">
        <v>0.91239999999999999</v>
      </c>
      <c r="R617">
        <v>23.5</v>
      </c>
      <c r="S617">
        <v>0.91290000000000004</v>
      </c>
      <c r="T617">
        <v>0.9113</v>
      </c>
    </row>
    <row r="618" spans="14:20">
      <c r="N618">
        <v>61.6</v>
      </c>
      <c r="O618">
        <v>0.73260000000000003</v>
      </c>
      <c r="Q618">
        <v>0.91300000000000003</v>
      </c>
      <c r="R618">
        <v>23.4</v>
      </c>
      <c r="S618">
        <v>0.91349999999999998</v>
      </c>
      <c r="T618">
        <v>0.91190000000000004</v>
      </c>
    </row>
    <row r="619" spans="14:20">
      <c r="N619">
        <v>61.7</v>
      </c>
      <c r="O619">
        <v>0.73219999999999996</v>
      </c>
      <c r="Q619">
        <v>0.91359999999999997</v>
      </c>
      <c r="R619">
        <v>23.3</v>
      </c>
      <c r="S619">
        <v>0.91410000000000002</v>
      </c>
      <c r="T619">
        <v>0.91249999999999998</v>
      </c>
    </row>
    <row r="620" spans="14:20">
      <c r="N620">
        <v>61.8</v>
      </c>
      <c r="O620">
        <v>0.73180000000000001</v>
      </c>
      <c r="Q620">
        <v>0.91420000000000001</v>
      </c>
      <c r="R620">
        <v>23.2</v>
      </c>
      <c r="S620">
        <v>0.91469999999999996</v>
      </c>
      <c r="T620">
        <v>0.91310000000000002</v>
      </c>
    </row>
    <row r="621" spans="14:20">
      <c r="N621">
        <v>61.9</v>
      </c>
      <c r="O621">
        <v>0.73140000000000005</v>
      </c>
      <c r="Q621">
        <v>0.91469999999999996</v>
      </c>
      <c r="R621">
        <v>23.1</v>
      </c>
      <c r="S621">
        <v>0.9153</v>
      </c>
      <c r="T621">
        <v>0.91359999999999997</v>
      </c>
    </row>
    <row r="622" spans="14:20">
      <c r="N622">
        <v>62</v>
      </c>
      <c r="O622">
        <v>0.73109999999999997</v>
      </c>
      <c r="Q622">
        <v>0.9153</v>
      </c>
      <c r="R622">
        <v>23</v>
      </c>
      <c r="S622">
        <v>0.91590000000000005</v>
      </c>
      <c r="T622">
        <v>0.91420000000000001</v>
      </c>
    </row>
    <row r="623" spans="14:20">
      <c r="N623">
        <v>62.1</v>
      </c>
      <c r="O623">
        <v>0.73070000000000002</v>
      </c>
      <c r="Q623">
        <v>0.91590000000000005</v>
      </c>
      <c r="R623">
        <v>22.9</v>
      </c>
      <c r="S623">
        <v>0.91649999999999998</v>
      </c>
      <c r="T623">
        <v>0.91479999999999995</v>
      </c>
    </row>
    <row r="624" spans="14:20">
      <c r="N624">
        <v>62.2</v>
      </c>
      <c r="O624">
        <v>0.73029999999999995</v>
      </c>
      <c r="Q624">
        <v>0.91649999999999998</v>
      </c>
      <c r="R624">
        <v>22.8</v>
      </c>
      <c r="S624">
        <v>0.91700000000000004</v>
      </c>
      <c r="T624">
        <v>0.91539999999999999</v>
      </c>
    </row>
    <row r="625" spans="14:20">
      <c r="N625">
        <v>62.3</v>
      </c>
      <c r="O625">
        <v>0.72989999999999999</v>
      </c>
      <c r="Q625">
        <v>0.91710000000000003</v>
      </c>
      <c r="R625">
        <v>22.7</v>
      </c>
      <c r="S625">
        <v>0.91759999999999997</v>
      </c>
      <c r="T625">
        <v>0.91600000000000004</v>
      </c>
    </row>
    <row r="626" spans="14:20">
      <c r="N626">
        <v>62.4</v>
      </c>
      <c r="O626">
        <v>0.72950000000000004</v>
      </c>
      <c r="Q626">
        <v>0.91769999999999996</v>
      </c>
      <c r="R626">
        <v>22.6</v>
      </c>
      <c r="S626">
        <v>0.91820000000000002</v>
      </c>
      <c r="T626">
        <v>0.91659999999999997</v>
      </c>
    </row>
    <row r="627" spans="14:20">
      <c r="N627">
        <v>62.5</v>
      </c>
      <c r="O627">
        <v>0.72919999999999996</v>
      </c>
      <c r="Q627">
        <v>0.91830000000000001</v>
      </c>
      <c r="R627">
        <v>22.5</v>
      </c>
      <c r="S627">
        <v>0.91879999999999995</v>
      </c>
      <c r="T627">
        <v>0.91720000000000002</v>
      </c>
    </row>
    <row r="628" spans="14:20">
      <c r="N628">
        <v>62.6</v>
      </c>
      <c r="O628">
        <v>0.7288</v>
      </c>
      <c r="Q628">
        <v>0.91890000000000005</v>
      </c>
      <c r="R628">
        <v>22.4</v>
      </c>
      <c r="S628">
        <v>0.9194</v>
      </c>
      <c r="T628">
        <v>0.91779999999999995</v>
      </c>
    </row>
    <row r="629" spans="14:20">
      <c r="N629">
        <v>62.7</v>
      </c>
      <c r="O629">
        <v>0.72840000000000005</v>
      </c>
      <c r="Q629">
        <v>0.91949999999999998</v>
      </c>
      <c r="R629">
        <v>22.3</v>
      </c>
      <c r="S629">
        <v>0.92</v>
      </c>
      <c r="T629">
        <v>0.91839999999999999</v>
      </c>
    </row>
    <row r="630" spans="14:20">
      <c r="N630">
        <v>62.8</v>
      </c>
      <c r="O630">
        <v>0.72799999999999998</v>
      </c>
      <c r="Q630">
        <v>0.92010000000000003</v>
      </c>
      <c r="R630">
        <v>22.2</v>
      </c>
      <c r="S630">
        <v>0.92059999999999997</v>
      </c>
      <c r="T630">
        <v>0.91900000000000004</v>
      </c>
    </row>
    <row r="631" spans="14:20">
      <c r="N631">
        <v>62.9</v>
      </c>
      <c r="O631">
        <v>0.72770000000000001</v>
      </c>
      <c r="Q631">
        <v>0.92069999999999996</v>
      </c>
      <c r="R631">
        <v>22.1</v>
      </c>
      <c r="S631">
        <v>0.92120000000000002</v>
      </c>
      <c r="T631">
        <v>0.91959999999999997</v>
      </c>
    </row>
    <row r="632" spans="14:20">
      <c r="N632">
        <v>63</v>
      </c>
      <c r="O632">
        <v>0.72729999999999995</v>
      </c>
      <c r="Q632">
        <v>0.92130000000000001</v>
      </c>
      <c r="R632">
        <v>22</v>
      </c>
      <c r="S632">
        <v>0.92179999999999995</v>
      </c>
      <c r="T632">
        <v>0.92020000000000002</v>
      </c>
    </row>
    <row r="633" spans="14:20">
      <c r="N633">
        <v>63.1</v>
      </c>
      <c r="O633">
        <v>0.72689999999999999</v>
      </c>
      <c r="Q633">
        <v>0.92190000000000005</v>
      </c>
      <c r="R633">
        <v>21.9</v>
      </c>
      <c r="S633">
        <v>0.9224</v>
      </c>
      <c r="T633">
        <v>0.92079999999999995</v>
      </c>
    </row>
    <row r="634" spans="14:20">
      <c r="N634">
        <v>63.2</v>
      </c>
      <c r="O634">
        <v>0.72650000000000003</v>
      </c>
      <c r="Q634">
        <v>0.92249999999999999</v>
      </c>
      <c r="R634">
        <v>21.8</v>
      </c>
      <c r="S634">
        <v>0.92300000000000004</v>
      </c>
      <c r="T634">
        <v>0.9214</v>
      </c>
    </row>
    <row r="635" spans="14:20">
      <c r="N635">
        <v>63.3</v>
      </c>
      <c r="O635">
        <v>0.72619999999999996</v>
      </c>
      <c r="Q635">
        <v>0.92310000000000003</v>
      </c>
      <c r="R635">
        <v>21.7</v>
      </c>
      <c r="S635">
        <v>0.92359999999999998</v>
      </c>
      <c r="T635">
        <v>0.92200000000000004</v>
      </c>
    </row>
    <row r="636" spans="14:20">
      <c r="N636">
        <v>63.4</v>
      </c>
      <c r="O636">
        <v>0.7258</v>
      </c>
      <c r="Q636">
        <v>0.92369999999999997</v>
      </c>
      <c r="R636">
        <v>21.6</v>
      </c>
      <c r="S636">
        <v>0.92420000000000002</v>
      </c>
      <c r="T636">
        <v>0.92259999999999998</v>
      </c>
    </row>
    <row r="637" spans="14:20">
      <c r="N637">
        <v>63.5</v>
      </c>
      <c r="O637">
        <v>0.72540000000000004</v>
      </c>
      <c r="Q637">
        <v>0.92430000000000001</v>
      </c>
      <c r="R637">
        <v>21.5</v>
      </c>
      <c r="S637">
        <v>0.92479999999999996</v>
      </c>
      <c r="T637">
        <v>0.92320000000000002</v>
      </c>
    </row>
    <row r="638" spans="14:20">
      <c r="N638">
        <v>63.6</v>
      </c>
      <c r="O638">
        <v>0.72509999999999997</v>
      </c>
      <c r="Q638">
        <v>0.92490000000000006</v>
      </c>
      <c r="R638">
        <v>21.4</v>
      </c>
      <c r="S638">
        <v>0.9254</v>
      </c>
      <c r="T638">
        <v>0.92379999999999995</v>
      </c>
    </row>
    <row r="639" spans="14:20">
      <c r="N639">
        <v>63.7</v>
      </c>
      <c r="O639">
        <v>0.72470000000000001</v>
      </c>
      <c r="Q639">
        <v>0.92549999999999999</v>
      </c>
      <c r="R639">
        <v>21.3</v>
      </c>
      <c r="S639">
        <v>0.92600000000000005</v>
      </c>
      <c r="T639">
        <v>0.9244</v>
      </c>
    </row>
    <row r="640" spans="14:20">
      <c r="N640">
        <v>63.8</v>
      </c>
      <c r="O640">
        <v>0.72430000000000005</v>
      </c>
      <c r="Q640">
        <v>0.92610000000000003</v>
      </c>
      <c r="R640">
        <v>21.2</v>
      </c>
      <c r="S640">
        <v>0.92669999999999997</v>
      </c>
      <c r="T640">
        <v>0.92500000000000004</v>
      </c>
    </row>
    <row r="641" spans="14:20">
      <c r="N641">
        <v>63.9</v>
      </c>
      <c r="O641">
        <v>0.72389999999999999</v>
      </c>
      <c r="Q641">
        <v>0.92669999999999997</v>
      </c>
      <c r="R641">
        <v>21.1</v>
      </c>
      <c r="S641">
        <v>0.92730000000000001</v>
      </c>
      <c r="T641">
        <v>0.92559999999999998</v>
      </c>
    </row>
    <row r="642" spans="14:20">
      <c r="N642">
        <v>64</v>
      </c>
      <c r="O642">
        <v>0.72360000000000002</v>
      </c>
      <c r="Q642">
        <v>0.92730000000000001</v>
      </c>
      <c r="R642">
        <v>21</v>
      </c>
      <c r="S642">
        <v>0.92789999999999995</v>
      </c>
      <c r="T642">
        <v>0.92620000000000002</v>
      </c>
    </row>
    <row r="643" spans="14:20">
      <c r="N643">
        <v>64.099999999999994</v>
      </c>
      <c r="O643">
        <v>0.72319999999999995</v>
      </c>
      <c r="Q643">
        <v>0.92789999999999995</v>
      </c>
      <c r="R643">
        <v>20.9</v>
      </c>
      <c r="S643">
        <v>0.92849999999999999</v>
      </c>
      <c r="T643">
        <v>0.92679999999999996</v>
      </c>
    </row>
    <row r="644" spans="14:20">
      <c r="N644">
        <v>64.2</v>
      </c>
      <c r="O644">
        <v>0.7228</v>
      </c>
      <c r="Q644">
        <v>0.92859999999999998</v>
      </c>
      <c r="R644">
        <v>20.8</v>
      </c>
      <c r="S644">
        <v>0.92910000000000004</v>
      </c>
      <c r="T644">
        <v>0.92749999999999999</v>
      </c>
    </row>
    <row r="645" spans="14:20">
      <c r="N645">
        <v>64.3</v>
      </c>
      <c r="O645">
        <v>0.72250000000000003</v>
      </c>
      <c r="Q645">
        <v>0.92920000000000003</v>
      </c>
      <c r="R645">
        <v>20.7</v>
      </c>
      <c r="S645">
        <v>0.92969999999999997</v>
      </c>
      <c r="T645">
        <v>0.92810000000000004</v>
      </c>
    </row>
    <row r="646" spans="14:20">
      <c r="N646">
        <v>64.400000000000006</v>
      </c>
      <c r="O646">
        <v>0.72209999999999996</v>
      </c>
      <c r="Q646">
        <v>0.92979999999999996</v>
      </c>
      <c r="R646">
        <v>20.6</v>
      </c>
      <c r="S646">
        <v>0.93030000000000002</v>
      </c>
      <c r="T646">
        <v>0.92869999999999997</v>
      </c>
    </row>
    <row r="647" spans="14:20">
      <c r="N647">
        <v>64.5</v>
      </c>
      <c r="O647">
        <v>0.72170000000000001</v>
      </c>
      <c r="Q647">
        <v>0.9304</v>
      </c>
      <c r="R647">
        <v>20.5</v>
      </c>
      <c r="S647">
        <v>0.93089999999999995</v>
      </c>
      <c r="T647">
        <v>0.92930000000000001</v>
      </c>
    </row>
    <row r="648" spans="14:20">
      <c r="N648">
        <v>64.599999999999994</v>
      </c>
      <c r="O648">
        <v>0.72140000000000004</v>
      </c>
      <c r="Q648">
        <v>0.93100000000000005</v>
      </c>
      <c r="R648">
        <v>20.399999999999999</v>
      </c>
      <c r="S648">
        <v>0.93149999999999999</v>
      </c>
      <c r="T648">
        <v>0.92989999999999995</v>
      </c>
    </row>
    <row r="649" spans="14:20">
      <c r="N649">
        <v>64.7</v>
      </c>
      <c r="O649">
        <v>0.72099999999999997</v>
      </c>
      <c r="Q649">
        <v>0.93159999999999998</v>
      </c>
      <c r="R649">
        <v>20.3</v>
      </c>
      <c r="S649">
        <v>0.93210000000000004</v>
      </c>
      <c r="T649">
        <v>0.93049999999999999</v>
      </c>
    </row>
    <row r="650" spans="14:20">
      <c r="N650">
        <v>64.8</v>
      </c>
      <c r="O650">
        <v>0.72060000000000002</v>
      </c>
      <c r="Q650">
        <v>0.93220000000000003</v>
      </c>
      <c r="R650">
        <v>20.2</v>
      </c>
      <c r="S650">
        <v>0.93279999999999996</v>
      </c>
      <c r="T650">
        <v>0.93110000000000004</v>
      </c>
    </row>
    <row r="651" spans="14:20">
      <c r="N651">
        <v>64.900000000000006</v>
      </c>
      <c r="O651">
        <v>0.72030000000000005</v>
      </c>
      <c r="Q651">
        <v>0.93279999999999996</v>
      </c>
      <c r="R651">
        <v>20.100000000000001</v>
      </c>
      <c r="S651">
        <v>0.93340000000000001</v>
      </c>
      <c r="T651">
        <v>0.93169999999999997</v>
      </c>
    </row>
    <row r="652" spans="14:20">
      <c r="N652">
        <v>65</v>
      </c>
      <c r="O652">
        <v>0.71989999999999998</v>
      </c>
      <c r="Q652">
        <v>0.9335</v>
      </c>
      <c r="R652">
        <v>20</v>
      </c>
      <c r="S652">
        <v>0.93400000000000005</v>
      </c>
      <c r="T652">
        <v>0.93240000000000001</v>
      </c>
    </row>
    <row r="653" spans="14:20">
      <c r="N653">
        <v>65.099999999999994</v>
      </c>
      <c r="O653">
        <v>0.71950000000000003</v>
      </c>
      <c r="Q653">
        <v>0.93410000000000004</v>
      </c>
      <c r="R653">
        <v>19.899999999999999</v>
      </c>
      <c r="S653">
        <v>0.93459999999999999</v>
      </c>
      <c r="T653">
        <v>0.93300000000000005</v>
      </c>
    </row>
    <row r="654" spans="14:20">
      <c r="N654">
        <v>65.2</v>
      </c>
      <c r="O654">
        <v>0.71919999999999995</v>
      </c>
      <c r="Q654">
        <v>0.93469999999999998</v>
      </c>
      <c r="R654">
        <v>19.8</v>
      </c>
      <c r="S654">
        <v>0.93520000000000003</v>
      </c>
      <c r="T654">
        <v>0.93359999999999999</v>
      </c>
    </row>
    <row r="655" spans="14:20">
      <c r="N655">
        <v>65.3</v>
      </c>
      <c r="O655">
        <v>0.71879999999999999</v>
      </c>
      <c r="Q655">
        <v>0.93530000000000002</v>
      </c>
      <c r="R655">
        <v>19.7</v>
      </c>
      <c r="S655">
        <v>0.93579999999999997</v>
      </c>
      <c r="T655">
        <v>0.93420000000000003</v>
      </c>
    </row>
    <row r="656" spans="14:20">
      <c r="N656">
        <v>65.400000000000006</v>
      </c>
      <c r="O656">
        <v>0.71840000000000004</v>
      </c>
      <c r="Q656">
        <v>0.93589999999999995</v>
      </c>
      <c r="R656">
        <v>19.600000000000001</v>
      </c>
      <c r="S656">
        <v>0.9365</v>
      </c>
      <c r="T656">
        <v>0.93479999999999996</v>
      </c>
    </row>
    <row r="657" spans="14:20">
      <c r="N657">
        <v>65.5</v>
      </c>
      <c r="O657">
        <v>0.71809999999999996</v>
      </c>
      <c r="Q657">
        <v>0.9365</v>
      </c>
      <c r="R657">
        <v>19.5</v>
      </c>
      <c r="S657">
        <v>0.93710000000000004</v>
      </c>
      <c r="T657">
        <v>0.93540000000000001</v>
      </c>
    </row>
    <row r="658" spans="14:20">
      <c r="N658">
        <v>65.599999999999994</v>
      </c>
      <c r="O658">
        <v>0.7177</v>
      </c>
      <c r="Q658">
        <v>0.93720000000000003</v>
      </c>
      <c r="R658">
        <v>19.399999999999999</v>
      </c>
      <c r="S658">
        <v>0.93769999999999998</v>
      </c>
      <c r="T658">
        <v>0.93610000000000004</v>
      </c>
    </row>
    <row r="659" spans="14:20">
      <c r="N659">
        <v>65.7</v>
      </c>
      <c r="O659">
        <v>0.71730000000000005</v>
      </c>
      <c r="Q659">
        <v>0.93779999999999997</v>
      </c>
      <c r="R659">
        <v>19.3</v>
      </c>
      <c r="S659">
        <v>0.93830000000000002</v>
      </c>
      <c r="T659">
        <v>0.93669999999999998</v>
      </c>
    </row>
    <row r="660" spans="14:20">
      <c r="N660">
        <v>65.8</v>
      </c>
      <c r="O660">
        <v>0.71699999999999997</v>
      </c>
      <c r="Q660">
        <v>0.93840000000000001</v>
      </c>
      <c r="R660">
        <v>19.2</v>
      </c>
      <c r="S660">
        <v>0.93899999999999995</v>
      </c>
      <c r="T660">
        <v>0.93730000000000002</v>
      </c>
    </row>
    <row r="661" spans="14:20">
      <c r="N661">
        <v>65.900000000000006</v>
      </c>
      <c r="O661">
        <v>0.71660000000000001</v>
      </c>
      <c r="Q661">
        <v>0.93899999999999995</v>
      </c>
      <c r="R661">
        <v>19.100000000000001</v>
      </c>
      <c r="S661">
        <v>0.93959999999999999</v>
      </c>
      <c r="T661">
        <v>0.93789999999999996</v>
      </c>
    </row>
    <row r="662" spans="14:20">
      <c r="N662">
        <v>66</v>
      </c>
      <c r="O662">
        <v>0.71630000000000005</v>
      </c>
      <c r="Q662">
        <v>0.93969999999999998</v>
      </c>
      <c r="R662">
        <v>19</v>
      </c>
      <c r="S662">
        <v>0.94020000000000004</v>
      </c>
      <c r="T662">
        <v>0.93859999999999999</v>
      </c>
    </row>
    <row r="663" spans="14:20">
      <c r="N663">
        <v>66.099999999999994</v>
      </c>
      <c r="O663">
        <v>0.71589999999999998</v>
      </c>
      <c r="Q663">
        <v>0.94030000000000002</v>
      </c>
      <c r="R663">
        <v>18.899999999999999</v>
      </c>
      <c r="S663">
        <v>0.94079999999999997</v>
      </c>
      <c r="T663">
        <v>0.93920000000000003</v>
      </c>
    </row>
    <row r="664" spans="14:20">
      <c r="N664">
        <v>66.2</v>
      </c>
      <c r="O664">
        <v>0.71550000000000002</v>
      </c>
      <c r="Q664">
        <v>0.94089999999999996</v>
      </c>
      <c r="R664">
        <v>18.8</v>
      </c>
      <c r="S664">
        <v>0.9415</v>
      </c>
      <c r="T664">
        <v>0.93979999999999997</v>
      </c>
    </row>
    <row r="665" spans="14:20">
      <c r="N665">
        <v>66.3</v>
      </c>
      <c r="O665">
        <v>0.71519999999999995</v>
      </c>
      <c r="Q665">
        <v>0.9415</v>
      </c>
      <c r="R665">
        <v>18.7</v>
      </c>
      <c r="S665">
        <v>0.94210000000000005</v>
      </c>
      <c r="T665">
        <v>0.94040000000000001</v>
      </c>
    </row>
    <row r="666" spans="14:20">
      <c r="N666">
        <v>66.400000000000006</v>
      </c>
      <c r="O666">
        <v>0.71479999999999999</v>
      </c>
      <c r="Q666">
        <v>0.94220000000000004</v>
      </c>
      <c r="R666">
        <v>18.600000000000001</v>
      </c>
      <c r="S666">
        <v>0.94269999999999998</v>
      </c>
      <c r="T666">
        <v>0.94110000000000005</v>
      </c>
    </row>
    <row r="667" spans="14:20">
      <c r="N667">
        <v>66.5</v>
      </c>
      <c r="O667">
        <v>0.71450000000000002</v>
      </c>
      <c r="Q667">
        <v>0.94279999999999997</v>
      </c>
      <c r="R667">
        <v>18.5</v>
      </c>
      <c r="S667">
        <v>0.94330000000000003</v>
      </c>
      <c r="T667">
        <v>0.94169999999999998</v>
      </c>
    </row>
    <row r="668" spans="14:20">
      <c r="N668">
        <v>66.599999999999994</v>
      </c>
      <c r="O668">
        <v>0.71409999999999996</v>
      </c>
      <c r="Q668">
        <v>0.94340000000000002</v>
      </c>
      <c r="R668">
        <v>18.399999999999999</v>
      </c>
      <c r="S668">
        <v>0.94399999999999995</v>
      </c>
      <c r="T668">
        <v>0.94230000000000003</v>
      </c>
    </row>
    <row r="669" spans="14:20">
      <c r="N669">
        <v>66.7</v>
      </c>
      <c r="O669">
        <v>0.7137</v>
      </c>
      <c r="Q669">
        <v>0.94399999999999995</v>
      </c>
      <c r="R669">
        <v>18.3</v>
      </c>
      <c r="S669">
        <v>0.9446</v>
      </c>
      <c r="T669">
        <v>0.94289999999999996</v>
      </c>
    </row>
    <row r="670" spans="14:20">
      <c r="N670">
        <v>66.8</v>
      </c>
      <c r="O670">
        <v>0.71340000000000003</v>
      </c>
      <c r="Q670">
        <v>0.94469999999999998</v>
      </c>
      <c r="R670">
        <v>18.2</v>
      </c>
      <c r="S670">
        <v>0.94520000000000004</v>
      </c>
      <c r="T670">
        <v>0.94359999999999999</v>
      </c>
    </row>
    <row r="671" spans="14:20">
      <c r="N671">
        <v>66.900000000000006</v>
      </c>
      <c r="O671">
        <v>0.71299999999999997</v>
      </c>
      <c r="Q671">
        <v>0.94530000000000003</v>
      </c>
      <c r="R671">
        <v>18.100000000000001</v>
      </c>
      <c r="S671">
        <v>0.94589999999999996</v>
      </c>
      <c r="T671">
        <v>0.94420000000000004</v>
      </c>
    </row>
    <row r="672" spans="14:20">
      <c r="N672">
        <v>67</v>
      </c>
      <c r="O672">
        <v>0.7127</v>
      </c>
      <c r="Q672">
        <v>0.94589999999999996</v>
      </c>
      <c r="R672">
        <v>18</v>
      </c>
      <c r="S672">
        <v>0.94650000000000001</v>
      </c>
      <c r="T672">
        <v>0.94479999999999997</v>
      </c>
    </row>
    <row r="673" spans="14:20">
      <c r="N673">
        <v>67.099999999999994</v>
      </c>
      <c r="O673">
        <v>0.71230000000000004</v>
      </c>
      <c r="Q673">
        <v>0.9466</v>
      </c>
      <c r="R673">
        <v>17.899999999999999</v>
      </c>
      <c r="S673">
        <v>0.94710000000000005</v>
      </c>
      <c r="T673">
        <v>0.94550000000000001</v>
      </c>
    </row>
    <row r="674" spans="14:20">
      <c r="N674">
        <v>67.2</v>
      </c>
      <c r="O674">
        <v>0.71189999999999998</v>
      </c>
      <c r="Q674">
        <v>0.94720000000000004</v>
      </c>
      <c r="R674">
        <v>17.8</v>
      </c>
      <c r="S674">
        <v>0.94779999999999998</v>
      </c>
      <c r="T674">
        <v>0.94610000000000005</v>
      </c>
    </row>
    <row r="675" spans="14:20">
      <c r="N675">
        <v>67.3</v>
      </c>
      <c r="O675">
        <v>0.71160000000000001</v>
      </c>
      <c r="Q675">
        <v>0.94779999999999998</v>
      </c>
      <c r="R675">
        <v>17.7</v>
      </c>
      <c r="S675">
        <v>0.94840000000000002</v>
      </c>
      <c r="T675">
        <v>0.94669999999999999</v>
      </c>
    </row>
    <row r="676" spans="14:20">
      <c r="N676">
        <v>67.400000000000006</v>
      </c>
      <c r="O676">
        <v>0.71120000000000005</v>
      </c>
      <c r="Q676">
        <v>0.94850000000000001</v>
      </c>
      <c r="R676">
        <v>17.600000000000001</v>
      </c>
      <c r="S676">
        <v>0.94899999999999995</v>
      </c>
      <c r="T676">
        <v>0.94740000000000002</v>
      </c>
    </row>
    <row r="677" spans="14:20">
      <c r="N677">
        <v>67.5</v>
      </c>
      <c r="O677">
        <v>0.71089999999999998</v>
      </c>
      <c r="Q677">
        <v>0.94910000000000005</v>
      </c>
      <c r="R677">
        <v>17.5</v>
      </c>
      <c r="S677">
        <v>0.94969999999999999</v>
      </c>
      <c r="T677">
        <v>0.94799999999999995</v>
      </c>
    </row>
    <row r="678" spans="14:20">
      <c r="N678">
        <v>67.599999999999994</v>
      </c>
      <c r="O678">
        <v>0.71050000000000002</v>
      </c>
      <c r="Q678">
        <v>0.94969999999999999</v>
      </c>
      <c r="R678">
        <v>17.399999999999999</v>
      </c>
      <c r="S678">
        <v>0.95030000000000003</v>
      </c>
      <c r="T678">
        <v>0.9486</v>
      </c>
    </row>
    <row r="679" spans="14:20">
      <c r="N679">
        <v>67.7</v>
      </c>
      <c r="O679">
        <v>0.71020000000000005</v>
      </c>
      <c r="Q679">
        <v>0.95040000000000002</v>
      </c>
      <c r="R679">
        <v>17.3</v>
      </c>
      <c r="S679">
        <v>0.95089999999999997</v>
      </c>
      <c r="T679">
        <v>0.94930000000000003</v>
      </c>
    </row>
    <row r="680" spans="14:20">
      <c r="N680">
        <v>67.8</v>
      </c>
      <c r="O680">
        <v>0.70979999999999999</v>
      </c>
      <c r="Q680">
        <v>0.95099999999999996</v>
      </c>
      <c r="R680">
        <v>17.2</v>
      </c>
      <c r="S680">
        <v>0.9516</v>
      </c>
      <c r="T680">
        <v>0.94989999999999997</v>
      </c>
    </row>
    <row r="681" spans="14:20">
      <c r="N681">
        <v>67.900000000000006</v>
      </c>
      <c r="O681">
        <v>0.70940000000000003</v>
      </c>
      <c r="Q681">
        <v>0.95169999999999999</v>
      </c>
      <c r="R681">
        <v>17.100000000000001</v>
      </c>
      <c r="S681">
        <v>0.95220000000000005</v>
      </c>
      <c r="T681">
        <v>0.9506</v>
      </c>
    </row>
    <row r="682" spans="14:20">
      <c r="N682">
        <v>68</v>
      </c>
      <c r="O682">
        <v>0.70909999999999995</v>
      </c>
      <c r="Q682">
        <v>0.95230000000000004</v>
      </c>
      <c r="R682">
        <v>17</v>
      </c>
      <c r="S682">
        <v>0.95289999999999997</v>
      </c>
      <c r="T682">
        <v>0.95120000000000005</v>
      </c>
    </row>
    <row r="683" spans="14:20">
      <c r="N683">
        <v>68.099999999999994</v>
      </c>
      <c r="O683">
        <v>0.7087</v>
      </c>
      <c r="Q683">
        <v>0.95289999999999997</v>
      </c>
      <c r="R683">
        <v>16.899999999999999</v>
      </c>
      <c r="S683">
        <v>0.95350000000000001</v>
      </c>
      <c r="T683">
        <v>0.95179999999999998</v>
      </c>
    </row>
    <row r="684" spans="14:20">
      <c r="N684">
        <v>68.2</v>
      </c>
      <c r="O684">
        <v>0.70840000000000003</v>
      </c>
      <c r="Q684">
        <v>0.9536</v>
      </c>
      <c r="R684">
        <v>16.8</v>
      </c>
      <c r="S684">
        <v>0.95409999999999995</v>
      </c>
      <c r="T684">
        <v>0.95250000000000001</v>
      </c>
    </row>
    <row r="685" spans="14:20">
      <c r="N685">
        <v>68.3</v>
      </c>
      <c r="O685">
        <v>0.70799999999999996</v>
      </c>
      <c r="Q685">
        <v>0.95420000000000005</v>
      </c>
      <c r="R685">
        <v>16.7</v>
      </c>
      <c r="S685">
        <v>0.95479999999999998</v>
      </c>
      <c r="T685">
        <v>0.95309999999999995</v>
      </c>
    </row>
    <row r="686" spans="14:20">
      <c r="N686">
        <v>68.400000000000006</v>
      </c>
      <c r="O686">
        <v>0.7077</v>
      </c>
      <c r="Q686">
        <v>0.95489999999999997</v>
      </c>
      <c r="R686">
        <v>16.600000000000001</v>
      </c>
      <c r="S686">
        <v>0.95540000000000003</v>
      </c>
      <c r="T686">
        <v>0.95379999999999998</v>
      </c>
    </row>
    <row r="687" spans="14:20">
      <c r="N687">
        <v>68.5</v>
      </c>
      <c r="O687">
        <v>0.70730000000000004</v>
      </c>
      <c r="Q687">
        <v>0.95550000000000002</v>
      </c>
      <c r="R687">
        <v>16.5</v>
      </c>
      <c r="S687">
        <v>0.95609999999999995</v>
      </c>
      <c r="T687">
        <v>0.95440000000000003</v>
      </c>
    </row>
    <row r="688" spans="14:20">
      <c r="N688">
        <v>68.599999999999994</v>
      </c>
      <c r="O688">
        <v>0.70699999999999996</v>
      </c>
      <c r="Q688">
        <v>0.95620000000000005</v>
      </c>
      <c r="R688">
        <v>16.399999999999999</v>
      </c>
      <c r="S688">
        <v>0.95669999999999999</v>
      </c>
      <c r="T688">
        <v>0.95509999999999995</v>
      </c>
    </row>
    <row r="689" spans="14:20">
      <c r="N689">
        <v>68.7</v>
      </c>
      <c r="O689">
        <v>0.70660000000000001</v>
      </c>
      <c r="Q689">
        <v>0.95679999999999998</v>
      </c>
      <c r="R689">
        <v>16.3</v>
      </c>
      <c r="S689">
        <v>0.95740000000000003</v>
      </c>
      <c r="T689">
        <v>0.95569999999999999</v>
      </c>
    </row>
    <row r="690" spans="14:20">
      <c r="N690">
        <v>68.8</v>
      </c>
      <c r="O690">
        <v>0.70630000000000004</v>
      </c>
      <c r="Q690">
        <v>0.95750000000000002</v>
      </c>
      <c r="R690">
        <v>16.2</v>
      </c>
      <c r="S690">
        <v>0.95799999999999996</v>
      </c>
      <c r="T690">
        <v>0.95640000000000003</v>
      </c>
    </row>
    <row r="691" spans="14:20">
      <c r="N691">
        <v>68.900000000000006</v>
      </c>
      <c r="O691">
        <v>0.70589999999999997</v>
      </c>
      <c r="Q691">
        <v>0.95809999999999995</v>
      </c>
      <c r="R691">
        <v>16.100000000000001</v>
      </c>
      <c r="S691">
        <v>0.9587</v>
      </c>
      <c r="T691">
        <v>0.95699999999999996</v>
      </c>
    </row>
    <row r="692" spans="14:20">
      <c r="N692">
        <v>69</v>
      </c>
      <c r="O692">
        <v>0.7056</v>
      </c>
      <c r="Q692">
        <v>0.95879999999999999</v>
      </c>
      <c r="R692">
        <v>16</v>
      </c>
      <c r="S692">
        <v>0.95930000000000004</v>
      </c>
      <c r="T692">
        <v>0.9577</v>
      </c>
    </row>
    <row r="693" spans="14:20">
      <c r="N693">
        <v>69.099999999999994</v>
      </c>
      <c r="O693">
        <v>0.70520000000000005</v>
      </c>
      <c r="Q693">
        <v>0.95940000000000003</v>
      </c>
      <c r="R693">
        <v>15.9</v>
      </c>
      <c r="S693">
        <v>0.96</v>
      </c>
      <c r="T693">
        <v>0.95830000000000004</v>
      </c>
    </row>
    <row r="694" spans="14:20">
      <c r="N694">
        <v>69.2</v>
      </c>
      <c r="O694">
        <v>0.70489999999999997</v>
      </c>
      <c r="Q694">
        <v>0.96009999999999995</v>
      </c>
      <c r="R694">
        <v>15.8</v>
      </c>
      <c r="S694">
        <v>0.96060000000000001</v>
      </c>
      <c r="T694">
        <v>0.95899999999999996</v>
      </c>
    </row>
    <row r="695" spans="14:20">
      <c r="N695">
        <v>69.3</v>
      </c>
      <c r="O695">
        <v>0.70450000000000002</v>
      </c>
      <c r="Q695">
        <v>0.9607</v>
      </c>
      <c r="R695">
        <v>15.7</v>
      </c>
      <c r="S695">
        <v>0.96130000000000004</v>
      </c>
      <c r="T695">
        <v>0.95960000000000001</v>
      </c>
    </row>
    <row r="696" spans="14:20">
      <c r="N696">
        <v>69.400000000000006</v>
      </c>
      <c r="O696">
        <v>0.70420000000000005</v>
      </c>
      <c r="Q696">
        <v>0.96140000000000003</v>
      </c>
      <c r="R696">
        <v>15.6</v>
      </c>
      <c r="S696">
        <v>0.96189999999999998</v>
      </c>
      <c r="T696">
        <v>0.96030000000000004</v>
      </c>
    </row>
    <row r="697" spans="14:20">
      <c r="N697">
        <v>69.5</v>
      </c>
      <c r="O697">
        <v>0.70379999999999998</v>
      </c>
      <c r="Q697">
        <v>0.96199999999999997</v>
      </c>
      <c r="R697">
        <v>15.5</v>
      </c>
      <c r="S697">
        <v>0.96260000000000001</v>
      </c>
      <c r="T697">
        <v>0.96089999999999998</v>
      </c>
    </row>
    <row r="698" spans="14:20">
      <c r="N698">
        <v>69.599999999999994</v>
      </c>
      <c r="O698">
        <v>0.70350000000000001</v>
      </c>
      <c r="Q698">
        <v>0.9627</v>
      </c>
      <c r="R698">
        <v>15.4</v>
      </c>
      <c r="S698">
        <v>0.96319999999999995</v>
      </c>
      <c r="T698">
        <v>0.96160000000000001</v>
      </c>
    </row>
    <row r="699" spans="14:20">
      <c r="N699">
        <v>69.7</v>
      </c>
      <c r="O699">
        <v>0.70309999999999995</v>
      </c>
      <c r="Q699">
        <v>0.96330000000000005</v>
      </c>
      <c r="R699">
        <v>15.3</v>
      </c>
      <c r="S699">
        <v>0.96389999999999998</v>
      </c>
      <c r="T699">
        <v>0.96220000000000006</v>
      </c>
    </row>
    <row r="700" spans="14:20">
      <c r="N700">
        <v>69.8</v>
      </c>
      <c r="O700">
        <v>0.70279999999999998</v>
      </c>
      <c r="Q700">
        <v>0.96399999999999997</v>
      </c>
      <c r="R700">
        <v>15.2</v>
      </c>
      <c r="S700">
        <v>0.96460000000000001</v>
      </c>
      <c r="T700">
        <v>0.96289999999999998</v>
      </c>
    </row>
    <row r="701" spans="14:20">
      <c r="N701">
        <v>69.900000000000006</v>
      </c>
      <c r="O701">
        <v>0.70240000000000002</v>
      </c>
      <c r="Q701">
        <v>0.96460000000000001</v>
      </c>
      <c r="R701">
        <v>15.1</v>
      </c>
      <c r="S701">
        <v>0.96519999999999995</v>
      </c>
      <c r="T701">
        <v>0.96350000000000002</v>
      </c>
    </row>
    <row r="702" spans="14:20">
      <c r="N702">
        <v>70</v>
      </c>
      <c r="O702">
        <v>0.70209999999999995</v>
      </c>
      <c r="Q702">
        <v>0.96530000000000005</v>
      </c>
      <c r="R702">
        <v>15</v>
      </c>
      <c r="S702">
        <v>0.96589999999999998</v>
      </c>
      <c r="T702">
        <v>0.96419999999999995</v>
      </c>
    </row>
    <row r="703" spans="14:20">
      <c r="N703">
        <v>70.099999999999994</v>
      </c>
      <c r="O703">
        <v>0.70169999999999999</v>
      </c>
      <c r="Q703">
        <v>0.96599999999999997</v>
      </c>
      <c r="R703">
        <v>14.9</v>
      </c>
      <c r="S703">
        <v>0.96650000000000003</v>
      </c>
      <c r="T703">
        <v>0.96489999999999998</v>
      </c>
    </row>
    <row r="704" spans="14:20">
      <c r="N704">
        <v>70.2</v>
      </c>
      <c r="O704">
        <v>0.70140000000000002</v>
      </c>
      <c r="Q704">
        <v>0.96660000000000001</v>
      </c>
      <c r="R704">
        <v>14.8</v>
      </c>
      <c r="S704">
        <v>0.96719999999999995</v>
      </c>
      <c r="T704">
        <v>0.96550000000000002</v>
      </c>
    </row>
    <row r="705" spans="14:20">
      <c r="N705">
        <v>70.3</v>
      </c>
      <c r="O705">
        <v>0.70099999999999996</v>
      </c>
      <c r="Q705">
        <v>0.96730000000000005</v>
      </c>
      <c r="R705">
        <v>14.7</v>
      </c>
      <c r="S705">
        <v>0.96789999999999998</v>
      </c>
      <c r="T705">
        <v>0.96619999999999995</v>
      </c>
    </row>
    <row r="706" spans="14:20">
      <c r="N706">
        <v>70.400000000000006</v>
      </c>
      <c r="O706">
        <v>0.70069999999999999</v>
      </c>
      <c r="Q706">
        <v>0.96789999999999998</v>
      </c>
      <c r="R706">
        <v>14.6</v>
      </c>
      <c r="S706">
        <v>0.96850000000000003</v>
      </c>
      <c r="T706">
        <v>0.96679999999999999</v>
      </c>
    </row>
    <row r="707" spans="14:20">
      <c r="N707">
        <v>70.5</v>
      </c>
      <c r="O707">
        <v>0.70030000000000003</v>
      </c>
      <c r="Q707">
        <v>0.96860000000000002</v>
      </c>
      <c r="R707">
        <v>14.5</v>
      </c>
      <c r="S707">
        <v>0.96919999999999995</v>
      </c>
      <c r="T707">
        <v>0.96750000000000003</v>
      </c>
    </row>
    <row r="708" spans="14:20">
      <c r="N708">
        <v>70.599999999999994</v>
      </c>
      <c r="O708">
        <v>0.7</v>
      </c>
      <c r="Q708">
        <v>0.96930000000000005</v>
      </c>
      <c r="R708">
        <v>14.4</v>
      </c>
      <c r="S708">
        <v>0.9698</v>
      </c>
      <c r="T708">
        <v>0.96819999999999995</v>
      </c>
    </row>
    <row r="709" spans="14:20">
      <c r="N709">
        <v>70.7</v>
      </c>
      <c r="O709">
        <v>0.6996</v>
      </c>
      <c r="Q709">
        <v>0.96989999999999998</v>
      </c>
      <c r="R709">
        <v>14.3</v>
      </c>
      <c r="S709">
        <v>0.97050000000000003</v>
      </c>
      <c r="T709">
        <v>0.96879999999999999</v>
      </c>
    </row>
    <row r="710" spans="14:20">
      <c r="N710">
        <v>70.8</v>
      </c>
      <c r="O710">
        <v>0.69930000000000003</v>
      </c>
      <c r="Q710">
        <v>0.97060000000000002</v>
      </c>
      <c r="R710">
        <v>14.2</v>
      </c>
      <c r="S710">
        <v>0.97119999999999995</v>
      </c>
      <c r="T710">
        <v>0.96950000000000003</v>
      </c>
    </row>
    <row r="711" spans="14:20">
      <c r="N711">
        <v>70.900000000000006</v>
      </c>
      <c r="O711">
        <v>0.69889999999999997</v>
      </c>
      <c r="Q711">
        <v>0.97130000000000005</v>
      </c>
      <c r="R711">
        <v>14.1</v>
      </c>
      <c r="S711">
        <v>0.9718</v>
      </c>
      <c r="T711">
        <v>0.97019999999999995</v>
      </c>
    </row>
    <row r="712" spans="14:20">
      <c r="N712">
        <v>71</v>
      </c>
      <c r="O712">
        <v>0.6986</v>
      </c>
      <c r="Q712">
        <v>0.97189999999999999</v>
      </c>
      <c r="R712">
        <v>14</v>
      </c>
      <c r="S712">
        <v>0.97250000000000003</v>
      </c>
      <c r="T712">
        <v>0.9708</v>
      </c>
    </row>
    <row r="713" spans="14:20">
      <c r="N713">
        <v>71.099999999999994</v>
      </c>
      <c r="O713">
        <v>0.69820000000000004</v>
      </c>
      <c r="Q713">
        <v>0.97260000000000002</v>
      </c>
      <c r="R713">
        <v>13.9</v>
      </c>
      <c r="S713">
        <v>0.97319999999999995</v>
      </c>
      <c r="T713">
        <v>0.97150000000000003</v>
      </c>
    </row>
    <row r="714" spans="14:20">
      <c r="N714">
        <v>71.2</v>
      </c>
      <c r="O714">
        <v>0.69789999999999996</v>
      </c>
      <c r="Q714">
        <v>0.97330000000000005</v>
      </c>
      <c r="R714">
        <v>13.8</v>
      </c>
      <c r="S714">
        <v>0.9738</v>
      </c>
      <c r="T714">
        <v>0.97219999999999995</v>
      </c>
    </row>
    <row r="715" spans="14:20">
      <c r="N715">
        <v>71.3</v>
      </c>
      <c r="O715">
        <v>0.6976</v>
      </c>
      <c r="Q715">
        <v>0.97389999999999999</v>
      </c>
      <c r="R715">
        <v>13.7</v>
      </c>
      <c r="S715">
        <v>0.97450000000000003</v>
      </c>
      <c r="T715">
        <v>0.9728</v>
      </c>
    </row>
    <row r="716" spans="14:20">
      <c r="N716">
        <v>71.400000000000006</v>
      </c>
      <c r="O716">
        <v>0.69720000000000004</v>
      </c>
      <c r="Q716">
        <v>0.97460000000000002</v>
      </c>
      <c r="R716">
        <v>13.6</v>
      </c>
      <c r="S716">
        <v>0.97519999999999996</v>
      </c>
      <c r="T716">
        <v>0.97350000000000003</v>
      </c>
    </row>
    <row r="717" spans="14:20">
      <c r="N717">
        <v>71.5</v>
      </c>
      <c r="O717">
        <v>0.69689999999999996</v>
      </c>
      <c r="Q717">
        <v>0.97529999999999994</v>
      </c>
      <c r="R717">
        <v>13.5</v>
      </c>
      <c r="S717">
        <v>0.97589999999999999</v>
      </c>
      <c r="T717">
        <v>0.97419999999999995</v>
      </c>
    </row>
    <row r="718" spans="14:20">
      <c r="N718">
        <v>71.599999999999994</v>
      </c>
      <c r="O718">
        <v>0.69650000000000001</v>
      </c>
      <c r="Q718">
        <v>0.97589999999999999</v>
      </c>
      <c r="R718">
        <v>13.4</v>
      </c>
      <c r="S718">
        <v>0.97650000000000003</v>
      </c>
      <c r="T718">
        <v>0.9748</v>
      </c>
    </row>
    <row r="719" spans="14:20">
      <c r="N719">
        <v>71.7</v>
      </c>
      <c r="O719">
        <v>0.69620000000000004</v>
      </c>
      <c r="Q719">
        <v>0.97660000000000002</v>
      </c>
      <c r="R719">
        <v>13.3</v>
      </c>
      <c r="S719">
        <v>0.97719999999999996</v>
      </c>
      <c r="T719">
        <v>0.97550000000000003</v>
      </c>
    </row>
    <row r="720" spans="14:20">
      <c r="N720">
        <v>71.8</v>
      </c>
      <c r="O720">
        <v>0.69579999999999997</v>
      </c>
      <c r="Q720">
        <v>0.97729999999999995</v>
      </c>
      <c r="R720">
        <v>13.2</v>
      </c>
      <c r="S720">
        <v>0.97789999999999999</v>
      </c>
      <c r="T720">
        <v>0.97619999999999996</v>
      </c>
    </row>
    <row r="721" spans="14:20">
      <c r="N721">
        <v>71.900000000000006</v>
      </c>
      <c r="O721">
        <v>0.69550000000000001</v>
      </c>
      <c r="Q721">
        <v>0.97799999999999998</v>
      </c>
      <c r="R721">
        <v>13.1</v>
      </c>
      <c r="S721">
        <v>0.97860000000000003</v>
      </c>
      <c r="T721">
        <v>0.97689999999999999</v>
      </c>
    </row>
    <row r="722" spans="14:20">
      <c r="N722">
        <v>72</v>
      </c>
      <c r="O722">
        <v>0.69520000000000004</v>
      </c>
      <c r="Q722">
        <v>0.97860000000000003</v>
      </c>
      <c r="R722">
        <v>13</v>
      </c>
      <c r="S722">
        <v>0.97919999999999996</v>
      </c>
      <c r="T722">
        <v>0.97750000000000004</v>
      </c>
    </row>
    <row r="723" spans="14:20">
      <c r="N723">
        <v>72.099999999999994</v>
      </c>
      <c r="O723">
        <v>0.69479999999999997</v>
      </c>
      <c r="Q723">
        <v>0.97929999999999995</v>
      </c>
      <c r="R723">
        <v>12.9</v>
      </c>
      <c r="S723">
        <v>0.97989999999999999</v>
      </c>
      <c r="T723">
        <v>0.97819999999999996</v>
      </c>
    </row>
    <row r="724" spans="14:20">
      <c r="N724">
        <v>72.2</v>
      </c>
      <c r="O724">
        <v>0.69450000000000001</v>
      </c>
      <c r="Q724">
        <v>0.98</v>
      </c>
      <c r="R724">
        <v>12.8</v>
      </c>
      <c r="S724">
        <v>0.98060000000000003</v>
      </c>
      <c r="T724">
        <v>0.97889999999999999</v>
      </c>
    </row>
    <row r="725" spans="14:20">
      <c r="N725">
        <v>72.3</v>
      </c>
      <c r="O725">
        <v>0.69410000000000005</v>
      </c>
      <c r="Q725">
        <v>0.98070000000000002</v>
      </c>
      <c r="R725">
        <v>12.7</v>
      </c>
      <c r="S725">
        <v>0.98129999999999995</v>
      </c>
      <c r="T725">
        <v>0.97960000000000003</v>
      </c>
    </row>
    <row r="726" spans="14:20">
      <c r="N726">
        <v>72.400000000000006</v>
      </c>
      <c r="O726">
        <v>0.69379999999999997</v>
      </c>
      <c r="Q726">
        <v>0.98140000000000005</v>
      </c>
      <c r="R726">
        <v>12.6</v>
      </c>
      <c r="S726">
        <v>0.98199999999999998</v>
      </c>
      <c r="T726">
        <v>0.98029999999999995</v>
      </c>
    </row>
    <row r="727" spans="14:20">
      <c r="N727">
        <v>72.5</v>
      </c>
      <c r="O727">
        <v>0.69350000000000001</v>
      </c>
      <c r="Q727">
        <v>0.98199999999999998</v>
      </c>
      <c r="R727">
        <v>12.5</v>
      </c>
      <c r="S727">
        <v>0.98260000000000003</v>
      </c>
      <c r="T727">
        <v>0.98089999999999999</v>
      </c>
    </row>
    <row r="728" spans="14:20">
      <c r="N728">
        <v>72.599999999999994</v>
      </c>
      <c r="O728">
        <v>0.69310000000000005</v>
      </c>
      <c r="Q728">
        <v>0.98270000000000002</v>
      </c>
      <c r="R728">
        <v>12.4</v>
      </c>
      <c r="S728">
        <v>0.98329999999999995</v>
      </c>
      <c r="T728">
        <v>0.98160000000000003</v>
      </c>
    </row>
    <row r="729" spans="14:20">
      <c r="N729">
        <v>72.7</v>
      </c>
      <c r="O729">
        <v>0.69279999999999997</v>
      </c>
      <c r="Q729">
        <v>0.98340000000000005</v>
      </c>
      <c r="R729">
        <v>12.3</v>
      </c>
      <c r="S729">
        <v>0.98399999999999999</v>
      </c>
      <c r="T729">
        <v>0.98229999999999995</v>
      </c>
    </row>
    <row r="730" spans="14:20">
      <c r="N730">
        <v>72.8</v>
      </c>
      <c r="O730">
        <v>0.69240000000000002</v>
      </c>
      <c r="Q730">
        <v>0.98409999999999997</v>
      </c>
      <c r="R730">
        <v>12.2</v>
      </c>
      <c r="S730">
        <v>0.98470000000000002</v>
      </c>
      <c r="T730">
        <v>0.98299999999999998</v>
      </c>
    </row>
    <row r="731" spans="14:20">
      <c r="N731">
        <v>72.900000000000006</v>
      </c>
      <c r="O731">
        <v>0.69210000000000005</v>
      </c>
      <c r="Q731">
        <v>0.98480000000000001</v>
      </c>
      <c r="R731">
        <v>12.1</v>
      </c>
      <c r="S731">
        <v>0.98540000000000005</v>
      </c>
      <c r="T731">
        <v>0.98370000000000002</v>
      </c>
    </row>
    <row r="732" spans="14:20">
      <c r="N732">
        <v>73</v>
      </c>
      <c r="O732">
        <v>0.69179999999999997</v>
      </c>
      <c r="Q732">
        <v>0.98550000000000004</v>
      </c>
      <c r="R732">
        <v>12</v>
      </c>
      <c r="S732">
        <v>0.98609999999999998</v>
      </c>
      <c r="T732">
        <v>0.98440000000000005</v>
      </c>
    </row>
    <row r="733" spans="14:20">
      <c r="N733">
        <v>73.099999999999994</v>
      </c>
      <c r="O733">
        <v>0.69140000000000001</v>
      </c>
      <c r="Q733">
        <v>0.98619999999999997</v>
      </c>
      <c r="R733">
        <v>11.9</v>
      </c>
      <c r="S733">
        <v>0.98680000000000001</v>
      </c>
      <c r="T733">
        <v>0.98509999999999998</v>
      </c>
    </row>
    <row r="734" spans="14:20">
      <c r="N734">
        <v>73.2</v>
      </c>
      <c r="O734">
        <v>0.69110000000000005</v>
      </c>
      <c r="Q734">
        <v>0.98680000000000001</v>
      </c>
      <c r="R734">
        <v>11.8</v>
      </c>
      <c r="S734">
        <v>0.98740000000000006</v>
      </c>
      <c r="T734">
        <v>0.98570000000000002</v>
      </c>
    </row>
    <row r="735" spans="14:20">
      <c r="N735">
        <v>73.3</v>
      </c>
      <c r="O735">
        <v>0.69079999999999997</v>
      </c>
      <c r="Q735">
        <v>0.98750000000000004</v>
      </c>
      <c r="R735">
        <v>11.7</v>
      </c>
      <c r="S735">
        <v>0.98809999999999998</v>
      </c>
      <c r="T735">
        <v>0.98640000000000005</v>
      </c>
    </row>
    <row r="736" spans="14:20">
      <c r="N736">
        <v>73.400000000000006</v>
      </c>
      <c r="O736">
        <v>0.69040000000000001</v>
      </c>
      <c r="Q736">
        <v>0.98819999999999997</v>
      </c>
      <c r="R736">
        <v>11.6</v>
      </c>
      <c r="S736">
        <v>0.98880000000000001</v>
      </c>
      <c r="T736">
        <v>0.98709999999999998</v>
      </c>
    </row>
    <row r="737" spans="14:20">
      <c r="N737">
        <v>73.5</v>
      </c>
      <c r="O737">
        <v>0.69010000000000005</v>
      </c>
      <c r="Q737">
        <v>0.9889</v>
      </c>
      <c r="R737">
        <v>11.5</v>
      </c>
      <c r="S737">
        <v>0.98950000000000005</v>
      </c>
      <c r="T737">
        <v>0.98780000000000001</v>
      </c>
    </row>
    <row r="738" spans="14:20">
      <c r="N738">
        <v>73.599999999999994</v>
      </c>
      <c r="O738">
        <v>0.68969999999999998</v>
      </c>
      <c r="Q738">
        <v>0.98960000000000004</v>
      </c>
      <c r="R738">
        <v>11.4</v>
      </c>
      <c r="S738">
        <v>0.99019999999999997</v>
      </c>
      <c r="T738">
        <v>0.98850000000000005</v>
      </c>
    </row>
    <row r="739" spans="14:20">
      <c r="N739">
        <v>73.7</v>
      </c>
      <c r="O739">
        <v>0.68940000000000001</v>
      </c>
      <c r="Q739">
        <v>0.99029999999999996</v>
      </c>
      <c r="R739">
        <v>11.3</v>
      </c>
      <c r="S739">
        <v>0.9909</v>
      </c>
      <c r="T739">
        <v>0.98919999999999997</v>
      </c>
    </row>
    <row r="740" spans="14:20">
      <c r="N740">
        <v>73.8</v>
      </c>
      <c r="O740">
        <v>0.68910000000000005</v>
      </c>
      <c r="Q740">
        <v>0.99099999999999999</v>
      </c>
      <c r="R740">
        <v>11.2</v>
      </c>
      <c r="S740">
        <v>0.99160000000000004</v>
      </c>
      <c r="T740">
        <v>0.9899</v>
      </c>
    </row>
    <row r="741" spans="14:20">
      <c r="N741">
        <v>73.900000000000006</v>
      </c>
      <c r="O741">
        <v>0.68869999999999998</v>
      </c>
      <c r="Q741">
        <v>0.99170000000000003</v>
      </c>
      <c r="R741">
        <v>11.1</v>
      </c>
      <c r="S741">
        <v>0.99229999999999996</v>
      </c>
      <c r="T741">
        <v>0.99060000000000004</v>
      </c>
    </row>
    <row r="742" spans="14:20">
      <c r="N742">
        <v>74</v>
      </c>
      <c r="O742">
        <v>0.68840000000000001</v>
      </c>
      <c r="Q742">
        <v>0.99239999999999995</v>
      </c>
      <c r="R742">
        <v>11</v>
      </c>
      <c r="S742">
        <v>0.99299999999999999</v>
      </c>
      <c r="T742">
        <v>0.99129999999999996</v>
      </c>
    </row>
    <row r="743" spans="14:20">
      <c r="N743">
        <v>74.099999999999994</v>
      </c>
      <c r="O743">
        <v>0.68810000000000004</v>
      </c>
      <c r="Q743">
        <v>0.99309999999999998</v>
      </c>
      <c r="R743">
        <v>10.9</v>
      </c>
      <c r="S743">
        <v>0.99370000000000003</v>
      </c>
      <c r="T743">
        <v>0.99199999999999999</v>
      </c>
    </row>
    <row r="744" spans="14:20">
      <c r="N744">
        <v>74.2</v>
      </c>
      <c r="O744">
        <v>0.68769999999999998</v>
      </c>
      <c r="Q744">
        <v>0.99380000000000002</v>
      </c>
      <c r="R744">
        <v>10.8</v>
      </c>
      <c r="S744">
        <v>0.99439999999999995</v>
      </c>
      <c r="T744">
        <v>0.99270000000000003</v>
      </c>
    </row>
    <row r="745" spans="14:20">
      <c r="N745">
        <v>74.3</v>
      </c>
      <c r="O745">
        <v>0.68740000000000001</v>
      </c>
      <c r="Q745">
        <v>0.99450000000000005</v>
      </c>
      <c r="R745">
        <v>10.7</v>
      </c>
      <c r="S745">
        <v>0.99509999999999998</v>
      </c>
      <c r="T745">
        <v>0.99339999999999995</v>
      </c>
    </row>
    <row r="746" spans="14:20">
      <c r="N746">
        <v>74.400000000000006</v>
      </c>
      <c r="O746">
        <v>0.68710000000000004</v>
      </c>
      <c r="Q746">
        <v>0.99519999999999997</v>
      </c>
      <c r="R746">
        <v>10.6</v>
      </c>
      <c r="S746">
        <v>0.99580000000000002</v>
      </c>
      <c r="T746">
        <v>0.99409999999999998</v>
      </c>
    </row>
    <row r="747" spans="14:20">
      <c r="N747">
        <v>74.5</v>
      </c>
      <c r="O747">
        <v>0.68669999999999998</v>
      </c>
      <c r="Q747">
        <v>0.99590000000000001</v>
      </c>
      <c r="R747">
        <v>10.5</v>
      </c>
      <c r="S747">
        <v>0.99650000000000005</v>
      </c>
      <c r="T747">
        <v>0.99480000000000002</v>
      </c>
    </row>
    <row r="748" spans="14:20">
      <c r="N748">
        <v>74.599999999999994</v>
      </c>
      <c r="O748">
        <v>0.68640000000000001</v>
      </c>
      <c r="Q748">
        <v>0.99660000000000004</v>
      </c>
      <c r="R748">
        <v>10.4</v>
      </c>
      <c r="S748">
        <v>0.99719999999999998</v>
      </c>
      <c r="T748">
        <v>0.99550000000000005</v>
      </c>
    </row>
    <row r="749" spans="14:20">
      <c r="N749">
        <v>74.7</v>
      </c>
      <c r="O749">
        <v>0.68610000000000004</v>
      </c>
      <c r="Q749">
        <v>0.99729999999999996</v>
      </c>
      <c r="R749">
        <v>10.3</v>
      </c>
      <c r="S749">
        <v>0.99790000000000001</v>
      </c>
      <c r="T749">
        <v>0.99619999999999997</v>
      </c>
    </row>
    <row r="750" spans="14:20">
      <c r="N750">
        <v>74.8</v>
      </c>
      <c r="O750">
        <v>0.68569999999999998</v>
      </c>
      <c r="Q750">
        <v>0.998</v>
      </c>
      <c r="R750">
        <v>10.199999999999999</v>
      </c>
      <c r="S750">
        <v>0.99860000000000004</v>
      </c>
      <c r="T750">
        <v>0.99690000000000001</v>
      </c>
    </row>
    <row r="751" spans="14:20">
      <c r="N751">
        <v>74.900000000000006</v>
      </c>
      <c r="O751">
        <v>0.68540000000000001</v>
      </c>
      <c r="Q751">
        <v>0.99870000000000003</v>
      </c>
      <c r="R751">
        <v>10.1</v>
      </c>
      <c r="S751">
        <v>0.99929999999999997</v>
      </c>
      <c r="T751">
        <v>0.99760000000000004</v>
      </c>
    </row>
    <row r="752" spans="14:20">
      <c r="N752">
        <v>75</v>
      </c>
      <c r="O752">
        <v>0.68510000000000004</v>
      </c>
      <c r="Q752">
        <v>0.99939999999999996</v>
      </c>
      <c r="R752">
        <v>10</v>
      </c>
      <c r="S752">
        <v>1</v>
      </c>
      <c r="T752">
        <v>0.99829999999999997</v>
      </c>
    </row>
    <row r="753" spans="14:20">
      <c r="N753">
        <v>75.099999999999994</v>
      </c>
      <c r="O753">
        <v>0.68469999999999998</v>
      </c>
      <c r="Q753">
        <v>1.0001</v>
      </c>
      <c r="R753">
        <v>9.9</v>
      </c>
      <c r="S753">
        <v>1.0006999999999999</v>
      </c>
      <c r="T753">
        <v>0.999</v>
      </c>
    </row>
    <row r="754" spans="14:20">
      <c r="N754">
        <v>75.2</v>
      </c>
      <c r="O754">
        <v>0.68440000000000001</v>
      </c>
      <c r="Q754">
        <v>1.0007999999999999</v>
      </c>
      <c r="R754">
        <v>9.8000000000000007</v>
      </c>
      <c r="S754">
        <v>1.0014000000000001</v>
      </c>
      <c r="T754">
        <v>0.99970000000000003</v>
      </c>
    </row>
    <row r="755" spans="14:20">
      <c r="N755">
        <v>75.3</v>
      </c>
      <c r="O755">
        <v>0.68410000000000004</v>
      </c>
      <c r="Q755">
        <v>1.0015000000000001</v>
      </c>
      <c r="R755">
        <v>9.6999999999999993</v>
      </c>
      <c r="S755">
        <v>1.0021</v>
      </c>
      <c r="T755">
        <v>1.0004</v>
      </c>
    </row>
    <row r="756" spans="14:20">
      <c r="N756">
        <v>75.400000000000006</v>
      </c>
      <c r="O756">
        <v>0.68379999999999996</v>
      </c>
      <c r="Q756">
        <v>1.0022</v>
      </c>
      <c r="R756">
        <v>9.6</v>
      </c>
      <c r="S756">
        <v>1.0027999999999999</v>
      </c>
      <c r="T756">
        <v>1.0011000000000001</v>
      </c>
    </row>
    <row r="757" spans="14:20">
      <c r="N757">
        <v>75.5</v>
      </c>
      <c r="O757">
        <v>0.68340000000000001</v>
      </c>
      <c r="Q757">
        <v>1.0028999999999999</v>
      </c>
      <c r="R757">
        <v>9.5</v>
      </c>
      <c r="S757">
        <v>1.0035000000000001</v>
      </c>
      <c r="T757">
        <v>1.0018</v>
      </c>
    </row>
    <row r="758" spans="14:20">
      <c r="N758">
        <v>75.599999999999994</v>
      </c>
      <c r="O758">
        <v>0.68310000000000004</v>
      </c>
      <c r="Q758">
        <v>1.0036</v>
      </c>
      <c r="R758">
        <v>9.4</v>
      </c>
      <c r="S758">
        <v>1.0043</v>
      </c>
      <c r="T758">
        <v>1.0024999999999999</v>
      </c>
    </row>
    <row r="759" spans="14:20">
      <c r="N759">
        <v>75.7</v>
      </c>
      <c r="O759">
        <v>0.68279999999999996</v>
      </c>
      <c r="Q759">
        <v>1.0044</v>
      </c>
      <c r="R759">
        <v>9.3000000000000007</v>
      </c>
      <c r="S759">
        <v>1.0049999999999999</v>
      </c>
      <c r="T759">
        <v>1.0033000000000001</v>
      </c>
    </row>
    <row r="760" spans="14:20">
      <c r="N760">
        <v>75.8</v>
      </c>
      <c r="O760">
        <v>0.68240000000000001</v>
      </c>
      <c r="Q760">
        <v>1.0051000000000001</v>
      </c>
      <c r="R760">
        <v>9.1999999999999993</v>
      </c>
      <c r="S760">
        <v>1.0057</v>
      </c>
      <c r="T760">
        <v>1.004</v>
      </c>
    </row>
    <row r="761" spans="14:20">
      <c r="N761">
        <v>75.900000000000006</v>
      </c>
      <c r="O761">
        <v>0.68210000000000004</v>
      </c>
      <c r="Q761">
        <v>1.0058</v>
      </c>
      <c r="R761">
        <v>9.1</v>
      </c>
      <c r="S761">
        <v>1.0064</v>
      </c>
      <c r="T761">
        <v>1.0046999999999999</v>
      </c>
    </row>
    <row r="762" spans="14:20">
      <c r="N762">
        <v>76</v>
      </c>
      <c r="O762">
        <v>0.68179999999999996</v>
      </c>
      <c r="Q762">
        <v>1.0065</v>
      </c>
      <c r="R762">
        <v>9</v>
      </c>
      <c r="S762">
        <v>1.0071000000000001</v>
      </c>
      <c r="T762">
        <v>1.0054000000000001</v>
      </c>
    </row>
    <row r="763" spans="14:20">
      <c r="N763">
        <v>76.099999999999994</v>
      </c>
      <c r="O763">
        <v>0.68149999999999999</v>
      </c>
      <c r="Q763">
        <v>1.0072000000000001</v>
      </c>
      <c r="R763">
        <v>8.9</v>
      </c>
      <c r="S763">
        <v>1.0078</v>
      </c>
      <c r="T763">
        <v>1.0061</v>
      </c>
    </row>
    <row r="764" spans="14:20">
      <c r="N764">
        <v>76.2</v>
      </c>
      <c r="O764">
        <v>0.68110000000000004</v>
      </c>
      <c r="Q764">
        <v>1.0079</v>
      </c>
      <c r="R764">
        <v>8.8000000000000007</v>
      </c>
      <c r="S764">
        <v>1.0085999999999999</v>
      </c>
      <c r="T764">
        <v>1.0067999999999999</v>
      </c>
    </row>
    <row r="765" spans="14:20">
      <c r="N765">
        <v>76.3</v>
      </c>
      <c r="O765">
        <v>0.68079999999999996</v>
      </c>
      <c r="Q765">
        <v>1.0085999999999999</v>
      </c>
      <c r="R765">
        <v>8.6999999999999993</v>
      </c>
      <c r="S765">
        <v>1.0093000000000001</v>
      </c>
      <c r="T765">
        <v>1.0075000000000001</v>
      </c>
    </row>
    <row r="766" spans="14:20">
      <c r="N766">
        <v>76.400000000000006</v>
      </c>
      <c r="O766">
        <v>0.68049999999999999</v>
      </c>
      <c r="Q766">
        <v>1.0094000000000001</v>
      </c>
      <c r="R766">
        <v>8.6</v>
      </c>
      <c r="S766">
        <v>1.01</v>
      </c>
      <c r="T766">
        <v>1.0083</v>
      </c>
    </row>
    <row r="767" spans="14:20">
      <c r="N767">
        <v>76.5</v>
      </c>
      <c r="O767">
        <v>0.68010000000000004</v>
      </c>
      <c r="Q767">
        <v>1.0101</v>
      </c>
      <c r="R767">
        <v>8.5</v>
      </c>
      <c r="S767">
        <v>1.0106999999999999</v>
      </c>
      <c r="T767">
        <v>1.0089999999999999</v>
      </c>
    </row>
    <row r="768" spans="14:20">
      <c r="N768">
        <v>76.599999999999994</v>
      </c>
      <c r="O768">
        <v>0.67979999999999996</v>
      </c>
      <c r="Q768">
        <v>1.0107999999999999</v>
      </c>
      <c r="R768">
        <v>8.4</v>
      </c>
      <c r="S768">
        <v>1.0114000000000001</v>
      </c>
      <c r="T768">
        <v>1.0097</v>
      </c>
    </row>
    <row r="769" spans="14:20">
      <c r="N769">
        <v>76.7</v>
      </c>
      <c r="O769">
        <v>0.67949999999999999</v>
      </c>
      <c r="Q769">
        <v>1.0115000000000001</v>
      </c>
      <c r="R769">
        <v>8.3000000000000007</v>
      </c>
      <c r="S769">
        <v>1.0122</v>
      </c>
      <c r="T769">
        <v>1.0104</v>
      </c>
    </row>
    <row r="770" spans="14:20">
      <c r="N770">
        <v>76.8</v>
      </c>
      <c r="O770">
        <v>0.67920000000000003</v>
      </c>
      <c r="Q770">
        <v>1.0123</v>
      </c>
      <c r="R770">
        <v>8.1999999999999993</v>
      </c>
      <c r="S770">
        <v>1.0128999999999999</v>
      </c>
      <c r="T770">
        <v>1.0112000000000001</v>
      </c>
    </row>
    <row r="771" spans="14:20">
      <c r="N771">
        <v>76.900000000000006</v>
      </c>
      <c r="O771">
        <v>0.67879999999999996</v>
      </c>
      <c r="Q771">
        <v>1.0129999999999999</v>
      </c>
      <c r="R771">
        <v>8.1</v>
      </c>
      <c r="S771">
        <v>1.0136000000000001</v>
      </c>
      <c r="T771">
        <v>1.0119</v>
      </c>
    </row>
    <row r="772" spans="14:20">
      <c r="N772">
        <v>77</v>
      </c>
      <c r="O772">
        <v>0.67849999999999999</v>
      </c>
      <c r="Q772">
        <v>1.0137</v>
      </c>
      <c r="R772">
        <v>8</v>
      </c>
      <c r="S772">
        <v>1.0143</v>
      </c>
      <c r="T772">
        <v>1.0125999999999999</v>
      </c>
    </row>
    <row r="773" spans="14:20">
      <c r="N773">
        <v>77.099999999999994</v>
      </c>
      <c r="O773">
        <v>0.67820000000000003</v>
      </c>
      <c r="Q773">
        <v>1.0144</v>
      </c>
      <c r="R773">
        <v>7.9</v>
      </c>
      <c r="S773">
        <v>1.0150999999999999</v>
      </c>
      <c r="T773">
        <v>1.0133000000000001</v>
      </c>
    </row>
    <row r="774" spans="14:20">
      <c r="N774">
        <v>77.2</v>
      </c>
      <c r="O774">
        <v>0.67789999999999995</v>
      </c>
      <c r="Q774">
        <v>1.0152000000000001</v>
      </c>
      <c r="R774">
        <v>7.8</v>
      </c>
      <c r="S774">
        <v>1.0158</v>
      </c>
      <c r="T774">
        <v>1.0141</v>
      </c>
    </row>
    <row r="775" spans="14:20">
      <c r="N775">
        <v>77.3</v>
      </c>
      <c r="O775">
        <v>0.67749999999999999</v>
      </c>
      <c r="Q775">
        <v>1.0159</v>
      </c>
      <c r="R775">
        <v>7.7</v>
      </c>
      <c r="S775">
        <v>1.0165</v>
      </c>
      <c r="T775">
        <v>1.0147999999999999</v>
      </c>
    </row>
    <row r="776" spans="14:20">
      <c r="N776">
        <v>77.400000000000006</v>
      </c>
      <c r="O776">
        <v>0.67720000000000002</v>
      </c>
      <c r="Q776">
        <v>1.0165999999999999</v>
      </c>
      <c r="R776">
        <v>7.6</v>
      </c>
      <c r="S776">
        <v>1.0173000000000001</v>
      </c>
      <c r="T776">
        <v>1.0155000000000001</v>
      </c>
    </row>
    <row r="777" spans="14:20">
      <c r="N777">
        <v>77.5</v>
      </c>
      <c r="O777">
        <v>0.67689999999999995</v>
      </c>
      <c r="Q777">
        <v>1.0174000000000001</v>
      </c>
      <c r="R777">
        <v>7.5</v>
      </c>
      <c r="S777">
        <v>1.018</v>
      </c>
      <c r="T777">
        <v>1.0163</v>
      </c>
    </row>
    <row r="778" spans="14:20">
      <c r="N778">
        <v>77.599999999999994</v>
      </c>
      <c r="O778">
        <v>0.67659999999999998</v>
      </c>
      <c r="Q778">
        <v>1.0181</v>
      </c>
      <c r="R778">
        <v>7.4</v>
      </c>
      <c r="S778">
        <v>1.0186999999999999</v>
      </c>
      <c r="T778">
        <v>1.0169999999999999</v>
      </c>
    </row>
    <row r="779" spans="14:20">
      <c r="N779">
        <v>77.7</v>
      </c>
      <c r="O779">
        <v>0.67620000000000002</v>
      </c>
      <c r="Q779">
        <v>1.0187999999999999</v>
      </c>
      <c r="R779">
        <v>7.3</v>
      </c>
      <c r="S779">
        <v>1.0195000000000001</v>
      </c>
      <c r="T779">
        <v>1.0177</v>
      </c>
    </row>
    <row r="780" spans="14:20">
      <c r="N780">
        <v>77.8</v>
      </c>
      <c r="O780">
        <v>0.67589999999999995</v>
      </c>
      <c r="Q780">
        <v>1.0196000000000001</v>
      </c>
      <c r="R780">
        <v>7.2</v>
      </c>
      <c r="S780">
        <v>1.0202</v>
      </c>
      <c r="T780">
        <v>1.0185</v>
      </c>
    </row>
    <row r="781" spans="14:20">
      <c r="N781">
        <v>77.900000000000006</v>
      </c>
      <c r="O781">
        <v>0.67559999999999998</v>
      </c>
      <c r="Q781">
        <v>1.0203</v>
      </c>
      <c r="R781">
        <v>7.1</v>
      </c>
      <c r="S781">
        <v>1.0208999999999999</v>
      </c>
      <c r="T781">
        <v>1.0192000000000001</v>
      </c>
    </row>
    <row r="782" spans="14:20">
      <c r="N782">
        <v>78</v>
      </c>
      <c r="O782">
        <v>0.67530000000000001</v>
      </c>
      <c r="Q782">
        <v>1.0209999999999999</v>
      </c>
      <c r="R782">
        <v>7</v>
      </c>
      <c r="S782">
        <v>1.0217000000000001</v>
      </c>
      <c r="T782">
        <v>1.0199</v>
      </c>
    </row>
    <row r="783" spans="14:20">
      <c r="N783">
        <v>78.099999999999994</v>
      </c>
      <c r="O783">
        <v>0.67500000000000004</v>
      </c>
      <c r="Q783">
        <v>1.0218</v>
      </c>
      <c r="R783">
        <v>6.9</v>
      </c>
      <c r="S783">
        <v>1.0224</v>
      </c>
      <c r="T783">
        <v>1.0206999999999999</v>
      </c>
    </row>
    <row r="784" spans="14:20">
      <c r="N784">
        <v>78.2</v>
      </c>
      <c r="O784">
        <v>0.67459999999999998</v>
      </c>
      <c r="Q784">
        <v>1.0225</v>
      </c>
      <c r="R784">
        <v>6.8</v>
      </c>
      <c r="S784">
        <v>1.0230999999999999</v>
      </c>
      <c r="T784">
        <v>1.0214000000000001</v>
      </c>
    </row>
    <row r="785" spans="14:20">
      <c r="N785">
        <v>78.3</v>
      </c>
      <c r="O785">
        <v>0.67430000000000001</v>
      </c>
      <c r="Q785">
        <v>1.0232000000000001</v>
      </c>
      <c r="R785">
        <v>6.7</v>
      </c>
      <c r="S785">
        <v>1.0239</v>
      </c>
      <c r="T785">
        <v>1.0221</v>
      </c>
    </row>
    <row r="786" spans="14:20">
      <c r="N786">
        <v>78.400000000000006</v>
      </c>
      <c r="O786">
        <v>0.67400000000000004</v>
      </c>
      <c r="Q786">
        <v>1.024</v>
      </c>
      <c r="R786">
        <v>6.6</v>
      </c>
      <c r="S786">
        <v>1.0246</v>
      </c>
      <c r="T786">
        <v>1.0228999999999999</v>
      </c>
    </row>
    <row r="787" spans="14:20">
      <c r="N787">
        <v>78.5</v>
      </c>
      <c r="O787">
        <v>0.67369999999999997</v>
      </c>
      <c r="Q787">
        <v>1.0246999999999999</v>
      </c>
      <c r="R787">
        <v>6.5</v>
      </c>
      <c r="S787">
        <v>1.0254000000000001</v>
      </c>
      <c r="T787">
        <v>1.0236000000000001</v>
      </c>
    </row>
    <row r="788" spans="14:20">
      <c r="N788">
        <v>78.599999999999994</v>
      </c>
      <c r="O788">
        <v>0.6734</v>
      </c>
      <c r="Q788">
        <v>1.0255000000000001</v>
      </c>
      <c r="R788">
        <v>6.4</v>
      </c>
      <c r="S788">
        <v>1.0261</v>
      </c>
      <c r="T788">
        <v>1.0244</v>
      </c>
    </row>
    <row r="789" spans="14:20">
      <c r="N789">
        <v>78.7</v>
      </c>
      <c r="O789">
        <v>0.67300000000000004</v>
      </c>
      <c r="Q789">
        <v>1.0262</v>
      </c>
      <c r="R789">
        <v>6.3</v>
      </c>
      <c r="S789">
        <v>1.0268999999999999</v>
      </c>
      <c r="T789">
        <v>1.0250999999999999</v>
      </c>
    </row>
    <row r="790" spans="14:20">
      <c r="N790">
        <v>78.8</v>
      </c>
      <c r="O790">
        <v>0.67269999999999996</v>
      </c>
      <c r="Q790">
        <v>1.0269999999999999</v>
      </c>
      <c r="R790">
        <v>6.2</v>
      </c>
      <c r="S790">
        <v>1.0276000000000001</v>
      </c>
      <c r="T790">
        <v>1.0259</v>
      </c>
    </row>
    <row r="791" spans="14:20">
      <c r="N791">
        <v>78.900000000000006</v>
      </c>
      <c r="O791">
        <v>0.6724</v>
      </c>
      <c r="Q791">
        <v>1.0277000000000001</v>
      </c>
      <c r="R791">
        <v>6.1</v>
      </c>
      <c r="S791">
        <v>1.0283</v>
      </c>
      <c r="T791">
        <v>1.0266</v>
      </c>
    </row>
    <row r="792" spans="14:20">
      <c r="N792">
        <v>79</v>
      </c>
      <c r="O792">
        <v>0.67210000000000003</v>
      </c>
      <c r="Q792">
        <v>1.0284</v>
      </c>
      <c r="R792">
        <v>6</v>
      </c>
      <c r="S792">
        <v>1.0290999999999999</v>
      </c>
      <c r="T792">
        <v>1.0273000000000001</v>
      </c>
    </row>
    <row r="793" spans="14:20">
      <c r="N793">
        <v>79.099999999999994</v>
      </c>
      <c r="O793">
        <v>0.67179999999999995</v>
      </c>
      <c r="Q793">
        <v>1.0291999999999999</v>
      </c>
      <c r="R793">
        <v>5.9</v>
      </c>
      <c r="S793">
        <v>1.0298</v>
      </c>
      <c r="T793">
        <v>1.0281</v>
      </c>
    </row>
    <row r="794" spans="14:20">
      <c r="N794">
        <v>79.2</v>
      </c>
      <c r="O794">
        <v>0.6714</v>
      </c>
      <c r="Q794">
        <v>1.0299</v>
      </c>
      <c r="R794">
        <v>5.8</v>
      </c>
      <c r="S794">
        <v>1.0306</v>
      </c>
      <c r="T794">
        <v>1.0287999999999999</v>
      </c>
    </row>
    <row r="795" spans="14:20">
      <c r="N795">
        <v>79.3</v>
      </c>
      <c r="O795">
        <v>0.67110000000000003</v>
      </c>
      <c r="Q795">
        <v>1.0306999999999999</v>
      </c>
      <c r="R795">
        <v>5.7</v>
      </c>
      <c r="S795">
        <v>1.0313000000000001</v>
      </c>
      <c r="T795">
        <v>1.0296000000000001</v>
      </c>
    </row>
    <row r="796" spans="14:20">
      <c r="N796">
        <v>79.400000000000006</v>
      </c>
      <c r="O796">
        <v>0.67079999999999995</v>
      </c>
      <c r="Q796">
        <v>1.0314000000000001</v>
      </c>
      <c r="R796">
        <v>5.6</v>
      </c>
      <c r="S796">
        <v>1.0321</v>
      </c>
      <c r="T796">
        <v>1.0303</v>
      </c>
    </row>
    <row r="797" spans="14:20">
      <c r="N797">
        <v>79.5</v>
      </c>
      <c r="O797">
        <v>0.67049999999999998</v>
      </c>
      <c r="Q797">
        <v>1.0322</v>
      </c>
      <c r="R797">
        <v>5.5</v>
      </c>
      <c r="S797">
        <v>1.0327999999999999</v>
      </c>
      <c r="T797">
        <v>1.0310999999999999</v>
      </c>
    </row>
    <row r="798" spans="14:20">
      <c r="N798">
        <v>79.599999999999994</v>
      </c>
      <c r="O798">
        <v>0.67020000000000002</v>
      </c>
      <c r="Q798">
        <v>1.0329999999999999</v>
      </c>
      <c r="R798">
        <v>5.4</v>
      </c>
      <c r="S798">
        <v>1.0336000000000001</v>
      </c>
      <c r="T798">
        <v>1.0319</v>
      </c>
    </row>
    <row r="799" spans="14:20">
      <c r="N799">
        <v>79.7</v>
      </c>
      <c r="O799">
        <v>0.66990000000000005</v>
      </c>
      <c r="Q799">
        <v>1.0337000000000001</v>
      </c>
      <c r="R799">
        <v>5.3</v>
      </c>
      <c r="S799">
        <v>1.0344</v>
      </c>
      <c r="T799">
        <v>1.0326</v>
      </c>
    </row>
    <row r="800" spans="14:20">
      <c r="N800">
        <v>79.8</v>
      </c>
      <c r="O800">
        <v>0.66949999999999998</v>
      </c>
      <c r="Q800">
        <v>1.0345</v>
      </c>
      <c r="R800">
        <v>5.2</v>
      </c>
      <c r="S800">
        <v>1.0350999999999999</v>
      </c>
      <c r="T800">
        <v>1.0334000000000001</v>
      </c>
    </row>
    <row r="801" spans="14:20">
      <c r="N801">
        <v>79.900000000000006</v>
      </c>
      <c r="O801">
        <v>0.66920000000000002</v>
      </c>
      <c r="Q801">
        <v>1.0351999999999999</v>
      </c>
      <c r="R801">
        <v>5.0999999999999996</v>
      </c>
      <c r="S801">
        <v>1.0359</v>
      </c>
      <c r="T801">
        <v>1.0341</v>
      </c>
    </row>
    <row r="802" spans="14:20">
      <c r="N802">
        <v>80</v>
      </c>
      <c r="O802">
        <v>0.66890000000000005</v>
      </c>
      <c r="Q802">
        <v>1.036</v>
      </c>
      <c r="R802">
        <v>5</v>
      </c>
      <c r="S802">
        <v>1.0366</v>
      </c>
      <c r="T802">
        <v>1.0348999999999999</v>
      </c>
    </row>
    <row r="803" spans="14:20">
      <c r="N803">
        <v>80.099999999999994</v>
      </c>
      <c r="O803">
        <v>0.66859999999999997</v>
      </c>
      <c r="Q803">
        <v>1.0367</v>
      </c>
      <c r="R803">
        <v>4.9000000000000004</v>
      </c>
      <c r="S803">
        <v>1.0374000000000001</v>
      </c>
      <c r="T803">
        <v>1.0356000000000001</v>
      </c>
    </row>
    <row r="804" spans="14:20">
      <c r="N804">
        <v>80.2</v>
      </c>
      <c r="O804">
        <v>0.66830000000000001</v>
      </c>
      <c r="Q804">
        <v>1.0375000000000001</v>
      </c>
      <c r="R804">
        <v>4.8</v>
      </c>
      <c r="S804">
        <v>1.0382</v>
      </c>
      <c r="T804">
        <v>1.0364</v>
      </c>
    </row>
    <row r="805" spans="14:20">
      <c r="N805">
        <v>80.3</v>
      </c>
      <c r="O805">
        <v>0.66800000000000004</v>
      </c>
      <c r="Q805">
        <v>1.0383</v>
      </c>
      <c r="R805">
        <v>4.7</v>
      </c>
      <c r="S805">
        <v>1.0388999999999999</v>
      </c>
      <c r="T805">
        <v>1.0371999999999999</v>
      </c>
    </row>
    <row r="806" spans="14:20">
      <c r="N806">
        <v>80.400000000000006</v>
      </c>
      <c r="O806">
        <v>0.66759999999999997</v>
      </c>
      <c r="Q806">
        <v>1.0389999999999999</v>
      </c>
      <c r="R806">
        <v>4.5999999999999996</v>
      </c>
      <c r="S806">
        <v>1.0397000000000001</v>
      </c>
      <c r="T806">
        <v>1.0379</v>
      </c>
    </row>
    <row r="807" spans="14:20">
      <c r="N807">
        <v>80.5</v>
      </c>
      <c r="O807">
        <v>0.6673</v>
      </c>
      <c r="Q807">
        <v>1.0398000000000001</v>
      </c>
      <c r="R807">
        <v>4.5</v>
      </c>
      <c r="S807">
        <v>1.0404</v>
      </c>
      <c r="T807">
        <v>1.0387</v>
      </c>
    </row>
    <row r="808" spans="14:20">
      <c r="N808">
        <v>80.599999999999994</v>
      </c>
      <c r="O808">
        <v>0.66700000000000004</v>
      </c>
      <c r="Q808">
        <v>1.0405</v>
      </c>
      <c r="R808">
        <v>4.4000000000000004</v>
      </c>
      <c r="S808">
        <v>1.0411999999999999</v>
      </c>
      <c r="T808">
        <v>1.0394000000000001</v>
      </c>
    </row>
    <row r="809" spans="14:20">
      <c r="N809">
        <v>80.7</v>
      </c>
      <c r="O809">
        <v>0.66669999999999996</v>
      </c>
      <c r="Q809">
        <v>1.0412999999999999</v>
      </c>
      <c r="R809">
        <v>4.3</v>
      </c>
      <c r="S809">
        <v>1.042</v>
      </c>
      <c r="T809">
        <v>1.0402</v>
      </c>
    </row>
    <row r="810" spans="14:20">
      <c r="N810">
        <v>80.8</v>
      </c>
      <c r="O810">
        <v>0.66639999999999999</v>
      </c>
      <c r="Q810">
        <v>1.0421</v>
      </c>
      <c r="R810">
        <v>4.2</v>
      </c>
      <c r="S810">
        <v>1.0427</v>
      </c>
      <c r="T810">
        <v>1.0409999999999999</v>
      </c>
    </row>
    <row r="811" spans="14:20">
      <c r="N811">
        <v>80.900000000000006</v>
      </c>
      <c r="O811">
        <v>0.66610000000000003</v>
      </c>
      <c r="Q811">
        <v>1.0427999999999999</v>
      </c>
      <c r="R811">
        <v>4.0999999999999996</v>
      </c>
      <c r="S811">
        <v>1.0435000000000001</v>
      </c>
      <c r="T811">
        <v>1.0417000000000001</v>
      </c>
    </row>
    <row r="812" spans="14:20">
      <c r="N812">
        <v>81</v>
      </c>
      <c r="O812">
        <v>0.66579999999999995</v>
      </c>
      <c r="Q812">
        <v>1.0436000000000001</v>
      </c>
      <c r="R812">
        <v>4</v>
      </c>
      <c r="S812">
        <v>1.0443</v>
      </c>
      <c r="T812">
        <v>1.0425</v>
      </c>
    </row>
    <row r="813" spans="14:20">
      <c r="N813">
        <v>81.099999999999994</v>
      </c>
      <c r="O813">
        <v>0.66539999999999999</v>
      </c>
      <c r="Q813">
        <v>1.0444</v>
      </c>
      <c r="R813">
        <v>3.9</v>
      </c>
      <c r="S813">
        <v>1.0450999999999999</v>
      </c>
      <c r="T813">
        <v>1.0432999999999999</v>
      </c>
    </row>
    <row r="814" spans="14:20">
      <c r="N814">
        <v>81.2</v>
      </c>
      <c r="O814">
        <v>0.66510000000000002</v>
      </c>
      <c r="Q814">
        <v>1.0451999999999999</v>
      </c>
      <c r="R814">
        <v>3.8</v>
      </c>
      <c r="S814">
        <v>1.0458000000000001</v>
      </c>
      <c r="T814">
        <v>1.0441</v>
      </c>
    </row>
    <row r="815" spans="14:20">
      <c r="N815">
        <v>81.3</v>
      </c>
      <c r="O815">
        <v>0.66479999999999995</v>
      </c>
      <c r="Q815">
        <v>1.0459000000000001</v>
      </c>
      <c r="R815">
        <v>3.7</v>
      </c>
      <c r="S815">
        <v>1.0466</v>
      </c>
      <c r="T815">
        <v>1.0448</v>
      </c>
    </row>
    <row r="816" spans="14:20">
      <c r="N816">
        <v>81.400000000000006</v>
      </c>
      <c r="O816">
        <v>0.66449999999999998</v>
      </c>
      <c r="Q816">
        <v>1.0467</v>
      </c>
      <c r="R816">
        <v>3.6</v>
      </c>
      <c r="S816">
        <v>1.0474000000000001</v>
      </c>
      <c r="T816">
        <v>1.0456000000000001</v>
      </c>
    </row>
    <row r="817" spans="14:20">
      <c r="N817">
        <v>81.5</v>
      </c>
      <c r="O817">
        <v>0.66420000000000001</v>
      </c>
      <c r="Q817">
        <v>1.0475000000000001</v>
      </c>
      <c r="R817">
        <v>3.5</v>
      </c>
      <c r="S817">
        <v>1.0481</v>
      </c>
      <c r="T817">
        <v>1.0464</v>
      </c>
    </row>
    <row r="818" spans="14:20">
      <c r="N818">
        <v>81.599999999999994</v>
      </c>
      <c r="O818">
        <v>0.66390000000000005</v>
      </c>
      <c r="Q818">
        <v>1.0483</v>
      </c>
      <c r="R818">
        <v>3.4</v>
      </c>
      <c r="S818">
        <v>1.0488999999999999</v>
      </c>
      <c r="T818">
        <v>1.0471999999999999</v>
      </c>
    </row>
    <row r="819" spans="14:20">
      <c r="N819">
        <v>81.7</v>
      </c>
      <c r="O819">
        <v>0.66359999999999997</v>
      </c>
      <c r="Q819">
        <v>1.0489999999999999</v>
      </c>
      <c r="R819">
        <v>3.3</v>
      </c>
      <c r="S819">
        <v>1.0497000000000001</v>
      </c>
      <c r="T819">
        <v>1.0479000000000001</v>
      </c>
    </row>
    <row r="820" spans="14:20">
      <c r="N820">
        <v>81.8</v>
      </c>
      <c r="O820">
        <v>0.6633</v>
      </c>
      <c r="Q820">
        <v>1.0498000000000001</v>
      </c>
      <c r="R820">
        <v>3.2</v>
      </c>
      <c r="S820">
        <v>1.0505</v>
      </c>
      <c r="T820">
        <v>1.0487</v>
      </c>
    </row>
    <row r="821" spans="14:20">
      <c r="N821">
        <v>81.900000000000006</v>
      </c>
      <c r="O821">
        <v>0.66300000000000003</v>
      </c>
      <c r="Q821">
        <v>1.0506</v>
      </c>
      <c r="R821">
        <v>3.1</v>
      </c>
      <c r="S821">
        <v>1.0512999999999999</v>
      </c>
      <c r="T821">
        <v>1.0495000000000001</v>
      </c>
    </row>
    <row r="822" spans="14:20">
      <c r="N822">
        <v>82</v>
      </c>
      <c r="O822">
        <v>0.66259999999999997</v>
      </c>
      <c r="Q822">
        <v>1.0513999999999999</v>
      </c>
      <c r="R822">
        <v>3</v>
      </c>
      <c r="S822">
        <v>1.052</v>
      </c>
      <c r="T822">
        <v>1.0503</v>
      </c>
    </row>
    <row r="823" spans="14:20">
      <c r="N823">
        <v>82.1</v>
      </c>
      <c r="O823">
        <v>0.6623</v>
      </c>
      <c r="Q823">
        <v>1.0522</v>
      </c>
      <c r="R823">
        <v>2.9</v>
      </c>
      <c r="S823">
        <v>1.0528</v>
      </c>
      <c r="T823">
        <v>1.0510999999999999</v>
      </c>
    </row>
    <row r="824" spans="14:20">
      <c r="N824">
        <v>82.2</v>
      </c>
      <c r="O824">
        <v>0.66200000000000003</v>
      </c>
      <c r="Q824">
        <v>1.0528999999999999</v>
      </c>
      <c r="R824">
        <v>2.8</v>
      </c>
      <c r="S824">
        <v>1.0536000000000001</v>
      </c>
      <c r="T824">
        <v>1.0518000000000001</v>
      </c>
    </row>
    <row r="825" spans="14:20">
      <c r="N825">
        <v>82.3</v>
      </c>
      <c r="O825">
        <v>0.66169999999999995</v>
      </c>
      <c r="Q825">
        <v>1.0537000000000001</v>
      </c>
      <c r="R825">
        <v>2.7</v>
      </c>
      <c r="S825">
        <v>1.0544</v>
      </c>
      <c r="T825">
        <v>1.0526</v>
      </c>
    </row>
    <row r="826" spans="14:20">
      <c r="N826">
        <v>82.4</v>
      </c>
      <c r="O826">
        <v>0.66139999999999999</v>
      </c>
      <c r="Q826">
        <v>1.0545</v>
      </c>
      <c r="R826">
        <v>2.6</v>
      </c>
      <c r="S826">
        <v>1.0551999999999999</v>
      </c>
      <c r="T826">
        <v>1.0533999999999999</v>
      </c>
    </row>
    <row r="827" spans="14:20">
      <c r="N827">
        <v>82.5</v>
      </c>
      <c r="O827">
        <v>0.66110000000000002</v>
      </c>
      <c r="Q827">
        <v>1.0552999999999999</v>
      </c>
      <c r="R827">
        <v>2.5</v>
      </c>
      <c r="S827">
        <v>1.056</v>
      </c>
      <c r="T827">
        <v>1.0542</v>
      </c>
    </row>
    <row r="828" spans="14:20">
      <c r="N828">
        <v>82.6</v>
      </c>
      <c r="O828">
        <v>0.66080000000000005</v>
      </c>
      <c r="Q828">
        <v>1.0561</v>
      </c>
      <c r="R828">
        <v>2.4</v>
      </c>
      <c r="S828">
        <v>1.0568</v>
      </c>
      <c r="T828">
        <v>1.0549999999999999</v>
      </c>
    </row>
    <row r="829" spans="14:20">
      <c r="N829">
        <v>82.7</v>
      </c>
      <c r="O829">
        <v>0.66049999999999998</v>
      </c>
      <c r="Q829">
        <v>1.0569</v>
      </c>
      <c r="R829">
        <v>2.2999999999999998</v>
      </c>
      <c r="S829">
        <v>1.0575000000000001</v>
      </c>
      <c r="T829">
        <v>1.0558000000000001</v>
      </c>
    </row>
    <row r="830" spans="14:20">
      <c r="N830">
        <v>82.8</v>
      </c>
      <c r="O830">
        <v>0.66020000000000001</v>
      </c>
      <c r="Q830">
        <v>1.0577000000000001</v>
      </c>
      <c r="R830">
        <v>2.2000000000000002</v>
      </c>
      <c r="S830">
        <v>1.0583</v>
      </c>
      <c r="T830">
        <v>1.0566</v>
      </c>
    </row>
    <row r="831" spans="14:20">
      <c r="N831">
        <v>82.9</v>
      </c>
      <c r="O831">
        <v>0.65990000000000004</v>
      </c>
      <c r="Q831">
        <v>1.0585</v>
      </c>
      <c r="R831">
        <v>2.1</v>
      </c>
      <c r="S831">
        <v>1.0590999999999999</v>
      </c>
      <c r="T831">
        <v>1.0573999999999999</v>
      </c>
    </row>
    <row r="832" spans="14:20">
      <c r="N832">
        <v>83</v>
      </c>
      <c r="O832">
        <v>0.65959999999999996</v>
      </c>
      <c r="Q832">
        <v>1.0591999999999999</v>
      </c>
      <c r="R832">
        <v>2</v>
      </c>
      <c r="S832">
        <v>1.0599000000000001</v>
      </c>
      <c r="T832">
        <v>1.0581</v>
      </c>
    </row>
    <row r="833" spans="14:20">
      <c r="N833">
        <v>83.1</v>
      </c>
      <c r="O833">
        <v>0.6593</v>
      </c>
      <c r="Q833">
        <v>1.06</v>
      </c>
      <c r="R833">
        <v>1.9</v>
      </c>
      <c r="S833">
        <v>1.0607</v>
      </c>
      <c r="T833">
        <v>1.0589</v>
      </c>
    </row>
    <row r="834" spans="14:20">
      <c r="N834">
        <v>83.2</v>
      </c>
      <c r="O834">
        <v>0.65890000000000004</v>
      </c>
      <c r="Q834">
        <v>1.0608</v>
      </c>
      <c r="R834">
        <v>1.8</v>
      </c>
      <c r="S834">
        <v>1.0615000000000001</v>
      </c>
      <c r="T834">
        <v>1.0597000000000001</v>
      </c>
    </row>
    <row r="835" spans="14:20">
      <c r="N835">
        <v>83.3</v>
      </c>
      <c r="O835">
        <v>0.65859999999999996</v>
      </c>
      <c r="Q835">
        <v>1.0616000000000001</v>
      </c>
      <c r="R835">
        <v>1.7</v>
      </c>
      <c r="S835">
        <v>1.0623</v>
      </c>
      <c r="T835">
        <v>1.0605</v>
      </c>
    </row>
    <row r="836" spans="14:20">
      <c r="N836">
        <v>83.4</v>
      </c>
      <c r="O836">
        <v>0.6583</v>
      </c>
      <c r="Q836">
        <v>1.0624</v>
      </c>
      <c r="R836">
        <v>1.6</v>
      </c>
      <c r="S836">
        <v>1.0630999999999999</v>
      </c>
      <c r="T836">
        <v>1.0612999999999999</v>
      </c>
    </row>
    <row r="837" spans="14:20">
      <c r="N837">
        <v>83.5</v>
      </c>
      <c r="O837">
        <v>0.65800000000000003</v>
      </c>
      <c r="Q837">
        <v>1.0631999999999999</v>
      </c>
      <c r="R837">
        <v>1.5</v>
      </c>
      <c r="S837">
        <v>1.0639000000000001</v>
      </c>
      <c r="T837">
        <v>1.0621</v>
      </c>
    </row>
    <row r="838" spans="14:20">
      <c r="N838">
        <v>83.6</v>
      </c>
      <c r="O838">
        <v>0.65769999999999995</v>
      </c>
      <c r="Q838">
        <v>1.0640000000000001</v>
      </c>
      <c r="R838">
        <v>1.4</v>
      </c>
      <c r="S838">
        <v>1.0647</v>
      </c>
      <c r="T838">
        <v>1.0629</v>
      </c>
    </row>
    <row r="839" spans="14:20">
      <c r="N839">
        <v>83.7</v>
      </c>
      <c r="O839">
        <v>0.65739999999999998</v>
      </c>
      <c r="Q839">
        <v>1.0648</v>
      </c>
      <c r="R839">
        <v>1.3</v>
      </c>
      <c r="S839">
        <v>1.0654999999999999</v>
      </c>
      <c r="T839">
        <v>1.0637000000000001</v>
      </c>
    </row>
    <row r="840" spans="14:20">
      <c r="N840">
        <v>83.8</v>
      </c>
      <c r="O840">
        <v>0.65710000000000002</v>
      </c>
      <c r="Q840">
        <v>1.0656000000000001</v>
      </c>
      <c r="R840">
        <v>1.2</v>
      </c>
      <c r="S840">
        <v>1.0663</v>
      </c>
      <c r="T840">
        <v>1.0645</v>
      </c>
    </row>
    <row r="841" spans="14:20">
      <c r="N841">
        <v>83.9</v>
      </c>
      <c r="O841">
        <v>0.65680000000000005</v>
      </c>
      <c r="Q841">
        <v>1.0664</v>
      </c>
      <c r="R841">
        <v>1.1000000000000001</v>
      </c>
      <c r="S841">
        <v>1.0670999999999999</v>
      </c>
      <c r="T841">
        <v>1.0652999999999999</v>
      </c>
    </row>
    <row r="842" spans="14:20">
      <c r="N842">
        <v>84</v>
      </c>
      <c r="O842">
        <v>0.65649999999999997</v>
      </c>
      <c r="Q842">
        <v>1.0671999999999999</v>
      </c>
      <c r="R842">
        <v>1</v>
      </c>
      <c r="S842">
        <v>1.0679000000000001</v>
      </c>
      <c r="T842">
        <v>1.0661</v>
      </c>
    </row>
    <row r="843" spans="14:20">
      <c r="N843">
        <v>84.1</v>
      </c>
      <c r="O843">
        <v>0.65620000000000001</v>
      </c>
      <c r="Q843">
        <v>1.0680000000000001</v>
      </c>
      <c r="R843">
        <v>0.9</v>
      </c>
      <c r="S843">
        <v>1.0687</v>
      </c>
      <c r="T843">
        <v>1.0669</v>
      </c>
    </row>
    <row r="844" spans="14:20">
      <c r="N844">
        <v>84.2</v>
      </c>
      <c r="O844">
        <v>0.65590000000000004</v>
      </c>
      <c r="Q844">
        <v>1.0688</v>
      </c>
      <c r="R844">
        <v>0.8</v>
      </c>
      <c r="S844">
        <v>1.0694999999999999</v>
      </c>
      <c r="T844">
        <v>1.0677000000000001</v>
      </c>
    </row>
    <row r="845" spans="14:20">
      <c r="N845">
        <v>84.3</v>
      </c>
      <c r="O845">
        <v>0.65559999999999996</v>
      </c>
      <c r="Q845">
        <v>1.0697000000000001</v>
      </c>
      <c r="R845">
        <v>0.7</v>
      </c>
      <c r="S845">
        <v>1.0703</v>
      </c>
      <c r="T845">
        <v>1.0686</v>
      </c>
    </row>
    <row r="846" spans="14:20">
      <c r="N846">
        <v>84.4</v>
      </c>
      <c r="O846">
        <v>0.65529999999999999</v>
      </c>
      <c r="Q846">
        <v>1.0705</v>
      </c>
      <c r="R846">
        <v>0.6</v>
      </c>
      <c r="S846">
        <v>1.0711999999999999</v>
      </c>
      <c r="T846">
        <v>1.0693999999999999</v>
      </c>
    </row>
    <row r="847" spans="14:20">
      <c r="N847">
        <v>84.5</v>
      </c>
      <c r="O847">
        <v>0.65500000000000003</v>
      </c>
      <c r="Q847">
        <v>1.0712999999999999</v>
      </c>
      <c r="R847">
        <v>0.5</v>
      </c>
      <c r="S847">
        <v>1.0720000000000001</v>
      </c>
      <c r="T847">
        <v>1.0702</v>
      </c>
    </row>
    <row r="848" spans="14:20">
      <c r="N848">
        <v>84.6</v>
      </c>
      <c r="O848">
        <v>0.65469999999999995</v>
      </c>
      <c r="Q848">
        <v>1.0721000000000001</v>
      </c>
      <c r="R848">
        <v>0.4</v>
      </c>
      <c r="S848">
        <v>1.0728</v>
      </c>
      <c r="T848">
        <v>1.071</v>
      </c>
    </row>
    <row r="849" spans="14:20">
      <c r="N849">
        <v>84.7</v>
      </c>
      <c r="O849">
        <v>0.65439999999999998</v>
      </c>
      <c r="Q849">
        <v>1.0729</v>
      </c>
      <c r="R849">
        <v>0.3</v>
      </c>
      <c r="S849">
        <v>1.0736000000000001</v>
      </c>
      <c r="T849">
        <v>1.0718000000000001</v>
      </c>
    </row>
    <row r="850" spans="14:20">
      <c r="N850">
        <v>84.8</v>
      </c>
      <c r="O850">
        <v>0.65410000000000001</v>
      </c>
      <c r="Q850">
        <v>1.0737000000000001</v>
      </c>
      <c r="R850">
        <v>0.2</v>
      </c>
      <c r="S850">
        <v>1.0744</v>
      </c>
      <c r="T850">
        <v>1.0726</v>
      </c>
    </row>
    <row r="851" spans="14:20">
      <c r="N851">
        <v>84.9</v>
      </c>
      <c r="O851">
        <v>0.65380000000000005</v>
      </c>
      <c r="Q851">
        <v>1.0745</v>
      </c>
      <c r="R851">
        <v>0.1</v>
      </c>
      <c r="S851">
        <v>1.0751999999999999</v>
      </c>
      <c r="T851">
        <v>1.0733999999999999</v>
      </c>
    </row>
    <row r="852" spans="14:20">
      <c r="N852">
        <v>85</v>
      </c>
      <c r="O852">
        <v>0.65349999999999997</v>
      </c>
      <c r="Q852">
        <v>1.0752999999999999</v>
      </c>
      <c r="R852">
        <v>0</v>
      </c>
      <c r="S852">
        <v>1.0760000000000001</v>
      </c>
      <c r="T852">
        <v>1.0742</v>
      </c>
    </row>
    <row r="853" spans="14:20">
      <c r="Q853">
        <v>1.0761000000000001</v>
      </c>
      <c r="R853">
        <v>-0.1</v>
      </c>
      <c r="S853">
        <v>1.0768</v>
      </c>
      <c r="T853">
        <v>1.075</v>
      </c>
    </row>
  </sheetData>
  <phoneticPr fontId="1" type="noConversion"/>
  <hyperlinks>
    <hyperlink ref="K143" r:id="rId1" xr:uid="{380FE53B-36B3-49DD-98A6-2D3020E356C8}"/>
    <hyperlink ref="K144" r:id="rId2" xr:uid="{8A53E9BE-59AB-4D91-B372-29D2879E02E3}"/>
    <hyperlink ref="K147" r:id="rId3" xr:uid="{D601F4C2-75FB-4EDD-9C4E-468639BFF646}"/>
    <hyperlink ref="K145" r:id="rId4" xr:uid="{1B0A014F-8AAF-4937-A73B-8608E81EBEBB}"/>
    <hyperlink ref="K146" r:id="rId5" xr:uid="{A0001670-F01D-4536-A62E-C01B98C246AE}"/>
    <hyperlink ref="K148" r:id="rId6" xr:uid="{0C588652-D5EA-4548-80AD-1552F61336CB}"/>
    <hyperlink ref="L1" r:id="rId7" xr:uid="{257AC9EA-B87B-4C7A-AA87-082ADDCBFA72}"/>
    <hyperlink ref="L47" r:id="rId8" xr:uid="{8C04C649-9AFF-40D4-94AE-5B4903DCEFEE}"/>
    <hyperlink ref="L81" r:id="rId9" xr:uid="{23E6639A-E389-49B6-8E5D-3E589343330C}"/>
    <hyperlink ref="L68" r:id="rId10" xr:uid="{10C5083D-9200-4EBD-B1FD-6021129D1874}"/>
    <hyperlink ref="L86" r:id="rId11" xr:uid="{78F7F262-070E-407D-977F-5AA4B3656869}"/>
    <hyperlink ref="L2:L46" r:id="rId12" display="kr_ogculsan@sgs.com" xr:uid="{4BF4B506-79B8-4974-A9F3-725998647529}"/>
    <hyperlink ref="L48:L67" r:id="rId13" display="kr_ogcyosu@sgs.com" xr:uid="{BB59BAF0-3A40-4367-AF6E-00B6CBDBBCED}"/>
    <hyperlink ref="L69:L76" r:id="rId14" display="kr_ogcwest@sgs.com" xr:uid="{72519FD9-20B8-4136-9A15-FF61763B759F}"/>
    <hyperlink ref="L82:L85" r:id="rId15" display="kr_ogcins_pusan@sgs.com" xr:uid="{4DED4A6A-4032-4DA5-8417-2FD3178385D2}"/>
    <hyperlink ref="L77:L80" r:id="rId16" display="kr_ogcwest@sgs.com" xr:uid="{96F00245-128F-493C-AAB9-5BF22F693749}"/>
    <hyperlink ref="J87" r:id="rId17" xr:uid="{989F9C88-6C34-4D68-B64C-934CA868E024}"/>
    <hyperlink ref="J88" r:id="rId18" xr:uid="{02FD2B5A-E75C-41A5-B9A9-D00CA4F427FE}"/>
    <hyperlink ref="J89" r:id="rId19" xr:uid="{AA5F5CE8-9D7A-41C1-B672-35938D953A82}"/>
    <hyperlink ref="J90" r:id="rId20" xr:uid="{FAFFEF2C-AC7B-41FB-BC7A-D0BEC321771E}"/>
    <hyperlink ref="J91" r:id="rId21" xr:uid="{4D81455F-4126-47EE-A00F-687C66B47ED1}"/>
    <hyperlink ref="L87" r:id="rId22" xr:uid="{4B3F152B-DDE3-40CB-BDD3-1BB1445859D4}"/>
    <hyperlink ref="L88" r:id="rId23" xr:uid="{D4430D8D-830A-4B0E-BB97-4B85FCFE5A0A}"/>
    <hyperlink ref="L89" r:id="rId24" xr:uid="{7705C6CF-12C2-4A84-B450-F9433F1F38B3}"/>
    <hyperlink ref="L90" r:id="rId25" xr:uid="{96BB55F1-2A83-4CA0-BD96-B7CD5120E6B7}"/>
    <hyperlink ref="L91" r:id="rId26" xr:uid="{41D89814-966F-49BF-8075-2F9CF47E1140}"/>
  </hyperlinks>
  <pageMargins left="0.7" right="0.7" top="0.75" bottom="0.75" header="0.3" footer="0.3"/>
  <pageSetup paperSize="9" orientation="portrait" r:id="rId27"/>
  <drawing r:id="rId28"/>
  <legacyDrawing r:id="rId29"/>
  <mc:AlternateContent xmlns:mc="http://schemas.openxmlformats.org/markup-compatibility/2006">
    <mc:Choice Requires="x14">
      <controls>
        <mc:AlternateContent xmlns:mc="http://schemas.openxmlformats.org/markup-compatibility/2006">
          <mc:Choice Requires="x14">
            <control shapeId="26625" r:id="rId30" name="Drop Down 1">
              <controlPr locked="0" defaultSize="0" print="0" autoFill="0" autoLine="0" autoPict="0">
                <anchor moveWithCells="1">
                  <from>
                    <xdr:col>0</xdr:col>
                    <xdr:colOff>0</xdr:colOff>
                    <xdr:row>88</xdr:row>
                    <xdr:rowOff>38100</xdr:rowOff>
                  </from>
                  <to>
                    <xdr:col>1</xdr:col>
                    <xdr:colOff>542925</xdr:colOff>
                    <xdr:row>89</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Navarik 설정</vt:lpstr>
      <vt:lpstr>Time</vt:lpstr>
      <vt:lpstr>Quantity</vt:lpstr>
      <vt:lpstr>Quality SET 1</vt:lpstr>
      <vt:lpstr>SET 2</vt:lpstr>
      <vt:lpstr>SET 3</vt:lpstr>
      <vt:lpstr>SET 4</vt:lpstr>
      <vt:lpstr>SET 5</vt:lpstr>
      <vt:lpstr>SET 6</vt:lpstr>
      <vt:lpstr>SET 7</vt:lpstr>
      <vt:lpstr>SET 8</vt:lpstr>
      <vt:lpstr>SET 9</vt:lpstr>
      <vt:lpstr>SET 10</vt:lpstr>
      <vt:lpstr>Sheet3</vt:lpstr>
      <vt:lpstr>DENSHELL</vt:lpstr>
      <vt:lpstr>DENVAC</vt:lpstr>
      <vt:lpstr>'Navarik 설정'!Print_Area</vt:lpstr>
      <vt:lpstr>'Quality SET 1'!Print_Area</vt:lpstr>
      <vt:lpstr>Quantity!Print_Area</vt:lpstr>
      <vt:lpstr>'SET 10'!Print_Area</vt:lpstr>
      <vt:lpstr>'SET 2'!Print_Area</vt:lpstr>
      <vt:lpstr>'SET 3'!Print_Area</vt:lpstr>
      <vt:lpstr>'SET 4'!Print_Area</vt:lpstr>
      <vt:lpstr>'SET 5'!Print_Area</vt:lpstr>
      <vt:lpstr>'SET 6'!Print_Area</vt:lpstr>
      <vt:lpstr>'SET 7'!Print_Area</vt:lpstr>
      <vt:lpstr>'SET 8'!Print_Area</vt:lpstr>
      <vt:lpstr>'SET 9'!Print_Area</vt:lpstr>
      <vt:lpstr>Time!Print_Area</vt:lpstr>
      <vt:lpstr>TABLE3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HyunJin Kim</dc:creator>
  <cp:lastModifiedBy>svc_ rpa-ulsan4kr</cp:lastModifiedBy>
  <cp:lastPrinted>2023-08-21T01:31:29Z</cp:lastPrinted>
  <dcterms:created xsi:type="dcterms:W3CDTF">2022-11-23T02:24:26Z</dcterms:created>
  <dcterms:modified xsi:type="dcterms:W3CDTF">2023-11-10T05:14:54Z</dcterms:modified>
</cp:coreProperties>
</file>