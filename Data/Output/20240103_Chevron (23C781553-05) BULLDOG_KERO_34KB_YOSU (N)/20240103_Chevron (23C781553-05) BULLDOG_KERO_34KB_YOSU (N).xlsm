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40103_Chevron (23C781553-05) BULLDOG_KERO_34KB_YOSU (N)\"/>
    </mc:Choice>
  </mc:AlternateContent>
  <xr:revisionPtr revIDLastSave="0" documentId="13_ncr:1_{27A2CF34-3354-4A54-9F7C-11C4C1F0CB8D}" xr6:coauthVersionLast="45" xr6:coauthVersionMax="47" xr10:uidLastSave="{00000000-0000-0000-0000-000000000000}"/>
  <bookViews>
    <workbookView xWindow="240" yWindow="1860" windowWidth="21600" windowHeight="11385" tabRatio="771" activeTab="3" xr2:uid="{D5438E65-0C1A-43C8-87E4-52658D7A1A13}"/>
  </bookViews>
  <sheets>
    <sheet name="Navarik 설정" sheetId="36" r:id="rId1"/>
    <sheet name="Time" sheetId="4" state="hidden" r:id="rId2"/>
    <sheet name="Quantity" sheetId="1" r:id="rId3"/>
    <sheet name="Quality SET 1" sheetId="2" r:id="rId4"/>
    <sheet name="SET 2" sheetId="173" r:id="rId5"/>
    <sheet name="SET 3" sheetId="174" r:id="rId6"/>
    <sheet name="SET 4" sheetId="175" r:id="rId7"/>
    <sheet name="SET 5" sheetId="176" r:id="rId8"/>
    <sheet name="SET 6" sheetId="177" r:id="rId9"/>
    <sheet name="SET 7" sheetId="178" r:id="rId10"/>
    <sheet name="SET 8" sheetId="179" r:id="rId11"/>
    <sheet name="SET 9" sheetId="180" r:id="rId12"/>
    <sheet name="SET 10" sheetId="181"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81" l="1"/>
  <c r="BS82" i="181"/>
  <c r="BO82" i="181"/>
  <c r="BK82" i="181"/>
  <c r="BG82" i="181"/>
  <c r="BC82" i="181"/>
  <c r="AY82" i="181"/>
  <c r="AU82" i="181"/>
  <c r="AQ82" i="181"/>
  <c r="AM82" i="181"/>
  <c r="AI82" i="181"/>
  <c r="AE82" i="181"/>
  <c r="AA82" i="181"/>
  <c r="W82" i="181"/>
  <c r="S82" i="181"/>
  <c r="O82" i="181"/>
  <c r="J82" i="181"/>
  <c r="BW81" i="181"/>
  <c r="BS81" i="181"/>
  <c r="BO81" i="181"/>
  <c r="BK81" i="181"/>
  <c r="BG81" i="181"/>
  <c r="BC81" i="181"/>
  <c r="AY81" i="181"/>
  <c r="AU81" i="181"/>
  <c r="AQ81" i="181"/>
  <c r="AM81" i="181"/>
  <c r="AI81" i="181"/>
  <c r="AE81" i="181"/>
  <c r="AA81" i="181"/>
  <c r="W81" i="181"/>
  <c r="S81" i="181"/>
  <c r="O81" i="181"/>
  <c r="J81" i="181"/>
  <c r="BW80" i="181"/>
  <c r="BS80" i="181"/>
  <c r="BO80" i="181"/>
  <c r="BK80" i="181"/>
  <c r="BG80" i="181"/>
  <c r="BC80" i="181"/>
  <c r="AY80" i="181"/>
  <c r="AU80" i="181"/>
  <c r="AQ80" i="181"/>
  <c r="AM80" i="181"/>
  <c r="AI80" i="181"/>
  <c r="AE80" i="181"/>
  <c r="AA80" i="181"/>
  <c r="W80" i="181"/>
  <c r="S80" i="181"/>
  <c r="O80" i="181"/>
  <c r="J80" i="181"/>
  <c r="BW79" i="181"/>
  <c r="BS79" i="181"/>
  <c r="BO79" i="181"/>
  <c r="BK79" i="181"/>
  <c r="BG79" i="181"/>
  <c r="BC79" i="181"/>
  <c r="AY79" i="181"/>
  <c r="AU79" i="181"/>
  <c r="AQ79" i="181"/>
  <c r="AM79" i="181"/>
  <c r="AI79" i="181"/>
  <c r="AE79" i="181"/>
  <c r="AA79" i="181"/>
  <c r="W79" i="181"/>
  <c r="S79" i="181"/>
  <c r="O79" i="181"/>
  <c r="J79" i="181"/>
  <c r="BW78" i="181"/>
  <c r="BS78" i="181"/>
  <c r="BO78" i="181"/>
  <c r="BK78" i="181"/>
  <c r="BG78" i="181"/>
  <c r="BC78" i="181"/>
  <c r="AY78" i="181"/>
  <c r="AU78" i="181"/>
  <c r="AQ78" i="181"/>
  <c r="AM78" i="181"/>
  <c r="AI78" i="181"/>
  <c r="AE78" i="181"/>
  <c r="AA78" i="181"/>
  <c r="W78" i="181"/>
  <c r="S78" i="181"/>
  <c r="O78" i="181"/>
  <c r="J78" i="181"/>
  <c r="BW77" i="181"/>
  <c r="BS77" i="181"/>
  <c r="BO77" i="181"/>
  <c r="BK77" i="181"/>
  <c r="BG77" i="181"/>
  <c r="BC77" i="181"/>
  <c r="AY77" i="181"/>
  <c r="AU77" i="181"/>
  <c r="AQ77" i="181"/>
  <c r="AM77" i="181"/>
  <c r="AI77" i="181"/>
  <c r="AE77" i="181"/>
  <c r="AA77" i="181"/>
  <c r="W77" i="181"/>
  <c r="S77" i="181"/>
  <c r="O77" i="181"/>
  <c r="J77" i="181"/>
  <c r="BW76" i="181"/>
  <c r="BS76" i="181"/>
  <c r="BO76" i="181"/>
  <c r="BK76" i="181"/>
  <c r="BG76" i="181"/>
  <c r="BC76" i="181"/>
  <c r="AY76" i="181"/>
  <c r="AU76" i="181"/>
  <c r="AQ76" i="181"/>
  <c r="AM76" i="181"/>
  <c r="AI76" i="181"/>
  <c r="AE76" i="181"/>
  <c r="AA76" i="181"/>
  <c r="W76" i="181"/>
  <c r="S76" i="181"/>
  <c r="O76" i="181"/>
  <c r="J76" i="181"/>
  <c r="BW75" i="181"/>
  <c r="BS75" i="181"/>
  <c r="BO75" i="181"/>
  <c r="BK75" i="181"/>
  <c r="BG75" i="181"/>
  <c r="BC75" i="181"/>
  <c r="AY75" i="181"/>
  <c r="AU75" i="181"/>
  <c r="AQ75" i="181"/>
  <c r="AM75" i="181"/>
  <c r="AI75" i="181"/>
  <c r="AE75" i="181"/>
  <c r="AA75" i="181"/>
  <c r="W75" i="181"/>
  <c r="S75" i="181"/>
  <c r="O75" i="181"/>
  <c r="J75" i="181"/>
  <c r="BW74" i="181"/>
  <c r="BS74" i="181"/>
  <c r="BO74" i="181"/>
  <c r="BK74" i="181"/>
  <c r="BG74" i="181"/>
  <c r="BC74" i="181"/>
  <c r="AY74" i="181"/>
  <c r="AU74" i="181"/>
  <c r="AQ74" i="181"/>
  <c r="AM74" i="181"/>
  <c r="AI74" i="181"/>
  <c r="AE74" i="181"/>
  <c r="AA74" i="181"/>
  <c r="W74" i="181"/>
  <c r="S74" i="181"/>
  <c r="O74" i="181"/>
  <c r="J74" i="181"/>
  <c r="BW73" i="181"/>
  <c r="BS73" i="181"/>
  <c r="BO73" i="181"/>
  <c r="BK73" i="181"/>
  <c r="BG73" i="181"/>
  <c r="BC73" i="181"/>
  <c r="AY73" i="181"/>
  <c r="AU73" i="181"/>
  <c r="AQ73" i="181"/>
  <c r="AM73" i="181"/>
  <c r="AI73" i="181"/>
  <c r="AE73" i="181"/>
  <c r="AA73" i="181"/>
  <c r="W73" i="181"/>
  <c r="S73" i="181"/>
  <c r="O73" i="181"/>
  <c r="J73" i="181"/>
  <c r="BW72" i="181"/>
  <c r="BS72" i="181"/>
  <c r="BO72" i="181"/>
  <c r="BK72" i="181"/>
  <c r="BG72" i="181"/>
  <c r="BC72" i="181"/>
  <c r="AY72" i="181"/>
  <c r="AU72" i="181"/>
  <c r="AQ72" i="181"/>
  <c r="AM72" i="181"/>
  <c r="AI72" i="181"/>
  <c r="AE72" i="181"/>
  <c r="AA72" i="181"/>
  <c r="W72" i="181"/>
  <c r="S72" i="181"/>
  <c r="O72" i="181"/>
  <c r="J72" i="181"/>
  <c r="BW71" i="181"/>
  <c r="BS71" i="181"/>
  <c r="BO71" i="181"/>
  <c r="BK71" i="181"/>
  <c r="BG71" i="181"/>
  <c r="BC71" i="181"/>
  <c r="AY71" i="181"/>
  <c r="AU71" i="181"/>
  <c r="AQ71" i="181"/>
  <c r="AM71" i="181"/>
  <c r="AI71" i="181"/>
  <c r="AE71" i="181"/>
  <c r="AA71" i="181"/>
  <c r="W71" i="181"/>
  <c r="S71" i="181"/>
  <c r="O71" i="181"/>
  <c r="J71" i="181"/>
  <c r="BW70" i="181"/>
  <c r="BS70" i="181"/>
  <c r="BO70" i="181"/>
  <c r="BK70" i="181"/>
  <c r="BG70" i="181"/>
  <c r="BC70" i="181"/>
  <c r="AY70" i="181"/>
  <c r="AU70" i="181"/>
  <c r="AQ70" i="181"/>
  <c r="AM70" i="181"/>
  <c r="AI70" i="181"/>
  <c r="AE70" i="181"/>
  <c r="AA70" i="181"/>
  <c r="W70" i="181"/>
  <c r="S70" i="181"/>
  <c r="O70" i="181"/>
  <c r="J70" i="181"/>
  <c r="BW69" i="181"/>
  <c r="BS69" i="181"/>
  <c r="BO69" i="181"/>
  <c r="BK69" i="181"/>
  <c r="BG69" i="181"/>
  <c r="BC69" i="181"/>
  <c r="AY69" i="181"/>
  <c r="AU69" i="181"/>
  <c r="AQ69" i="181"/>
  <c r="AM69" i="181"/>
  <c r="AI69" i="181"/>
  <c r="AE69" i="181"/>
  <c r="AA69" i="181"/>
  <c r="W69" i="181"/>
  <c r="S69" i="181"/>
  <c r="O69" i="181"/>
  <c r="J69" i="181"/>
  <c r="BW68" i="181"/>
  <c r="BS68" i="181"/>
  <c r="BO68" i="181"/>
  <c r="BK68" i="181"/>
  <c r="BG68" i="181"/>
  <c r="BC68" i="181"/>
  <c r="AY68" i="181"/>
  <c r="AU68" i="181"/>
  <c r="AQ68" i="181"/>
  <c r="AM68" i="181"/>
  <c r="AI68" i="181"/>
  <c r="AE68" i="181"/>
  <c r="AA68" i="181"/>
  <c r="W68" i="181"/>
  <c r="S68" i="181"/>
  <c r="O68" i="181"/>
  <c r="J68" i="181"/>
  <c r="BW67" i="181"/>
  <c r="BS67" i="181"/>
  <c r="BO67" i="181"/>
  <c r="BK67" i="181"/>
  <c r="BG67" i="181"/>
  <c r="BC67" i="181"/>
  <c r="AY67" i="181"/>
  <c r="AU67" i="181"/>
  <c r="AQ67" i="181"/>
  <c r="AM67" i="181"/>
  <c r="AI67" i="181"/>
  <c r="AE67" i="181"/>
  <c r="AA67" i="181"/>
  <c r="W67" i="181"/>
  <c r="S67" i="181"/>
  <c r="O67" i="181"/>
  <c r="J67" i="181"/>
  <c r="BW66" i="181"/>
  <c r="BS66" i="181"/>
  <c r="BO66" i="181"/>
  <c r="BK66" i="181"/>
  <c r="BG66" i="181"/>
  <c r="BC66" i="181"/>
  <c r="AY66" i="181"/>
  <c r="AU66" i="181"/>
  <c r="AQ66" i="181"/>
  <c r="AM66" i="181"/>
  <c r="AI66" i="181"/>
  <c r="AE66" i="181"/>
  <c r="AA66" i="181"/>
  <c r="W66" i="181"/>
  <c r="S66" i="181"/>
  <c r="O66" i="181"/>
  <c r="J66" i="181"/>
  <c r="BW65" i="181"/>
  <c r="BS65" i="181"/>
  <c r="BO65" i="181"/>
  <c r="BK65" i="181"/>
  <c r="BG65" i="181"/>
  <c r="BC65" i="181"/>
  <c r="AY65" i="181"/>
  <c r="AU65" i="181"/>
  <c r="AQ65" i="181"/>
  <c r="AM65" i="181"/>
  <c r="AI65" i="181"/>
  <c r="AE65" i="181"/>
  <c r="AA65" i="181"/>
  <c r="W65" i="181"/>
  <c r="S65" i="181"/>
  <c r="O65" i="181"/>
  <c r="J65" i="181"/>
  <c r="BW64" i="181"/>
  <c r="BS64" i="181"/>
  <c r="BO64" i="181"/>
  <c r="BK64" i="181"/>
  <c r="BG64" i="181"/>
  <c r="BC64" i="181"/>
  <c r="AY64" i="181"/>
  <c r="AU64" i="181"/>
  <c r="AQ64" i="181"/>
  <c r="AM64" i="181"/>
  <c r="AI64" i="181"/>
  <c r="AE64" i="181"/>
  <c r="AA64" i="181"/>
  <c r="W64" i="181"/>
  <c r="S64" i="181"/>
  <c r="O64" i="181"/>
  <c r="J64" i="181"/>
  <c r="BW63" i="181"/>
  <c r="BS63" i="181"/>
  <c r="BO63" i="181"/>
  <c r="BK63" i="181"/>
  <c r="BG63" i="181"/>
  <c r="BC63" i="181"/>
  <c r="AY63" i="181"/>
  <c r="AU63" i="181"/>
  <c r="AQ63" i="181"/>
  <c r="AM63" i="181"/>
  <c r="AI63" i="181"/>
  <c r="AE63" i="181"/>
  <c r="AA63" i="181"/>
  <c r="W63" i="181"/>
  <c r="S63" i="181"/>
  <c r="O63" i="181"/>
  <c r="J63" i="181"/>
  <c r="BW62" i="181"/>
  <c r="BS62" i="181"/>
  <c r="BO62" i="181"/>
  <c r="BK62" i="181"/>
  <c r="BG62" i="181"/>
  <c r="BC62" i="181"/>
  <c r="AY62" i="181"/>
  <c r="AU62" i="181"/>
  <c r="AQ62" i="181"/>
  <c r="AM62" i="181"/>
  <c r="AI62" i="181"/>
  <c r="AE62" i="181"/>
  <c r="AA62" i="181"/>
  <c r="W62" i="181"/>
  <c r="S62" i="181"/>
  <c r="O62" i="181"/>
  <c r="J62" i="181"/>
  <c r="BW61" i="181"/>
  <c r="BS61" i="181"/>
  <c r="BO61" i="181"/>
  <c r="BK61" i="181"/>
  <c r="BG61" i="181"/>
  <c r="BC61" i="181"/>
  <c r="AY61" i="181"/>
  <c r="AU61" i="181"/>
  <c r="AQ61" i="181"/>
  <c r="AM61" i="181"/>
  <c r="AI61" i="181"/>
  <c r="AE61" i="181"/>
  <c r="AA61" i="181"/>
  <c r="W61" i="181"/>
  <c r="S61" i="181"/>
  <c r="O61" i="181"/>
  <c r="J61" i="181"/>
  <c r="BW60" i="181"/>
  <c r="BS60" i="181"/>
  <c r="BO60" i="181"/>
  <c r="BK60" i="181"/>
  <c r="BG60" i="181"/>
  <c r="BC60" i="181"/>
  <c r="AY60" i="181"/>
  <c r="AU60" i="181"/>
  <c r="AQ60" i="181"/>
  <c r="AM60" i="181"/>
  <c r="AI60" i="181"/>
  <c r="AE60" i="181"/>
  <c r="AA60" i="181"/>
  <c r="W60" i="181"/>
  <c r="S60" i="181"/>
  <c r="O60" i="181"/>
  <c r="J60" i="181"/>
  <c r="BW59" i="181"/>
  <c r="BS59" i="181"/>
  <c r="BO59" i="181"/>
  <c r="BK59" i="181"/>
  <c r="BG59" i="181"/>
  <c r="BC59" i="181"/>
  <c r="AY59" i="181"/>
  <c r="AU59" i="181"/>
  <c r="AQ59" i="181"/>
  <c r="AM59" i="181"/>
  <c r="AI59" i="181"/>
  <c r="AE59" i="181"/>
  <c r="AA59" i="181"/>
  <c r="W59" i="181"/>
  <c r="S59" i="181"/>
  <c r="O59" i="181"/>
  <c r="J59" i="181"/>
  <c r="BW58" i="181"/>
  <c r="BS58" i="181"/>
  <c r="BO58" i="181"/>
  <c r="BK58" i="181"/>
  <c r="BG58" i="181"/>
  <c r="BC58" i="181"/>
  <c r="AY58" i="181"/>
  <c r="AU58" i="181"/>
  <c r="AQ58" i="181"/>
  <c r="AM58" i="181"/>
  <c r="AI58" i="181"/>
  <c r="AE58" i="181"/>
  <c r="AA58" i="181"/>
  <c r="W58" i="181"/>
  <c r="S58" i="181"/>
  <c r="O58" i="181"/>
  <c r="J58" i="181"/>
  <c r="BW57" i="181"/>
  <c r="BS57" i="181"/>
  <c r="BO57" i="181"/>
  <c r="BK57" i="181"/>
  <c r="BG57" i="181"/>
  <c r="BC57" i="181"/>
  <c r="AY57" i="181"/>
  <c r="AU57" i="181"/>
  <c r="AQ57" i="181"/>
  <c r="AM57" i="181"/>
  <c r="AI57" i="181"/>
  <c r="AE57" i="181"/>
  <c r="AA57" i="181"/>
  <c r="W57" i="181"/>
  <c r="S57" i="181"/>
  <c r="O57" i="181"/>
  <c r="J57" i="181"/>
  <c r="BW56" i="181"/>
  <c r="BS56" i="181"/>
  <c r="BO56" i="181"/>
  <c r="BK56" i="181"/>
  <c r="BG56" i="181"/>
  <c r="BC56" i="181"/>
  <c r="AY56" i="181"/>
  <c r="AU56" i="181"/>
  <c r="AQ56" i="181"/>
  <c r="AM56" i="181"/>
  <c r="AI56" i="181"/>
  <c r="AE56" i="181"/>
  <c r="AA56" i="181"/>
  <c r="W56" i="181"/>
  <c r="S56" i="181"/>
  <c r="O56" i="181"/>
  <c r="J56" i="181"/>
  <c r="BW55" i="181"/>
  <c r="BS55" i="181"/>
  <c r="BO55" i="181"/>
  <c r="BK55" i="181"/>
  <c r="BG55" i="181"/>
  <c r="BC55" i="181"/>
  <c r="AY55" i="181"/>
  <c r="AU55" i="181"/>
  <c r="AQ55" i="181"/>
  <c r="AM55" i="181"/>
  <c r="AI55" i="181"/>
  <c r="AE55" i="181"/>
  <c r="AA55" i="181"/>
  <c r="W55" i="181"/>
  <c r="S55" i="181"/>
  <c r="O55" i="181"/>
  <c r="J55" i="181"/>
  <c r="BW54" i="181"/>
  <c r="BS54" i="181"/>
  <c r="BO54" i="181"/>
  <c r="BK54" i="181"/>
  <c r="BG54" i="181"/>
  <c r="BC54" i="181"/>
  <c r="AY54" i="181"/>
  <c r="AU54" i="181"/>
  <c r="AQ54" i="181"/>
  <c r="AM54" i="181"/>
  <c r="AI54" i="181"/>
  <c r="AE54" i="181"/>
  <c r="AA54" i="181"/>
  <c r="W54" i="181"/>
  <c r="S54" i="181"/>
  <c r="O54" i="181"/>
  <c r="J54" i="181"/>
  <c r="BW53" i="181"/>
  <c r="BS53" i="181"/>
  <c r="BO53" i="181"/>
  <c r="BK53" i="181"/>
  <c r="BG53" i="181"/>
  <c r="BC53" i="181"/>
  <c r="AY53" i="181"/>
  <c r="AU53" i="181"/>
  <c r="AQ53" i="181"/>
  <c r="AM53" i="181"/>
  <c r="AI53" i="181"/>
  <c r="AE53" i="181"/>
  <c r="AA53" i="181"/>
  <c r="W53" i="181"/>
  <c r="S53" i="181"/>
  <c r="O53" i="181"/>
  <c r="J53" i="181"/>
  <c r="BW52" i="181"/>
  <c r="BS52" i="181"/>
  <c r="BO52" i="181"/>
  <c r="BK52" i="181"/>
  <c r="BG52" i="181"/>
  <c r="BC52" i="181"/>
  <c r="AY52" i="181"/>
  <c r="AU52" i="181"/>
  <c r="AQ52" i="181"/>
  <c r="AM52" i="181"/>
  <c r="AI52" i="181"/>
  <c r="AE52" i="181"/>
  <c r="AA52" i="181"/>
  <c r="W52" i="181"/>
  <c r="S52" i="181"/>
  <c r="O52" i="181"/>
  <c r="J52" i="181"/>
  <c r="BW51" i="181"/>
  <c r="BS51" i="181"/>
  <c r="BO51" i="181"/>
  <c r="BK51" i="181"/>
  <c r="BG51" i="181"/>
  <c r="BC51" i="181"/>
  <c r="AY51" i="181"/>
  <c r="AU51" i="181"/>
  <c r="AQ51" i="181"/>
  <c r="AM51" i="181"/>
  <c r="AI51" i="181"/>
  <c r="AE51" i="181"/>
  <c r="AA51" i="181"/>
  <c r="W51" i="181"/>
  <c r="S51" i="181"/>
  <c r="O51" i="181"/>
  <c r="J51" i="181"/>
  <c r="BW50" i="181"/>
  <c r="BS50" i="181"/>
  <c r="BO50" i="181"/>
  <c r="BK50" i="181"/>
  <c r="BG50" i="181"/>
  <c r="BC50" i="181"/>
  <c r="AY50" i="181"/>
  <c r="AU50" i="181"/>
  <c r="AQ50" i="181"/>
  <c r="AM50" i="181"/>
  <c r="AI50" i="181"/>
  <c r="AE50" i="181"/>
  <c r="AA50" i="181"/>
  <c r="W50" i="181"/>
  <c r="S50" i="181"/>
  <c r="O50" i="181"/>
  <c r="J50" i="181"/>
  <c r="BW49" i="181"/>
  <c r="BS49" i="181"/>
  <c r="BO49" i="181"/>
  <c r="BK49" i="181"/>
  <c r="BG49" i="181"/>
  <c r="BC49" i="181"/>
  <c r="AY49" i="181"/>
  <c r="AU49" i="181"/>
  <c r="AQ49" i="181"/>
  <c r="AM49" i="181"/>
  <c r="AI49" i="181"/>
  <c r="AE49" i="181"/>
  <c r="AA49" i="181"/>
  <c r="W49" i="181"/>
  <c r="S49" i="181"/>
  <c r="O49" i="181"/>
  <c r="J49" i="181"/>
  <c r="BW48" i="181"/>
  <c r="BS48" i="181"/>
  <c r="BO48" i="181"/>
  <c r="BK48" i="181"/>
  <c r="BG48" i="181"/>
  <c r="BC48" i="181"/>
  <c r="AY48" i="181"/>
  <c r="AU48" i="181"/>
  <c r="AQ48" i="181"/>
  <c r="AM48" i="181"/>
  <c r="AI48" i="181"/>
  <c r="AE48" i="181"/>
  <c r="AA48" i="181"/>
  <c r="W48" i="181"/>
  <c r="S48" i="181"/>
  <c r="O48" i="181"/>
  <c r="J48" i="181"/>
  <c r="BW47" i="181"/>
  <c r="BS47" i="181"/>
  <c r="BO47" i="181"/>
  <c r="BK47" i="181"/>
  <c r="BG47" i="181"/>
  <c r="BC47" i="181"/>
  <c r="AY47" i="181"/>
  <c r="AU47" i="181"/>
  <c r="AQ47" i="181"/>
  <c r="AM47" i="181"/>
  <c r="AI47" i="181"/>
  <c r="AE47" i="181"/>
  <c r="AA47" i="181"/>
  <c r="W47" i="181"/>
  <c r="S47" i="181"/>
  <c r="O47" i="181"/>
  <c r="J47" i="181"/>
  <c r="BW46" i="181"/>
  <c r="BS46" i="181"/>
  <c r="BO46" i="181"/>
  <c r="BK46" i="181"/>
  <c r="BG46" i="181"/>
  <c r="BC46" i="181"/>
  <c r="AY46" i="181"/>
  <c r="AU46" i="181"/>
  <c r="AQ46" i="181"/>
  <c r="AM46" i="181"/>
  <c r="AI46" i="181"/>
  <c r="AE46" i="181"/>
  <c r="AA46" i="181"/>
  <c r="W46" i="181"/>
  <c r="S46" i="181"/>
  <c r="O46" i="181"/>
  <c r="J46" i="181"/>
  <c r="BW45" i="181"/>
  <c r="BS45" i="181"/>
  <c r="BO45" i="181"/>
  <c r="BK45" i="181"/>
  <c r="BG45" i="181"/>
  <c r="BC45" i="181"/>
  <c r="AY45" i="181"/>
  <c r="AU45" i="181"/>
  <c r="AQ45" i="181"/>
  <c r="AM45" i="181"/>
  <c r="AI45" i="181"/>
  <c r="AE45" i="181"/>
  <c r="AA45" i="181"/>
  <c r="W45" i="181"/>
  <c r="S45" i="181"/>
  <c r="O45" i="181"/>
  <c r="J45" i="181"/>
  <c r="BW44" i="181"/>
  <c r="BS44" i="181"/>
  <c r="BO44" i="181"/>
  <c r="BK44" i="181"/>
  <c r="BG44" i="181"/>
  <c r="BC44" i="181"/>
  <c r="AY44" i="181"/>
  <c r="AU44" i="181"/>
  <c r="AQ44" i="181"/>
  <c r="AM44" i="181"/>
  <c r="AI44" i="181"/>
  <c r="AE44" i="181"/>
  <c r="AA44" i="181"/>
  <c r="W44" i="181"/>
  <c r="S44" i="181"/>
  <c r="O44" i="181"/>
  <c r="J44" i="181"/>
  <c r="BW43" i="181"/>
  <c r="BS43" i="181"/>
  <c r="BO43" i="181"/>
  <c r="BK43" i="181"/>
  <c r="BG43" i="181"/>
  <c r="BC43" i="181"/>
  <c r="AY43" i="181"/>
  <c r="AU43" i="181"/>
  <c r="AQ43" i="181"/>
  <c r="AM43" i="181"/>
  <c r="AI43" i="181"/>
  <c r="AE43" i="181"/>
  <c r="AA43" i="181"/>
  <c r="W43" i="181"/>
  <c r="S43" i="181"/>
  <c r="O43" i="181"/>
  <c r="J43" i="181"/>
  <c r="BW42" i="181"/>
  <c r="BS42" i="181"/>
  <c r="BO42" i="181"/>
  <c r="BK42" i="181"/>
  <c r="BG42" i="181"/>
  <c r="BC42" i="181"/>
  <c r="AY42" i="181"/>
  <c r="AU42" i="181"/>
  <c r="AQ42" i="181"/>
  <c r="AM42" i="181"/>
  <c r="AI42" i="181"/>
  <c r="AE42" i="181"/>
  <c r="AA42" i="181"/>
  <c r="W42" i="181"/>
  <c r="S42" i="181"/>
  <c r="O42" i="181"/>
  <c r="J42" i="181"/>
  <c r="BW41" i="181"/>
  <c r="BS41" i="181"/>
  <c r="BO41" i="181"/>
  <c r="BK41" i="181"/>
  <c r="BG41" i="181"/>
  <c r="BC41" i="181"/>
  <c r="AY41" i="181"/>
  <c r="AU41" i="181"/>
  <c r="AQ41" i="181"/>
  <c r="AM41" i="181"/>
  <c r="AI41" i="181"/>
  <c r="AE41" i="181"/>
  <c r="AA41" i="181"/>
  <c r="W41" i="181"/>
  <c r="S41" i="181"/>
  <c r="O41" i="181"/>
  <c r="J41" i="181"/>
  <c r="BW40" i="181"/>
  <c r="BS40" i="181"/>
  <c r="BO40" i="181"/>
  <c r="BK40" i="181"/>
  <c r="BG40" i="181"/>
  <c r="BC40" i="181"/>
  <c r="AY40" i="181"/>
  <c r="AU40" i="181"/>
  <c r="AQ40" i="181"/>
  <c r="AM40" i="181"/>
  <c r="AI40" i="181"/>
  <c r="AE40" i="181"/>
  <c r="AA40" i="181"/>
  <c r="W40" i="181"/>
  <c r="S40" i="181"/>
  <c r="O40" i="181"/>
  <c r="J40" i="181"/>
  <c r="BW39" i="181"/>
  <c r="BS39" i="181"/>
  <c r="BO39" i="181"/>
  <c r="BK39" i="181"/>
  <c r="BG39" i="181"/>
  <c r="BC39" i="181"/>
  <c r="AY39" i="181"/>
  <c r="AU39" i="181"/>
  <c r="AQ39" i="181"/>
  <c r="AM39" i="181"/>
  <c r="AI39" i="181"/>
  <c r="AE39" i="181"/>
  <c r="AA39" i="181"/>
  <c r="W39" i="181"/>
  <c r="S39" i="181"/>
  <c r="O39" i="181"/>
  <c r="J39" i="181"/>
  <c r="BW38" i="181"/>
  <c r="BS38" i="181"/>
  <c r="BO38" i="181"/>
  <c r="BK38" i="181"/>
  <c r="BG38" i="181"/>
  <c r="BC38" i="181"/>
  <c r="AY38" i="181"/>
  <c r="AU38" i="181"/>
  <c r="AQ38" i="181"/>
  <c r="AM38" i="181"/>
  <c r="AI38" i="181"/>
  <c r="AE38" i="181"/>
  <c r="AA38" i="181"/>
  <c r="W38" i="181"/>
  <c r="S38" i="181"/>
  <c r="O38" i="181"/>
  <c r="J38" i="181"/>
  <c r="BW37" i="181"/>
  <c r="BS37" i="181"/>
  <c r="BO37" i="181"/>
  <c r="BK37" i="181"/>
  <c r="BG37" i="181"/>
  <c r="BC37" i="181"/>
  <c r="AY37" i="181"/>
  <c r="AU37" i="181"/>
  <c r="AQ37" i="181"/>
  <c r="AM37" i="181"/>
  <c r="AI37" i="181"/>
  <c r="AE37" i="181"/>
  <c r="AA37" i="181"/>
  <c r="W37" i="181"/>
  <c r="S37" i="181"/>
  <c r="O37" i="181"/>
  <c r="J37" i="181"/>
  <c r="BW36" i="181"/>
  <c r="BS36" i="181"/>
  <c r="BO36" i="181"/>
  <c r="BK36" i="181"/>
  <c r="BG36" i="181"/>
  <c r="BC36" i="181"/>
  <c r="AY36" i="181"/>
  <c r="AU36" i="181"/>
  <c r="AQ36" i="181"/>
  <c r="AM36" i="181"/>
  <c r="AI36" i="181"/>
  <c r="AE36" i="181"/>
  <c r="AA36" i="181"/>
  <c r="W36" i="181"/>
  <c r="S36" i="181"/>
  <c r="O36" i="181"/>
  <c r="J36" i="181"/>
  <c r="BW35" i="181"/>
  <c r="BS35" i="181"/>
  <c r="BO35" i="181"/>
  <c r="BK35" i="181"/>
  <c r="BG35" i="181"/>
  <c r="BC35" i="181"/>
  <c r="AY35" i="181"/>
  <c r="AU35" i="181"/>
  <c r="AQ35" i="181"/>
  <c r="AM35" i="181"/>
  <c r="AI35" i="181"/>
  <c r="AE35" i="181"/>
  <c r="AA35" i="181"/>
  <c r="W35" i="181"/>
  <c r="S35" i="181"/>
  <c r="O35" i="181"/>
  <c r="J35" i="181"/>
  <c r="BW34" i="181"/>
  <c r="BS34" i="181"/>
  <c r="BO34" i="181"/>
  <c r="BK34" i="181"/>
  <c r="BG34" i="181"/>
  <c r="BC34" i="181"/>
  <c r="AY34" i="181"/>
  <c r="AU34" i="181"/>
  <c r="AQ34" i="181"/>
  <c r="AM34" i="181"/>
  <c r="AI34" i="181"/>
  <c r="AE34" i="181"/>
  <c r="AA34" i="181"/>
  <c r="W34" i="181"/>
  <c r="S34" i="181"/>
  <c r="O34" i="181"/>
  <c r="J34" i="181"/>
  <c r="BW33" i="181"/>
  <c r="BS33" i="181"/>
  <c r="BO33" i="181"/>
  <c r="BK33" i="181"/>
  <c r="BG33" i="181"/>
  <c r="BC33" i="181"/>
  <c r="AY33" i="181"/>
  <c r="AU33" i="181"/>
  <c r="AQ33" i="181"/>
  <c r="AM33" i="181"/>
  <c r="AI33" i="181"/>
  <c r="AE33" i="181"/>
  <c r="AA33" i="181"/>
  <c r="W33" i="181"/>
  <c r="S33" i="181"/>
  <c r="O33" i="181"/>
  <c r="J33" i="181"/>
  <c r="BW32" i="181"/>
  <c r="BS32" i="181"/>
  <c r="BO32" i="181"/>
  <c r="BK32" i="181"/>
  <c r="BG32" i="181"/>
  <c r="BC32" i="181"/>
  <c r="AY32" i="181"/>
  <c r="AU32" i="181"/>
  <c r="AQ32" i="181"/>
  <c r="AM32" i="181"/>
  <c r="AI32" i="181"/>
  <c r="AE32" i="181"/>
  <c r="AA32" i="181"/>
  <c r="W32" i="181"/>
  <c r="S32" i="181"/>
  <c r="O32" i="181"/>
  <c r="J32" i="181"/>
  <c r="BW31" i="181"/>
  <c r="BS31" i="181"/>
  <c r="BO31" i="181"/>
  <c r="BK31" i="181"/>
  <c r="BG31" i="181"/>
  <c r="BC31" i="181"/>
  <c r="AY31" i="181"/>
  <c r="AU31" i="181"/>
  <c r="AQ31" i="181"/>
  <c r="AM31" i="181"/>
  <c r="AI31" i="181"/>
  <c r="AE31" i="181"/>
  <c r="AA31" i="181"/>
  <c r="W31" i="181"/>
  <c r="S31" i="181"/>
  <c r="O31" i="181"/>
  <c r="J31" i="181"/>
  <c r="BW30" i="181"/>
  <c r="BS30" i="181"/>
  <c r="BO30" i="181"/>
  <c r="BK30" i="181"/>
  <c r="BG30" i="181"/>
  <c r="BC30" i="181"/>
  <c r="AY30" i="181"/>
  <c r="AU30" i="181"/>
  <c r="AQ30" i="181"/>
  <c r="AM30" i="181"/>
  <c r="AI30" i="181"/>
  <c r="AE30" i="181"/>
  <c r="AA30" i="181"/>
  <c r="W30" i="181"/>
  <c r="S30" i="181"/>
  <c r="O30" i="181"/>
  <c r="J30" i="181"/>
  <c r="BW29" i="181"/>
  <c r="BS29" i="181"/>
  <c r="BO29" i="181"/>
  <c r="BK29" i="181"/>
  <c r="BG29" i="181"/>
  <c r="BC29" i="181"/>
  <c r="AY29" i="181"/>
  <c r="AU29" i="181"/>
  <c r="AQ29" i="181"/>
  <c r="AM29" i="181"/>
  <c r="AI29" i="181"/>
  <c r="AE29" i="181"/>
  <c r="AA29" i="181"/>
  <c r="W29" i="181"/>
  <c r="S29" i="181"/>
  <c r="O29" i="181"/>
  <c r="J29" i="181"/>
  <c r="BW28" i="181"/>
  <c r="BS28" i="181"/>
  <c r="BO28" i="181"/>
  <c r="BK28" i="181"/>
  <c r="BG28" i="181"/>
  <c r="BC28" i="181"/>
  <c r="AY28" i="181"/>
  <c r="AU28" i="181"/>
  <c r="AQ28" i="181"/>
  <c r="AM28" i="181"/>
  <c r="AI28" i="181"/>
  <c r="AE28" i="181"/>
  <c r="AA28" i="181"/>
  <c r="W28" i="181"/>
  <c r="S28" i="181"/>
  <c r="O28" i="181"/>
  <c r="J28" i="181"/>
  <c r="BW27" i="181"/>
  <c r="BS27" i="181"/>
  <c r="BO27" i="181"/>
  <c r="BK27" i="181"/>
  <c r="BG27" i="181"/>
  <c r="BC27" i="181"/>
  <c r="AY27" i="181"/>
  <c r="AU27" i="181"/>
  <c r="AQ27" i="181"/>
  <c r="AM27" i="181"/>
  <c r="AI27" i="181"/>
  <c r="AE27" i="181"/>
  <c r="AA27" i="181"/>
  <c r="W27" i="181"/>
  <c r="S27" i="181"/>
  <c r="O27" i="181"/>
  <c r="J27" i="181"/>
  <c r="BW26" i="181"/>
  <c r="BS26" i="181"/>
  <c r="BO26" i="181"/>
  <c r="BK26" i="181"/>
  <c r="BG26" i="181"/>
  <c r="BC26" i="181"/>
  <c r="AY26" i="181"/>
  <c r="AU26" i="181"/>
  <c r="AQ26" i="181"/>
  <c r="AM26" i="181"/>
  <c r="AI26" i="181"/>
  <c r="AE26" i="181"/>
  <c r="AA26" i="181"/>
  <c r="W26" i="181"/>
  <c r="S26" i="181"/>
  <c r="O26" i="181"/>
  <c r="J26" i="181"/>
  <c r="BW25" i="181"/>
  <c r="BS25" i="181"/>
  <c r="BO25" i="181"/>
  <c r="BK25" i="181"/>
  <c r="BG25" i="181"/>
  <c r="BC25" i="181"/>
  <c r="AY25" i="181"/>
  <c r="AU25" i="181"/>
  <c r="AQ25" i="181"/>
  <c r="AM25" i="181"/>
  <c r="AI25" i="181"/>
  <c r="AE25" i="181"/>
  <c r="AA25" i="181"/>
  <c r="W25" i="181"/>
  <c r="S25" i="181"/>
  <c r="O25" i="181"/>
  <c r="J25" i="181"/>
  <c r="BW24" i="181"/>
  <c r="BS24" i="181"/>
  <c r="BO24" i="181"/>
  <c r="BK24" i="181"/>
  <c r="BG24" i="181"/>
  <c r="BC24" i="181"/>
  <c r="AY24" i="181"/>
  <c r="AU24" i="181"/>
  <c r="AQ24" i="181"/>
  <c r="AM24" i="181"/>
  <c r="AI24" i="181"/>
  <c r="AE24" i="181"/>
  <c r="AA24" i="181"/>
  <c r="W24" i="181"/>
  <c r="S24" i="181"/>
  <c r="O24" i="181"/>
  <c r="J24" i="181"/>
  <c r="BW23" i="181"/>
  <c r="BS23" i="181"/>
  <c r="BO23" i="181"/>
  <c r="BK23" i="181"/>
  <c r="BG23" i="181"/>
  <c r="BC23" i="181"/>
  <c r="AY23" i="181"/>
  <c r="AU23" i="181"/>
  <c r="AQ23" i="181"/>
  <c r="AM23" i="181"/>
  <c r="AI23" i="181"/>
  <c r="AE23" i="181"/>
  <c r="AA23" i="181"/>
  <c r="W23" i="181"/>
  <c r="S23" i="181"/>
  <c r="O23" i="181"/>
  <c r="J23" i="181"/>
  <c r="BW22" i="181"/>
  <c r="BS22" i="181"/>
  <c r="BO22" i="181"/>
  <c r="BK22" i="181"/>
  <c r="BG22" i="181"/>
  <c r="BC22" i="181"/>
  <c r="AY22" i="181"/>
  <c r="AU22" i="181"/>
  <c r="AQ22" i="181"/>
  <c r="AM22" i="181"/>
  <c r="AI22" i="181"/>
  <c r="AE22" i="181"/>
  <c r="AA22" i="181"/>
  <c r="W22" i="181"/>
  <c r="S22" i="181"/>
  <c r="O22" i="181"/>
  <c r="J22" i="181"/>
  <c r="BW21" i="181"/>
  <c r="BS21" i="181"/>
  <c r="BO21" i="181"/>
  <c r="BK21" i="181"/>
  <c r="BG21" i="181"/>
  <c r="BC21" i="181"/>
  <c r="AY21" i="181"/>
  <c r="AU21" i="181"/>
  <c r="AQ21" i="181"/>
  <c r="AM21" i="181"/>
  <c r="AI21" i="181"/>
  <c r="AE21" i="181"/>
  <c r="AA21" i="181"/>
  <c r="W21" i="181"/>
  <c r="S21" i="181"/>
  <c r="O21" i="181"/>
  <c r="J21" i="181"/>
  <c r="BW20" i="181"/>
  <c r="BS20" i="181"/>
  <c r="BO20" i="181"/>
  <c r="BK20" i="181"/>
  <c r="BG20" i="181"/>
  <c r="BC20" i="181"/>
  <c r="AY20" i="181"/>
  <c r="AU20" i="181"/>
  <c r="AQ20" i="181"/>
  <c r="AM20" i="181"/>
  <c r="AI20" i="181"/>
  <c r="AE20" i="181"/>
  <c r="AA20" i="181"/>
  <c r="W20" i="181"/>
  <c r="S20" i="181"/>
  <c r="O20" i="181"/>
  <c r="J20" i="181"/>
  <c r="BW19" i="181"/>
  <c r="BS19" i="181"/>
  <c r="BO19" i="181"/>
  <c r="BK19" i="181"/>
  <c r="BG19" i="181"/>
  <c r="BC19" i="181"/>
  <c r="AY19" i="181"/>
  <c r="AU19" i="181"/>
  <c r="AQ19" i="181"/>
  <c r="AM19" i="181"/>
  <c r="AI19" i="181"/>
  <c r="AE19" i="181"/>
  <c r="AA19" i="181"/>
  <c r="W19" i="181"/>
  <c r="S19" i="181"/>
  <c r="O19" i="181"/>
  <c r="J19" i="181"/>
  <c r="BW18" i="181"/>
  <c r="BS18" i="181"/>
  <c r="BO18" i="181"/>
  <c r="BK18" i="181"/>
  <c r="BG18" i="181"/>
  <c r="BC18" i="181"/>
  <c r="AY18" i="181"/>
  <c r="AU18" i="181"/>
  <c r="AQ18" i="181"/>
  <c r="AM18" i="181"/>
  <c r="AI18" i="181"/>
  <c r="AE18" i="181"/>
  <c r="AA18" i="181"/>
  <c r="W18" i="181"/>
  <c r="S18" i="181"/>
  <c r="O18" i="181"/>
  <c r="J18" i="181"/>
  <c r="BW17" i="181"/>
  <c r="BS17" i="181"/>
  <c r="BO17" i="181"/>
  <c r="BK17" i="181"/>
  <c r="BG17" i="181"/>
  <c r="BC17" i="181"/>
  <c r="AY17" i="181"/>
  <c r="AU17" i="181"/>
  <c r="AQ17" i="181"/>
  <c r="AM17" i="181"/>
  <c r="AI17" i="181"/>
  <c r="AE17" i="181"/>
  <c r="AA17" i="181"/>
  <c r="W17" i="181"/>
  <c r="S17" i="181"/>
  <c r="O17" i="181"/>
  <c r="J17" i="181"/>
  <c r="BW16" i="181"/>
  <c r="BS16" i="181"/>
  <c r="BO16" i="181"/>
  <c r="BK16" i="181"/>
  <c r="BG16" i="181"/>
  <c r="BC16" i="181"/>
  <c r="AY16" i="181"/>
  <c r="AU16" i="181"/>
  <c r="AQ16" i="181"/>
  <c r="AM16" i="181"/>
  <c r="AI16" i="181"/>
  <c r="AE16" i="181"/>
  <c r="AA16" i="181"/>
  <c r="W16" i="181"/>
  <c r="S16" i="181"/>
  <c r="O16" i="181"/>
  <c r="J16" i="181"/>
  <c r="BW15" i="181"/>
  <c r="BS15" i="181"/>
  <c r="BO15" i="181"/>
  <c r="BK15" i="181"/>
  <c r="BG15" i="181"/>
  <c r="BC15" i="181"/>
  <c r="AY15" i="181"/>
  <c r="AU15" i="181"/>
  <c r="AQ15" i="181"/>
  <c r="AM15" i="181"/>
  <c r="AI15" i="181"/>
  <c r="AE15" i="181"/>
  <c r="AA15" i="181"/>
  <c r="W15" i="181"/>
  <c r="S15" i="181"/>
  <c r="O15" i="181"/>
  <c r="J15" i="181"/>
  <c r="BW14" i="181"/>
  <c r="BS14" i="181"/>
  <c r="BO14" i="181"/>
  <c r="BK14" i="181"/>
  <c r="BG14" i="181"/>
  <c r="BC14" i="181"/>
  <c r="AY14" i="181"/>
  <c r="AU14" i="181"/>
  <c r="AQ14" i="181"/>
  <c r="AM14" i="181"/>
  <c r="AI14" i="181"/>
  <c r="AE14" i="181"/>
  <c r="AA14" i="181"/>
  <c r="W14" i="181"/>
  <c r="S14" i="181"/>
  <c r="O14" i="181"/>
  <c r="J14" i="181"/>
  <c r="BW13" i="181"/>
  <c r="BS13" i="181"/>
  <c r="BO13" i="181"/>
  <c r="BK13" i="181"/>
  <c r="BG13" i="181"/>
  <c r="BC13" i="181"/>
  <c r="AY13" i="181"/>
  <c r="AU13" i="181"/>
  <c r="AQ13" i="181"/>
  <c r="AM13" i="181"/>
  <c r="AI13" i="181"/>
  <c r="AE13" i="181"/>
  <c r="AA13" i="181"/>
  <c r="W13" i="181"/>
  <c r="S13" i="181"/>
  <c r="O13" i="181"/>
  <c r="J13" i="181"/>
  <c r="BW12" i="181"/>
  <c r="BS12" i="181"/>
  <c r="BO12" i="181"/>
  <c r="BK12" i="181"/>
  <c r="BG12" i="181"/>
  <c r="BC12" i="181"/>
  <c r="AY12" i="181"/>
  <c r="AU12" i="181"/>
  <c r="AQ12" i="181"/>
  <c r="AM12" i="181"/>
  <c r="AI12" i="181"/>
  <c r="AE12" i="181"/>
  <c r="AA12" i="181"/>
  <c r="W12" i="181"/>
  <c r="S12" i="181"/>
  <c r="O12" i="181"/>
  <c r="J12" i="181"/>
  <c r="BW11" i="181"/>
  <c r="BS11" i="181"/>
  <c r="BO11" i="181"/>
  <c r="BK11" i="181"/>
  <c r="BG11" i="181"/>
  <c r="BC11" i="181"/>
  <c r="AY11" i="181"/>
  <c r="AU11" i="181"/>
  <c r="AQ11" i="181"/>
  <c r="AM11" i="181"/>
  <c r="AI11" i="181"/>
  <c r="AE11" i="181"/>
  <c r="AA11" i="181"/>
  <c r="W11" i="181"/>
  <c r="S11" i="181"/>
  <c r="O11" i="181"/>
  <c r="J11" i="181"/>
  <c r="BW10" i="181"/>
  <c r="BS10" i="181"/>
  <c r="BO10" i="181"/>
  <c r="BK10" i="181"/>
  <c r="BG10" i="181"/>
  <c r="BC10" i="181"/>
  <c r="AY10" i="181"/>
  <c r="AU10" i="181"/>
  <c r="AQ10" i="181"/>
  <c r="AM10" i="181"/>
  <c r="AI10" i="181"/>
  <c r="AE10" i="181"/>
  <c r="AA10" i="181"/>
  <c r="W10" i="181"/>
  <c r="S10" i="181"/>
  <c r="O10" i="181"/>
  <c r="J10" i="181"/>
  <c r="BW9" i="181"/>
  <c r="BS9" i="181"/>
  <c r="BO9" i="181"/>
  <c r="BK9" i="181"/>
  <c r="BG9" i="181"/>
  <c r="BC9" i="181"/>
  <c r="AY9" i="181"/>
  <c r="AU9" i="181"/>
  <c r="AQ9" i="181"/>
  <c r="AM9" i="181"/>
  <c r="AI9" i="181"/>
  <c r="AE9" i="181"/>
  <c r="AA9" i="181"/>
  <c r="W9" i="181"/>
  <c r="S9" i="181"/>
  <c r="O9" i="181"/>
  <c r="J9" i="181"/>
  <c r="BW8" i="181"/>
  <c r="BS8" i="181"/>
  <c r="BO8" i="181"/>
  <c r="BK8" i="181"/>
  <c r="BG8" i="181"/>
  <c r="BC8" i="181"/>
  <c r="AY8" i="181"/>
  <c r="AU8" i="181"/>
  <c r="AQ8" i="181"/>
  <c r="AM8" i="181"/>
  <c r="AI8" i="181"/>
  <c r="AE8" i="181"/>
  <c r="AA8" i="181"/>
  <c r="W8" i="181"/>
  <c r="S8" i="181"/>
  <c r="O8" i="181"/>
  <c r="J8" i="181"/>
  <c r="BW7" i="181"/>
  <c r="BS7" i="181"/>
  <c r="BO7" i="181"/>
  <c r="BK7" i="181"/>
  <c r="BG7" i="181"/>
  <c r="BC7" i="181"/>
  <c r="AY7" i="181"/>
  <c r="AU7" i="181"/>
  <c r="AQ7" i="181"/>
  <c r="AM7" i="181"/>
  <c r="AI7" i="181"/>
  <c r="AE7" i="181"/>
  <c r="AA7" i="181"/>
  <c r="W7" i="181"/>
  <c r="S7" i="181"/>
  <c r="O7" i="181"/>
  <c r="J7" i="181"/>
  <c r="BV6" i="181"/>
  <c r="BW6" i="181" s="1"/>
  <c r="BU6" i="181"/>
  <c r="BT6" i="181"/>
  <c r="BJ6" i="181"/>
  <c r="BK6" i="181" s="1"/>
  <c r="BI6" i="181"/>
  <c r="AW6" i="181"/>
  <c r="AT6" i="181"/>
  <c r="AU6" i="181" s="1"/>
  <c r="AS6" i="181"/>
  <c r="AR6" i="181"/>
  <c r="Z6" i="181"/>
  <c r="AA6" i="181" s="1"/>
  <c r="Y6" i="181"/>
  <c r="U6" i="181"/>
  <c r="N6" i="181"/>
  <c r="O6" i="181" s="1"/>
  <c r="M6" i="181"/>
  <c r="BT5" i="181"/>
  <c r="AJ5" i="181"/>
  <c r="X5" i="181"/>
  <c r="BT4" i="181"/>
  <c r="BS4" i="181"/>
  <c r="BO4" i="181"/>
  <c r="BQ6" i="181" s="1"/>
  <c r="BK4" i="181"/>
  <c r="BL5" i="181" s="1"/>
  <c r="BH4" i="181"/>
  <c r="BG4" i="181"/>
  <c r="BH6" i="181" s="1"/>
  <c r="BC4" i="181"/>
  <c r="BD4" i="181" s="1"/>
  <c r="AY4" i="181"/>
  <c r="AZ4" i="181" s="1"/>
  <c r="AV4" i="181"/>
  <c r="AU4" i="181"/>
  <c r="AV5" i="181" s="1"/>
  <c r="AQ4" i="181"/>
  <c r="AR4" i="181" s="1"/>
  <c r="AM4" i="181"/>
  <c r="AP6" i="181" s="1"/>
  <c r="AQ6" i="181" s="1"/>
  <c r="AI4" i="181"/>
  <c r="AJ6" i="181" s="1"/>
  <c r="AE4" i="181"/>
  <c r="AF4" i="181" s="1"/>
  <c r="AA4" i="181"/>
  <c r="AB4" i="181" s="1"/>
  <c r="X4" i="181"/>
  <c r="W4" i="181"/>
  <c r="X6" i="181" s="1"/>
  <c r="S4" i="181"/>
  <c r="T4" i="181" s="1"/>
  <c r="O4" i="181"/>
  <c r="P5" i="181" s="1"/>
  <c r="L4" i="181"/>
  <c r="K4" i="181"/>
  <c r="L6" i="181" s="1"/>
  <c r="J4" i="181"/>
  <c r="E4" i="181"/>
  <c r="BT3" i="181"/>
  <c r="BP3" i="181"/>
  <c r="BL3" i="181"/>
  <c r="BH3" i="181"/>
  <c r="BD3" i="181"/>
  <c r="AZ3" i="181"/>
  <c r="AV3" i="181"/>
  <c r="AR3" i="181"/>
  <c r="AN3" i="181"/>
  <c r="AJ3" i="181"/>
  <c r="AF3" i="181"/>
  <c r="AB3" i="181"/>
  <c r="X3" i="181"/>
  <c r="T3" i="181"/>
  <c r="P3" i="181"/>
  <c r="L3" i="181"/>
  <c r="J3" i="181"/>
  <c r="J2" i="181"/>
  <c r="F1" i="181"/>
  <c r="BW82" i="180"/>
  <c r="BS82" i="180"/>
  <c r="BO82" i="180"/>
  <c r="BK82" i="180"/>
  <c r="BG82" i="180"/>
  <c r="BC82" i="180"/>
  <c r="AY82" i="180"/>
  <c r="AU82" i="180"/>
  <c r="AQ82" i="180"/>
  <c r="AM82" i="180"/>
  <c r="AI82" i="180"/>
  <c r="AE82" i="180"/>
  <c r="AA82" i="180"/>
  <c r="W82" i="180"/>
  <c r="S82" i="180"/>
  <c r="O82" i="180"/>
  <c r="J82" i="180"/>
  <c r="BW81" i="180"/>
  <c r="BS81" i="180"/>
  <c r="BO81" i="180"/>
  <c r="BK81" i="180"/>
  <c r="BG81" i="180"/>
  <c r="BC81" i="180"/>
  <c r="AY81" i="180"/>
  <c r="AU81" i="180"/>
  <c r="AQ81" i="180"/>
  <c r="AM81" i="180"/>
  <c r="AI81" i="180"/>
  <c r="AE81" i="180"/>
  <c r="AA81" i="180"/>
  <c r="W81" i="180"/>
  <c r="S81" i="180"/>
  <c r="O81" i="180"/>
  <c r="J81" i="180"/>
  <c r="BW80" i="180"/>
  <c r="BS80" i="180"/>
  <c r="BO80" i="180"/>
  <c r="BK80" i="180"/>
  <c r="BG80" i="180"/>
  <c r="BC80" i="180"/>
  <c r="AY80" i="180"/>
  <c r="AU80" i="180"/>
  <c r="AQ80" i="180"/>
  <c r="AM80" i="180"/>
  <c r="AI80" i="180"/>
  <c r="AE80" i="180"/>
  <c r="AA80" i="180"/>
  <c r="W80" i="180"/>
  <c r="S80" i="180"/>
  <c r="O80" i="180"/>
  <c r="J80" i="180"/>
  <c r="BW79" i="180"/>
  <c r="BS79" i="180"/>
  <c r="BO79" i="180"/>
  <c r="BK79" i="180"/>
  <c r="BG79" i="180"/>
  <c r="BC79" i="180"/>
  <c r="AY79" i="180"/>
  <c r="AU79" i="180"/>
  <c r="AQ79" i="180"/>
  <c r="AM79" i="180"/>
  <c r="AI79" i="180"/>
  <c r="AE79" i="180"/>
  <c r="AA79" i="180"/>
  <c r="W79" i="180"/>
  <c r="S79" i="180"/>
  <c r="O79" i="180"/>
  <c r="J79" i="180"/>
  <c r="BW78" i="180"/>
  <c r="BS78" i="180"/>
  <c r="BO78" i="180"/>
  <c r="BK78" i="180"/>
  <c r="BG78" i="180"/>
  <c r="BC78" i="180"/>
  <c r="AY78" i="180"/>
  <c r="AU78" i="180"/>
  <c r="AQ78" i="180"/>
  <c r="AM78" i="180"/>
  <c r="AI78" i="180"/>
  <c r="AE78" i="180"/>
  <c r="AA78" i="180"/>
  <c r="W78" i="180"/>
  <c r="S78" i="180"/>
  <c r="O78" i="180"/>
  <c r="J78" i="180"/>
  <c r="BW77" i="180"/>
  <c r="BS77" i="180"/>
  <c r="BO77" i="180"/>
  <c r="BK77" i="180"/>
  <c r="BG77" i="180"/>
  <c r="BC77" i="180"/>
  <c r="AY77" i="180"/>
  <c r="AU77" i="180"/>
  <c r="AQ77" i="180"/>
  <c r="AM77" i="180"/>
  <c r="AI77" i="180"/>
  <c r="AE77" i="180"/>
  <c r="AA77" i="180"/>
  <c r="W77" i="180"/>
  <c r="S77" i="180"/>
  <c r="O77" i="180"/>
  <c r="J77" i="180"/>
  <c r="BW76" i="180"/>
  <c r="BS76" i="180"/>
  <c r="BO76" i="180"/>
  <c r="BK76" i="180"/>
  <c r="BG76" i="180"/>
  <c r="BC76" i="180"/>
  <c r="AY76" i="180"/>
  <c r="AU76" i="180"/>
  <c r="AQ76" i="180"/>
  <c r="AM76" i="180"/>
  <c r="AI76" i="180"/>
  <c r="AE76" i="180"/>
  <c r="AA76" i="180"/>
  <c r="W76" i="180"/>
  <c r="S76" i="180"/>
  <c r="O76" i="180"/>
  <c r="J76" i="180"/>
  <c r="BW75" i="180"/>
  <c r="BS75" i="180"/>
  <c r="BO75" i="180"/>
  <c r="BK75" i="180"/>
  <c r="BG75" i="180"/>
  <c r="BC75" i="180"/>
  <c r="AY75" i="180"/>
  <c r="AU75" i="180"/>
  <c r="AQ75" i="180"/>
  <c r="AM75" i="180"/>
  <c r="AI75" i="180"/>
  <c r="AE75" i="180"/>
  <c r="AA75" i="180"/>
  <c r="W75" i="180"/>
  <c r="S75" i="180"/>
  <c r="O75" i="180"/>
  <c r="J75" i="180"/>
  <c r="BW74" i="180"/>
  <c r="BS74" i="180"/>
  <c r="BO74" i="180"/>
  <c r="BK74" i="180"/>
  <c r="BG74" i="180"/>
  <c r="BC74" i="180"/>
  <c r="AY74" i="180"/>
  <c r="AU74" i="180"/>
  <c r="AQ74" i="180"/>
  <c r="AM74" i="180"/>
  <c r="AI74" i="180"/>
  <c r="AE74" i="180"/>
  <c r="AA74" i="180"/>
  <c r="W74" i="180"/>
  <c r="S74" i="180"/>
  <c r="O74" i="180"/>
  <c r="J74" i="180"/>
  <c r="BW73" i="180"/>
  <c r="BS73" i="180"/>
  <c r="BO73" i="180"/>
  <c r="BK73" i="180"/>
  <c r="BG73" i="180"/>
  <c r="BC73" i="180"/>
  <c r="AY73" i="180"/>
  <c r="AU73" i="180"/>
  <c r="AQ73" i="180"/>
  <c r="AM73" i="180"/>
  <c r="AI73" i="180"/>
  <c r="AE73" i="180"/>
  <c r="AA73" i="180"/>
  <c r="W73" i="180"/>
  <c r="S73" i="180"/>
  <c r="O73" i="180"/>
  <c r="J73" i="180"/>
  <c r="BW72" i="180"/>
  <c r="BS72" i="180"/>
  <c r="BO72" i="180"/>
  <c r="BK72" i="180"/>
  <c r="BG72" i="180"/>
  <c r="BC72" i="180"/>
  <c r="AY72" i="180"/>
  <c r="AU72" i="180"/>
  <c r="AQ72" i="180"/>
  <c r="AM72" i="180"/>
  <c r="AI72" i="180"/>
  <c r="AE72" i="180"/>
  <c r="AA72" i="180"/>
  <c r="W72" i="180"/>
  <c r="S72" i="180"/>
  <c r="O72" i="180"/>
  <c r="J72" i="180"/>
  <c r="BW71" i="180"/>
  <c r="BS71" i="180"/>
  <c r="BO71" i="180"/>
  <c r="BK71" i="180"/>
  <c r="BG71" i="180"/>
  <c r="BC71" i="180"/>
  <c r="AY71" i="180"/>
  <c r="AU71" i="180"/>
  <c r="AQ71" i="180"/>
  <c r="AM71" i="180"/>
  <c r="AI71" i="180"/>
  <c r="AE71" i="180"/>
  <c r="AA71" i="180"/>
  <c r="W71" i="180"/>
  <c r="S71" i="180"/>
  <c r="O71" i="180"/>
  <c r="J71" i="180"/>
  <c r="BW70" i="180"/>
  <c r="BS70" i="180"/>
  <c r="BO70" i="180"/>
  <c r="BK70" i="180"/>
  <c r="BG70" i="180"/>
  <c r="BC70" i="180"/>
  <c r="AY70" i="180"/>
  <c r="AU70" i="180"/>
  <c r="AQ70" i="180"/>
  <c r="AM70" i="180"/>
  <c r="AI70" i="180"/>
  <c r="AE70" i="180"/>
  <c r="AA70" i="180"/>
  <c r="W70" i="180"/>
  <c r="S70" i="180"/>
  <c r="O70" i="180"/>
  <c r="J70" i="180"/>
  <c r="BW69" i="180"/>
  <c r="BS69" i="180"/>
  <c r="BO69" i="180"/>
  <c r="BK69" i="180"/>
  <c r="BG69" i="180"/>
  <c r="BC69" i="180"/>
  <c r="AY69" i="180"/>
  <c r="AU69" i="180"/>
  <c r="AQ69" i="180"/>
  <c r="AM69" i="180"/>
  <c r="AI69" i="180"/>
  <c r="AE69" i="180"/>
  <c r="AA69" i="180"/>
  <c r="W69" i="180"/>
  <c r="S69" i="180"/>
  <c r="O69" i="180"/>
  <c r="J69" i="180"/>
  <c r="BW68" i="180"/>
  <c r="BS68" i="180"/>
  <c r="BO68" i="180"/>
  <c r="BK68" i="180"/>
  <c r="BG68" i="180"/>
  <c r="BC68" i="180"/>
  <c r="AY68" i="180"/>
  <c r="AU68" i="180"/>
  <c r="AQ68" i="180"/>
  <c r="AM68" i="180"/>
  <c r="AI68" i="180"/>
  <c r="AE68" i="180"/>
  <c r="AA68" i="180"/>
  <c r="W68" i="180"/>
  <c r="S68" i="180"/>
  <c r="O68" i="180"/>
  <c r="J68" i="180"/>
  <c r="BW67" i="180"/>
  <c r="BS67" i="180"/>
  <c r="BO67" i="180"/>
  <c r="BK67" i="180"/>
  <c r="BG67" i="180"/>
  <c r="BC67" i="180"/>
  <c r="AY67" i="180"/>
  <c r="AU67" i="180"/>
  <c r="AQ67" i="180"/>
  <c r="AM67" i="180"/>
  <c r="AI67" i="180"/>
  <c r="AE67" i="180"/>
  <c r="AA67" i="180"/>
  <c r="W67" i="180"/>
  <c r="S67" i="180"/>
  <c r="O67" i="180"/>
  <c r="J67" i="180"/>
  <c r="BW66" i="180"/>
  <c r="BS66" i="180"/>
  <c r="BO66" i="180"/>
  <c r="BK66" i="180"/>
  <c r="BG66" i="180"/>
  <c r="BC66" i="180"/>
  <c r="AY66" i="180"/>
  <c r="AU66" i="180"/>
  <c r="AQ66" i="180"/>
  <c r="AM66" i="180"/>
  <c r="AI66" i="180"/>
  <c r="AE66" i="180"/>
  <c r="AA66" i="180"/>
  <c r="W66" i="180"/>
  <c r="S66" i="180"/>
  <c r="O66" i="180"/>
  <c r="J66" i="180"/>
  <c r="BW65" i="180"/>
  <c r="BS65" i="180"/>
  <c r="BO65" i="180"/>
  <c r="BK65" i="180"/>
  <c r="BG65" i="180"/>
  <c r="BC65" i="180"/>
  <c r="AY65" i="180"/>
  <c r="AU65" i="180"/>
  <c r="AQ65" i="180"/>
  <c r="AM65" i="180"/>
  <c r="AI65" i="180"/>
  <c r="AE65" i="180"/>
  <c r="AA65" i="180"/>
  <c r="W65" i="180"/>
  <c r="S65" i="180"/>
  <c r="O65" i="180"/>
  <c r="J65" i="180"/>
  <c r="BW64" i="180"/>
  <c r="BS64" i="180"/>
  <c r="BO64" i="180"/>
  <c r="BK64" i="180"/>
  <c r="BG64" i="180"/>
  <c r="BC64" i="180"/>
  <c r="AY64" i="180"/>
  <c r="AU64" i="180"/>
  <c r="AQ64" i="180"/>
  <c r="AM64" i="180"/>
  <c r="AI64" i="180"/>
  <c r="AE64" i="180"/>
  <c r="AA64" i="180"/>
  <c r="W64" i="180"/>
  <c r="S64" i="180"/>
  <c r="O64" i="180"/>
  <c r="J64" i="180"/>
  <c r="BW63" i="180"/>
  <c r="BS63" i="180"/>
  <c r="BO63" i="180"/>
  <c r="BK63" i="180"/>
  <c r="BG63" i="180"/>
  <c r="BC63" i="180"/>
  <c r="AY63" i="180"/>
  <c r="AU63" i="180"/>
  <c r="AQ63" i="180"/>
  <c r="AM63" i="180"/>
  <c r="AI63" i="180"/>
  <c r="AE63" i="180"/>
  <c r="AA63" i="180"/>
  <c r="W63" i="180"/>
  <c r="S63" i="180"/>
  <c r="O63" i="180"/>
  <c r="J63" i="180"/>
  <c r="BW62" i="180"/>
  <c r="BS62" i="180"/>
  <c r="BO62" i="180"/>
  <c r="BK62" i="180"/>
  <c r="BG62" i="180"/>
  <c r="BC62" i="180"/>
  <c r="AY62" i="180"/>
  <c r="AU62" i="180"/>
  <c r="AQ62" i="180"/>
  <c r="AM62" i="180"/>
  <c r="AI62" i="180"/>
  <c r="AE62" i="180"/>
  <c r="AA62" i="180"/>
  <c r="W62" i="180"/>
  <c r="S62" i="180"/>
  <c r="O62" i="180"/>
  <c r="J62" i="180"/>
  <c r="BW61" i="180"/>
  <c r="BS61" i="180"/>
  <c r="BO61" i="180"/>
  <c r="BK61" i="180"/>
  <c r="BG61" i="180"/>
  <c r="BC61" i="180"/>
  <c r="AY61" i="180"/>
  <c r="AU61" i="180"/>
  <c r="AQ61" i="180"/>
  <c r="AM61" i="180"/>
  <c r="AI61" i="180"/>
  <c r="AE61" i="180"/>
  <c r="AA61" i="180"/>
  <c r="W61" i="180"/>
  <c r="S61" i="180"/>
  <c r="O61" i="180"/>
  <c r="J61" i="180"/>
  <c r="BW60" i="180"/>
  <c r="BS60" i="180"/>
  <c r="BO60" i="180"/>
  <c r="BK60" i="180"/>
  <c r="BG60" i="180"/>
  <c r="BC60" i="180"/>
  <c r="AY60" i="180"/>
  <c r="AU60" i="180"/>
  <c r="AQ60" i="180"/>
  <c r="AM60" i="180"/>
  <c r="AI60" i="180"/>
  <c r="AE60" i="180"/>
  <c r="AA60" i="180"/>
  <c r="W60" i="180"/>
  <c r="S60" i="180"/>
  <c r="O60" i="180"/>
  <c r="J60" i="180"/>
  <c r="BW59" i="180"/>
  <c r="BS59" i="180"/>
  <c r="BO59" i="180"/>
  <c r="BK59" i="180"/>
  <c r="BG59" i="180"/>
  <c r="BC59" i="180"/>
  <c r="AY59" i="180"/>
  <c r="AU59" i="180"/>
  <c r="AQ59" i="180"/>
  <c r="AM59" i="180"/>
  <c r="AI59" i="180"/>
  <c r="AE59" i="180"/>
  <c r="AA59" i="180"/>
  <c r="W59" i="180"/>
  <c r="S59" i="180"/>
  <c r="O59" i="180"/>
  <c r="J59" i="180"/>
  <c r="BW58" i="180"/>
  <c r="BS58" i="180"/>
  <c r="BO58" i="180"/>
  <c r="BK58" i="180"/>
  <c r="BG58" i="180"/>
  <c r="BC58" i="180"/>
  <c r="AY58" i="180"/>
  <c r="AU58" i="180"/>
  <c r="AQ58" i="180"/>
  <c r="AM58" i="180"/>
  <c r="AI58" i="180"/>
  <c r="AE58" i="180"/>
  <c r="AA58" i="180"/>
  <c r="W58" i="180"/>
  <c r="S58" i="180"/>
  <c r="O58" i="180"/>
  <c r="J58" i="180"/>
  <c r="BW57" i="180"/>
  <c r="BS57" i="180"/>
  <c r="BO57" i="180"/>
  <c r="BK57" i="180"/>
  <c r="BG57" i="180"/>
  <c r="BC57" i="180"/>
  <c r="AY57" i="180"/>
  <c r="AU57" i="180"/>
  <c r="AQ57" i="180"/>
  <c r="AM57" i="180"/>
  <c r="AI57" i="180"/>
  <c r="AE57" i="180"/>
  <c r="AA57" i="180"/>
  <c r="W57" i="180"/>
  <c r="S57" i="180"/>
  <c r="O57" i="180"/>
  <c r="J57" i="180"/>
  <c r="BW56" i="180"/>
  <c r="BS56" i="180"/>
  <c r="BO56" i="180"/>
  <c r="BK56" i="180"/>
  <c r="BG56" i="180"/>
  <c r="BC56" i="180"/>
  <c r="AY56" i="180"/>
  <c r="AU56" i="180"/>
  <c r="AQ56" i="180"/>
  <c r="AM56" i="180"/>
  <c r="AI56" i="180"/>
  <c r="AE56" i="180"/>
  <c r="AA56" i="180"/>
  <c r="W56" i="180"/>
  <c r="S56" i="180"/>
  <c r="O56" i="180"/>
  <c r="J56" i="180"/>
  <c r="BW55" i="180"/>
  <c r="BS55" i="180"/>
  <c r="BO55" i="180"/>
  <c r="BK55" i="180"/>
  <c r="BG55" i="180"/>
  <c r="BC55" i="180"/>
  <c r="AY55" i="180"/>
  <c r="AU55" i="180"/>
  <c r="AQ55" i="180"/>
  <c r="AM55" i="180"/>
  <c r="AI55" i="180"/>
  <c r="AE55" i="180"/>
  <c r="AA55" i="180"/>
  <c r="W55" i="180"/>
  <c r="S55" i="180"/>
  <c r="O55" i="180"/>
  <c r="J55" i="180"/>
  <c r="BW54" i="180"/>
  <c r="BS54" i="180"/>
  <c r="BO54" i="180"/>
  <c r="BK54" i="180"/>
  <c r="BG54" i="180"/>
  <c r="BC54" i="180"/>
  <c r="AY54" i="180"/>
  <c r="AU54" i="180"/>
  <c r="AQ54" i="180"/>
  <c r="AM54" i="180"/>
  <c r="AI54" i="180"/>
  <c r="AE54" i="180"/>
  <c r="AA54" i="180"/>
  <c r="W54" i="180"/>
  <c r="S54" i="180"/>
  <c r="O54" i="180"/>
  <c r="J54" i="180"/>
  <c r="BW53" i="180"/>
  <c r="BS53" i="180"/>
  <c r="BO53" i="180"/>
  <c r="BK53" i="180"/>
  <c r="BG53" i="180"/>
  <c r="BC53" i="180"/>
  <c r="AY53" i="180"/>
  <c r="AU53" i="180"/>
  <c r="AQ53" i="180"/>
  <c r="AM53" i="180"/>
  <c r="AI53" i="180"/>
  <c r="AE53" i="180"/>
  <c r="AA53" i="180"/>
  <c r="W53" i="180"/>
  <c r="S53" i="180"/>
  <c r="O53" i="180"/>
  <c r="J53" i="180"/>
  <c r="BW52" i="180"/>
  <c r="BS52" i="180"/>
  <c r="BO52" i="180"/>
  <c r="BK52" i="180"/>
  <c r="BG52" i="180"/>
  <c r="BC52" i="180"/>
  <c r="AY52" i="180"/>
  <c r="AU52" i="180"/>
  <c r="AQ52" i="180"/>
  <c r="AM52" i="180"/>
  <c r="AI52" i="180"/>
  <c r="AE52" i="180"/>
  <c r="AA52" i="180"/>
  <c r="W52" i="180"/>
  <c r="S52" i="180"/>
  <c r="O52" i="180"/>
  <c r="J52" i="180"/>
  <c r="BW51" i="180"/>
  <c r="BS51" i="180"/>
  <c r="BO51" i="180"/>
  <c r="BK51" i="180"/>
  <c r="BG51" i="180"/>
  <c r="BC51" i="180"/>
  <c r="AY51" i="180"/>
  <c r="AU51" i="180"/>
  <c r="AQ51" i="180"/>
  <c r="AM51" i="180"/>
  <c r="AI51" i="180"/>
  <c r="AE51" i="180"/>
  <c r="AA51" i="180"/>
  <c r="W51" i="180"/>
  <c r="S51" i="180"/>
  <c r="O51" i="180"/>
  <c r="J51" i="180"/>
  <c r="BW50" i="180"/>
  <c r="BS50" i="180"/>
  <c r="BO50" i="180"/>
  <c r="BK50" i="180"/>
  <c r="BG50" i="180"/>
  <c r="BC50" i="180"/>
  <c r="AY50" i="180"/>
  <c r="AU50" i="180"/>
  <c r="AQ50" i="180"/>
  <c r="AM50" i="180"/>
  <c r="AI50" i="180"/>
  <c r="AE50" i="180"/>
  <c r="AA50" i="180"/>
  <c r="W50" i="180"/>
  <c r="S50" i="180"/>
  <c r="O50" i="180"/>
  <c r="J50" i="180"/>
  <c r="BW49" i="180"/>
  <c r="BS49" i="180"/>
  <c r="BO49" i="180"/>
  <c r="BK49" i="180"/>
  <c r="BG49" i="180"/>
  <c r="BC49" i="180"/>
  <c r="AY49" i="180"/>
  <c r="AU49" i="180"/>
  <c r="AQ49" i="180"/>
  <c r="AM49" i="180"/>
  <c r="AI49" i="180"/>
  <c r="AE49" i="180"/>
  <c r="AA49" i="180"/>
  <c r="W49" i="180"/>
  <c r="S49" i="180"/>
  <c r="O49" i="180"/>
  <c r="J49" i="180"/>
  <c r="BW48" i="180"/>
  <c r="BS48" i="180"/>
  <c r="BO48" i="180"/>
  <c r="BK48" i="180"/>
  <c r="BG48" i="180"/>
  <c r="BC48" i="180"/>
  <c r="AY48" i="180"/>
  <c r="AU48" i="180"/>
  <c r="AQ48" i="180"/>
  <c r="AM48" i="180"/>
  <c r="AI48" i="180"/>
  <c r="AE48" i="180"/>
  <c r="AA48" i="180"/>
  <c r="W48" i="180"/>
  <c r="S48" i="180"/>
  <c r="O48" i="180"/>
  <c r="J48" i="180"/>
  <c r="BW47" i="180"/>
  <c r="BS47" i="180"/>
  <c r="BO47" i="180"/>
  <c r="BK47" i="180"/>
  <c r="BG47" i="180"/>
  <c r="BC47" i="180"/>
  <c r="AY47" i="180"/>
  <c r="AU47" i="180"/>
  <c r="AQ47" i="180"/>
  <c r="AM47" i="180"/>
  <c r="AI47" i="180"/>
  <c r="AE47" i="180"/>
  <c r="AA47" i="180"/>
  <c r="W47" i="180"/>
  <c r="S47" i="180"/>
  <c r="O47" i="180"/>
  <c r="J47" i="180"/>
  <c r="BW46" i="180"/>
  <c r="BS46" i="180"/>
  <c r="BO46" i="180"/>
  <c r="BK46" i="180"/>
  <c r="BG46" i="180"/>
  <c r="BC46" i="180"/>
  <c r="AY46" i="180"/>
  <c r="AU46" i="180"/>
  <c r="AQ46" i="180"/>
  <c r="AM46" i="180"/>
  <c r="AI46" i="180"/>
  <c r="AE46" i="180"/>
  <c r="AA46" i="180"/>
  <c r="W46" i="180"/>
  <c r="S46" i="180"/>
  <c r="O46" i="180"/>
  <c r="J46" i="180"/>
  <c r="BW45" i="180"/>
  <c r="BS45" i="180"/>
  <c r="BO45" i="180"/>
  <c r="BK45" i="180"/>
  <c r="BG45" i="180"/>
  <c r="BC45" i="180"/>
  <c r="AY45" i="180"/>
  <c r="AU45" i="180"/>
  <c r="AQ45" i="180"/>
  <c r="AM45" i="180"/>
  <c r="AI45" i="180"/>
  <c r="AE45" i="180"/>
  <c r="AA45" i="180"/>
  <c r="W45" i="180"/>
  <c r="S45" i="180"/>
  <c r="O45" i="180"/>
  <c r="J45" i="180"/>
  <c r="BW44" i="180"/>
  <c r="BS44" i="180"/>
  <c r="BO44" i="180"/>
  <c r="BK44" i="180"/>
  <c r="BG44" i="180"/>
  <c r="BC44" i="180"/>
  <c r="AY44" i="180"/>
  <c r="AU44" i="180"/>
  <c r="AQ44" i="180"/>
  <c r="AM44" i="180"/>
  <c r="AI44" i="180"/>
  <c r="AE44" i="180"/>
  <c r="AA44" i="180"/>
  <c r="W44" i="180"/>
  <c r="S44" i="180"/>
  <c r="O44" i="180"/>
  <c r="J44" i="180"/>
  <c r="BW43" i="180"/>
  <c r="BS43" i="180"/>
  <c r="BO43" i="180"/>
  <c r="BK43" i="180"/>
  <c r="BG43" i="180"/>
  <c r="BC43" i="180"/>
  <c r="AY43" i="180"/>
  <c r="AU43" i="180"/>
  <c r="AQ43" i="180"/>
  <c r="AM43" i="180"/>
  <c r="AI43" i="180"/>
  <c r="AE43" i="180"/>
  <c r="AA43" i="180"/>
  <c r="W43" i="180"/>
  <c r="S43" i="180"/>
  <c r="O43" i="180"/>
  <c r="J43" i="180"/>
  <c r="BW42" i="180"/>
  <c r="BS42" i="180"/>
  <c r="BO42" i="180"/>
  <c r="BK42" i="180"/>
  <c r="BG42" i="180"/>
  <c r="BC42" i="180"/>
  <c r="AY42" i="180"/>
  <c r="AU42" i="180"/>
  <c r="AQ42" i="180"/>
  <c r="AM42" i="180"/>
  <c r="AI42" i="180"/>
  <c r="AE42" i="180"/>
  <c r="AA42" i="180"/>
  <c r="W42" i="180"/>
  <c r="S42" i="180"/>
  <c r="O42" i="180"/>
  <c r="J42" i="180"/>
  <c r="BW41" i="180"/>
  <c r="BS41" i="180"/>
  <c r="BO41" i="180"/>
  <c r="BK41" i="180"/>
  <c r="BG41" i="180"/>
  <c r="BC41" i="180"/>
  <c r="AY41" i="180"/>
  <c r="AU41" i="180"/>
  <c r="AQ41" i="180"/>
  <c r="AM41" i="180"/>
  <c r="AI41" i="180"/>
  <c r="AE41" i="180"/>
  <c r="AA41" i="180"/>
  <c r="W41" i="180"/>
  <c r="S41" i="180"/>
  <c r="O41" i="180"/>
  <c r="J41" i="180"/>
  <c r="BW40" i="180"/>
  <c r="BS40" i="180"/>
  <c r="BO40" i="180"/>
  <c r="BK40" i="180"/>
  <c r="BG40" i="180"/>
  <c r="BC40" i="180"/>
  <c r="AY40" i="180"/>
  <c r="AU40" i="180"/>
  <c r="AQ40" i="180"/>
  <c r="AM40" i="180"/>
  <c r="AI40" i="180"/>
  <c r="AE40" i="180"/>
  <c r="AA40" i="180"/>
  <c r="W40" i="180"/>
  <c r="S40" i="180"/>
  <c r="O40" i="180"/>
  <c r="J40" i="180"/>
  <c r="BW39" i="180"/>
  <c r="BS39" i="180"/>
  <c r="BO39" i="180"/>
  <c r="BK39" i="180"/>
  <c r="BG39" i="180"/>
  <c r="BC39" i="180"/>
  <c r="AY39" i="180"/>
  <c r="AU39" i="180"/>
  <c r="AQ39" i="180"/>
  <c r="AM39" i="180"/>
  <c r="AI39" i="180"/>
  <c r="AE39" i="180"/>
  <c r="AA39" i="180"/>
  <c r="W39" i="180"/>
  <c r="S39" i="180"/>
  <c r="O39" i="180"/>
  <c r="J39" i="180"/>
  <c r="BW38" i="180"/>
  <c r="BS38" i="180"/>
  <c r="BO38" i="180"/>
  <c r="BK38" i="180"/>
  <c r="BG38" i="180"/>
  <c r="BC38" i="180"/>
  <c r="AY38" i="180"/>
  <c r="AU38" i="180"/>
  <c r="AQ38" i="180"/>
  <c r="AM38" i="180"/>
  <c r="AI38" i="180"/>
  <c r="AE38" i="180"/>
  <c r="AA38" i="180"/>
  <c r="W38" i="180"/>
  <c r="S38" i="180"/>
  <c r="O38" i="180"/>
  <c r="J38" i="180"/>
  <c r="BW37" i="180"/>
  <c r="BS37" i="180"/>
  <c r="BO37" i="180"/>
  <c r="BK37" i="180"/>
  <c r="BG37" i="180"/>
  <c r="BC37" i="180"/>
  <c r="AY37" i="180"/>
  <c r="AU37" i="180"/>
  <c r="AQ37" i="180"/>
  <c r="AM37" i="180"/>
  <c r="AI37" i="180"/>
  <c r="AE37" i="180"/>
  <c r="AA37" i="180"/>
  <c r="W37" i="180"/>
  <c r="S37" i="180"/>
  <c r="O37" i="180"/>
  <c r="J37" i="180"/>
  <c r="BW36" i="180"/>
  <c r="BS36" i="180"/>
  <c r="BO36" i="180"/>
  <c r="BK36" i="180"/>
  <c r="BG36" i="180"/>
  <c r="BC36" i="180"/>
  <c r="AY36" i="180"/>
  <c r="AU36" i="180"/>
  <c r="AQ36" i="180"/>
  <c r="AM36" i="180"/>
  <c r="AI36" i="180"/>
  <c r="AE36" i="180"/>
  <c r="AA36" i="180"/>
  <c r="W36" i="180"/>
  <c r="S36" i="180"/>
  <c r="O36" i="180"/>
  <c r="J36" i="180"/>
  <c r="BW35" i="180"/>
  <c r="BS35" i="180"/>
  <c r="BO35" i="180"/>
  <c r="BK35" i="180"/>
  <c r="BG35" i="180"/>
  <c r="BC35" i="180"/>
  <c r="AY35" i="180"/>
  <c r="AU35" i="180"/>
  <c r="AQ35" i="180"/>
  <c r="AM35" i="180"/>
  <c r="AI35" i="180"/>
  <c r="AE35" i="180"/>
  <c r="AA35" i="180"/>
  <c r="W35" i="180"/>
  <c r="S35" i="180"/>
  <c r="O35" i="180"/>
  <c r="J35" i="180"/>
  <c r="BW34" i="180"/>
  <c r="BS34" i="180"/>
  <c r="BO34" i="180"/>
  <c r="BK34" i="180"/>
  <c r="BG34" i="180"/>
  <c r="BC34" i="180"/>
  <c r="AY34" i="180"/>
  <c r="AU34" i="180"/>
  <c r="AQ34" i="180"/>
  <c r="AM34" i="180"/>
  <c r="AI34" i="180"/>
  <c r="AE34" i="180"/>
  <c r="AA34" i="180"/>
  <c r="W34" i="180"/>
  <c r="S34" i="180"/>
  <c r="O34" i="180"/>
  <c r="J34" i="180"/>
  <c r="BW33" i="180"/>
  <c r="BS33" i="180"/>
  <c r="BO33" i="180"/>
  <c r="BK33" i="180"/>
  <c r="BG33" i="180"/>
  <c r="BC33" i="180"/>
  <c r="AY33" i="180"/>
  <c r="AU33" i="180"/>
  <c r="AQ33" i="180"/>
  <c r="AM33" i="180"/>
  <c r="AI33" i="180"/>
  <c r="AE33" i="180"/>
  <c r="AA33" i="180"/>
  <c r="W33" i="180"/>
  <c r="S33" i="180"/>
  <c r="O33" i="180"/>
  <c r="J33" i="180"/>
  <c r="BW32" i="180"/>
  <c r="BS32" i="180"/>
  <c r="BO32" i="180"/>
  <c r="BK32" i="180"/>
  <c r="BG32" i="180"/>
  <c r="BC32" i="180"/>
  <c r="AY32" i="180"/>
  <c r="AU32" i="180"/>
  <c r="AQ32" i="180"/>
  <c r="AM32" i="180"/>
  <c r="AI32" i="180"/>
  <c r="AE32" i="180"/>
  <c r="AA32" i="180"/>
  <c r="W32" i="180"/>
  <c r="S32" i="180"/>
  <c r="O32" i="180"/>
  <c r="J32" i="180"/>
  <c r="BW31" i="180"/>
  <c r="BS31" i="180"/>
  <c r="BO31" i="180"/>
  <c r="BK31" i="180"/>
  <c r="BG31" i="180"/>
  <c r="BC31" i="180"/>
  <c r="AY31" i="180"/>
  <c r="AU31" i="180"/>
  <c r="AQ31" i="180"/>
  <c r="AM31" i="180"/>
  <c r="AI31" i="180"/>
  <c r="AE31" i="180"/>
  <c r="AA31" i="180"/>
  <c r="W31" i="180"/>
  <c r="S31" i="180"/>
  <c r="O31" i="180"/>
  <c r="J31" i="180"/>
  <c r="BW30" i="180"/>
  <c r="BS30" i="180"/>
  <c r="BO30" i="180"/>
  <c r="BK30" i="180"/>
  <c r="BG30" i="180"/>
  <c r="BC30" i="180"/>
  <c r="AY30" i="180"/>
  <c r="AU30" i="180"/>
  <c r="AQ30" i="180"/>
  <c r="AM30" i="180"/>
  <c r="AI30" i="180"/>
  <c r="AE30" i="180"/>
  <c r="AA30" i="180"/>
  <c r="W30" i="180"/>
  <c r="S30" i="180"/>
  <c r="O30" i="180"/>
  <c r="J30" i="180"/>
  <c r="BW29" i="180"/>
  <c r="BS29" i="180"/>
  <c r="BO29" i="180"/>
  <c r="BK29" i="180"/>
  <c r="BG29" i="180"/>
  <c r="BC29" i="180"/>
  <c r="AY29" i="180"/>
  <c r="AU29" i="180"/>
  <c r="AQ29" i="180"/>
  <c r="AM29" i="180"/>
  <c r="AI29" i="180"/>
  <c r="AE29" i="180"/>
  <c r="AA29" i="180"/>
  <c r="W29" i="180"/>
  <c r="S29" i="180"/>
  <c r="O29" i="180"/>
  <c r="J29" i="180"/>
  <c r="BW28" i="180"/>
  <c r="BS28" i="180"/>
  <c r="BO28" i="180"/>
  <c r="BK28" i="180"/>
  <c r="BG28" i="180"/>
  <c r="BC28" i="180"/>
  <c r="AY28" i="180"/>
  <c r="AU28" i="180"/>
  <c r="AQ28" i="180"/>
  <c r="AM28" i="180"/>
  <c r="AI28" i="180"/>
  <c r="AE28" i="180"/>
  <c r="AA28" i="180"/>
  <c r="W28" i="180"/>
  <c r="S28" i="180"/>
  <c r="O28" i="180"/>
  <c r="J28" i="180"/>
  <c r="BW27" i="180"/>
  <c r="BS27" i="180"/>
  <c r="BO27" i="180"/>
  <c r="BK27" i="180"/>
  <c r="BG27" i="180"/>
  <c r="BC27" i="180"/>
  <c r="AY27" i="180"/>
  <c r="AU27" i="180"/>
  <c r="AQ27" i="180"/>
  <c r="AM27" i="180"/>
  <c r="AI27" i="180"/>
  <c r="AE27" i="180"/>
  <c r="AA27" i="180"/>
  <c r="W27" i="180"/>
  <c r="S27" i="180"/>
  <c r="O27" i="180"/>
  <c r="J27" i="180"/>
  <c r="BW26" i="180"/>
  <c r="BS26" i="180"/>
  <c r="BO26" i="180"/>
  <c r="BK26" i="180"/>
  <c r="BG26" i="180"/>
  <c r="BC26" i="180"/>
  <c r="AY26" i="180"/>
  <c r="AU26" i="180"/>
  <c r="AQ26" i="180"/>
  <c r="AM26" i="180"/>
  <c r="AI26" i="180"/>
  <c r="AE26" i="180"/>
  <c r="AA26" i="180"/>
  <c r="W26" i="180"/>
  <c r="S26" i="180"/>
  <c r="O26" i="180"/>
  <c r="J26" i="180"/>
  <c r="BW25" i="180"/>
  <c r="BS25" i="180"/>
  <c r="BO25" i="180"/>
  <c r="BK25" i="180"/>
  <c r="BG25" i="180"/>
  <c r="BC25" i="180"/>
  <c r="AY25" i="180"/>
  <c r="AU25" i="180"/>
  <c r="AQ25" i="180"/>
  <c r="AM25" i="180"/>
  <c r="AI25" i="180"/>
  <c r="AE25" i="180"/>
  <c r="AA25" i="180"/>
  <c r="W25" i="180"/>
  <c r="S25" i="180"/>
  <c r="O25" i="180"/>
  <c r="J25" i="180"/>
  <c r="BW24" i="180"/>
  <c r="BS24" i="180"/>
  <c r="BO24" i="180"/>
  <c r="BK24" i="180"/>
  <c r="BG24" i="180"/>
  <c r="BC24" i="180"/>
  <c r="AY24" i="180"/>
  <c r="AU24" i="180"/>
  <c r="AQ24" i="180"/>
  <c r="AM24" i="180"/>
  <c r="AI24" i="180"/>
  <c r="AE24" i="180"/>
  <c r="AA24" i="180"/>
  <c r="W24" i="180"/>
  <c r="S24" i="180"/>
  <c r="O24" i="180"/>
  <c r="J24" i="180"/>
  <c r="BW23" i="180"/>
  <c r="BS23" i="180"/>
  <c r="BO23" i="180"/>
  <c r="BK23" i="180"/>
  <c r="BG23" i="180"/>
  <c r="BC23" i="180"/>
  <c r="AY23" i="180"/>
  <c r="AU23" i="180"/>
  <c r="AQ23" i="180"/>
  <c r="AM23" i="180"/>
  <c r="AI23" i="180"/>
  <c r="AE23" i="180"/>
  <c r="AA23" i="180"/>
  <c r="W23" i="180"/>
  <c r="S23" i="180"/>
  <c r="O23" i="180"/>
  <c r="J23" i="180"/>
  <c r="BW22" i="180"/>
  <c r="BS22" i="180"/>
  <c r="BO22" i="180"/>
  <c r="BK22" i="180"/>
  <c r="BG22" i="180"/>
  <c r="BC22" i="180"/>
  <c r="AY22" i="180"/>
  <c r="AU22" i="180"/>
  <c r="AQ22" i="180"/>
  <c r="AM22" i="180"/>
  <c r="AI22" i="180"/>
  <c r="AE22" i="180"/>
  <c r="AA22" i="180"/>
  <c r="W22" i="180"/>
  <c r="S22" i="180"/>
  <c r="O22" i="180"/>
  <c r="J22" i="180"/>
  <c r="BW21" i="180"/>
  <c r="BS21" i="180"/>
  <c r="BO21" i="180"/>
  <c r="BK21" i="180"/>
  <c r="BG21" i="180"/>
  <c r="BC21" i="180"/>
  <c r="AY21" i="180"/>
  <c r="AU21" i="180"/>
  <c r="AQ21" i="180"/>
  <c r="AM21" i="180"/>
  <c r="AI21" i="180"/>
  <c r="AE21" i="180"/>
  <c r="AA21" i="180"/>
  <c r="W21" i="180"/>
  <c r="S21" i="180"/>
  <c r="O21" i="180"/>
  <c r="J21" i="180"/>
  <c r="BW20" i="180"/>
  <c r="BS20" i="180"/>
  <c r="BO20" i="180"/>
  <c r="BK20" i="180"/>
  <c r="BG20" i="180"/>
  <c r="BC20" i="180"/>
  <c r="AY20" i="180"/>
  <c r="AU20" i="180"/>
  <c r="AQ20" i="180"/>
  <c r="AM20" i="180"/>
  <c r="AI20" i="180"/>
  <c r="AE20" i="180"/>
  <c r="AA20" i="180"/>
  <c r="W20" i="180"/>
  <c r="S20" i="180"/>
  <c r="O20" i="180"/>
  <c r="J20" i="180"/>
  <c r="BW19" i="180"/>
  <c r="BS19" i="180"/>
  <c r="BO19" i="180"/>
  <c r="BK19" i="180"/>
  <c r="BG19" i="180"/>
  <c r="BC19" i="180"/>
  <c r="AY19" i="180"/>
  <c r="AU19" i="180"/>
  <c r="AQ19" i="180"/>
  <c r="AM19" i="180"/>
  <c r="AI19" i="180"/>
  <c r="AE19" i="180"/>
  <c r="AA19" i="180"/>
  <c r="W19" i="180"/>
  <c r="S19" i="180"/>
  <c r="O19" i="180"/>
  <c r="J19" i="180"/>
  <c r="BW18" i="180"/>
  <c r="BS18" i="180"/>
  <c r="BO18" i="180"/>
  <c r="BK18" i="180"/>
  <c r="BG18" i="180"/>
  <c r="BC18" i="180"/>
  <c r="AY18" i="180"/>
  <c r="AU18" i="180"/>
  <c r="AQ18" i="180"/>
  <c r="AM18" i="180"/>
  <c r="AI18" i="180"/>
  <c r="AE18" i="180"/>
  <c r="AA18" i="180"/>
  <c r="W18" i="180"/>
  <c r="S18" i="180"/>
  <c r="O18" i="180"/>
  <c r="J18" i="180"/>
  <c r="BW17" i="180"/>
  <c r="BS17" i="180"/>
  <c r="BO17" i="180"/>
  <c r="BK17" i="180"/>
  <c r="BG17" i="180"/>
  <c r="BC17" i="180"/>
  <c r="AY17" i="180"/>
  <c r="AU17" i="180"/>
  <c r="AQ17" i="180"/>
  <c r="AM17" i="180"/>
  <c r="AI17" i="180"/>
  <c r="AE17" i="180"/>
  <c r="AA17" i="180"/>
  <c r="W17" i="180"/>
  <c r="S17" i="180"/>
  <c r="O17" i="180"/>
  <c r="J17" i="180"/>
  <c r="BW16" i="180"/>
  <c r="BS16" i="180"/>
  <c r="BO16" i="180"/>
  <c r="BK16" i="180"/>
  <c r="BG16" i="180"/>
  <c r="BC16" i="180"/>
  <c r="AY16" i="180"/>
  <c r="AU16" i="180"/>
  <c r="AQ16" i="180"/>
  <c r="AM16" i="180"/>
  <c r="AI16" i="180"/>
  <c r="AE16" i="180"/>
  <c r="AA16" i="180"/>
  <c r="W16" i="180"/>
  <c r="S16" i="180"/>
  <c r="O16" i="180"/>
  <c r="J16" i="180"/>
  <c r="BW15" i="180"/>
  <c r="BS15" i="180"/>
  <c r="BO15" i="180"/>
  <c r="BK15" i="180"/>
  <c r="BG15" i="180"/>
  <c r="BC15" i="180"/>
  <c r="AY15" i="180"/>
  <c r="AU15" i="180"/>
  <c r="AQ15" i="180"/>
  <c r="AM15" i="180"/>
  <c r="AI15" i="180"/>
  <c r="AE15" i="180"/>
  <c r="AA15" i="180"/>
  <c r="W15" i="180"/>
  <c r="S15" i="180"/>
  <c r="O15" i="180"/>
  <c r="J15" i="180"/>
  <c r="BW14" i="180"/>
  <c r="BS14" i="180"/>
  <c r="BO14" i="180"/>
  <c r="BK14" i="180"/>
  <c r="BG14" i="180"/>
  <c r="BC14" i="180"/>
  <c r="AY14" i="180"/>
  <c r="AU14" i="180"/>
  <c r="AQ14" i="180"/>
  <c r="AM14" i="180"/>
  <c r="AI14" i="180"/>
  <c r="AE14" i="180"/>
  <c r="AA14" i="180"/>
  <c r="W14" i="180"/>
  <c r="S14" i="180"/>
  <c r="O14" i="180"/>
  <c r="J14" i="180"/>
  <c r="BW13" i="180"/>
  <c r="BS13" i="180"/>
  <c r="BO13" i="180"/>
  <c r="BK13" i="180"/>
  <c r="BG13" i="180"/>
  <c r="BC13" i="180"/>
  <c r="AY13" i="180"/>
  <c r="AU13" i="180"/>
  <c r="AQ13" i="180"/>
  <c r="AM13" i="180"/>
  <c r="AI13" i="180"/>
  <c r="AE13" i="180"/>
  <c r="AA13" i="180"/>
  <c r="W13" i="180"/>
  <c r="S13" i="180"/>
  <c r="O13" i="180"/>
  <c r="J13" i="180"/>
  <c r="BW12" i="180"/>
  <c r="BS12" i="180"/>
  <c r="BO12" i="180"/>
  <c r="BK12" i="180"/>
  <c r="BG12" i="180"/>
  <c r="BC12" i="180"/>
  <c r="AY12" i="180"/>
  <c r="AU12" i="180"/>
  <c r="AQ12" i="180"/>
  <c r="AM12" i="180"/>
  <c r="AI12" i="180"/>
  <c r="AE12" i="180"/>
  <c r="AA12" i="180"/>
  <c r="W12" i="180"/>
  <c r="S12" i="180"/>
  <c r="O12" i="180"/>
  <c r="J12" i="180"/>
  <c r="BW11" i="180"/>
  <c r="BS11" i="180"/>
  <c r="BO11" i="180"/>
  <c r="BK11" i="180"/>
  <c r="BG11" i="180"/>
  <c r="BC11" i="180"/>
  <c r="AY11" i="180"/>
  <c r="AU11" i="180"/>
  <c r="AQ11" i="180"/>
  <c r="AM11" i="180"/>
  <c r="AI11" i="180"/>
  <c r="AE11" i="180"/>
  <c r="AA11" i="180"/>
  <c r="W11" i="180"/>
  <c r="S11" i="180"/>
  <c r="O11" i="180"/>
  <c r="J11" i="180"/>
  <c r="BW10" i="180"/>
  <c r="BS10" i="180"/>
  <c r="BO10" i="180"/>
  <c r="BK10" i="180"/>
  <c r="BG10" i="180"/>
  <c r="BC10" i="180"/>
  <c r="AY10" i="180"/>
  <c r="AU10" i="180"/>
  <c r="AQ10" i="180"/>
  <c r="AM10" i="180"/>
  <c r="AI10" i="180"/>
  <c r="AE10" i="180"/>
  <c r="AA10" i="180"/>
  <c r="W10" i="180"/>
  <c r="S10" i="180"/>
  <c r="O10" i="180"/>
  <c r="J10" i="180"/>
  <c r="BW9" i="180"/>
  <c r="BS9" i="180"/>
  <c r="BO9" i="180"/>
  <c r="BK9" i="180"/>
  <c r="BG9" i="180"/>
  <c r="BC9" i="180"/>
  <c r="AY9" i="180"/>
  <c r="AU9" i="180"/>
  <c r="AQ9" i="180"/>
  <c r="AM9" i="180"/>
  <c r="AI9" i="180"/>
  <c r="AE9" i="180"/>
  <c r="AA9" i="180"/>
  <c r="W9" i="180"/>
  <c r="S9" i="180"/>
  <c r="O9" i="180"/>
  <c r="J9" i="180"/>
  <c r="BW8" i="180"/>
  <c r="BS8" i="180"/>
  <c r="BO8" i="180"/>
  <c r="BK8" i="180"/>
  <c r="BG8" i="180"/>
  <c r="BC8" i="180"/>
  <c r="AY8" i="180"/>
  <c r="AU8" i="180"/>
  <c r="AQ8" i="180"/>
  <c r="AM8" i="180"/>
  <c r="AI8" i="180"/>
  <c r="AE8" i="180"/>
  <c r="AA8" i="180"/>
  <c r="W8" i="180"/>
  <c r="S8" i="180"/>
  <c r="O8" i="180"/>
  <c r="J8" i="180"/>
  <c r="BW7" i="180"/>
  <c r="BS7" i="180"/>
  <c r="BO7" i="180"/>
  <c r="BK7" i="180"/>
  <c r="BG7" i="180"/>
  <c r="BC7" i="180"/>
  <c r="AY7" i="180"/>
  <c r="AU7" i="180"/>
  <c r="AQ7" i="180"/>
  <c r="AM7" i="180"/>
  <c r="AI7" i="180"/>
  <c r="AE7" i="180"/>
  <c r="AA7" i="180"/>
  <c r="W7" i="180"/>
  <c r="S7" i="180"/>
  <c r="O7" i="180"/>
  <c r="J7" i="180"/>
  <c r="BN6" i="180"/>
  <c r="BO6" i="180" s="1"/>
  <c r="BB6" i="180"/>
  <c r="BC6" i="180" s="1"/>
  <c r="BA6" i="180"/>
  <c r="AW6" i="180"/>
  <c r="AP6" i="180"/>
  <c r="AQ6" i="180" s="1"/>
  <c r="AC6" i="180"/>
  <c r="V6" i="180"/>
  <c r="W6" i="180" s="1"/>
  <c r="BD5" i="180"/>
  <c r="BS4" i="180"/>
  <c r="BT5" i="180" s="1"/>
  <c r="BO4" i="180"/>
  <c r="BP6" i="180" s="1"/>
  <c r="BK4" i="180"/>
  <c r="BM6" i="180" s="1"/>
  <c r="BG4" i="180"/>
  <c r="BH5" i="180" s="1"/>
  <c r="BC4" i="180"/>
  <c r="BF6" i="180" s="1"/>
  <c r="BG6" i="180" s="1"/>
  <c r="AZ4" i="180"/>
  <c r="AY4" i="180"/>
  <c r="AZ6" i="180" s="1"/>
  <c r="AU4" i="180"/>
  <c r="AV4" i="180" s="1"/>
  <c r="AQ4" i="180"/>
  <c r="AR6" i="180" s="1"/>
  <c r="AM4" i="180"/>
  <c r="AO6" i="180" s="1"/>
  <c r="AI4" i="180"/>
  <c r="AJ6" i="180" s="1"/>
  <c r="AE4" i="180"/>
  <c r="AH6" i="180" s="1"/>
  <c r="AI6" i="180" s="1"/>
  <c r="AA4" i="180"/>
  <c r="AB6" i="180" s="1"/>
  <c r="W4" i="180"/>
  <c r="X5" i="180" s="1"/>
  <c r="S4" i="180"/>
  <c r="T6" i="180" s="1"/>
  <c r="O4" i="180"/>
  <c r="Q6" i="180" s="1"/>
  <c r="K4" i="180"/>
  <c r="L5" i="180" s="1"/>
  <c r="J4" i="180"/>
  <c r="E4" i="180"/>
  <c r="BT3" i="180"/>
  <c r="BP3" i="180"/>
  <c r="BL3" i="180"/>
  <c r="BH3" i="180"/>
  <c r="BD3" i="180"/>
  <c r="AZ3" i="180"/>
  <c r="AV3" i="180"/>
  <c r="AR3" i="180"/>
  <c r="AN3" i="180"/>
  <c r="AJ3" i="180"/>
  <c r="AF3" i="180"/>
  <c r="AB3" i="180"/>
  <c r="X3" i="180"/>
  <c r="T3" i="180"/>
  <c r="P3" i="180"/>
  <c r="L3" i="180"/>
  <c r="J3" i="180"/>
  <c r="J2" i="180"/>
  <c r="F1" i="180"/>
  <c r="BW82" i="179"/>
  <c r="BS82" i="179"/>
  <c r="BO82" i="179"/>
  <c r="BK82" i="179"/>
  <c r="BG82" i="179"/>
  <c r="BC82" i="179"/>
  <c r="AY82" i="179"/>
  <c r="AU82" i="179"/>
  <c r="AQ82" i="179"/>
  <c r="AM82" i="179"/>
  <c r="AI82" i="179"/>
  <c r="AE82" i="179"/>
  <c r="AA82" i="179"/>
  <c r="W82" i="179"/>
  <c r="S82" i="179"/>
  <c r="O82" i="179"/>
  <c r="J82" i="179"/>
  <c r="BW81" i="179"/>
  <c r="BS81" i="179"/>
  <c r="BO81" i="179"/>
  <c r="BK81" i="179"/>
  <c r="BG81" i="179"/>
  <c r="BC81" i="179"/>
  <c r="AY81" i="179"/>
  <c r="AU81" i="179"/>
  <c r="AQ81" i="179"/>
  <c r="AM81" i="179"/>
  <c r="AI81" i="179"/>
  <c r="AE81" i="179"/>
  <c r="AA81" i="179"/>
  <c r="W81" i="179"/>
  <c r="S81" i="179"/>
  <c r="O81" i="179"/>
  <c r="J81" i="179"/>
  <c r="BW80" i="179"/>
  <c r="BS80" i="179"/>
  <c r="BO80" i="179"/>
  <c r="BK80" i="179"/>
  <c r="BG80" i="179"/>
  <c r="BC80" i="179"/>
  <c r="AY80" i="179"/>
  <c r="AU80" i="179"/>
  <c r="AQ80" i="179"/>
  <c r="AM80" i="179"/>
  <c r="AI80" i="179"/>
  <c r="AE80" i="179"/>
  <c r="AA80" i="179"/>
  <c r="W80" i="179"/>
  <c r="S80" i="179"/>
  <c r="O80" i="179"/>
  <c r="J80" i="179"/>
  <c r="BW79" i="179"/>
  <c r="BS79" i="179"/>
  <c r="BO79" i="179"/>
  <c r="BK79" i="179"/>
  <c r="BG79" i="179"/>
  <c r="BC79" i="179"/>
  <c r="AY79" i="179"/>
  <c r="AU79" i="179"/>
  <c r="AQ79" i="179"/>
  <c r="AM79" i="179"/>
  <c r="AI79" i="179"/>
  <c r="AE79" i="179"/>
  <c r="AA79" i="179"/>
  <c r="W79" i="179"/>
  <c r="S79" i="179"/>
  <c r="O79" i="179"/>
  <c r="J79" i="179"/>
  <c r="BW78" i="179"/>
  <c r="BS78" i="179"/>
  <c r="BO78" i="179"/>
  <c r="BK78" i="179"/>
  <c r="BG78" i="179"/>
  <c r="BC78" i="179"/>
  <c r="AY78" i="179"/>
  <c r="AU78" i="179"/>
  <c r="AQ78" i="179"/>
  <c r="AM78" i="179"/>
  <c r="AI78" i="179"/>
  <c r="AE78" i="179"/>
  <c r="AA78" i="179"/>
  <c r="W78" i="179"/>
  <c r="S78" i="179"/>
  <c r="O78" i="179"/>
  <c r="J78" i="179"/>
  <c r="BW77" i="179"/>
  <c r="BS77" i="179"/>
  <c r="BO77" i="179"/>
  <c r="BK77" i="179"/>
  <c r="BG77" i="179"/>
  <c r="BC77" i="179"/>
  <c r="AY77" i="179"/>
  <c r="AU77" i="179"/>
  <c r="AQ77" i="179"/>
  <c r="AM77" i="179"/>
  <c r="AI77" i="179"/>
  <c r="AE77" i="179"/>
  <c r="AA77" i="179"/>
  <c r="W77" i="179"/>
  <c r="S77" i="179"/>
  <c r="O77" i="179"/>
  <c r="J77" i="179"/>
  <c r="BW76" i="179"/>
  <c r="BS76" i="179"/>
  <c r="BO76" i="179"/>
  <c r="BK76" i="179"/>
  <c r="BG76" i="179"/>
  <c r="BC76" i="179"/>
  <c r="AY76" i="179"/>
  <c r="AU76" i="179"/>
  <c r="AQ76" i="179"/>
  <c r="AM76" i="179"/>
  <c r="AI76" i="179"/>
  <c r="AE76" i="179"/>
  <c r="AA76" i="179"/>
  <c r="W76" i="179"/>
  <c r="S76" i="179"/>
  <c r="O76" i="179"/>
  <c r="J76" i="179"/>
  <c r="BW75" i="179"/>
  <c r="BS75" i="179"/>
  <c r="BO75" i="179"/>
  <c r="BK75" i="179"/>
  <c r="BG75" i="179"/>
  <c r="BC75" i="179"/>
  <c r="AY75" i="179"/>
  <c r="AU75" i="179"/>
  <c r="AQ75" i="179"/>
  <c r="AM75" i="179"/>
  <c r="AI75" i="179"/>
  <c r="AE75" i="179"/>
  <c r="AA75" i="179"/>
  <c r="W75" i="179"/>
  <c r="S75" i="179"/>
  <c r="O75" i="179"/>
  <c r="J75" i="179"/>
  <c r="BW74" i="179"/>
  <c r="BS74" i="179"/>
  <c r="BO74" i="179"/>
  <c r="BK74" i="179"/>
  <c r="BG74" i="179"/>
  <c r="BC74" i="179"/>
  <c r="AY74" i="179"/>
  <c r="AU74" i="179"/>
  <c r="AQ74" i="179"/>
  <c r="AM74" i="179"/>
  <c r="AI74" i="179"/>
  <c r="AE74" i="179"/>
  <c r="AA74" i="179"/>
  <c r="W74" i="179"/>
  <c r="S74" i="179"/>
  <c r="O74" i="179"/>
  <c r="J74" i="179"/>
  <c r="BW73" i="179"/>
  <c r="BS73" i="179"/>
  <c r="BO73" i="179"/>
  <c r="BK73" i="179"/>
  <c r="BG73" i="179"/>
  <c r="BC73" i="179"/>
  <c r="AY73" i="179"/>
  <c r="AU73" i="179"/>
  <c r="AQ73" i="179"/>
  <c r="AM73" i="179"/>
  <c r="AI73" i="179"/>
  <c r="AE73" i="179"/>
  <c r="AA73" i="179"/>
  <c r="W73" i="179"/>
  <c r="S73" i="179"/>
  <c r="O73" i="179"/>
  <c r="J73" i="179"/>
  <c r="BW72" i="179"/>
  <c r="BS72" i="179"/>
  <c r="BO72" i="179"/>
  <c r="BK72" i="179"/>
  <c r="BG72" i="179"/>
  <c r="BC72" i="179"/>
  <c r="AY72" i="179"/>
  <c r="AU72" i="179"/>
  <c r="AQ72" i="179"/>
  <c r="AM72" i="179"/>
  <c r="AI72" i="179"/>
  <c r="AE72" i="179"/>
  <c r="AA72" i="179"/>
  <c r="W72" i="179"/>
  <c r="S72" i="179"/>
  <c r="O72" i="179"/>
  <c r="J72" i="179"/>
  <c r="BW71" i="179"/>
  <c r="BS71" i="179"/>
  <c r="BO71" i="179"/>
  <c r="BK71" i="179"/>
  <c r="BG71" i="179"/>
  <c r="BC71" i="179"/>
  <c r="AY71" i="179"/>
  <c r="AU71" i="179"/>
  <c r="AQ71" i="179"/>
  <c r="AM71" i="179"/>
  <c r="AI71" i="179"/>
  <c r="AE71" i="179"/>
  <c r="AA71" i="179"/>
  <c r="W71" i="179"/>
  <c r="S71" i="179"/>
  <c r="O71" i="179"/>
  <c r="J71" i="179"/>
  <c r="BW70" i="179"/>
  <c r="BS70" i="179"/>
  <c r="BO70" i="179"/>
  <c r="BK70" i="179"/>
  <c r="BG70" i="179"/>
  <c r="BC70" i="179"/>
  <c r="AY70" i="179"/>
  <c r="AU70" i="179"/>
  <c r="AQ70" i="179"/>
  <c r="AM70" i="179"/>
  <c r="AI70" i="179"/>
  <c r="AE70" i="179"/>
  <c r="AA70" i="179"/>
  <c r="W70" i="179"/>
  <c r="S70" i="179"/>
  <c r="O70" i="179"/>
  <c r="J70" i="179"/>
  <c r="BW69" i="179"/>
  <c r="BS69" i="179"/>
  <c r="BO69" i="179"/>
  <c r="BK69" i="179"/>
  <c r="BG69" i="179"/>
  <c r="BC69" i="179"/>
  <c r="AY69" i="179"/>
  <c r="AU69" i="179"/>
  <c r="AQ69" i="179"/>
  <c r="AM69" i="179"/>
  <c r="AI69" i="179"/>
  <c r="AE69" i="179"/>
  <c r="AA69" i="179"/>
  <c r="W69" i="179"/>
  <c r="S69" i="179"/>
  <c r="O69" i="179"/>
  <c r="J69" i="179"/>
  <c r="BW68" i="179"/>
  <c r="BS68" i="179"/>
  <c r="BO68" i="179"/>
  <c r="BK68" i="179"/>
  <c r="BG68" i="179"/>
  <c r="BC68" i="179"/>
  <c r="AY68" i="179"/>
  <c r="AU68" i="179"/>
  <c r="AQ68" i="179"/>
  <c r="AM68" i="179"/>
  <c r="AI68" i="179"/>
  <c r="AE68" i="179"/>
  <c r="AA68" i="179"/>
  <c r="W68" i="179"/>
  <c r="S68" i="179"/>
  <c r="O68" i="179"/>
  <c r="J68" i="179"/>
  <c r="BW67" i="179"/>
  <c r="BS67" i="179"/>
  <c r="BO67" i="179"/>
  <c r="BK67" i="179"/>
  <c r="BG67" i="179"/>
  <c r="BC67" i="179"/>
  <c r="AY67" i="179"/>
  <c r="AU67" i="179"/>
  <c r="AQ67" i="179"/>
  <c r="AM67" i="179"/>
  <c r="AI67" i="179"/>
  <c r="AE67" i="179"/>
  <c r="AA67" i="179"/>
  <c r="W67" i="179"/>
  <c r="S67" i="179"/>
  <c r="O67" i="179"/>
  <c r="J67" i="179"/>
  <c r="BW66" i="179"/>
  <c r="BS66" i="179"/>
  <c r="BO66" i="179"/>
  <c r="BK66" i="179"/>
  <c r="BG66" i="179"/>
  <c r="BC66" i="179"/>
  <c r="AY66" i="179"/>
  <c r="AU66" i="179"/>
  <c r="AQ66" i="179"/>
  <c r="AM66" i="179"/>
  <c r="AI66" i="179"/>
  <c r="AE66" i="179"/>
  <c r="AA66" i="179"/>
  <c r="W66" i="179"/>
  <c r="S66" i="179"/>
  <c r="O66" i="179"/>
  <c r="J66" i="179"/>
  <c r="BW65" i="179"/>
  <c r="BS65" i="179"/>
  <c r="BO65" i="179"/>
  <c r="BK65" i="179"/>
  <c r="BG65" i="179"/>
  <c r="BC65" i="179"/>
  <c r="AY65" i="179"/>
  <c r="AU65" i="179"/>
  <c r="AQ65" i="179"/>
  <c r="AM65" i="179"/>
  <c r="AI65" i="179"/>
  <c r="AE65" i="179"/>
  <c r="AA65" i="179"/>
  <c r="W65" i="179"/>
  <c r="S65" i="179"/>
  <c r="O65" i="179"/>
  <c r="J65" i="179"/>
  <c r="BW64" i="179"/>
  <c r="BS64" i="179"/>
  <c r="BO64" i="179"/>
  <c r="BK64" i="179"/>
  <c r="BG64" i="179"/>
  <c r="BC64" i="179"/>
  <c r="AY64" i="179"/>
  <c r="AU64" i="179"/>
  <c r="AQ64" i="179"/>
  <c r="AM64" i="179"/>
  <c r="AI64" i="179"/>
  <c r="AE64" i="179"/>
  <c r="AA64" i="179"/>
  <c r="W64" i="179"/>
  <c r="S64" i="179"/>
  <c r="O64" i="179"/>
  <c r="J64" i="179"/>
  <c r="BW63" i="179"/>
  <c r="BS63" i="179"/>
  <c r="BO63" i="179"/>
  <c r="BK63" i="179"/>
  <c r="BG63" i="179"/>
  <c r="BC63" i="179"/>
  <c r="AY63" i="179"/>
  <c r="AU63" i="179"/>
  <c r="AQ63" i="179"/>
  <c r="AM63" i="179"/>
  <c r="AI63" i="179"/>
  <c r="AE63" i="179"/>
  <c r="AA63" i="179"/>
  <c r="W63" i="179"/>
  <c r="S63" i="179"/>
  <c r="O63" i="179"/>
  <c r="J63" i="179"/>
  <c r="BW62" i="179"/>
  <c r="BS62" i="179"/>
  <c r="BO62" i="179"/>
  <c r="BK62" i="179"/>
  <c r="BG62" i="179"/>
  <c r="BC62" i="179"/>
  <c r="AY62" i="179"/>
  <c r="AU62" i="179"/>
  <c r="AQ62" i="179"/>
  <c r="AM62" i="179"/>
  <c r="AI62" i="179"/>
  <c r="AE62" i="179"/>
  <c r="AA62" i="179"/>
  <c r="W62" i="179"/>
  <c r="S62" i="179"/>
  <c r="O62" i="179"/>
  <c r="J62" i="179"/>
  <c r="BW61" i="179"/>
  <c r="BS61" i="179"/>
  <c r="BO61" i="179"/>
  <c r="BK61" i="179"/>
  <c r="BG61" i="179"/>
  <c r="BC61" i="179"/>
  <c r="AY61" i="179"/>
  <c r="AU61" i="179"/>
  <c r="AQ61" i="179"/>
  <c r="AM61" i="179"/>
  <c r="AI61" i="179"/>
  <c r="AE61" i="179"/>
  <c r="AA61" i="179"/>
  <c r="W61" i="179"/>
  <c r="S61" i="179"/>
  <c r="O61" i="179"/>
  <c r="J61" i="179"/>
  <c r="BW60" i="179"/>
  <c r="BS60" i="179"/>
  <c r="BO60" i="179"/>
  <c r="BK60" i="179"/>
  <c r="BG60" i="179"/>
  <c r="BC60" i="179"/>
  <c r="AY60" i="179"/>
  <c r="AU60" i="179"/>
  <c r="AQ60" i="179"/>
  <c r="AM60" i="179"/>
  <c r="AI60" i="179"/>
  <c r="AE60" i="179"/>
  <c r="AA60" i="179"/>
  <c r="W60" i="179"/>
  <c r="S60" i="179"/>
  <c r="O60" i="179"/>
  <c r="J60" i="179"/>
  <c r="BW59" i="179"/>
  <c r="BS59" i="179"/>
  <c r="BO59" i="179"/>
  <c r="BK59" i="179"/>
  <c r="BG59" i="179"/>
  <c r="BC59" i="179"/>
  <c r="AY59" i="179"/>
  <c r="AU59" i="179"/>
  <c r="AQ59" i="179"/>
  <c r="AM59" i="179"/>
  <c r="AI59" i="179"/>
  <c r="AE59" i="179"/>
  <c r="AA59" i="179"/>
  <c r="W59" i="179"/>
  <c r="S59" i="179"/>
  <c r="O59" i="179"/>
  <c r="J59" i="179"/>
  <c r="BW58" i="179"/>
  <c r="BS58" i="179"/>
  <c r="BO58" i="179"/>
  <c r="BK58" i="179"/>
  <c r="BG58" i="179"/>
  <c r="BC58" i="179"/>
  <c r="AY58" i="179"/>
  <c r="AU58" i="179"/>
  <c r="AQ58" i="179"/>
  <c r="AM58" i="179"/>
  <c r="AI58" i="179"/>
  <c r="AE58" i="179"/>
  <c r="AA58" i="179"/>
  <c r="W58" i="179"/>
  <c r="S58" i="179"/>
  <c r="O58" i="179"/>
  <c r="J58" i="179"/>
  <c r="BW57" i="179"/>
  <c r="BS57" i="179"/>
  <c r="BO57" i="179"/>
  <c r="BK57" i="179"/>
  <c r="BG57" i="179"/>
  <c r="BC57" i="179"/>
  <c r="AY57" i="179"/>
  <c r="AU57" i="179"/>
  <c r="AQ57" i="179"/>
  <c r="AM57" i="179"/>
  <c r="AI57" i="179"/>
  <c r="AE57" i="179"/>
  <c r="AA57" i="179"/>
  <c r="W57" i="179"/>
  <c r="S57" i="179"/>
  <c r="O57" i="179"/>
  <c r="J57" i="179"/>
  <c r="BW56" i="179"/>
  <c r="BS56" i="179"/>
  <c r="BO56" i="179"/>
  <c r="BK56" i="179"/>
  <c r="BG56" i="179"/>
  <c r="BC56" i="179"/>
  <c r="AY56" i="179"/>
  <c r="AU56" i="179"/>
  <c r="AQ56" i="179"/>
  <c r="AM56" i="179"/>
  <c r="AI56" i="179"/>
  <c r="AE56" i="179"/>
  <c r="AA56" i="179"/>
  <c r="W56" i="179"/>
  <c r="S56" i="179"/>
  <c r="O56" i="179"/>
  <c r="J56" i="179"/>
  <c r="BW55" i="179"/>
  <c r="BS55" i="179"/>
  <c r="BO55" i="179"/>
  <c r="BK55" i="179"/>
  <c r="BG55" i="179"/>
  <c r="BC55" i="179"/>
  <c r="AY55" i="179"/>
  <c r="AU55" i="179"/>
  <c r="AQ55" i="179"/>
  <c r="AM55" i="179"/>
  <c r="AI55" i="179"/>
  <c r="AE55" i="179"/>
  <c r="AA55" i="179"/>
  <c r="W55" i="179"/>
  <c r="S55" i="179"/>
  <c r="O55" i="179"/>
  <c r="J55" i="179"/>
  <c r="BW54" i="179"/>
  <c r="BS54" i="179"/>
  <c r="BO54" i="179"/>
  <c r="BK54" i="179"/>
  <c r="BG54" i="179"/>
  <c r="BC54" i="179"/>
  <c r="AY54" i="179"/>
  <c r="AU54" i="179"/>
  <c r="AQ54" i="179"/>
  <c r="AM54" i="179"/>
  <c r="AI54" i="179"/>
  <c r="AE54" i="179"/>
  <c r="AA54" i="179"/>
  <c r="W54" i="179"/>
  <c r="S54" i="179"/>
  <c r="O54" i="179"/>
  <c r="J54" i="179"/>
  <c r="BW53" i="179"/>
  <c r="BS53" i="179"/>
  <c r="BO53" i="179"/>
  <c r="BK53" i="179"/>
  <c r="BG53" i="179"/>
  <c r="BC53" i="179"/>
  <c r="AY53" i="179"/>
  <c r="AU53" i="179"/>
  <c r="AQ53" i="179"/>
  <c r="AM53" i="179"/>
  <c r="AI53" i="179"/>
  <c r="AE53" i="179"/>
  <c r="AA53" i="179"/>
  <c r="W53" i="179"/>
  <c r="S53" i="179"/>
  <c r="O53" i="179"/>
  <c r="J53" i="179"/>
  <c r="BW52" i="179"/>
  <c r="BS52" i="179"/>
  <c r="BO52" i="179"/>
  <c r="BK52" i="179"/>
  <c r="BG52" i="179"/>
  <c r="BC52" i="179"/>
  <c r="AY52" i="179"/>
  <c r="AU52" i="179"/>
  <c r="AQ52" i="179"/>
  <c r="AM52" i="179"/>
  <c r="AI52" i="179"/>
  <c r="AE52" i="179"/>
  <c r="AA52" i="179"/>
  <c r="W52" i="179"/>
  <c r="S52" i="179"/>
  <c r="O52" i="179"/>
  <c r="J52" i="179"/>
  <c r="BW51" i="179"/>
  <c r="BS51" i="179"/>
  <c r="BO51" i="179"/>
  <c r="BK51" i="179"/>
  <c r="BG51" i="179"/>
  <c r="BC51" i="179"/>
  <c r="AY51" i="179"/>
  <c r="AU51" i="179"/>
  <c r="AQ51" i="179"/>
  <c r="AM51" i="179"/>
  <c r="AI51" i="179"/>
  <c r="AE51" i="179"/>
  <c r="AA51" i="179"/>
  <c r="W51" i="179"/>
  <c r="S51" i="179"/>
  <c r="O51" i="179"/>
  <c r="J51" i="179"/>
  <c r="BW50" i="179"/>
  <c r="BS50" i="179"/>
  <c r="BO50" i="179"/>
  <c r="BK50" i="179"/>
  <c r="BG50" i="179"/>
  <c r="BC50" i="179"/>
  <c r="AY50" i="179"/>
  <c r="AU50" i="179"/>
  <c r="AQ50" i="179"/>
  <c r="AM50" i="179"/>
  <c r="AI50" i="179"/>
  <c r="AE50" i="179"/>
  <c r="AA50" i="179"/>
  <c r="W50" i="179"/>
  <c r="S50" i="179"/>
  <c r="O50" i="179"/>
  <c r="J50" i="179"/>
  <c r="BW49" i="179"/>
  <c r="BS49" i="179"/>
  <c r="BO49" i="179"/>
  <c r="BK49" i="179"/>
  <c r="BG49" i="179"/>
  <c r="BC49" i="179"/>
  <c r="AY49" i="179"/>
  <c r="AU49" i="179"/>
  <c r="AQ49" i="179"/>
  <c r="AM49" i="179"/>
  <c r="AI49" i="179"/>
  <c r="AE49" i="179"/>
  <c r="AA49" i="179"/>
  <c r="W49" i="179"/>
  <c r="S49" i="179"/>
  <c r="O49" i="179"/>
  <c r="J49" i="179"/>
  <c r="BW48" i="179"/>
  <c r="BS48" i="179"/>
  <c r="BO48" i="179"/>
  <c r="BK48" i="179"/>
  <c r="BG48" i="179"/>
  <c r="BC48" i="179"/>
  <c r="AY48" i="179"/>
  <c r="AU48" i="179"/>
  <c r="AQ48" i="179"/>
  <c r="AM48" i="179"/>
  <c r="AI48" i="179"/>
  <c r="AE48" i="179"/>
  <c r="AA48" i="179"/>
  <c r="W48" i="179"/>
  <c r="S48" i="179"/>
  <c r="O48" i="179"/>
  <c r="J48" i="179"/>
  <c r="BW47" i="179"/>
  <c r="BS47" i="179"/>
  <c r="BO47" i="179"/>
  <c r="BK47" i="179"/>
  <c r="BG47" i="179"/>
  <c r="BC47" i="179"/>
  <c r="AY47" i="179"/>
  <c r="AU47" i="179"/>
  <c r="AQ47" i="179"/>
  <c r="AM47" i="179"/>
  <c r="AI47" i="179"/>
  <c r="AE47" i="179"/>
  <c r="AA47" i="179"/>
  <c r="W47" i="179"/>
  <c r="S47" i="179"/>
  <c r="O47" i="179"/>
  <c r="J47" i="179"/>
  <c r="BW46" i="179"/>
  <c r="BS46" i="179"/>
  <c r="BO46" i="179"/>
  <c r="BK46" i="179"/>
  <c r="BG46" i="179"/>
  <c r="BC46" i="179"/>
  <c r="AY46" i="179"/>
  <c r="AU46" i="179"/>
  <c r="AQ46" i="179"/>
  <c r="AM46" i="179"/>
  <c r="AI46" i="179"/>
  <c r="AE46" i="179"/>
  <c r="AA46" i="179"/>
  <c r="W46" i="179"/>
  <c r="S46" i="179"/>
  <c r="O46" i="179"/>
  <c r="J46" i="179"/>
  <c r="BW45" i="179"/>
  <c r="BS45" i="179"/>
  <c r="BO45" i="179"/>
  <c r="BK45" i="179"/>
  <c r="BG45" i="179"/>
  <c r="BC45" i="179"/>
  <c r="AY45" i="179"/>
  <c r="AU45" i="179"/>
  <c r="AQ45" i="179"/>
  <c r="AM45" i="179"/>
  <c r="AI45" i="179"/>
  <c r="AE45" i="179"/>
  <c r="AA45" i="179"/>
  <c r="W45" i="179"/>
  <c r="S45" i="179"/>
  <c r="O45" i="179"/>
  <c r="J45" i="179"/>
  <c r="BW44" i="179"/>
  <c r="BS44" i="179"/>
  <c r="BO44" i="179"/>
  <c r="BK44" i="179"/>
  <c r="BG44" i="179"/>
  <c r="BC44" i="179"/>
  <c r="AY44" i="179"/>
  <c r="AU44" i="179"/>
  <c r="AQ44" i="179"/>
  <c r="AM44" i="179"/>
  <c r="AI44" i="179"/>
  <c r="AE44" i="179"/>
  <c r="AA44" i="179"/>
  <c r="W44" i="179"/>
  <c r="S44" i="179"/>
  <c r="O44" i="179"/>
  <c r="J44" i="179"/>
  <c r="BW43" i="179"/>
  <c r="BS43" i="179"/>
  <c r="BO43" i="179"/>
  <c r="BK43" i="179"/>
  <c r="BG43" i="179"/>
  <c r="BC43" i="179"/>
  <c r="AY43" i="179"/>
  <c r="AU43" i="179"/>
  <c r="AQ43" i="179"/>
  <c r="AM43" i="179"/>
  <c r="AI43" i="179"/>
  <c r="AE43" i="179"/>
  <c r="AA43" i="179"/>
  <c r="W43" i="179"/>
  <c r="S43" i="179"/>
  <c r="O43" i="179"/>
  <c r="J43" i="179"/>
  <c r="BW42" i="179"/>
  <c r="BS42" i="179"/>
  <c r="BO42" i="179"/>
  <c r="BK42" i="179"/>
  <c r="BG42" i="179"/>
  <c r="BC42" i="179"/>
  <c r="AY42" i="179"/>
  <c r="AU42" i="179"/>
  <c r="AQ42" i="179"/>
  <c r="AM42" i="179"/>
  <c r="AI42" i="179"/>
  <c r="AE42" i="179"/>
  <c r="AA42" i="179"/>
  <c r="W42" i="179"/>
  <c r="S42" i="179"/>
  <c r="O42" i="179"/>
  <c r="J42" i="179"/>
  <c r="BW41" i="179"/>
  <c r="BS41" i="179"/>
  <c r="BO41" i="179"/>
  <c r="BK41" i="179"/>
  <c r="BG41" i="179"/>
  <c r="BC41" i="179"/>
  <c r="AY41" i="179"/>
  <c r="AU41" i="179"/>
  <c r="AQ41" i="179"/>
  <c r="AM41" i="179"/>
  <c r="AI41" i="179"/>
  <c r="AE41" i="179"/>
  <c r="AA41" i="179"/>
  <c r="W41" i="179"/>
  <c r="S41" i="179"/>
  <c r="O41" i="179"/>
  <c r="J41" i="179"/>
  <c r="BW40" i="179"/>
  <c r="BS40" i="179"/>
  <c r="BO40" i="179"/>
  <c r="BK40" i="179"/>
  <c r="BG40" i="179"/>
  <c r="BC40" i="179"/>
  <c r="AY40" i="179"/>
  <c r="AU40" i="179"/>
  <c r="AQ40" i="179"/>
  <c r="AM40" i="179"/>
  <c r="AI40" i="179"/>
  <c r="AE40" i="179"/>
  <c r="AA40" i="179"/>
  <c r="W40" i="179"/>
  <c r="S40" i="179"/>
  <c r="O40" i="179"/>
  <c r="J40" i="179"/>
  <c r="BW39" i="179"/>
  <c r="BS39" i="179"/>
  <c r="BO39" i="179"/>
  <c r="BK39" i="179"/>
  <c r="BG39" i="179"/>
  <c r="BC39" i="179"/>
  <c r="AY39" i="179"/>
  <c r="AU39" i="179"/>
  <c r="AQ39" i="179"/>
  <c r="AM39" i="179"/>
  <c r="AI39" i="179"/>
  <c r="AE39" i="179"/>
  <c r="AA39" i="179"/>
  <c r="W39" i="179"/>
  <c r="S39" i="179"/>
  <c r="O39" i="179"/>
  <c r="J39" i="179"/>
  <c r="BW38" i="179"/>
  <c r="BS38" i="179"/>
  <c r="BO38" i="179"/>
  <c r="BK38" i="179"/>
  <c r="BG38" i="179"/>
  <c r="BC38" i="179"/>
  <c r="AY38" i="179"/>
  <c r="AU38" i="179"/>
  <c r="AQ38" i="179"/>
  <c r="AM38" i="179"/>
  <c r="AI38" i="179"/>
  <c r="AE38" i="179"/>
  <c r="AA38" i="179"/>
  <c r="W38" i="179"/>
  <c r="S38" i="179"/>
  <c r="O38" i="179"/>
  <c r="J38" i="179"/>
  <c r="BW37" i="179"/>
  <c r="BS37" i="179"/>
  <c r="BO37" i="179"/>
  <c r="BK37" i="179"/>
  <c r="BG37" i="179"/>
  <c r="BC37" i="179"/>
  <c r="AY37" i="179"/>
  <c r="AU37" i="179"/>
  <c r="AQ37" i="179"/>
  <c r="AM37" i="179"/>
  <c r="AI37" i="179"/>
  <c r="AE37" i="179"/>
  <c r="AA37" i="179"/>
  <c r="W37" i="179"/>
  <c r="S37" i="179"/>
  <c r="O37" i="179"/>
  <c r="J37" i="179"/>
  <c r="BW36" i="179"/>
  <c r="BS36" i="179"/>
  <c r="BO36" i="179"/>
  <c r="BK36" i="179"/>
  <c r="BG36" i="179"/>
  <c r="BC36" i="179"/>
  <c r="AY36" i="179"/>
  <c r="AU36" i="179"/>
  <c r="AQ36" i="179"/>
  <c r="AM36" i="179"/>
  <c r="AI36" i="179"/>
  <c r="AE36" i="179"/>
  <c r="AA36" i="179"/>
  <c r="W36" i="179"/>
  <c r="S36" i="179"/>
  <c r="O36" i="179"/>
  <c r="J36" i="179"/>
  <c r="BW35" i="179"/>
  <c r="BS35" i="179"/>
  <c r="BO35" i="179"/>
  <c r="BK35" i="179"/>
  <c r="BG35" i="179"/>
  <c r="BC35" i="179"/>
  <c r="AY35" i="179"/>
  <c r="AU35" i="179"/>
  <c r="AQ35" i="179"/>
  <c r="AM35" i="179"/>
  <c r="AI35" i="179"/>
  <c r="AE35" i="179"/>
  <c r="AA35" i="179"/>
  <c r="W35" i="179"/>
  <c r="S35" i="179"/>
  <c r="O35" i="179"/>
  <c r="J35" i="179"/>
  <c r="BW34" i="179"/>
  <c r="BS34" i="179"/>
  <c r="BO34" i="179"/>
  <c r="BK34" i="179"/>
  <c r="BG34" i="179"/>
  <c r="BC34" i="179"/>
  <c r="AY34" i="179"/>
  <c r="AU34" i="179"/>
  <c r="AQ34" i="179"/>
  <c r="AM34" i="179"/>
  <c r="AI34" i="179"/>
  <c r="AE34" i="179"/>
  <c r="AA34" i="179"/>
  <c r="W34" i="179"/>
  <c r="S34" i="179"/>
  <c r="O34" i="179"/>
  <c r="J34" i="179"/>
  <c r="BW33" i="179"/>
  <c r="BS33" i="179"/>
  <c r="BO33" i="179"/>
  <c r="BK33" i="179"/>
  <c r="BG33" i="179"/>
  <c r="BC33" i="179"/>
  <c r="AY33" i="179"/>
  <c r="AU33" i="179"/>
  <c r="AQ33" i="179"/>
  <c r="AM33" i="179"/>
  <c r="AI33" i="179"/>
  <c r="AE33" i="179"/>
  <c r="AA33" i="179"/>
  <c r="W33" i="179"/>
  <c r="S33" i="179"/>
  <c r="O33" i="179"/>
  <c r="J33" i="179"/>
  <c r="BW32" i="179"/>
  <c r="BS32" i="179"/>
  <c r="BO32" i="179"/>
  <c r="BK32" i="179"/>
  <c r="BG32" i="179"/>
  <c r="BC32" i="179"/>
  <c r="AY32" i="179"/>
  <c r="AU32" i="179"/>
  <c r="AQ32" i="179"/>
  <c r="AM32" i="179"/>
  <c r="AI32" i="179"/>
  <c r="AE32" i="179"/>
  <c r="AA32" i="179"/>
  <c r="W32" i="179"/>
  <c r="S32" i="179"/>
  <c r="O32" i="179"/>
  <c r="J32" i="179"/>
  <c r="BW31" i="179"/>
  <c r="BS31" i="179"/>
  <c r="BO31" i="179"/>
  <c r="BK31" i="179"/>
  <c r="BG31" i="179"/>
  <c r="BC31" i="179"/>
  <c r="AY31" i="179"/>
  <c r="AU31" i="179"/>
  <c r="AQ31" i="179"/>
  <c r="AM31" i="179"/>
  <c r="AI31" i="179"/>
  <c r="AE31" i="179"/>
  <c r="AA31" i="179"/>
  <c r="W31" i="179"/>
  <c r="S31" i="179"/>
  <c r="O31" i="179"/>
  <c r="J31" i="179"/>
  <c r="BW30" i="179"/>
  <c r="BS30" i="179"/>
  <c r="BO30" i="179"/>
  <c r="BK30" i="179"/>
  <c r="BG30" i="179"/>
  <c r="BC30" i="179"/>
  <c r="AY30" i="179"/>
  <c r="AU30" i="179"/>
  <c r="AQ30" i="179"/>
  <c r="AM30" i="179"/>
  <c r="AI30" i="179"/>
  <c r="AE30" i="179"/>
  <c r="AA30" i="179"/>
  <c r="W30" i="179"/>
  <c r="S30" i="179"/>
  <c r="O30" i="179"/>
  <c r="J30" i="179"/>
  <c r="BW29" i="179"/>
  <c r="BS29" i="179"/>
  <c r="BO29" i="179"/>
  <c r="BK29" i="179"/>
  <c r="BG29" i="179"/>
  <c r="BC29" i="179"/>
  <c r="AY29" i="179"/>
  <c r="AU29" i="179"/>
  <c r="AQ29" i="179"/>
  <c r="AM29" i="179"/>
  <c r="AI29" i="179"/>
  <c r="AE29" i="179"/>
  <c r="AA29" i="179"/>
  <c r="W29" i="179"/>
  <c r="S29" i="179"/>
  <c r="O29" i="179"/>
  <c r="J29" i="179"/>
  <c r="BW28" i="179"/>
  <c r="BS28" i="179"/>
  <c r="BO28" i="179"/>
  <c r="BK28" i="179"/>
  <c r="BG28" i="179"/>
  <c r="BC28" i="179"/>
  <c r="AY28" i="179"/>
  <c r="AU28" i="179"/>
  <c r="AQ28" i="179"/>
  <c r="AM28" i="179"/>
  <c r="AI28" i="179"/>
  <c r="AE28" i="179"/>
  <c r="AA28" i="179"/>
  <c r="W28" i="179"/>
  <c r="S28" i="179"/>
  <c r="O28" i="179"/>
  <c r="J28" i="179"/>
  <c r="BW27" i="179"/>
  <c r="BS27" i="179"/>
  <c r="BO27" i="179"/>
  <c r="BK27" i="179"/>
  <c r="BG27" i="179"/>
  <c r="BC27" i="179"/>
  <c r="AY27" i="179"/>
  <c r="AU27" i="179"/>
  <c r="AQ27" i="179"/>
  <c r="AM27" i="179"/>
  <c r="AI27" i="179"/>
  <c r="AE27" i="179"/>
  <c r="AA27" i="179"/>
  <c r="W27" i="179"/>
  <c r="S27" i="179"/>
  <c r="O27" i="179"/>
  <c r="J27" i="179"/>
  <c r="BW26" i="179"/>
  <c r="BS26" i="179"/>
  <c r="BO26" i="179"/>
  <c r="BK26" i="179"/>
  <c r="BG26" i="179"/>
  <c r="BC26" i="179"/>
  <c r="AY26" i="179"/>
  <c r="AU26" i="179"/>
  <c r="AQ26" i="179"/>
  <c r="AM26" i="179"/>
  <c r="AI26" i="179"/>
  <c r="AE26" i="179"/>
  <c r="AA26" i="179"/>
  <c r="W26" i="179"/>
  <c r="S26" i="179"/>
  <c r="O26" i="179"/>
  <c r="J26" i="179"/>
  <c r="BW25" i="179"/>
  <c r="BS25" i="179"/>
  <c r="BO25" i="179"/>
  <c r="BK25" i="179"/>
  <c r="BG25" i="179"/>
  <c r="BC25" i="179"/>
  <c r="AY25" i="179"/>
  <c r="AU25" i="179"/>
  <c r="AQ25" i="179"/>
  <c r="AM25" i="179"/>
  <c r="AI25" i="179"/>
  <c r="AE25" i="179"/>
  <c r="AA25" i="179"/>
  <c r="W25" i="179"/>
  <c r="S25" i="179"/>
  <c r="O25" i="179"/>
  <c r="J25" i="179"/>
  <c r="BW24" i="179"/>
  <c r="BS24" i="179"/>
  <c r="BO24" i="179"/>
  <c r="BK24" i="179"/>
  <c r="BG24" i="179"/>
  <c r="BC24" i="179"/>
  <c r="AY24" i="179"/>
  <c r="AU24" i="179"/>
  <c r="AQ24" i="179"/>
  <c r="AM24" i="179"/>
  <c r="AI24" i="179"/>
  <c r="AE24" i="179"/>
  <c r="AA24" i="179"/>
  <c r="W24" i="179"/>
  <c r="S24" i="179"/>
  <c r="O24" i="179"/>
  <c r="J24" i="179"/>
  <c r="BW23" i="179"/>
  <c r="BS23" i="179"/>
  <c r="BO23" i="179"/>
  <c r="BK23" i="179"/>
  <c r="BG23" i="179"/>
  <c r="BC23" i="179"/>
  <c r="AY23" i="179"/>
  <c r="AU23" i="179"/>
  <c r="AQ23" i="179"/>
  <c r="AM23" i="179"/>
  <c r="AI23" i="179"/>
  <c r="AE23" i="179"/>
  <c r="AA23" i="179"/>
  <c r="W23" i="179"/>
  <c r="S23" i="179"/>
  <c r="O23" i="179"/>
  <c r="J23" i="179"/>
  <c r="BW22" i="179"/>
  <c r="BS22" i="179"/>
  <c r="BO22" i="179"/>
  <c r="BK22" i="179"/>
  <c r="BG22" i="179"/>
  <c r="BC22" i="179"/>
  <c r="AY22" i="179"/>
  <c r="AU22" i="179"/>
  <c r="AQ22" i="179"/>
  <c r="AM22" i="179"/>
  <c r="AI22" i="179"/>
  <c r="AE22" i="179"/>
  <c r="AA22" i="179"/>
  <c r="W22" i="179"/>
  <c r="S22" i="179"/>
  <c r="O22" i="179"/>
  <c r="J22" i="179"/>
  <c r="BW21" i="179"/>
  <c r="BS21" i="179"/>
  <c r="BO21" i="179"/>
  <c r="BK21" i="179"/>
  <c r="BG21" i="179"/>
  <c r="BC21" i="179"/>
  <c r="AY21" i="179"/>
  <c r="AU21" i="179"/>
  <c r="AQ21" i="179"/>
  <c r="AM21" i="179"/>
  <c r="AI21" i="179"/>
  <c r="AE21" i="179"/>
  <c r="AA21" i="179"/>
  <c r="W21" i="179"/>
  <c r="S21" i="179"/>
  <c r="O21" i="179"/>
  <c r="J21" i="179"/>
  <c r="BW20" i="179"/>
  <c r="BS20" i="179"/>
  <c r="BO20" i="179"/>
  <c r="BK20" i="179"/>
  <c r="BG20" i="179"/>
  <c r="BC20" i="179"/>
  <c r="AY20" i="179"/>
  <c r="AU20" i="179"/>
  <c r="AQ20" i="179"/>
  <c r="AM20" i="179"/>
  <c r="AI20" i="179"/>
  <c r="AE20" i="179"/>
  <c r="AA20" i="179"/>
  <c r="W20" i="179"/>
  <c r="S20" i="179"/>
  <c r="O20" i="179"/>
  <c r="J20" i="179"/>
  <c r="BW19" i="179"/>
  <c r="BS19" i="179"/>
  <c r="BO19" i="179"/>
  <c r="BK19" i="179"/>
  <c r="BG19" i="179"/>
  <c r="BC19" i="179"/>
  <c r="AY19" i="179"/>
  <c r="AU19" i="179"/>
  <c r="AQ19" i="179"/>
  <c r="AM19" i="179"/>
  <c r="AI19" i="179"/>
  <c r="AE19" i="179"/>
  <c r="AA19" i="179"/>
  <c r="W19" i="179"/>
  <c r="S19" i="179"/>
  <c r="O19" i="179"/>
  <c r="J19" i="179"/>
  <c r="BW18" i="179"/>
  <c r="BS18" i="179"/>
  <c r="BO18" i="179"/>
  <c r="BK18" i="179"/>
  <c r="BG18" i="179"/>
  <c r="BC18" i="179"/>
  <c r="AY18" i="179"/>
  <c r="AU18" i="179"/>
  <c r="AQ18" i="179"/>
  <c r="AM18" i="179"/>
  <c r="AI18" i="179"/>
  <c r="AE18" i="179"/>
  <c r="AA18" i="179"/>
  <c r="W18" i="179"/>
  <c r="S18" i="179"/>
  <c r="O18" i="179"/>
  <c r="J18" i="179"/>
  <c r="BW17" i="179"/>
  <c r="BS17" i="179"/>
  <c r="BO17" i="179"/>
  <c r="BK17" i="179"/>
  <c r="BG17" i="179"/>
  <c r="BC17" i="179"/>
  <c r="AY17" i="179"/>
  <c r="AU17" i="179"/>
  <c r="AQ17" i="179"/>
  <c r="AM17" i="179"/>
  <c r="AI17" i="179"/>
  <c r="AE17" i="179"/>
  <c r="AA17" i="179"/>
  <c r="W17" i="179"/>
  <c r="S17" i="179"/>
  <c r="O17" i="179"/>
  <c r="J17" i="179"/>
  <c r="BW16" i="179"/>
  <c r="BS16" i="179"/>
  <c r="BO16" i="179"/>
  <c r="BK16" i="179"/>
  <c r="BG16" i="179"/>
  <c r="BC16" i="179"/>
  <c r="AY16" i="179"/>
  <c r="AU16" i="179"/>
  <c r="AQ16" i="179"/>
  <c r="AM16" i="179"/>
  <c r="AI16" i="179"/>
  <c r="AE16" i="179"/>
  <c r="AA16" i="179"/>
  <c r="W16" i="179"/>
  <c r="S16" i="179"/>
  <c r="O16" i="179"/>
  <c r="J16" i="179"/>
  <c r="BW15" i="179"/>
  <c r="BS15" i="179"/>
  <c r="BO15" i="179"/>
  <c r="BK15" i="179"/>
  <c r="BG15" i="179"/>
  <c r="BC15" i="179"/>
  <c r="AY15" i="179"/>
  <c r="AU15" i="179"/>
  <c r="AQ15" i="179"/>
  <c r="AM15" i="179"/>
  <c r="AI15" i="179"/>
  <c r="AE15" i="179"/>
  <c r="AA15" i="179"/>
  <c r="W15" i="179"/>
  <c r="S15" i="179"/>
  <c r="O15" i="179"/>
  <c r="J15" i="179"/>
  <c r="BW14" i="179"/>
  <c r="BS14" i="179"/>
  <c r="BO14" i="179"/>
  <c r="BK14" i="179"/>
  <c r="BG14" i="179"/>
  <c r="BC14" i="179"/>
  <c r="AY14" i="179"/>
  <c r="AU14" i="179"/>
  <c r="AQ14" i="179"/>
  <c r="AM14" i="179"/>
  <c r="AI14" i="179"/>
  <c r="AE14" i="179"/>
  <c r="AA14" i="179"/>
  <c r="W14" i="179"/>
  <c r="S14" i="179"/>
  <c r="O14" i="179"/>
  <c r="J14" i="179"/>
  <c r="BW13" i="179"/>
  <c r="BS13" i="179"/>
  <c r="BO13" i="179"/>
  <c r="BK13" i="179"/>
  <c r="BG13" i="179"/>
  <c r="BC13" i="179"/>
  <c r="AY13" i="179"/>
  <c r="AU13" i="179"/>
  <c r="AQ13" i="179"/>
  <c r="AM13" i="179"/>
  <c r="AI13" i="179"/>
  <c r="AE13" i="179"/>
  <c r="AA13" i="179"/>
  <c r="W13" i="179"/>
  <c r="S13" i="179"/>
  <c r="O13" i="179"/>
  <c r="J13" i="179"/>
  <c r="BW12" i="179"/>
  <c r="BS12" i="179"/>
  <c r="BO12" i="179"/>
  <c r="BK12" i="179"/>
  <c r="BG12" i="179"/>
  <c r="BC12" i="179"/>
  <c r="AY12" i="179"/>
  <c r="AU12" i="179"/>
  <c r="AQ12" i="179"/>
  <c r="AM12" i="179"/>
  <c r="AI12" i="179"/>
  <c r="AE12" i="179"/>
  <c r="AA12" i="179"/>
  <c r="W12" i="179"/>
  <c r="S12" i="179"/>
  <c r="O12" i="179"/>
  <c r="J12" i="179"/>
  <c r="BW11" i="179"/>
  <c r="BS11" i="179"/>
  <c r="BO11" i="179"/>
  <c r="BK11" i="179"/>
  <c r="BG11" i="179"/>
  <c r="BC11" i="179"/>
  <c r="AY11" i="179"/>
  <c r="AU11" i="179"/>
  <c r="AQ11" i="179"/>
  <c r="AM11" i="179"/>
  <c r="AI11" i="179"/>
  <c r="AE11" i="179"/>
  <c r="AA11" i="179"/>
  <c r="W11" i="179"/>
  <c r="S11" i="179"/>
  <c r="O11" i="179"/>
  <c r="J11" i="179"/>
  <c r="BW10" i="179"/>
  <c r="BS10" i="179"/>
  <c r="BO10" i="179"/>
  <c r="BK10" i="179"/>
  <c r="BG10" i="179"/>
  <c r="BC10" i="179"/>
  <c r="AY10" i="179"/>
  <c r="AU10" i="179"/>
  <c r="AQ10" i="179"/>
  <c r="AM10" i="179"/>
  <c r="AI10" i="179"/>
  <c r="AE10" i="179"/>
  <c r="AA10" i="179"/>
  <c r="W10" i="179"/>
  <c r="S10" i="179"/>
  <c r="O10" i="179"/>
  <c r="J10" i="179"/>
  <c r="BW9" i="179"/>
  <c r="BS9" i="179"/>
  <c r="BO9" i="179"/>
  <c r="BK9" i="179"/>
  <c r="BG9" i="179"/>
  <c r="BC9" i="179"/>
  <c r="AY9" i="179"/>
  <c r="AU9" i="179"/>
  <c r="AQ9" i="179"/>
  <c r="AM9" i="179"/>
  <c r="AI9" i="179"/>
  <c r="AE9" i="179"/>
  <c r="AA9" i="179"/>
  <c r="W9" i="179"/>
  <c r="S9" i="179"/>
  <c r="O9" i="179"/>
  <c r="J9" i="179"/>
  <c r="BW8" i="179"/>
  <c r="BS8" i="179"/>
  <c r="BO8" i="179"/>
  <c r="BK8" i="179"/>
  <c r="BG8" i="179"/>
  <c r="BC8" i="179"/>
  <c r="AY8" i="179"/>
  <c r="AU8" i="179"/>
  <c r="AQ8" i="179"/>
  <c r="AM8" i="179"/>
  <c r="AI8" i="179"/>
  <c r="AE8" i="179"/>
  <c r="AA8" i="179"/>
  <c r="W8" i="179"/>
  <c r="S8" i="179"/>
  <c r="O8" i="179"/>
  <c r="J8" i="179"/>
  <c r="BW7" i="179"/>
  <c r="BS7" i="179"/>
  <c r="BO7" i="179"/>
  <c r="BK7" i="179"/>
  <c r="BG7" i="179"/>
  <c r="BC7" i="179"/>
  <c r="AY7" i="179"/>
  <c r="AU7" i="179"/>
  <c r="AQ7" i="179"/>
  <c r="AM7" i="179"/>
  <c r="AI7" i="179"/>
  <c r="AE7" i="179"/>
  <c r="AA7" i="179"/>
  <c r="W7" i="179"/>
  <c r="S7" i="179"/>
  <c r="O7" i="179"/>
  <c r="J7" i="179"/>
  <c r="BN6" i="179"/>
  <c r="BO6" i="179" s="1"/>
  <c r="BD6" i="179"/>
  <c r="AK6" i="179"/>
  <c r="AF6" i="179"/>
  <c r="AC6" i="179"/>
  <c r="S6" i="179"/>
  <c r="R6" i="179"/>
  <c r="BD5" i="179"/>
  <c r="AV5" i="179"/>
  <c r="AN5" i="179"/>
  <c r="BT4" i="179"/>
  <c r="BS4" i="179"/>
  <c r="BT5" i="179" s="1"/>
  <c r="BP4" i="179"/>
  <c r="BO4" i="179"/>
  <c r="BR6" i="179" s="1"/>
  <c r="BS6" i="179" s="1"/>
  <c r="BK4" i="179"/>
  <c r="BL5" i="179" s="1"/>
  <c r="BH4" i="179"/>
  <c r="BG4" i="179"/>
  <c r="BH5" i="179" s="1"/>
  <c r="BC4" i="179"/>
  <c r="BD4" i="179" s="1"/>
  <c r="AY4" i="179"/>
  <c r="AZ4" i="179" s="1"/>
  <c r="AV4" i="179"/>
  <c r="AU4" i="179"/>
  <c r="AX6" i="179" s="1"/>
  <c r="AY6" i="179" s="1"/>
  <c r="AR4" i="179"/>
  <c r="AQ4" i="179"/>
  <c r="AT6" i="179" s="1"/>
  <c r="AU6" i="179" s="1"/>
  <c r="AN4" i="179"/>
  <c r="AM4" i="179"/>
  <c r="AN6" i="179" s="1"/>
  <c r="AI4" i="179"/>
  <c r="AL6" i="179" s="1"/>
  <c r="AM6" i="179" s="1"/>
  <c r="AE4" i="179"/>
  <c r="AF4" i="179" s="1"/>
  <c r="AA4" i="179"/>
  <c r="AB4" i="179" s="1"/>
  <c r="W4" i="179"/>
  <c r="X5" i="179" s="1"/>
  <c r="T4" i="179"/>
  <c r="S4" i="179"/>
  <c r="V6" i="179" s="1"/>
  <c r="W6" i="179" s="1"/>
  <c r="P4" i="179"/>
  <c r="O4" i="179"/>
  <c r="P5" i="179" s="1"/>
  <c r="L4" i="179"/>
  <c r="K4" i="179"/>
  <c r="L5" i="179" s="1"/>
  <c r="J4" i="179"/>
  <c r="E4" i="179"/>
  <c r="BT3" i="179"/>
  <c r="BP3" i="179"/>
  <c r="BL3" i="179"/>
  <c r="BH3" i="179"/>
  <c r="BD3" i="179"/>
  <c r="AZ3" i="179"/>
  <c r="AV3" i="179"/>
  <c r="AR3" i="179"/>
  <c r="AN3" i="179"/>
  <c r="AJ3" i="179"/>
  <c r="AF3" i="179"/>
  <c r="AB3" i="179"/>
  <c r="X3" i="179"/>
  <c r="T3" i="179"/>
  <c r="P3" i="179"/>
  <c r="L3" i="179"/>
  <c r="J3" i="179"/>
  <c r="J2" i="179"/>
  <c r="F1" i="179"/>
  <c r="BW82" i="178"/>
  <c r="BS82" i="178"/>
  <c r="BO82" i="178"/>
  <c r="BK82" i="178"/>
  <c r="BG82" i="178"/>
  <c r="BC82" i="178"/>
  <c r="AY82" i="178"/>
  <c r="AU82" i="178"/>
  <c r="AQ82" i="178"/>
  <c r="AM82" i="178"/>
  <c r="AI82" i="178"/>
  <c r="AE82" i="178"/>
  <c r="AA82" i="178"/>
  <c r="W82" i="178"/>
  <c r="S82" i="178"/>
  <c r="O82" i="178"/>
  <c r="J82" i="178"/>
  <c r="BW81" i="178"/>
  <c r="BS81" i="178"/>
  <c r="BO81" i="178"/>
  <c r="BK81" i="178"/>
  <c r="BG81" i="178"/>
  <c r="BC81" i="178"/>
  <c r="AY81" i="178"/>
  <c r="AU81" i="178"/>
  <c r="AQ81" i="178"/>
  <c r="AM81" i="178"/>
  <c r="AI81" i="178"/>
  <c r="AE81" i="178"/>
  <c r="AA81" i="178"/>
  <c r="W81" i="178"/>
  <c r="S81" i="178"/>
  <c r="O81" i="178"/>
  <c r="J81" i="178"/>
  <c r="BW80" i="178"/>
  <c r="BS80" i="178"/>
  <c r="BO80" i="178"/>
  <c r="BK80" i="178"/>
  <c r="BG80" i="178"/>
  <c r="BC80" i="178"/>
  <c r="AY80" i="178"/>
  <c r="AU80" i="178"/>
  <c r="AQ80" i="178"/>
  <c r="AM80" i="178"/>
  <c r="AI80" i="178"/>
  <c r="AE80" i="178"/>
  <c r="AA80" i="178"/>
  <c r="W80" i="178"/>
  <c r="S80" i="178"/>
  <c r="O80" i="178"/>
  <c r="J80" i="178"/>
  <c r="BW79" i="178"/>
  <c r="BS79" i="178"/>
  <c r="BO79" i="178"/>
  <c r="BK79" i="178"/>
  <c r="BG79" i="178"/>
  <c r="BC79" i="178"/>
  <c r="AY79" i="178"/>
  <c r="AU79" i="178"/>
  <c r="AQ79" i="178"/>
  <c r="AM79" i="178"/>
  <c r="AI79" i="178"/>
  <c r="AE79" i="178"/>
  <c r="AA79" i="178"/>
  <c r="W79" i="178"/>
  <c r="S79" i="178"/>
  <c r="O79" i="178"/>
  <c r="J79" i="178"/>
  <c r="BW78" i="178"/>
  <c r="BS78" i="178"/>
  <c r="BO78" i="178"/>
  <c r="BK78" i="178"/>
  <c r="BG78" i="178"/>
  <c r="BC78" i="178"/>
  <c r="AY78" i="178"/>
  <c r="AU78" i="178"/>
  <c r="AQ78" i="178"/>
  <c r="AM78" i="178"/>
  <c r="AI78" i="178"/>
  <c r="AE78" i="178"/>
  <c r="AA78" i="178"/>
  <c r="W78" i="178"/>
  <c r="S78" i="178"/>
  <c r="O78" i="178"/>
  <c r="J78" i="178"/>
  <c r="BW77" i="178"/>
  <c r="BS77" i="178"/>
  <c r="BO77" i="178"/>
  <c r="BK77" i="178"/>
  <c r="BG77" i="178"/>
  <c r="BC77" i="178"/>
  <c r="AY77" i="178"/>
  <c r="AU77" i="178"/>
  <c r="AQ77" i="178"/>
  <c r="AM77" i="178"/>
  <c r="AI77" i="178"/>
  <c r="AE77" i="178"/>
  <c r="AA77" i="178"/>
  <c r="W77" i="178"/>
  <c r="S77" i="178"/>
  <c r="O77" i="178"/>
  <c r="J77" i="178"/>
  <c r="BW76" i="178"/>
  <c r="BS76" i="178"/>
  <c r="BO76" i="178"/>
  <c r="BK76" i="178"/>
  <c r="BG76" i="178"/>
  <c r="BC76" i="178"/>
  <c r="AY76" i="178"/>
  <c r="AU76" i="178"/>
  <c r="AQ76" i="178"/>
  <c r="AM76" i="178"/>
  <c r="AI76" i="178"/>
  <c r="AE76" i="178"/>
  <c r="AA76" i="178"/>
  <c r="W76" i="178"/>
  <c r="S76" i="178"/>
  <c r="O76" i="178"/>
  <c r="J76" i="178"/>
  <c r="BW75" i="178"/>
  <c r="BS75" i="178"/>
  <c r="BO75" i="178"/>
  <c r="BK75" i="178"/>
  <c r="BG75" i="178"/>
  <c r="BC75" i="178"/>
  <c r="AY75" i="178"/>
  <c r="AU75" i="178"/>
  <c r="AQ75" i="178"/>
  <c r="AM75" i="178"/>
  <c r="AI75" i="178"/>
  <c r="AE75" i="178"/>
  <c r="AA75" i="178"/>
  <c r="W75" i="178"/>
  <c r="S75" i="178"/>
  <c r="O75" i="178"/>
  <c r="J75" i="178"/>
  <c r="BW74" i="178"/>
  <c r="BS74" i="178"/>
  <c r="BO74" i="178"/>
  <c r="BK74" i="178"/>
  <c r="BG74" i="178"/>
  <c r="BC74" i="178"/>
  <c r="AY74" i="178"/>
  <c r="AU74" i="178"/>
  <c r="AQ74" i="178"/>
  <c r="AM74" i="178"/>
  <c r="AI74" i="178"/>
  <c r="AE74" i="178"/>
  <c r="AA74" i="178"/>
  <c r="W74" i="178"/>
  <c r="S74" i="178"/>
  <c r="O74" i="178"/>
  <c r="J74" i="178"/>
  <c r="BW73" i="178"/>
  <c r="BS73" i="178"/>
  <c r="BO73" i="178"/>
  <c r="BK73" i="178"/>
  <c r="BG73" i="178"/>
  <c r="BC73" i="178"/>
  <c r="AY73" i="178"/>
  <c r="AU73" i="178"/>
  <c r="AQ73" i="178"/>
  <c r="AM73" i="178"/>
  <c r="AI73" i="178"/>
  <c r="AE73" i="178"/>
  <c r="AA73" i="178"/>
  <c r="W73" i="178"/>
  <c r="S73" i="178"/>
  <c r="O73" i="178"/>
  <c r="J73" i="178"/>
  <c r="BW72" i="178"/>
  <c r="BS72" i="178"/>
  <c r="BO72" i="178"/>
  <c r="BK72" i="178"/>
  <c r="BG72" i="178"/>
  <c r="BC72" i="178"/>
  <c r="AY72" i="178"/>
  <c r="AU72" i="178"/>
  <c r="AQ72" i="178"/>
  <c r="AM72" i="178"/>
  <c r="AI72" i="178"/>
  <c r="AE72" i="178"/>
  <c r="AA72" i="178"/>
  <c r="W72" i="178"/>
  <c r="S72" i="178"/>
  <c r="O72" i="178"/>
  <c r="J72" i="178"/>
  <c r="BW71" i="178"/>
  <c r="BS71" i="178"/>
  <c r="BO71" i="178"/>
  <c r="BK71" i="178"/>
  <c r="BG71" i="178"/>
  <c r="BC71" i="178"/>
  <c r="AY71" i="178"/>
  <c r="AU71" i="178"/>
  <c r="AQ71" i="178"/>
  <c r="AM71" i="178"/>
  <c r="AI71" i="178"/>
  <c r="AE71" i="178"/>
  <c r="AA71" i="178"/>
  <c r="W71" i="178"/>
  <c r="S71" i="178"/>
  <c r="O71" i="178"/>
  <c r="J71" i="178"/>
  <c r="BW70" i="178"/>
  <c r="BS70" i="178"/>
  <c r="BO70" i="178"/>
  <c r="BK70" i="178"/>
  <c r="BG70" i="178"/>
  <c r="BC70" i="178"/>
  <c r="AY70" i="178"/>
  <c r="AU70" i="178"/>
  <c r="AQ70" i="178"/>
  <c r="AM70" i="178"/>
  <c r="AI70" i="178"/>
  <c r="AE70" i="178"/>
  <c r="AA70" i="178"/>
  <c r="W70" i="178"/>
  <c r="S70" i="178"/>
  <c r="O70" i="178"/>
  <c r="J70" i="178"/>
  <c r="BW69" i="178"/>
  <c r="BS69" i="178"/>
  <c r="BO69" i="178"/>
  <c r="BK69" i="178"/>
  <c r="BG69" i="178"/>
  <c r="BC69" i="178"/>
  <c r="AY69" i="178"/>
  <c r="AU69" i="178"/>
  <c r="AQ69" i="178"/>
  <c r="AM69" i="178"/>
  <c r="AI69" i="178"/>
  <c r="AE69" i="178"/>
  <c r="AA69" i="178"/>
  <c r="W69" i="178"/>
  <c r="S69" i="178"/>
  <c r="O69" i="178"/>
  <c r="J69" i="178"/>
  <c r="BW68" i="178"/>
  <c r="BS68" i="178"/>
  <c r="BO68" i="178"/>
  <c r="BK68" i="178"/>
  <c r="BG68" i="178"/>
  <c r="BC68" i="178"/>
  <c r="AY68" i="178"/>
  <c r="AU68" i="178"/>
  <c r="AQ68" i="178"/>
  <c r="AM68" i="178"/>
  <c r="AI68" i="178"/>
  <c r="AE68" i="178"/>
  <c r="AA68" i="178"/>
  <c r="W68" i="178"/>
  <c r="S68" i="178"/>
  <c r="O68" i="178"/>
  <c r="J68" i="178"/>
  <c r="BW67" i="178"/>
  <c r="BS67" i="178"/>
  <c r="BO67" i="178"/>
  <c r="BK67" i="178"/>
  <c r="BG67" i="178"/>
  <c r="BC67" i="178"/>
  <c r="AY67" i="178"/>
  <c r="AU67" i="178"/>
  <c r="AQ67" i="178"/>
  <c r="AM67" i="178"/>
  <c r="AI67" i="178"/>
  <c r="AE67" i="178"/>
  <c r="AA67" i="178"/>
  <c r="W67" i="178"/>
  <c r="S67" i="178"/>
  <c r="O67" i="178"/>
  <c r="J67" i="178"/>
  <c r="BW66" i="178"/>
  <c r="BS66" i="178"/>
  <c r="BO66" i="178"/>
  <c r="BK66" i="178"/>
  <c r="BG66" i="178"/>
  <c r="BC66" i="178"/>
  <c r="AY66" i="178"/>
  <c r="AU66" i="178"/>
  <c r="AQ66" i="178"/>
  <c r="AM66" i="178"/>
  <c r="AI66" i="178"/>
  <c r="AE66" i="178"/>
  <c r="AA66" i="178"/>
  <c r="W66" i="178"/>
  <c r="S66" i="178"/>
  <c r="O66" i="178"/>
  <c r="J66" i="178"/>
  <c r="BW65" i="178"/>
  <c r="BS65" i="178"/>
  <c r="BO65" i="178"/>
  <c r="BK65" i="178"/>
  <c r="BG65" i="178"/>
  <c r="BC65" i="178"/>
  <c r="AY65" i="178"/>
  <c r="AU65" i="178"/>
  <c r="AQ65" i="178"/>
  <c r="AM65" i="178"/>
  <c r="AI65" i="178"/>
  <c r="AE65" i="178"/>
  <c r="AA65" i="178"/>
  <c r="W65" i="178"/>
  <c r="S65" i="178"/>
  <c r="O65" i="178"/>
  <c r="J65" i="178"/>
  <c r="BW64" i="178"/>
  <c r="BS64" i="178"/>
  <c r="BO64" i="178"/>
  <c r="BK64" i="178"/>
  <c r="BG64" i="178"/>
  <c r="BC64" i="178"/>
  <c r="AY64" i="178"/>
  <c r="AU64" i="178"/>
  <c r="AQ64" i="178"/>
  <c r="AM64" i="178"/>
  <c r="AI64" i="178"/>
  <c r="AE64" i="178"/>
  <c r="AA64" i="178"/>
  <c r="W64" i="178"/>
  <c r="S64" i="178"/>
  <c r="O64" i="178"/>
  <c r="J64" i="178"/>
  <c r="BW63" i="178"/>
  <c r="BS63" i="178"/>
  <c r="BO63" i="178"/>
  <c r="BK63" i="178"/>
  <c r="BG63" i="178"/>
  <c r="BC63" i="178"/>
  <c r="AY63" i="178"/>
  <c r="AU63" i="178"/>
  <c r="AQ63" i="178"/>
  <c r="AM63" i="178"/>
  <c r="AI63" i="178"/>
  <c r="AE63" i="178"/>
  <c r="AA63" i="178"/>
  <c r="W63" i="178"/>
  <c r="S63" i="178"/>
  <c r="O63" i="178"/>
  <c r="J63" i="178"/>
  <c r="BW62" i="178"/>
  <c r="BS62" i="178"/>
  <c r="BO62" i="178"/>
  <c r="BK62" i="178"/>
  <c r="BG62" i="178"/>
  <c r="BC62" i="178"/>
  <c r="AY62" i="178"/>
  <c r="AU62" i="178"/>
  <c r="AQ62" i="178"/>
  <c r="AM62" i="178"/>
  <c r="AI62" i="178"/>
  <c r="AE62" i="178"/>
  <c r="AA62" i="178"/>
  <c r="W62" i="178"/>
  <c r="S62" i="178"/>
  <c r="O62" i="178"/>
  <c r="J62" i="178"/>
  <c r="BW61" i="178"/>
  <c r="BS61" i="178"/>
  <c r="BO61" i="178"/>
  <c r="BK61" i="178"/>
  <c r="BG61" i="178"/>
  <c r="BC61" i="178"/>
  <c r="AY61" i="178"/>
  <c r="AU61" i="178"/>
  <c r="AQ61" i="178"/>
  <c r="AM61" i="178"/>
  <c r="AI61" i="178"/>
  <c r="AE61" i="178"/>
  <c r="AA61" i="178"/>
  <c r="W61" i="178"/>
  <c r="S61" i="178"/>
  <c r="O61" i="178"/>
  <c r="J61" i="178"/>
  <c r="BW60" i="178"/>
  <c r="BS60" i="178"/>
  <c r="BO60" i="178"/>
  <c r="BK60" i="178"/>
  <c r="BG60" i="178"/>
  <c r="BC60" i="178"/>
  <c r="AY60" i="178"/>
  <c r="AU60" i="178"/>
  <c r="AQ60" i="178"/>
  <c r="AM60" i="178"/>
  <c r="AI60" i="178"/>
  <c r="AE60" i="178"/>
  <c r="AA60" i="178"/>
  <c r="W60" i="178"/>
  <c r="S60" i="178"/>
  <c r="O60" i="178"/>
  <c r="J60" i="178"/>
  <c r="BW59" i="178"/>
  <c r="BS59" i="178"/>
  <c r="BO59" i="178"/>
  <c r="BK59" i="178"/>
  <c r="BG59" i="178"/>
  <c r="BC59" i="178"/>
  <c r="AY59" i="178"/>
  <c r="AU59" i="178"/>
  <c r="AQ59" i="178"/>
  <c r="AM59" i="178"/>
  <c r="AI59" i="178"/>
  <c r="AE59" i="178"/>
  <c r="AA59" i="178"/>
  <c r="W59" i="178"/>
  <c r="S59" i="178"/>
  <c r="O59" i="178"/>
  <c r="J59" i="178"/>
  <c r="BW58" i="178"/>
  <c r="BS58" i="178"/>
  <c r="BO58" i="178"/>
  <c r="BK58" i="178"/>
  <c r="BG58" i="178"/>
  <c r="BC58" i="178"/>
  <c r="AY58" i="178"/>
  <c r="AU58" i="178"/>
  <c r="AQ58" i="178"/>
  <c r="AM58" i="178"/>
  <c r="AI58" i="178"/>
  <c r="AE58" i="178"/>
  <c r="AA58" i="178"/>
  <c r="W58" i="178"/>
  <c r="S58" i="178"/>
  <c r="O58" i="178"/>
  <c r="J58" i="178"/>
  <c r="BW57" i="178"/>
  <c r="BS57" i="178"/>
  <c r="BO57" i="178"/>
  <c r="BK57" i="178"/>
  <c r="BG57" i="178"/>
  <c r="BC57" i="178"/>
  <c r="AY57" i="178"/>
  <c r="AU57" i="178"/>
  <c r="AQ57" i="178"/>
  <c r="AM57" i="178"/>
  <c r="AI57" i="178"/>
  <c r="AE57" i="178"/>
  <c r="AA57" i="178"/>
  <c r="W57" i="178"/>
  <c r="S57" i="178"/>
  <c r="O57" i="178"/>
  <c r="J57" i="178"/>
  <c r="BW56" i="178"/>
  <c r="BS56" i="178"/>
  <c r="BO56" i="178"/>
  <c r="BK56" i="178"/>
  <c r="BG56" i="178"/>
  <c r="BC56" i="178"/>
  <c r="AY56" i="178"/>
  <c r="AU56" i="178"/>
  <c r="AQ56" i="178"/>
  <c r="AM56" i="178"/>
  <c r="AI56" i="178"/>
  <c r="AE56" i="178"/>
  <c r="AA56" i="178"/>
  <c r="W56" i="178"/>
  <c r="S56" i="178"/>
  <c r="O56" i="178"/>
  <c r="J56" i="178"/>
  <c r="BW55" i="178"/>
  <c r="BS55" i="178"/>
  <c r="BO55" i="178"/>
  <c r="BK55" i="178"/>
  <c r="BG55" i="178"/>
  <c r="BC55" i="178"/>
  <c r="AY55" i="178"/>
  <c r="AU55" i="178"/>
  <c r="AQ55" i="178"/>
  <c r="AM55" i="178"/>
  <c r="AI55" i="178"/>
  <c r="AE55" i="178"/>
  <c r="AA55" i="178"/>
  <c r="W55" i="178"/>
  <c r="S55" i="178"/>
  <c r="O55" i="178"/>
  <c r="J55" i="178"/>
  <c r="BW54" i="178"/>
  <c r="BS54" i="178"/>
  <c r="BO54" i="178"/>
  <c r="BK54" i="178"/>
  <c r="BG54" i="178"/>
  <c r="BC54" i="178"/>
  <c r="AY54" i="178"/>
  <c r="AU54" i="178"/>
  <c r="AQ54" i="178"/>
  <c r="AM54" i="178"/>
  <c r="AI54" i="178"/>
  <c r="AE54" i="178"/>
  <c r="AA54" i="178"/>
  <c r="W54" i="178"/>
  <c r="S54" i="178"/>
  <c r="O54" i="178"/>
  <c r="J54" i="178"/>
  <c r="BW53" i="178"/>
  <c r="BS53" i="178"/>
  <c r="BO53" i="178"/>
  <c r="BK53" i="178"/>
  <c r="BG53" i="178"/>
  <c r="BC53" i="178"/>
  <c r="AY53" i="178"/>
  <c r="AU53" i="178"/>
  <c r="AQ53" i="178"/>
  <c r="AM53" i="178"/>
  <c r="AI53" i="178"/>
  <c r="AE53" i="178"/>
  <c r="AA53" i="178"/>
  <c r="W53" i="178"/>
  <c r="S53" i="178"/>
  <c r="O53" i="178"/>
  <c r="J53" i="178"/>
  <c r="BW52" i="178"/>
  <c r="BS52" i="178"/>
  <c r="BO52" i="178"/>
  <c r="BK52" i="178"/>
  <c r="BG52" i="178"/>
  <c r="BC52" i="178"/>
  <c r="AY52" i="178"/>
  <c r="AU52" i="178"/>
  <c r="AQ52" i="178"/>
  <c r="AM52" i="178"/>
  <c r="AI52" i="178"/>
  <c r="AE52" i="178"/>
  <c r="AA52" i="178"/>
  <c r="W52" i="178"/>
  <c r="S52" i="178"/>
  <c r="O52" i="178"/>
  <c r="J52" i="178"/>
  <c r="BW51" i="178"/>
  <c r="BS51" i="178"/>
  <c r="BO51" i="178"/>
  <c r="BK51" i="178"/>
  <c r="BG51" i="178"/>
  <c r="BC51" i="178"/>
  <c r="AY51" i="178"/>
  <c r="AU51" i="178"/>
  <c r="AQ51" i="178"/>
  <c r="AM51" i="178"/>
  <c r="AI51" i="178"/>
  <c r="AE51" i="178"/>
  <c r="AA51" i="178"/>
  <c r="W51" i="178"/>
  <c r="S51" i="178"/>
  <c r="O51" i="178"/>
  <c r="J51" i="178"/>
  <c r="BW50" i="178"/>
  <c r="BS50" i="178"/>
  <c r="BO50" i="178"/>
  <c r="BK50" i="178"/>
  <c r="BG50" i="178"/>
  <c r="BC50" i="178"/>
  <c r="AY50" i="178"/>
  <c r="AU50" i="178"/>
  <c r="AQ50" i="178"/>
  <c r="AM50" i="178"/>
  <c r="AI50" i="178"/>
  <c r="AE50" i="178"/>
  <c r="AA50" i="178"/>
  <c r="W50" i="178"/>
  <c r="S50" i="178"/>
  <c r="O50" i="178"/>
  <c r="J50" i="178"/>
  <c r="BW49" i="178"/>
  <c r="BS49" i="178"/>
  <c r="BO49" i="178"/>
  <c r="BK49" i="178"/>
  <c r="BG49" i="178"/>
  <c r="BC49" i="178"/>
  <c r="AY49" i="178"/>
  <c r="AU49" i="178"/>
  <c r="AQ49" i="178"/>
  <c r="AM49" i="178"/>
  <c r="AI49" i="178"/>
  <c r="AE49" i="178"/>
  <c r="AA49" i="178"/>
  <c r="W49" i="178"/>
  <c r="S49" i="178"/>
  <c r="O49" i="178"/>
  <c r="J49" i="178"/>
  <c r="BW48" i="178"/>
  <c r="BS48" i="178"/>
  <c r="BO48" i="178"/>
  <c r="BK48" i="178"/>
  <c r="BG48" i="178"/>
  <c r="BC48" i="178"/>
  <c r="AY48" i="178"/>
  <c r="AU48" i="178"/>
  <c r="AQ48" i="178"/>
  <c r="AM48" i="178"/>
  <c r="AI48" i="178"/>
  <c r="AE48" i="178"/>
  <c r="AA48" i="178"/>
  <c r="W48" i="178"/>
  <c r="S48" i="178"/>
  <c r="O48" i="178"/>
  <c r="J48" i="178"/>
  <c r="BW47" i="178"/>
  <c r="BS47" i="178"/>
  <c r="BO47" i="178"/>
  <c r="BK47" i="178"/>
  <c r="BG47" i="178"/>
  <c r="BC47" i="178"/>
  <c r="AY47" i="178"/>
  <c r="AU47" i="178"/>
  <c r="AQ47" i="178"/>
  <c r="AM47" i="178"/>
  <c r="AI47" i="178"/>
  <c r="AE47" i="178"/>
  <c r="AA47" i="178"/>
  <c r="W47" i="178"/>
  <c r="S47" i="178"/>
  <c r="O47" i="178"/>
  <c r="J47" i="178"/>
  <c r="BW46" i="178"/>
  <c r="BS46" i="178"/>
  <c r="BO46" i="178"/>
  <c r="BK46" i="178"/>
  <c r="BG46" i="178"/>
  <c r="BC46" i="178"/>
  <c r="AY46" i="178"/>
  <c r="AU46" i="178"/>
  <c r="AQ46" i="178"/>
  <c r="AM46" i="178"/>
  <c r="AI46" i="178"/>
  <c r="AE46" i="178"/>
  <c r="AA46" i="178"/>
  <c r="W46" i="178"/>
  <c r="S46" i="178"/>
  <c r="O46" i="178"/>
  <c r="J46" i="178"/>
  <c r="BW45" i="178"/>
  <c r="BS45" i="178"/>
  <c r="BO45" i="178"/>
  <c r="BK45" i="178"/>
  <c r="BG45" i="178"/>
  <c r="BC45" i="178"/>
  <c r="AY45" i="178"/>
  <c r="AU45" i="178"/>
  <c r="AQ45" i="178"/>
  <c r="AM45" i="178"/>
  <c r="AI45" i="178"/>
  <c r="AE45" i="178"/>
  <c r="AA45" i="178"/>
  <c r="W45" i="178"/>
  <c r="S45" i="178"/>
  <c r="O45" i="178"/>
  <c r="J45" i="178"/>
  <c r="BW44" i="178"/>
  <c r="BS44" i="178"/>
  <c r="BO44" i="178"/>
  <c r="BK44" i="178"/>
  <c r="BG44" i="178"/>
  <c r="BC44" i="178"/>
  <c r="AY44" i="178"/>
  <c r="AU44" i="178"/>
  <c r="AQ44" i="178"/>
  <c r="AM44" i="178"/>
  <c r="AI44" i="178"/>
  <c r="AE44" i="178"/>
  <c r="AA44" i="178"/>
  <c r="W44" i="178"/>
  <c r="S44" i="178"/>
  <c r="O44" i="178"/>
  <c r="J44" i="178"/>
  <c r="BW43" i="178"/>
  <c r="BS43" i="178"/>
  <c r="BO43" i="178"/>
  <c r="BK43" i="178"/>
  <c r="BG43" i="178"/>
  <c r="BC43" i="178"/>
  <c r="AY43" i="178"/>
  <c r="AU43" i="178"/>
  <c r="AQ43" i="178"/>
  <c r="AM43" i="178"/>
  <c r="AI43" i="178"/>
  <c r="AE43" i="178"/>
  <c r="AA43" i="178"/>
  <c r="W43" i="178"/>
  <c r="S43" i="178"/>
  <c r="O43" i="178"/>
  <c r="J43" i="178"/>
  <c r="BW42" i="178"/>
  <c r="BS42" i="178"/>
  <c r="BO42" i="178"/>
  <c r="BK42" i="178"/>
  <c r="BG42" i="178"/>
  <c r="BC42" i="178"/>
  <c r="AY42" i="178"/>
  <c r="AU42" i="178"/>
  <c r="AQ42" i="178"/>
  <c r="AM42" i="178"/>
  <c r="AI42" i="178"/>
  <c r="AE42" i="178"/>
  <c r="AA42" i="178"/>
  <c r="W42" i="178"/>
  <c r="S42" i="178"/>
  <c r="O42" i="178"/>
  <c r="J42" i="178"/>
  <c r="BW41" i="178"/>
  <c r="BS41" i="178"/>
  <c r="BO41" i="178"/>
  <c r="BK41" i="178"/>
  <c r="BG41" i="178"/>
  <c r="BC41" i="178"/>
  <c r="AY41" i="178"/>
  <c r="AU41" i="178"/>
  <c r="AQ41" i="178"/>
  <c r="AM41" i="178"/>
  <c r="AI41" i="178"/>
  <c r="AE41" i="178"/>
  <c r="AA41" i="178"/>
  <c r="W41" i="178"/>
  <c r="S41" i="178"/>
  <c r="O41" i="178"/>
  <c r="J41" i="178"/>
  <c r="BW40" i="178"/>
  <c r="BS40" i="178"/>
  <c r="BO40" i="178"/>
  <c r="BK40" i="178"/>
  <c r="BG40" i="178"/>
  <c r="BC40" i="178"/>
  <c r="AY40" i="178"/>
  <c r="AU40" i="178"/>
  <c r="AQ40" i="178"/>
  <c r="AM40" i="178"/>
  <c r="AI40" i="178"/>
  <c r="AE40" i="178"/>
  <c r="AA40" i="178"/>
  <c r="W40" i="178"/>
  <c r="S40" i="178"/>
  <c r="O40" i="178"/>
  <c r="J40" i="178"/>
  <c r="BW39" i="178"/>
  <c r="BS39" i="178"/>
  <c r="BO39" i="178"/>
  <c r="BK39" i="178"/>
  <c r="BG39" i="178"/>
  <c r="BC39" i="178"/>
  <c r="AY39" i="178"/>
  <c r="AU39" i="178"/>
  <c r="AQ39" i="178"/>
  <c r="AM39" i="178"/>
  <c r="AI39" i="178"/>
  <c r="AE39" i="178"/>
  <c r="AA39" i="178"/>
  <c r="W39" i="178"/>
  <c r="S39" i="178"/>
  <c r="O39" i="178"/>
  <c r="J39" i="178"/>
  <c r="BW38" i="178"/>
  <c r="BS38" i="178"/>
  <c r="BO38" i="178"/>
  <c r="BK38" i="178"/>
  <c r="BG38" i="178"/>
  <c r="BC38" i="178"/>
  <c r="AY38" i="178"/>
  <c r="AU38" i="178"/>
  <c r="AQ38" i="178"/>
  <c r="AM38" i="178"/>
  <c r="AI38" i="178"/>
  <c r="AE38" i="178"/>
  <c r="AA38" i="178"/>
  <c r="W38" i="178"/>
  <c r="S38" i="178"/>
  <c r="O38" i="178"/>
  <c r="J38" i="178"/>
  <c r="BW37" i="178"/>
  <c r="BS37" i="178"/>
  <c r="BO37" i="178"/>
  <c r="BK37" i="178"/>
  <c r="BG37" i="178"/>
  <c r="BC37" i="178"/>
  <c r="AY37" i="178"/>
  <c r="AU37" i="178"/>
  <c r="AQ37" i="178"/>
  <c r="AM37" i="178"/>
  <c r="AI37" i="178"/>
  <c r="AE37" i="178"/>
  <c r="AA37" i="178"/>
  <c r="W37" i="178"/>
  <c r="S37" i="178"/>
  <c r="O37" i="178"/>
  <c r="J37" i="178"/>
  <c r="BW36" i="178"/>
  <c r="BS36" i="178"/>
  <c r="BO36" i="178"/>
  <c r="BK36" i="178"/>
  <c r="BG36" i="178"/>
  <c r="BC36" i="178"/>
  <c r="AY36" i="178"/>
  <c r="AU36" i="178"/>
  <c r="AQ36" i="178"/>
  <c r="AM36" i="178"/>
  <c r="AI36" i="178"/>
  <c r="AE36" i="178"/>
  <c r="AA36" i="178"/>
  <c r="W36" i="178"/>
  <c r="S36" i="178"/>
  <c r="O36" i="178"/>
  <c r="J36" i="178"/>
  <c r="BW35" i="178"/>
  <c r="BS35" i="178"/>
  <c r="BO35" i="178"/>
  <c r="BK35" i="178"/>
  <c r="BG35" i="178"/>
  <c r="BC35" i="178"/>
  <c r="AY35" i="178"/>
  <c r="AU35" i="178"/>
  <c r="AQ35" i="178"/>
  <c r="AM35" i="178"/>
  <c r="AI35" i="178"/>
  <c r="AE35" i="178"/>
  <c r="AA35" i="178"/>
  <c r="W35" i="178"/>
  <c r="S35" i="178"/>
  <c r="O35" i="178"/>
  <c r="J35" i="178"/>
  <c r="BW34" i="178"/>
  <c r="BS34" i="178"/>
  <c r="BO34" i="178"/>
  <c r="BK34" i="178"/>
  <c r="BG34" i="178"/>
  <c r="BC34" i="178"/>
  <c r="AY34" i="178"/>
  <c r="AU34" i="178"/>
  <c r="AQ34" i="178"/>
  <c r="AM34" i="178"/>
  <c r="AI34" i="178"/>
  <c r="AE34" i="178"/>
  <c r="AA34" i="178"/>
  <c r="W34" i="178"/>
  <c r="S34" i="178"/>
  <c r="O34" i="178"/>
  <c r="J34" i="178"/>
  <c r="BW33" i="178"/>
  <c r="BS33" i="178"/>
  <c r="BO33" i="178"/>
  <c r="BK33" i="178"/>
  <c r="BG33" i="178"/>
  <c r="BC33" i="178"/>
  <c r="AY33" i="178"/>
  <c r="AU33" i="178"/>
  <c r="AQ33" i="178"/>
  <c r="AM33" i="178"/>
  <c r="AI33" i="178"/>
  <c r="AE33" i="178"/>
  <c r="AA33" i="178"/>
  <c r="W33" i="178"/>
  <c r="S33" i="178"/>
  <c r="O33" i="178"/>
  <c r="J33" i="178"/>
  <c r="BW32" i="178"/>
  <c r="BS32" i="178"/>
  <c r="BO32" i="178"/>
  <c r="BK32" i="178"/>
  <c r="BG32" i="178"/>
  <c r="BC32" i="178"/>
  <c r="AY32" i="178"/>
  <c r="AU32" i="178"/>
  <c r="AQ32" i="178"/>
  <c r="AM32" i="178"/>
  <c r="AI32" i="178"/>
  <c r="AE32" i="178"/>
  <c r="AA32" i="178"/>
  <c r="W32" i="178"/>
  <c r="S32" i="178"/>
  <c r="O32" i="178"/>
  <c r="J32" i="178"/>
  <c r="BW31" i="178"/>
  <c r="BS31" i="178"/>
  <c r="BO31" i="178"/>
  <c r="BK31" i="178"/>
  <c r="BG31" i="178"/>
  <c r="BC31" i="178"/>
  <c r="AY31" i="178"/>
  <c r="AU31" i="178"/>
  <c r="AQ31" i="178"/>
  <c r="AM31" i="178"/>
  <c r="AI31" i="178"/>
  <c r="AE31" i="178"/>
  <c r="AA31" i="178"/>
  <c r="W31" i="178"/>
  <c r="S31" i="178"/>
  <c r="O31" i="178"/>
  <c r="J31" i="178"/>
  <c r="BW30" i="178"/>
  <c r="BS30" i="178"/>
  <c r="BO30" i="178"/>
  <c r="BK30" i="178"/>
  <c r="BG30" i="178"/>
  <c r="BC30" i="178"/>
  <c r="AY30" i="178"/>
  <c r="AU30" i="178"/>
  <c r="AQ30" i="178"/>
  <c r="AM30" i="178"/>
  <c r="AI30" i="178"/>
  <c r="AE30" i="178"/>
  <c r="AA30" i="178"/>
  <c r="W30" i="178"/>
  <c r="S30" i="178"/>
  <c r="O30" i="178"/>
  <c r="J30" i="178"/>
  <c r="BW29" i="178"/>
  <c r="BS29" i="178"/>
  <c r="BO29" i="178"/>
  <c r="BK29" i="178"/>
  <c r="BG29" i="178"/>
  <c r="BC29" i="178"/>
  <c r="AY29" i="178"/>
  <c r="AU29" i="178"/>
  <c r="AQ29" i="178"/>
  <c r="AM29" i="178"/>
  <c r="AI29" i="178"/>
  <c r="AE29" i="178"/>
  <c r="AA29" i="178"/>
  <c r="W29" i="178"/>
  <c r="S29" i="178"/>
  <c r="O29" i="178"/>
  <c r="J29" i="178"/>
  <c r="BW28" i="178"/>
  <c r="BS28" i="178"/>
  <c r="BO28" i="178"/>
  <c r="BK28" i="178"/>
  <c r="BG28" i="178"/>
  <c r="BC28" i="178"/>
  <c r="AY28" i="178"/>
  <c r="AU28" i="178"/>
  <c r="AQ28" i="178"/>
  <c r="AM28" i="178"/>
  <c r="AI28" i="178"/>
  <c r="AE28" i="178"/>
  <c r="AA28" i="178"/>
  <c r="W28" i="178"/>
  <c r="S28" i="178"/>
  <c r="O28" i="178"/>
  <c r="J28" i="178"/>
  <c r="BW27" i="178"/>
  <c r="BS27" i="178"/>
  <c r="BO27" i="178"/>
  <c r="BK27" i="178"/>
  <c r="BG27" i="178"/>
  <c r="BC27" i="178"/>
  <c r="AY27" i="178"/>
  <c r="AU27" i="178"/>
  <c r="AQ27" i="178"/>
  <c r="AM27" i="178"/>
  <c r="AI27" i="178"/>
  <c r="AE27" i="178"/>
  <c r="AA27" i="178"/>
  <c r="W27" i="178"/>
  <c r="S27" i="178"/>
  <c r="O27" i="178"/>
  <c r="J27" i="178"/>
  <c r="BW26" i="178"/>
  <c r="BS26" i="178"/>
  <c r="BO26" i="178"/>
  <c r="BK26" i="178"/>
  <c r="BG26" i="178"/>
  <c r="BC26" i="178"/>
  <c r="AY26" i="178"/>
  <c r="AU26" i="178"/>
  <c r="AQ26" i="178"/>
  <c r="AM26" i="178"/>
  <c r="AI26" i="178"/>
  <c r="AE26" i="178"/>
  <c r="AA26" i="178"/>
  <c r="W26" i="178"/>
  <c r="S26" i="178"/>
  <c r="O26" i="178"/>
  <c r="J26" i="178"/>
  <c r="BW25" i="178"/>
  <c r="BS25" i="178"/>
  <c r="BO25" i="178"/>
  <c r="BK25" i="178"/>
  <c r="BG25" i="178"/>
  <c r="BC25" i="178"/>
  <c r="AY25" i="178"/>
  <c r="AU25" i="178"/>
  <c r="AQ25" i="178"/>
  <c r="AM25" i="178"/>
  <c r="AI25" i="178"/>
  <c r="AE25" i="178"/>
  <c r="AA25" i="178"/>
  <c r="W25" i="178"/>
  <c r="S25" i="178"/>
  <c r="O25" i="178"/>
  <c r="J25" i="178"/>
  <c r="BW24" i="178"/>
  <c r="BS24" i="178"/>
  <c r="BO24" i="178"/>
  <c r="BK24" i="178"/>
  <c r="BG24" i="178"/>
  <c r="BC24" i="178"/>
  <c r="AY24" i="178"/>
  <c r="AU24" i="178"/>
  <c r="AQ24" i="178"/>
  <c r="AM24" i="178"/>
  <c r="AI24" i="178"/>
  <c r="AE24" i="178"/>
  <c r="AA24" i="178"/>
  <c r="W24" i="178"/>
  <c r="S24" i="178"/>
  <c r="O24" i="178"/>
  <c r="J24" i="178"/>
  <c r="BW23" i="178"/>
  <c r="BS23" i="178"/>
  <c r="BO23" i="178"/>
  <c r="BK23" i="178"/>
  <c r="BG23" i="178"/>
  <c r="BC23" i="178"/>
  <c r="AY23" i="178"/>
  <c r="AU23" i="178"/>
  <c r="AQ23" i="178"/>
  <c r="AM23" i="178"/>
  <c r="AI23" i="178"/>
  <c r="AE23" i="178"/>
  <c r="AA23" i="178"/>
  <c r="W23" i="178"/>
  <c r="S23" i="178"/>
  <c r="O23" i="178"/>
  <c r="J23" i="178"/>
  <c r="BW22" i="178"/>
  <c r="BS22" i="178"/>
  <c r="BO22" i="178"/>
  <c r="BK22" i="178"/>
  <c r="BG22" i="178"/>
  <c r="BC22" i="178"/>
  <c r="AY22" i="178"/>
  <c r="AU22" i="178"/>
  <c r="AQ22" i="178"/>
  <c r="AM22" i="178"/>
  <c r="AI22" i="178"/>
  <c r="AE22" i="178"/>
  <c r="AA22" i="178"/>
  <c r="W22" i="178"/>
  <c r="S22" i="178"/>
  <c r="O22" i="178"/>
  <c r="J22" i="178"/>
  <c r="BW21" i="178"/>
  <c r="BS21" i="178"/>
  <c r="BO21" i="178"/>
  <c r="BK21" i="178"/>
  <c r="BG21" i="178"/>
  <c r="BC21" i="178"/>
  <c r="AY21" i="178"/>
  <c r="AU21" i="178"/>
  <c r="AQ21" i="178"/>
  <c r="AM21" i="178"/>
  <c r="AI21" i="178"/>
  <c r="AE21" i="178"/>
  <c r="AA21" i="178"/>
  <c r="W21" i="178"/>
  <c r="S21" i="178"/>
  <c r="O21" i="178"/>
  <c r="J21" i="178"/>
  <c r="BW20" i="178"/>
  <c r="BS20" i="178"/>
  <c r="BO20" i="178"/>
  <c r="BK20" i="178"/>
  <c r="BG20" i="178"/>
  <c r="BC20" i="178"/>
  <c r="AY20" i="178"/>
  <c r="AU20" i="178"/>
  <c r="AQ20" i="178"/>
  <c r="AM20" i="178"/>
  <c r="AI20" i="178"/>
  <c r="AE20" i="178"/>
  <c r="AA20" i="178"/>
  <c r="W20" i="178"/>
  <c r="S20" i="178"/>
  <c r="O20" i="178"/>
  <c r="J20" i="178"/>
  <c r="BW19" i="178"/>
  <c r="BS19" i="178"/>
  <c r="BO19" i="178"/>
  <c r="BK19" i="178"/>
  <c r="BG19" i="178"/>
  <c r="BC19" i="178"/>
  <c r="AY19" i="178"/>
  <c r="AU19" i="178"/>
  <c r="AQ19" i="178"/>
  <c r="AM19" i="178"/>
  <c r="AI19" i="178"/>
  <c r="AE19" i="178"/>
  <c r="AA19" i="178"/>
  <c r="W19" i="178"/>
  <c r="S19" i="178"/>
  <c r="O19" i="178"/>
  <c r="J19" i="178"/>
  <c r="BW18" i="178"/>
  <c r="BS18" i="178"/>
  <c r="BO18" i="178"/>
  <c r="BK18" i="178"/>
  <c r="BG18" i="178"/>
  <c r="BC18" i="178"/>
  <c r="AY18" i="178"/>
  <c r="AU18" i="178"/>
  <c r="AQ18" i="178"/>
  <c r="AM18" i="178"/>
  <c r="AI18" i="178"/>
  <c r="AE18" i="178"/>
  <c r="AA18" i="178"/>
  <c r="W18" i="178"/>
  <c r="S18" i="178"/>
  <c r="O18" i="178"/>
  <c r="J18" i="178"/>
  <c r="BW17" i="178"/>
  <c r="BS17" i="178"/>
  <c r="BO17" i="178"/>
  <c r="BK17" i="178"/>
  <c r="BG17" i="178"/>
  <c r="BC17" i="178"/>
  <c r="AY17" i="178"/>
  <c r="AU17" i="178"/>
  <c r="AQ17" i="178"/>
  <c r="AM17" i="178"/>
  <c r="AI17" i="178"/>
  <c r="AE17" i="178"/>
  <c r="AA17" i="178"/>
  <c r="W17" i="178"/>
  <c r="S17" i="178"/>
  <c r="O17" i="178"/>
  <c r="J17" i="178"/>
  <c r="BW16" i="178"/>
  <c r="BS16" i="178"/>
  <c r="BO16" i="178"/>
  <c r="BK16" i="178"/>
  <c r="BG16" i="178"/>
  <c r="BC16" i="178"/>
  <c r="AY16" i="178"/>
  <c r="AU16" i="178"/>
  <c r="AQ16" i="178"/>
  <c r="AM16" i="178"/>
  <c r="AI16" i="178"/>
  <c r="AE16" i="178"/>
  <c r="AA16" i="178"/>
  <c r="W16" i="178"/>
  <c r="S16" i="178"/>
  <c r="O16" i="178"/>
  <c r="J16" i="178"/>
  <c r="BW15" i="178"/>
  <c r="BS15" i="178"/>
  <c r="BO15" i="178"/>
  <c r="BK15" i="178"/>
  <c r="BG15" i="178"/>
  <c r="BC15" i="178"/>
  <c r="AY15" i="178"/>
  <c r="AU15" i="178"/>
  <c r="AQ15" i="178"/>
  <c r="AM15" i="178"/>
  <c r="AI15" i="178"/>
  <c r="AE15" i="178"/>
  <c r="AA15" i="178"/>
  <c r="W15" i="178"/>
  <c r="S15" i="178"/>
  <c r="O15" i="178"/>
  <c r="J15" i="178"/>
  <c r="BW14" i="178"/>
  <c r="BS14" i="178"/>
  <c r="BO14" i="178"/>
  <c r="BK14" i="178"/>
  <c r="BG14" i="178"/>
  <c r="BC14" i="178"/>
  <c r="AY14" i="178"/>
  <c r="AU14" i="178"/>
  <c r="AQ14" i="178"/>
  <c r="AM14" i="178"/>
  <c r="AI14" i="178"/>
  <c r="AE14" i="178"/>
  <c r="AA14" i="178"/>
  <c r="W14" i="178"/>
  <c r="S14" i="178"/>
  <c r="O14" i="178"/>
  <c r="J14" i="178"/>
  <c r="BW13" i="178"/>
  <c r="BS13" i="178"/>
  <c r="BO13" i="178"/>
  <c r="BK13" i="178"/>
  <c r="BG13" i="178"/>
  <c r="BC13" i="178"/>
  <c r="AY13" i="178"/>
  <c r="AU13" i="178"/>
  <c r="AQ13" i="178"/>
  <c r="AM13" i="178"/>
  <c r="AI13" i="178"/>
  <c r="AE13" i="178"/>
  <c r="AA13" i="178"/>
  <c r="W13" i="178"/>
  <c r="S13" i="178"/>
  <c r="O13" i="178"/>
  <c r="J13" i="178"/>
  <c r="BW12" i="178"/>
  <c r="BS12" i="178"/>
  <c r="BO12" i="178"/>
  <c r="BK12" i="178"/>
  <c r="BG12" i="178"/>
  <c r="BC12" i="178"/>
  <c r="AY12" i="178"/>
  <c r="AU12" i="178"/>
  <c r="AQ12" i="178"/>
  <c r="AM12" i="178"/>
  <c r="AI12" i="178"/>
  <c r="AE12" i="178"/>
  <c r="AA12" i="178"/>
  <c r="W12" i="178"/>
  <c r="S12" i="178"/>
  <c r="O12" i="178"/>
  <c r="J12" i="178"/>
  <c r="BW11" i="178"/>
  <c r="BS11" i="178"/>
  <c r="BO11" i="178"/>
  <c r="BK11" i="178"/>
  <c r="BG11" i="178"/>
  <c r="BC11" i="178"/>
  <c r="AY11" i="178"/>
  <c r="AU11" i="178"/>
  <c r="AQ11" i="178"/>
  <c r="AM11" i="178"/>
  <c r="AI11" i="178"/>
  <c r="AE11" i="178"/>
  <c r="AA11" i="178"/>
  <c r="W11" i="178"/>
  <c r="S11" i="178"/>
  <c r="O11" i="178"/>
  <c r="J11" i="178"/>
  <c r="BW10" i="178"/>
  <c r="BS10" i="178"/>
  <c r="BO10" i="178"/>
  <c r="BK10" i="178"/>
  <c r="BG10" i="178"/>
  <c r="BC10" i="178"/>
  <c r="AY10" i="178"/>
  <c r="AU10" i="178"/>
  <c r="AQ10" i="178"/>
  <c r="AM10" i="178"/>
  <c r="AI10" i="178"/>
  <c r="AE10" i="178"/>
  <c r="AA10" i="178"/>
  <c r="W10" i="178"/>
  <c r="S10" i="178"/>
  <c r="O10" i="178"/>
  <c r="J10" i="178"/>
  <c r="BW9" i="178"/>
  <c r="BS9" i="178"/>
  <c r="BO9" i="178"/>
  <c r="BK9" i="178"/>
  <c r="BG9" i="178"/>
  <c r="BC9" i="178"/>
  <c r="AY9" i="178"/>
  <c r="AU9" i="178"/>
  <c r="AQ9" i="178"/>
  <c r="AM9" i="178"/>
  <c r="AI9" i="178"/>
  <c r="AE9" i="178"/>
  <c r="AA9" i="178"/>
  <c r="W9" i="178"/>
  <c r="S9" i="178"/>
  <c r="O9" i="178"/>
  <c r="J9" i="178"/>
  <c r="BW8" i="178"/>
  <c r="BS8" i="178"/>
  <c r="BO8" i="178"/>
  <c r="BK8" i="178"/>
  <c r="BG8" i="178"/>
  <c r="BC8" i="178"/>
  <c r="AY8" i="178"/>
  <c r="AU8" i="178"/>
  <c r="AQ8" i="178"/>
  <c r="AM8" i="178"/>
  <c r="AI8" i="178"/>
  <c r="AE8" i="178"/>
  <c r="AA8" i="178"/>
  <c r="W8" i="178"/>
  <c r="S8" i="178"/>
  <c r="O8" i="178"/>
  <c r="J8" i="178"/>
  <c r="BW7" i="178"/>
  <c r="BS7" i="178"/>
  <c r="BO7" i="178"/>
  <c r="BK7" i="178"/>
  <c r="BG7" i="178"/>
  <c r="BC7" i="178"/>
  <c r="AY7" i="178"/>
  <c r="AU7" i="178"/>
  <c r="AQ7" i="178"/>
  <c r="AM7" i="178"/>
  <c r="AI7" i="178"/>
  <c r="AE7" i="178"/>
  <c r="AA7" i="178"/>
  <c r="W7" i="178"/>
  <c r="S7" i="178"/>
  <c r="O7" i="178"/>
  <c r="J7" i="178"/>
  <c r="BJ6" i="178"/>
  <c r="BK6" i="178" s="1"/>
  <c r="BI6" i="178"/>
  <c r="AW6" i="178"/>
  <c r="Z6" i="178"/>
  <c r="AA6" i="178" s="1"/>
  <c r="N6" i="178"/>
  <c r="O6" i="178" s="1"/>
  <c r="M6" i="178"/>
  <c r="BD5" i="178"/>
  <c r="AV5" i="178"/>
  <c r="BS4" i="178"/>
  <c r="BT5" i="178" s="1"/>
  <c r="BO4" i="178"/>
  <c r="BR6" i="178" s="1"/>
  <c r="BS6" i="178" s="1"/>
  <c r="BK4" i="178"/>
  <c r="BL5" i="178" s="1"/>
  <c r="BG4" i="178"/>
  <c r="BH5" i="178" s="1"/>
  <c r="BC4" i="178"/>
  <c r="BD4" i="178" s="1"/>
  <c r="AY4" i="178"/>
  <c r="AZ4" i="178" s="1"/>
  <c r="AV4" i="178"/>
  <c r="AU4" i="178"/>
  <c r="AX6" i="178" s="1"/>
  <c r="AY6" i="178" s="1"/>
  <c r="AQ4" i="178"/>
  <c r="AT6" i="178" s="1"/>
  <c r="AU6" i="178" s="1"/>
  <c r="AM4" i="178"/>
  <c r="AP6" i="178" s="1"/>
  <c r="AQ6" i="178" s="1"/>
  <c r="AI4" i="178"/>
  <c r="AJ6" i="178" s="1"/>
  <c r="AE4" i="178"/>
  <c r="AF4" i="178" s="1"/>
  <c r="AA4" i="178"/>
  <c r="AB4" i="178" s="1"/>
  <c r="W4" i="178"/>
  <c r="X5" i="178" s="1"/>
  <c r="S4" i="178"/>
  <c r="V6" i="178" s="1"/>
  <c r="W6" i="178" s="1"/>
  <c r="O4" i="178"/>
  <c r="P5" i="178" s="1"/>
  <c r="L4" i="178"/>
  <c r="K4" i="178"/>
  <c r="L5" i="178" s="1"/>
  <c r="J4" i="178"/>
  <c r="E4" i="178"/>
  <c r="BT3" i="178"/>
  <c r="BP3" i="178"/>
  <c r="BL3" i="178"/>
  <c r="BH3" i="178"/>
  <c r="BD3" i="178"/>
  <c r="AZ3" i="178"/>
  <c r="AV3" i="178"/>
  <c r="AR3" i="178"/>
  <c r="AN3" i="178"/>
  <c r="AJ3" i="178"/>
  <c r="AF3" i="178"/>
  <c r="AB3" i="178"/>
  <c r="X3" i="178"/>
  <c r="T3" i="178"/>
  <c r="P3" i="178"/>
  <c r="L3" i="178"/>
  <c r="J3" i="178"/>
  <c r="J2" i="178"/>
  <c r="F1" i="178"/>
  <c r="BW82" i="177"/>
  <c r="BS82" i="177"/>
  <c r="BO82" i="177"/>
  <c r="BK82" i="177"/>
  <c r="BG82" i="177"/>
  <c r="BC82" i="177"/>
  <c r="AY82" i="177"/>
  <c r="AU82" i="177"/>
  <c r="AQ82" i="177"/>
  <c r="AM82" i="177"/>
  <c r="AI82" i="177"/>
  <c r="AE82" i="177"/>
  <c r="AA82" i="177"/>
  <c r="W82" i="177"/>
  <c r="S82" i="177"/>
  <c r="O82" i="177"/>
  <c r="J82" i="177"/>
  <c r="BW81" i="177"/>
  <c r="BS81" i="177"/>
  <c r="BO81" i="177"/>
  <c r="BK81" i="177"/>
  <c r="BG81" i="177"/>
  <c r="BC81" i="177"/>
  <c r="AY81" i="177"/>
  <c r="AU81" i="177"/>
  <c r="AQ81" i="177"/>
  <c r="AM81" i="177"/>
  <c r="AI81" i="177"/>
  <c r="AE81" i="177"/>
  <c r="AA81" i="177"/>
  <c r="W81" i="177"/>
  <c r="S81" i="177"/>
  <c r="O81" i="177"/>
  <c r="J81" i="177"/>
  <c r="BW80" i="177"/>
  <c r="BS80" i="177"/>
  <c r="BO80" i="177"/>
  <c r="BK80" i="177"/>
  <c r="BG80" i="177"/>
  <c r="BC80" i="177"/>
  <c r="AY80" i="177"/>
  <c r="AU80" i="177"/>
  <c r="AQ80" i="177"/>
  <c r="AM80" i="177"/>
  <c r="AI80" i="177"/>
  <c r="AE80" i="177"/>
  <c r="AA80" i="177"/>
  <c r="W80" i="177"/>
  <c r="S80" i="177"/>
  <c r="O80" i="177"/>
  <c r="J80" i="177"/>
  <c r="BW79" i="177"/>
  <c r="BS79" i="177"/>
  <c r="BO79" i="177"/>
  <c r="BK79" i="177"/>
  <c r="BG79" i="177"/>
  <c r="BC79" i="177"/>
  <c r="AY79" i="177"/>
  <c r="AU79" i="177"/>
  <c r="AQ79" i="177"/>
  <c r="AM79" i="177"/>
  <c r="AI79" i="177"/>
  <c r="AE79" i="177"/>
  <c r="AA79" i="177"/>
  <c r="W79" i="177"/>
  <c r="S79" i="177"/>
  <c r="O79" i="177"/>
  <c r="J79" i="177"/>
  <c r="BW78" i="177"/>
  <c r="BS78" i="177"/>
  <c r="BO78" i="177"/>
  <c r="BK78" i="177"/>
  <c r="BG78" i="177"/>
  <c r="BC78" i="177"/>
  <c r="AY78" i="177"/>
  <c r="AU78" i="177"/>
  <c r="AQ78" i="177"/>
  <c r="AM78" i="177"/>
  <c r="AI78" i="177"/>
  <c r="AE78" i="177"/>
  <c r="AA78" i="177"/>
  <c r="W78" i="177"/>
  <c r="S78" i="177"/>
  <c r="O78" i="177"/>
  <c r="J78" i="177"/>
  <c r="BW77" i="177"/>
  <c r="BS77" i="177"/>
  <c r="BO77" i="177"/>
  <c r="BK77" i="177"/>
  <c r="BG77" i="177"/>
  <c r="BC77" i="177"/>
  <c r="AY77" i="177"/>
  <c r="AU77" i="177"/>
  <c r="AQ77" i="177"/>
  <c r="AM77" i="177"/>
  <c r="AI77" i="177"/>
  <c r="AE77" i="177"/>
  <c r="AA77" i="177"/>
  <c r="W77" i="177"/>
  <c r="S77" i="177"/>
  <c r="O77" i="177"/>
  <c r="J77" i="177"/>
  <c r="BW76" i="177"/>
  <c r="BS76" i="177"/>
  <c r="BO76" i="177"/>
  <c r="BK76" i="177"/>
  <c r="BG76" i="177"/>
  <c r="BC76" i="177"/>
  <c r="AY76" i="177"/>
  <c r="AU76" i="177"/>
  <c r="AQ76" i="177"/>
  <c r="AM76" i="177"/>
  <c r="AI76" i="177"/>
  <c r="AE76" i="177"/>
  <c r="AA76" i="177"/>
  <c r="W76" i="177"/>
  <c r="S76" i="177"/>
  <c r="O76" i="177"/>
  <c r="J76" i="177"/>
  <c r="BW75" i="177"/>
  <c r="BS75" i="177"/>
  <c r="BO75" i="177"/>
  <c r="BK75" i="177"/>
  <c r="BG75" i="177"/>
  <c r="BC75" i="177"/>
  <c r="AY75" i="177"/>
  <c r="AU75" i="177"/>
  <c r="AQ75" i="177"/>
  <c r="AM75" i="177"/>
  <c r="AI75" i="177"/>
  <c r="AE75" i="177"/>
  <c r="AA75" i="177"/>
  <c r="W75" i="177"/>
  <c r="S75" i="177"/>
  <c r="O75" i="177"/>
  <c r="J75" i="177"/>
  <c r="BW74" i="177"/>
  <c r="BS74" i="177"/>
  <c r="BO74" i="177"/>
  <c r="BK74" i="177"/>
  <c r="BG74" i="177"/>
  <c r="BC74" i="177"/>
  <c r="AY74" i="177"/>
  <c r="AU74" i="177"/>
  <c r="AQ74" i="177"/>
  <c r="AM74" i="177"/>
  <c r="AI74" i="177"/>
  <c r="AE74" i="177"/>
  <c r="AA74" i="177"/>
  <c r="W74" i="177"/>
  <c r="S74" i="177"/>
  <c r="O74" i="177"/>
  <c r="J74" i="177"/>
  <c r="BW73" i="177"/>
  <c r="BS73" i="177"/>
  <c r="BO73" i="177"/>
  <c r="BK73" i="177"/>
  <c r="BG73" i="177"/>
  <c r="BC73" i="177"/>
  <c r="AY73" i="177"/>
  <c r="AU73" i="177"/>
  <c r="AQ73" i="177"/>
  <c r="AM73" i="177"/>
  <c r="AI73" i="177"/>
  <c r="AE73" i="177"/>
  <c r="AA73" i="177"/>
  <c r="W73" i="177"/>
  <c r="S73" i="177"/>
  <c r="O73" i="177"/>
  <c r="J73" i="177"/>
  <c r="BW72" i="177"/>
  <c r="BS72" i="177"/>
  <c r="BO72" i="177"/>
  <c r="BK72" i="177"/>
  <c r="BG72" i="177"/>
  <c r="BC72" i="177"/>
  <c r="AY72" i="177"/>
  <c r="AU72" i="177"/>
  <c r="AQ72" i="177"/>
  <c r="AM72" i="177"/>
  <c r="AI72" i="177"/>
  <c r="AE72" i="177"/>
  <c r="AA72" i="177"/>
  <c r="W72" i="177"/>
  <c r="S72" i="177"/>
  <c r="O72" i="177"/>
  <c r="J72" i="177"/>
  <c r="BW71" i="177"/>
  <c r="BS71" i="177"/>
  <c r="BO71" i="177"/>
  <c r="BK71" i="177"/>
  <c r="BG71" i="177"/>
  <c r="BC71" i="177"/>
  <c r="AY71" i="177"/>
  <c r="AU71" i="177"/>
  <c r="AQ71" i="177"/>
  <c r="AM71" i="177"/>
  <c r="AI71" i="177"/>
  <c r="AE71" i="177"/>
  <c r="AA71" i="177"/>
  <c r="W71" i="177"/>
  <c r="S71" i="177"/>
  <c r="O71" i="177"/>
  <c r="J71" i="177"/>
  <c r="BW70" i="177"/>
  <c r="BS70" i="177"/>
  <c r="BO70" i="177"/>
  <c r="BK70" i="177"/>
  <c r="BG70" i="177"/>
  <c r="BC70" i="177"/>
  <c r="AY70" i="177"/>
  <c r="AU70" i="177"/>
  <c r="AQ70" i="177"/>
  <c r="AM70" i="177"/>
  <c r="AI70" i="177"/>
  <c r="AE70" i="177"/>
  <c r="AA70" i="177"/>
  <c r="W70" i="177"/>
  <c r="S70" i="177"/>
  <c r="O70" i="177"/>
  <c r="J70" i="177"/>
  <c r="BW69" i="177"/>
  <c r="BS69" i="177"/>
  <c r="BO69" i="177"/>
  <c r="BK69" i="177"/>
  <c r="BG69" i="177"/>
  <c r="BC69" i="177"/>
  <c r="AY69" i="177"/>
  <c r="AU69" i="177"/>
  <c r="AQ69" i="177"/>
  <c r="AM69" i="177"/>
  <c r="AI69" i="177"/>
  <c r="AE69" i="177"/>
  <c r="AA69" i="177"/>
  <c r="W69" i="177"/>
  <c r="S69" i="177"/>
  <c r="O69" i="177"/>
  <c r="J69" i="177"/>
  <c r="BW68" i="177"/>
  <c r="BS68" i="177"/>
  <c r="BO68" i="177"/>
  <c r="BK68" i="177"/>
  <c r="BG68" i="177"/>
  <c r="BC68" i="177"/>
  <c r="AY68" i="177"/>
  <c r="AU68" i="177"/>
  <c r="AQ68" i="177"/>
  <c r="AM68" i="177"/>
  <c r="AI68" i="177"/>
  <c r="AE68" i="177"/>
  <c r="AA68" i="177"/>
  <c r="W68" i="177"/>
  <c r="S68" i="177"/>
  <c r="O68" i="177"/>
  <c r="J68" i="177"/>
  <c r="BW67" i="177"/>
  <c r="BS67" i="177"/>
  <c r="BO67" i="177"/>
  <c r="BK67" i="177"/>
  <c r="BG67" i="177"/>
  <c r="BC67" i="177"/>
  <c r="AY67" i="177"/>
  <c r="AU67" i="177"/>
  <c r="AQ67" i="177"/>
  <c r="AM67" i="177"/>
  <c r="AI67" i="177"/>
  <c r="AE67" i="177"/>
  <c r="AA67" i="177"/>
  <c r="W67" i="177"/>
  <c r="S67" i="177"/>
  <c r="O67" i="177"/>
  <c r="J67" i="177"/>
  <c r="BW66" i="177"/>
  <c r="BS66" i="177"/>
  <c r="BO66" i="177"/>
  <c r="BK66" i="177"/>
  <c r="BG66" i="177"/>
  <c r="BC66" i="177"/>
  <c r="AY66" i="177"/>
  <c r="AU66" i="177"/>
  <c r="AQ66" i="177"/>
  <c r="AM66" i="177"/>
  <c r="AI66" i="177"/>
  <c r="AE66" i="177"/>
  <c r="AA66" i="177"/>
  <c r="W66" i="177"/>
  <c r="S66" i="177"/>
  <c r="O66" i="177"/>
  <c r="J66" i="177"/>
  <c r="BW65" i="177"/>
  <c r="BS65" i="177"/>
  <c r="BO65" i="177"/>
  <c r="BK65" i="177"/>
  <c r="BG65" i="177"/>
  <c r="BC65" i="177"/>
  <c r="AY65" i="177"/>
  <c r="AU65" i="177"/>
  <c r="AQ65" i="177"/>
  <c r="AM65" i="177"/>
  <c r="AI65" i="177"/>
  <c r="AE65" i="177"/>
  <c r="AA65" i="177"/>
  <c r="W65" i="177"/>
  <c r="S65" i="177"/>
  <c r="O65" i="177"/>
  <c r="J65" i="177"/>
  <c r="BW64" i="177"/>
  <c r="BS64" i="177"/>
  <c r="BO64" i="177"/>
  <c r="BK64" i="177"/>
  <c r="BG64" i="177"/>
  <c r="BC64" i="177"/>
  <c r="AY64" i="177"/>
  <c r="AU64" i="177"/>
  <c r="AQ64" i="177"/>
  <c r="AM64" i="177"/>
  <c r="AI64" i="177"/>
  <c r="AE64" i="177"/>
  <c r="AA64" i="177"/>
  <c r="W64" i="177"/>
  <c r="S64" i="177"/>
  <c r="O64" i="177"/>
  <c r="J64" i="177"/>
  <c r="BW63" i="177"/>
  <c r="BS63" i="177"/>
  <c r="BO63" i="177"/>
  <c r="BK63" i="177"/>
  <c r="BG63" i="177"/>
  <c r="BC63" i="177"/>
  <c r="AY63" i="177"/>
  <c r="AU63" i="177"/>
  <c r="AQ63" i="177"/>
  <c r="AM63" i="177"/>
  <c r="AI63" i="177"/>
  <c r="AE63" i="177"/>
  <c r="AA63" i="177"/>
  <c r="W63" i="177"/>
  <c r="S63" i="177"/>
  <c r="O63" i="177"/>
  <c r="J63" i="177"/>
  <c r="BW62" i="177"/>
  <c r="BS62" i="177"/>
  <c r="BO62" i="177"/>
  <c r="BK62" i="177"/>
  <c r="BG62" i="177"/>
  <c r="BC62" i="177"/>
  <c r="AY62" i="177"/>
  <c r="AU62" i="177"/>
  <c r="AQ62" i="177"/>
  <c r="AM62" i="177"/>
  <c r="AI62" i="177"/>
  <c r="AE62" i="177"/>
  <c r="AA62" i="177"/>
  <c r="W62" i="177"/>
  <c r="S62" i="177"/>
  <c r="O62" i="177"/>
  <c r="J62" i="177"/>
  <c r="BW61" i="177"/>
  <c r="BS61" i="177"/>
  <c r="BO61" i="177"/>
  <c r="BK61" i="177"/>
  <c r="BG61" i="177"/>
  <c r="BC61" i="177"/>
  <c r="AY61" i="177"/>
  <c r="AU61" i="177"/>
  <c r="AQ61" i="177"/>
  <c r="AM61" i="177"/>
  <c r="AI61" i="177"/>
  <c r="AE61" i="177"/>
  <c r="AA61" i="177"/>
  <c r="W61" i="177"/>
  <c r="S61" i="177"/>
  <c r="O61" i="177"/>
  <c r="J61" i="177"/>
  <c r="BW60" i="177"/>
  <c r="BS60" i="177"/>
  <c r="BO60" i="177"/>
  <c r="BK60" i="177"/>
  <c r="BG60" i="177"/>
  <c r="BC60" i="177"/>
  <c r="AY60" i="177"/>
  <c r="AU60" i="177"/>
  <c r="AQ60" i="177"/>
  <c r="AM60" i="177"/>
  <c r="AI60" i="177"/>
  <c r="AE60" i="177"/>
  <c r="AA60" i="177"/>
  <c r="W60" i="177"/>
  <c r="S60" i="177"/>
  <c r="O60" i="177"/>
  <c r="J60" i="177"/>
  <c r="BW59" i="177"/>
  <c r="BS59" i="177"/>
  <c r="BO59" i="177"/>
  <c r="BK59" i="177"/>
  <c r="BG59" i="177"/>
  <c r="BC59" i="177"/>
  <c r="AY59" i="177"/>
  <c r="AU59" i="177"/>
  <c r="AQ59" i="177"/>
  <c r="AM59" i="177"/>
  <c r="AI59" i="177"/>
  <c r="AE59" i="177"/>
  <c r="AA59" i="177"/>
  <c r="W59" i="177"/>
  <c r="S59" i="177"/>
  <c r="O59" i="177"/>
  <c r="J59" i="177"/>
  <c r="BW58" i="177"/>
  <c r="BS58" i="177"/>
  <c r="BO58" i="177"/>
  <c r="BK58" i="177"/>
  <c r="BG58" i="177"/>
  <c r="BC58" i="177"/>
  <c r="AY58" i="177"/>
  <c r="AU58" i="177"/>
  <c r="AQ58" i="177"/>
  <c r="AM58" i="177"/>
  <c r="AI58" i="177"/>
  <c r="AE58" i="177"/>
  <c r="AA58" i="177"/>
  <c r="W58" i="177"/>
  <c r="S58" i="177"/>
  <c r="O58" i="177"/>
  <c r="J58" i="177"/>
  <c r="BW57" i="177"/>
  <c r="BS57" i="177"/>
  <c r="BO57" i="177"/>
  <c r="BK57" i="177"/>
  <c r="BG57" i="177"/>
  <c r="BC57" i="177"/>
  <c r="AY57" i="177"/>
  <c r="AU57" i="177"/>
  <c r="AQ57" i="177"/>
  <c r="AM57" i="177"/>
  <c r="AI57" i="177"/>
  <c r="AE57" i="177"/>
  <c r="AA57" i="177"/>
  <c r="W57" i="177"/>
  <c r="S57" i="177"/>
  <c r="O57" i="177"/>
  <c r="J57" i="177"/>
  <c r="BW56" i="177"/>
  <c r="BS56" i="177"/>
  <c r="BO56" i="177"/>
  <c r="BK56" i="177"/>
  <c r="BG56" i="177"/>
  <c r="BC56" i="177"/>
  <c r="AY56" i="177"/>
  <c r="AU56" i="177"/>
  <c r="AQ56" i="177"/>
  <c r="AM56" i="177"/>
  <c r="AI56" i="177"/>
  <c r="AE56" i="177"/>
  <c r="AA56" i="177"/>
  <c r="W56" i="177"/>
  <c r="S56" i="177"/>
  <c r="O56" i="177"/>
  <c r="J56" i="177"/>
  <c r="BW55" i="177"/>
  <c r="BS55" i="177"/>
  <c r="BO55" i="177"/>
  <c r="BK55" i="177"/>
  <c r="BG55" i="177"/>
  <c r="BC55" i="177"/>
  <c r="AY55" i="177"/>
  <c r="AU55" i="177"/>
  <c r="AQ55" i="177"/>
  <c r="AM55" i="177"/>
  <c r="AI55" i="177"/>
  <c r="AE55" i="177"/>
  <c r="AA55" i="177"/>
  <c r="W55" i="177"/>
  <c r="S55" i="177"/>
  <c r="O55" i="177"/>
  <c r="J55" i="177"/>
  <c r="BW54" i="177"/>
  <c r="BS54" i="177"/>
  <c r="BO54" i="177"/>
  <c r="BK54" i="177"/>
  <c r="BG54" i="177"/>
  <c r="BC54" i="177"/>
  <c r="AY54" i="177"/>
  <c r="AU54" i="177"/>
  <c r="AQ54" i="177"/>
  <c r="AM54" i="177"/>
  <c r="AI54" i="177"/>
  <c r="AE54" i="177"/>
  <c r="AA54" i="177"/>
  <c r="W54" i="177"/>
  <c r="S54" i="177"/>
  <c r="O54" i="177"/>
  <c r="J54" i="177"/>
  <c r="BW53" i="177"/>
  <c r="BS53" i="177"/>
  <c r="BO53" i="177"/>
  <c r="BK53" i="177"/>
  <c r="BG53" i="177"/>
  <c r="BC53" i="177"/>
  <c r="AY53" i="177"/>
  <c r="AU53" i="177"/>
  <c r="AQ53" i="177"/>
  <c r="AM53" i="177"/>
  <c r="AI53" i="177"/>
  <c r="AE53" i="177"/>
  <c r="AA53" i="177"/>
  <c r="W53" i="177"/>
  <c r="S53" i="177"/>
  <c r="O53" i="177"/>
  <c r="J53" i="177"/>
  <c r="BW52" i="177"/>
  <c r="BS52" i="177"/>
  <c r="BO52" i="177"/>
  <c r="BK52" i="177"/>
  <c r="BG52" i="177"/>
  <c r="BC52" i="177"/>
  <c r="AY52" i="177"/>
  <c r="AU52" i="177"/>
  <c r="AQ52" i="177"/>
  <c r="AM52" i="177"/>
  <c r="AI52" i="177"/>
  <c r="AE52" i="177"/>
  <c r="AA52" i="177"/>
  <c r="W52" i="177"/>
  <c r="S52" i="177"/>
  <c r="O52" i="177"/>
  <c r="J52" i="177"/>
  <c r="BW51" i="177"/>
  <c r="BS51" i="177"/>
  <c r="BO51" i="177"/>
  <c r="BK51" i="177"/>
  <c r="BG51" i="177"/>
  <c r="BC51" i="177"/>
  <c r="AY51" i="177"/>
  <c r="AU51" i="177"/>
  <c r="AQ51" i="177"/>
  <c r="AM51" i="177"/>
  <c r="AI51" i="177"/>
  <c r="AE51" i="177"/>
  <c r="AA51" i="177"/>
  <c r="W51" i="177"/>
  <c r="S51" i="177"/>
  <c r="O51" i="177"/>
  <c r="J51" i="177"/>
  <c r="BW50" i="177"/>
  <c r="BS50" i="177"/>
  <c r="BO50" i="177"/>
  <c r="BK50" i="177"/>
  <c r="BG50" i="177"/>
  <c r="BC50" i="177"/>
  <c r="AY50" i="177"/>
  <c r="AU50" i="177"/>
  <c r="AQ50" i="177"/>
  <c r="AM50" i="177"/>
  <c r="AI50" i="177"/>
  <c r="AE50" i="177"/>
  <c r="AA50" i="177"/>
  <c r="W50" i="177"/>
  <c r="S50" i="177"/>
  <c r="O50" i="177"/>
  <c r="J50" i="177"/>
  <c r="BW49" i="177"/>
  <c r="BS49" i="177"/>
  <c r="BO49" i="177"/>
  <c r="BK49" i="177"/>
  <c r="BG49" i="177"/>
  <c r="BC49" i="177"/>
  <c r="AY49" i="177"/>
  <c r="AU49" i="177"/>
  <c r="AQ49" i="177"/>
  <c r="AM49" i="177"/>
  <c r="AI49" i="177"/>
  <c r="AE49" i="177"/>
  <c r="AA49" i="177"/>
  <c r="W49" i="177"/>
  <c r="S49" i="177"/>
  <c r="O49" i="177"/>
  <c r="J49" i="177"/>
  <c r="BW48" i="177"/>
  <c r="BS48" i="177"/>
  <c r="BO48" i="177"/>
  <c r="BK48" i="177"/>
  <c r="BG48" i="177"/>
  <c r="BC48" i="177"/>
  <c r="AY48" i="177"/>
  <c r="AU48" i="177"/>
  <c r="AQ48" i="177"/>
  <c r="AM48" i="177"/>
  <c r="AI48" i="177"/>
  <c r="AE48" i="177"/>
  <c r="AA48" i="177"/>
  <c r="W48" i="177"/>
  <c r="S48" i="177"/>
  <c r="O48" i="177"/>
  <c r="J48" i="177"/>
  <c r="BW47" i="177"/>
  <c r="BS47" i="177"/>
  <c r="BO47" i="177"/>
  <c r="BK47" i="177"/>
  <c r="BG47" i="177"/>
  <c r="BC47" i="177"/>
  <c r="AY47" i="177"/>
  <c r="AU47" i="177"/>
  <c r="AQ47" i="177"/>
  <c r="AM47" i="177"/>
  <c r="AI47" i="177"/>
  <c r="AE47" i="177"/>
  <c r="AA47" i="177"/>
  <c r="W47" i="177"/>
  <c r="S47" i="177"/>
  <c r="O47" i="177"/>
  <c r="J47" i="177"/>
  <c r="BW46" i="177"/>
  <c r="BS46" i="177"/>
  <c r="BO46" i="177"/>
  <c r="BK46" i="177"/>
  <c r="BG46" i="177"/>
  <c r="BC46" i="177"/>
  <c r="AY46" i="177"/>
  <c r="AU46" i="177"/>
  <c r="AQ46" i="177"/>
  <c r="AM46" i="177"/>
  <c r="AI46" i="177"/>
  <c r="AE46" i="177"/>
  <c r="AA46" i="177"/>
  <c r="W46" i="177"/>
  <c r="S46" i="177"/>
  <c r="O46" i="177"/>
  <c r="J46" i="177"/>
  <c r="BW45" i="177"/>
  <c r="BS45" i="177"/>
  <c r="BO45" i="177"/>
  <c r="BK45" i="177"/>
  <c r="BG45" i="177"/>
  <c r="BC45" i="177"/>
  <c r="AY45" i="177"/>
  <c r="AU45" i="177"/>
  <c r="AQ45" i="177"/>
  <c r="AM45" i="177"/>
  <c r="AI45" i="177"/>
  <c r="AE45" i="177"/>
  <c r="AA45" i="177"/>
  <c r="W45" i="177"/>
  <c r="S45" i="177"/>
  <c r="O45" i="177"/>
  <c r="J45" i="177"/>
  <c r="BW44" i="177"/>
  <c r="BS44" i="177"/>
  <c r="BO44" i="177"/>
  <c r="BK44" i="177"/>
  <c r="BG44" i="177"/>
  <c r="BC44" i="177"/>
  <c r="AY44" i="177"/>
  <c r="AU44" i="177"/>
  <c r="AQ44" i="177"/>
  <c r="AM44" i="177"/>
  <c r="AI44" i="177"/>
  <c r="AE44" i="177"/>
  <c r="AA44" i="177"/>
  <c r="W44" i="177"/>
  <c r="S44" i="177"/>
  <c r="O44" i="177"/>
  <c r="J44" i="177"/>
  <c r="BW43" i="177"/>
  <c r="BS43" i="177"/>
  <c r="BO43" i="177"/>
  <c r="BK43" i="177"/>
  <c r="BG43" i="177"/>
  <c r="BC43" i="177"/>
  <c r="AY43" i="177"/>
  <c r="AU43" i="177"/>
  <c r="AQ43" i="177"/>
  <c r="AM43" i="177"/>
  <c r="AI43" i="177"/>
  <c r="AE43" i="177"/>
  <c r="AA43" i="177"/>
  <c r="W43" i="177"/>
  <c r="S43" i="177"/>
  <c r="O43" i="177"/>
  <c r="J43" i="177"/>
  <c r="BW42" i="177"/>
  <c r="BS42" i="177"/>
  <c r="BO42" i="177"/>
  <c r="BK42" i="177"/>
  <c r="BG42" i="177"/>
  <c r="BC42" i="177"/>
  <c r="AY42" i="177"/>
  <c r="AU42" i="177"/>
  <c r="AQ42" i="177"/>
  <c r="AM42" i="177"/>
  <c r="AI42" i="177"/>
  <c r="AE42" i="177"/>
  <c r="AA42" i="177"/>
  <c r="W42" i="177"/>
  <c r="S42" i="177"/>
  <c r="O42" i="177"/>
  <c r="J42" i="177"/>
  <c r="BW41" i="177"/>
  <c r="BS41" i="177"/>
  <c r="BO41" i="177"/>
  <c r="BK41" i="177"/>
  <c r="BG41" i="177"/>
  <c r="BC41" i="177"/>
  <c r="AY41" i="177"/>
  <c r="AU41" i="177"/>
  <c r="AQ41" i="177"/>
  <c r="AM41" i="177"/>
  <c r="AI41" i="177"/>
  <c r="AE41" i="177"/>
  <c r="AA41" i="177"/>
  <c r="W41" i="177"/>
  <c r="S41" i="177"/>
  <c r="O41" i="177"/>
  <c r="J41" i="177"/>
  <c r="BW40" i="177"/>
  <c r="BS40" i="177"/>
  <c r="BO40" i="177"/>
  <c r="BK40" i="177"/>
  <c r="BG40" i="177"/>
  <c r="BC40" i="177"/>
  <c r="AY40" i="177"/>
  <c r="AU40" i="177"/>
  <c r="AQ40" i="177"/>
  <c r="AM40" i="177"/>
  <c r="AI40" i="177"/>
  <c r="AE40" i="177"/>
  <c r="AA40" i="177"/>
  <c r="W40" i="177"/>
  <c r="S40" i="177"/>
  <c r="O40" i="177"/>
  <c r="J40" i="177"/>
  <c r="BW39" i="177"/>
  <c r="BS39" i="177"/>
  <c r="BO39" i="177"/>
  <c r="BK39" i="177"/>
  <c r="BG39" i="177"/>
  <c r="BC39" i="177"/>
  <c r="AY39" i="177"/>
  <c r="AU39" i="177"/>
  <c r="AQ39" i="177"/>
  <c r="AM39" i="177"/>
  <c r="AI39" i="177"/>
  <c r="AE39" i="177"/>
  <c r="AA39" i="177"/>
  <c r="W39" i="177"/>
  <c r="S39" i="177"/>
  <c r="O39" i="177"/>
  <c r="J39" i="177"/>
  <c r="BW38" i="177"/>
  <c r="BS38" i="177"/>
  <c r="BO38" i="177"/>
  <c r="BK38" i="177"/>
  <c r="BG38" i="177"/>
  <c r="BC38" i="177"/>
  <c r="AY38" i="177"/>
  <c r="AU38" i="177"/>
  <c r="AQ38" i="177"/>
  <c r="AM38" i="177"/>
  <c r="AI38" i="177"/>
  <c r="AE38" i="177"/>
  <c r="AA38" i="177"/>
  <c r="W38" i="177"/>
  <c r="S38" i="177"/>
  <c r="O38" i="177"/>
  <c r="J38" i="177"/>
  <c r="BW37" i="177"/>
  <c r="BS37" i="177"/>
  <c r="BO37" i="177"/>
  <c r="BK37" i="177"/>
  <c r="BG37" i="177"/>
  <c r="BC37" i="177"/>
  <c r="AY37" i="177"/>
  <c r="AU37" i="177"/>
  <c r="AQ37" i="177"/>
  <c r="AM37" i="177"/>
  <c r="AI37" i="177"/>
  <c r="AE37" i="177"/>
  <c r="AA37" i="177"/>
  <c r="W37" i="177"/>
  <c r="S37" i="177"/>
  <c r="O37" i="177"/>
  <c r="J37" i="177"/>
  <c r="BW36" i="177"/>
  <c r="BS36" i="177"/>
  <c r="BO36" i="177"/>
  <c r="BK36" i="177"/>
  <c r="BG36" i="177"/>
  <c r="BC36" i="177"/>
  <c r="AY36" i="177"/>
  <c r="AU36" i="177"/>
  <c r="AQ36" i="177"/>
  <c r="AM36" i="177"/>
  <c r="AI36" i="177"/>
  <c r="AE36" i="177"/>
  <c r="AA36" i="177"/>
  <c r="W36" i="177"/>
  <c r="S36" i="177"/>
  <c r="O36" i="177"/>
  <c r="J36" i="177"/>
  <c r="BW35" i="177"/>
  <c r="BS35" i="177"/>
  <c r="BO35" i="177"/>
  <c r="BK35" i="177"/>
  <c r="BG35" i="177"/>
  <c r="BC35" i="177"/>
  <c r="AY35" i="177"/>
  <c r="AU35" i="177"/>
  <c r="AQ35" i="177"/>
  <c r="AM35" i="177"/>
  <c r="AI35" i="177"/>
  <c r="AE35" i="177"/>
  <c r="AA35" i="177"/>
  <c r="W35" i="177"/>
  <c r="S35" i="177"/>
  <c r="O35" i="177"/>
  <c r="J35" i="177"/>
  <c r="BW34" i="177"/>
  <c r="BS34" i="177"/>
  <c r="BO34" i="177"/>
  <c r="BK34" i="177"/>
  <c r="BG34" i="177"/>
  <c r="BC34" i="177"/>
  <c r="AY34" i="177"/>
  <c r="AU34" i="177"/>
  <c r="AQ34" i="177"/>
  <c r="AM34" i="177"/>
  <c r="AI34" i="177"/>
  <c r="AE34" i="177"/>
  <c r="AA34" i="177"/>
  <c r="W34" i="177"/>
  <c r="S34" i="177"/>
  <c r="O34" i="177"/>
  <c r="J34" i="177"/>
  <c r="BW33" i="177"/>
  <c r="BS33" i="177"/>
  <c r="BO33" i="177"/>
  <c r="BK33" i="177"/>
  <c r="BG33" i="177"/>
  <c r="BC33" i="177"/>
  <c r="AY33" i="177"/>
  <c r="AU33" i="177"/>
  <c r="AQ33" i="177"/>
  <c r="AM33" i="177"/>
  <c r="AI33" i="177"/>
  <c r="AE33" i="177"/>
  <c r="AA33" i="177"/>
  <c r="W33" i="177"/>
  <c r="S33" i="177"/>
  <c r="O33" i="177"/>
  <c r="J33" i="177"/>
  <c r="BW32" i="177"/>
  <c r="BS32" i="177"/>
  <c r="BO32" i="177"/>
  <c r="BK32" i="177"/>
  <c r="BG32" i="177"/>
  <c r="BC32" i="177"/>
  <c r="AY32" i="177"/>
  <c r="AU32" i="177"/>
  <c r="AQ32" i="177"/>
  <c r="AM32" i="177"/>
  <c r="AI32" i="177"/>
  <c r="AE32" i="177"/>
  <c r="AA32" i="177"/>
  <c r="W32" i="177"/>
  <c r="S32" i="177"/>
  <c r="O32" i="177"/>
  <c r="J32" i="177"/>
  <c r="BW31" i="177"/>
  <c r="BS31" i="177"/>
  <c r="BO31" i="177"/>
  <c r="BK31" i="177"/>
  <c r="BG31" i="177"/>
  <c r="BC31" i="177"/>
  <c r="AY31" i="177"/>
  <c r="AU31" i="177"/>
  <c r="AQ31" i="177"/>
  <c r="AM31" i="177"/>
  <c r="AI31" i="177"/>
  <c r="AE31" i="177"/>
  <c r="AA31" i="177"/>
  <c r="W31" i="177"/>
  <c r="S31" i="177"/>
  <c r="O31" i="177"/>
  <c r="J31" i="177"/>
  <c r="BW30" i="177"/>
  <c r="BS30" i="177"/>
  <c r="BO30" i="177"/>
  <c r="BK30" i="177"/>
  <c r="BG30" i="177"/>
  <c r="BC30" i="177"/>
  <c r="AY30" i="177"/>
  <c r="AU30" i="177"/>
  <c r="AQ30" i="177"/>
  <c r="AM30" i="177"/>
  <c r="AI30" i="177"/>
  <c r="AE30" i="177"/>
  <c r="AA30" i="177"/>
  <c r="W30" i="177"/>
  <c r="S30" i="177"/>
  <c r="O30" i="177"/>
  <c r="J30" i="177"/>
  <c r="BW29" i="177"/>
  <c r="BS29" i="177"/>
  <c r="BO29" i="177"/>
  <c r="BK29" i="177"/>
  <c r="BG29" i="177"/>
  <c r="BC29" i="177"/>
  <c r="AY29" i="177"/>
  <c r="AU29" i="177"/>
  <c r="AQ29" i="177"/>
  <c r="AM29" i="177"/>
  <c r="AI29" i="177"/>
  <c r="AE29" i="177"/>
  <c r="AA29" i="177"/>
  <c r="W29" i="177"/>
  <c r="S29" i="177"/>
  <c r="O29" i="177"/>
  <c r="J29" i="177"/>
  <c r="BW28" i="177"/>
  <c r="BS28" i="177"/>
  <c r="BO28" i="177"/>
  <c r="BK28" i="177"/>
  <c r="BG28" i="177"/>
  <c r="BC28" i="177"/>
  <c r="AY28" i="177"/>
  <c r="AU28" i="177"/>
  <c r="AQ28" i="177"/>
  <c r="AM28" i="177"/>
  <c r="AI28" i="177"/>
  <c r="AE28" i="177"/>
  <c r="AA28" i="177"/>
  <c r="W28" i="177"/>
  <c r="S28" i="177"/>
  <c r="O28" i="177"/>
  <c r="J28" i="177"/>
  <c r="BW27" i="177"/>
  <c r="BS27" i="177"/>
  <c r="BO27" i="177"/>
  <c r="BK27" i="177"/>
  <c r="BG27" i="177"/>
  <c r="BC27" i="177"/>
  <c r="AY27" i="177"/>
  <c r="AU27" i="177"/>
  <c r="AQ27" i="177"/>
  <c r="AM27" i="177"/>
  <c r="AI27" i="177"/>
  <c r="AE27" i="177"/>
  <c r="AA27" i="177"/>
  <c r="W27" i="177"/>
  <c r="S27" i="177"/>
  <c r="O27" i="177"/>
  <c r="J27" i="177"/>
  <c r="BW26" i="177"/>
  <c r="BS26" i="177"/>
  <c r="BO26" i="177"/>
  <c r="BK26" i="177"/>
  <c r="BG26" i="177"/>
  <c r="BC26" i="177"/>
  <c r="AY26" i="177"/>
  <c r="AU26" i="177"/>
  <c r="AQ26" i="177"/>
  <c r="AM26" i="177"/>
  <c r="AI26" i="177"/>
  <c r="AE26" i="177"/>
  <c r="AA26" i="177"/>
  <c r="W26" i="177"/>
  <c r="S26" i="177"/>
  <c r="O26" i="177"/>
  <c r="J26" i="177"/>
  <c r="BW25" i="177"/>
  <c r="BS25" i="177"/>
  <c r="BO25" i="177"/>
  <c r="BK25" i="177"/>
  <c r="BG25" i="177"/>
  <c r="BC25" i="177"/>
  <c r="AY25" i="177"/>
  <c r="AU25" i="177"/>
  <c r="AQ25" i="177"/>
  <c r="AM25" i="177"/>
  <c r="AI25" i="177"/>
  <c r="AE25" i="177"/>
  <c r="AA25" i="177"/>
  <c r="W25" i="177"/>
  <c r="S25" i="177"/>
  <c r="O25" i="177"/>
  <c r="J25" i="177"/>
  <c r="BW24" i="177"/>
  <c r="BS24" i="177"/>
  <c r="BO24" i="177"/>
  <c r="BK24" i="177"/>
  <c r="BG24" i="177"/>
  <c r="BC24" i="177"/>
  <c r="AY24" i="177"/>
  <c r="AU24" i="177"/>
  <c r="AQ24" i="177"/>
  <c r="AM24" i="177"/>
  <c r="AI24" i="177"/>
  <c r="AE24" i="177"/>
  <c r="AA24" i="177"/>
  <c r="W24" i="177"/>
  <c r="S24" i="177"/>
  <c r="O24" i="177"/>
  <c r="J24" i="177"/>
  <c r="BW23" i="177"/>
  <c r="BS23" i="177"/>
  <c r="BO23" i="177"/>
  <c r="BK23" i="177"/>
  <c r="BG23" i="177"/>
  <c r="BC23" i="177"/>
  <c r="AY23" i="177"/>
  <c r="AU23" i="177"/>
  <c r="AQ23" i="177"/>
  <c r="AM23" i="177"/>
  <c r="AI23" i="177"/>
  <c r="AE23" i="177"/>
  <c r="AA23" i="177"/>
  <c r="W23" i="177"/>
  <c r="S23" i="177"/>
  <c r="O23" i="177"/>
  <c r="J23" i="177"/>
  <c r="BW22" i="177"/>
  <c r="BS22" i="177"/>
  <c r="BO22" i="177"/>
  <c r="BK22" i="177"/>
  <c r="BG22" i="177"/>
  <c r="BC22" i="177"/>
  <c r="AY22" i="177"/>
  <c r="AU22" i="177"/>
  <c r="AQ22" i="177"/>
  <c r="AM22" i="177"/>
  <c r="AI22" i="177"/>
  <c r="AE22" i="177"/>
  <c r="AA22" i="177"/>
  <c r="W22" i="177"/>
  <c r="S22" i="177"/>
  <c r="O22" i="177"/>
  <c r="J22" i="177"/>
  <c r="BW21" i="177"/>
  <c r="BS21" i="177"/>
  <c r="BO21" i="177"/>
  <c r="BK21" i="177"/>
  <c r="BG21" i="177"/>
  <c r="BC21" i="177"/>
  <c r="AY21" i="177"/>
  <c r="AU21" i="177"/>
  <c r="AQ21" i="177"/>
  <c r="AM21" i="177"/>
  <c r="AI21" i="177"/>
  <c r="AE21" i="177"/>
  <c r="AA21" i="177"/>
  <c r="W21" i="177"/>
  <c r="S21" i="177"/>
  <c r="O21" i="177"/>
  <c r="J21" i="177"/>
  <c r="BW20" i="177"/>
  <c r="BS20" i="177"/>
  <c r="BO20" i="177"/>
  <c r="BK20" i="177"/>
  <c r="BG20" i="177"/>
  <c r="BC20" i="177"/>
  <c r="AY20" i="177"/>
  <c r="AU20" i="177"/>
  <c r="AQ20" i="177"/>
  <c r="AM20" i="177"/>
  <c r="AI20" i="177"/>
  <c r="AE20" i="177"/>
  <c r="AA20" i="177"/>
  <c r="W20" i="177"/>
  <c r="S20" i="177"/>
  <c r="O20" i="177"/>
  <c r="J20" i="177"/>
  <c r="BW19" i="177"/>
  <c r="BS19" i="177"/>
  <c r="BO19" i="177"/>
  <c r="BK19" i="177"/>
  <c r="BG19" i="177"/>
  <c r="BC19" i="177"/>
  <c r="AY19" i="177"/>
  <c r="AU19" i="177"/>
  <c r="AQ19" i="177"/>
  <c r="AM19" i="177"/>
  <c r="AI19" i="177"/>
  <c r="AE19" i="177"/>
  <c r="AA19" i="177"/>
  <c r="W19" i="177"/>
  <c r="S19" i="177"/>
  <c r="O19" i="177"/>
  <c r="J19" i="177"/>
  <c r="BW18" i="177"/>
  <c r="BS18" i="177"/>
  <c r="BO18" i="177"/>
  <c r="BK18" i="177"/>
  <c r="BG18" i="177"/>
  <c r="BC18" i="177"/>
  <c r="AY18" i="177"/>
  <c r="AU18" i="177"/>
  <c r="AQ18" i="177"/>
  <c r="AM18" i="177"/>
  <c r="AI18" i="177"/>
  <c r="AE18" i="177"/>
  <c r="AA18" i="177"/>
  <c r="W18" i="177"/>
  <c r="S18" i="177"/>
  <c r="O18" i="177"/>
  <c r="J18" i="177"/>
  <c r="BW17" i="177"/>
  <c r="BS17" i="177"/>
  <c r="BO17" i="177"/>
  <c r="BK17" i="177"/>
  <c r="BG17" i="177"/>
  <c r="BC17" i="177"/>
  <c r="AY17" i="177"/>
  <c r="AU17" i="177"/>
  <c r="AQ17" i="177"/>
  <c r="AM17" i="177"/>
  <c r="AI17" i="177"/>
  <c r="AE17" i="177"/>
  <c r="AA17" i="177"/>
  <c r="W17" i="177"/>
  <c r="S17" i="177"/>
  <c r="O17" i="177"/>
  <c r="J17" i="177"/>
  <c r="BW16" i="177"/>
  <c r="BS16" i="177"/>
  <c r="BO16" i="177"/>
  <c r="BK16" i="177"/>
  <c r="BG16" i="177"/>
  <c r="BC16" i="177"/>
  <c r="AY16" i="177"/>
  <c r="AU16" i="177"/>
  <c r="AQ16" i="177"/>
  <c r="AM16" i="177"/>
  <c r="AI16" i="177"/>
  <c r="AE16" i="177"/>
  <c r="AA16" i="177"/>
  <c r="W16" i="177"/>
  <c r="S16" i="177"/>
  <c r="O16" i="177"/>
  <c r="J16" i="177"/>
  <c r="BW15" i="177"/>
  <c r="BS15" i="177"/>
  <c r="BO15" i="177"/>
  <c r="BK15" i="177"/>
  <c r="BG15" i="177"/>
  <c r="BC15" i="177"/>
  <c r="AY15" i="177"/>
  <c r="AU15" i="177"/>
  <c r="AQ15" i="177"/>
  <c r="AM15" i="177"/>
  <c r="AI15" i="177"/>
  <c r="AE15" i="177"/>
  <c r="AA15" i="177"/>
  <c r="W15" i="177"/>
  <c r="S15" i="177"/>
  <c r="O15" i="177"/>
  <c r="J15" i="177"/>
  <c r="BW14" i="177"/>
  <c r="BS14" i="177"/>
  <c r="BO14" i="177"/>
  <c r="BK14" i="177"/>
  <c r="BG14" i="177"/>
  <c r="BC14" i="177"/>
  <c r="AY14" i="177"/>
  <c r="AU14" i="177"/>
  <c r="AQ14" i="177"/>
  <c r="AM14" i="177"/>
  <c r="AI14" i="177"/>
  <c r="AE14" i="177"/>
  <c r="AA14" i="177"/>
  <c r="W14" i="177"/>
  <c r="S14" i="177"/>
  <c r="O14" i="177"/>
  <c r="J14" i="177"/>
  <c r="BW13" i="177"/>
  <c r="BS13" i="177"/>
  <c r="BO13" i="177"/>
  <c r="BK13" i="177"/>
  <c r="BG13" i="177"/>
  <c r="BC13" i="177"/>
  <c r="AY13" i="177"/>
  <c r="AU13" i="177"/>
  <c r="AQ13" i="177"/>
  <c r="AM13" i="177"/>
  <c r="AI13" i="177"/>
  <c r="AE13" i="177"/>
  <c r="AA13" i="177"/>
  <c r="W13" i="177"/>
  <c r="S13" i="177"/>
  <c r="O13" i="177"/>
  <c r="J13" i="177"/>
  <c r="BW12" i="177"/>
  <c r="BS12" i="177"/>
  <c r="BO12" i="177"/>
  <c r="BK12" i="177"/>
  <c r="BG12" i="177"/>
  <c r="BC12" i="177"/>
  <c r="AY12" i="177"/>
  <c r="AU12" i="177"/>
  <c r="AQ12" i="177"/>
  <c r="AM12" i="177"/>
  <c r="AI12" i="177"/>
  <c r="AE12" i="177"/>
  <c r="AA12" i="177"/>
  <c r="W12" i="177"/>
  <c r="S12" i="177"/>
  <c r="O12" i="177"/>
  <c r="J12" i="177"/>
  <c r="BW11" i="177"/>
  <c r="BS11" i="177"/>
  <c r="BO11" i="177"/>
  <c r="BK11" i="177"/>
  <c r="BG11" i="177"/>
  <c r="BC11" i="177"/>
  <c r="AY11" i="177"/>
  <c r="AU11" i="177"/>
  <c r="AQ11" i="177"/>
  <c r="AM11" i="177"/>
  <c r="AI11" i="177"/>
  <c r="AE11" i="177"/>
  <c r="AA11" i="177"/>
  <c r="W11" i="177"/>
  <c r="S11" i="177"/>
  <c r="O11" i="177"/>
  <c r="J11" i="177"/>
  <c r="BW10" i="177"/>
  <c r="BS10" i="177"/>
  <c r="BO10" i="177"/>
  <c r="BK10" i="177"/>
  <c r="BG10" i="177"/>
  <c r="BC10" i="177"/>
  <c r="AY10" i="177"/>
  <c r="AU10" i="177"/>
  <c r="AQ10" i="177"/>
  <c r="AM10" i="177"/>
  <c r="AI10" i="177"/>
  <c r="AE10" i="177"/>
  <c r="AA10" i="177"/>
  <c r="W10" i="177"/>
  <c r="S10" i="177"/>
  <c r="O10" i="177"/>
  <c r="J10" i="177"/>
  <c r="BW9" i="177"/>
  <c r="BS9" i="177"/>
  <c r="BO9" i="177"/>
  <c r="BK9" i="177"/>
  <c r="BG9" i="177"/>
  <c r="BC9" i="177"/>
  <c r="AY9" i="177"/>
  <c r="AU9" i="177"/>
  <c r="AQ9" i="177"/>
  <c r="AM9" i="177"/>
  <c r="AI9" i="177"/>
  <c r="AE9" i="177"/>
  <c r="AA9" i="177"/>
  <c r="W9" i="177"/>
  <c r="S9" i="177"/>
  <c r="O9" i="177"/>
  <c r="J9" i="177"/>
  <c r="BW8" i="177"/>
  <c r="BS8" i="177"/>
  <c r="BO8" i="177"/>
  <c r="BK8" i="177"/>
  <c r="BG8" i="177"/>
  <c r="BC8" i="177"/>
  <c r="AY8" i="177"/>
  <c r="AU8" i="177"/>
  <c r="AQ8" i="177"/>
  <c r="AM8" i="177"/>
  <c r="AI8" i="177"/>
  <c r="AE8" i="177"/>
  <c r="AA8" i="177"/>
  <c r="W8" i="177"/>
  <c r="S8" i="177"/>
  <c r="O8" i="177"/>
  <c r="J8" i="177"/>
  <c r="BW7" i="177"/>
  <c r="BS7" i="177"/>
  <c r="BO7" i="177"/>
  <c r="BK7" i="177"/>
  <c r="BG7" i="177"/>
  <c r="BC7" i="177"/>
  <c r="AY7" i="177"/>
  <c r="AU7" i="177"/>
  <c r="AQ7" i="177"/>
  <c r="AM7" i="177"/>
  <c r="AI7" i="177"/>
  <c r="AE7" i="177"/>
  <c r="AA7" i="177"/>
  <c r="W7" i="177"/>
  <c r="S7" i="177"/>
  <c r="O7" i="177"/>
  <c r="J7" i="177"/>
  <c r="BV6" i="177"/>
  <c r="BW6" i="177" s="1"/>
  <c r="BU6" i="177"/>
  <c r="BT6" i="177"/>
  <c r="AX6" i="177"/>
  <c r="AY6" i="177" s="1"/>
  <c r="AV6" i="177"/>
  <c r="AT6" i="177"/>
  <c r="AU6" i="177" s="1"/>
  <c r="AK6" i="177"/>
  <c r="AC6" i="177"/>
  <c r="AB6" i="177"/>
  <c r="V6" i="177"/>
  <c r="W6" i="177" s="1"/>
  <c r="BT5" i="177"/>
  <c r="BP5" i="177"/>
  <c r="AV5" i="177"/>
  <c r="AB5" i="177"/>
  <c r="BT4" i="177"/>
  <c r="BS4" i="177"/>
  <c r="BP4" i="177"/>
  <c r="BO4" i="177"/>
  <c r="BQ6" i="177" s="1"/>
  <c r="BK4" i="177"/>
  <c r="BL5" i="177" s="1"/>
  <c r="BH4" i="177"/>
  <c r="BG4" i="177"/>
  <c r="BH5" i="177" s="1"/>
  <c r="BC4" i="177"/>
  <c r="BD4" i="177" s="1"/>
  <c r="AY4" i="177"/>
  <c r="AZ5" i="177" s="1"/>
  <c r="AV4" i="177"/>
  <c r="AU4" i="177"/>
  <c r="AW6" i="177" s="1"/>
  <c r="AR4" i="177"/>
  <c r="AQ4" i="177"/>
  <c r="AS6" i="177" s="1"/>
  <c r="AM4" i="177"/>
  <c r="AP6" i="177" s="1"/>
  <c r="AQ6" i="177" s="1"/>
  <c r="AI4" i="177"/>
  <c r="AL6" i="177" s="1"/>
  <c r="AM6" i="177" s="1"/>
  <c r="AE4" i="177"/>
  <c r="AF4" i="177" s="1"/>
  <c r="AB4" i="177"/>
  <c r="AA4" i="177"/>
  <c r="AD6" i="177" s="1"/>
  <c r="AE6" i="177" s="1"/>
  <c r="W4" i="177"/>
  <c r="X4" i="177" s="1"/>
  <c r="T4" i="177"/>
  <c r="S4" i="177"/>
  <c r="U6" i="177" s="1"/>
  <c r="O4" i="177"/>
  <c r="P5" i="177" s="1"/>
  <c r="K4" i="177"/>
  <c r="L5" i="177" s="1"/>
  <c r="J4" i="177"/>
  <c r="E4" i="177"/>
  <c r="BT3" i="177"/>
  <c r="BP3" i="177"/>
  <c r="BL3" i="177"/>
  <c r="BH3" i="177"/>
  <c r="BD3" i="177"/>
  <c r="AZ3" i="177"/>
  <c r="AV3" i="177"/>
  <c r="AR3" i="177"/>
  <c r="AN3" i="177"/>
  <c r="AJ3" i="177"/>
  <c r="AF3" i="177"/>
  <c r="AB3" i="177"/>
  <c r="X3" i="177"/>
  <c r="T3" i="177"/>
  <c r="P3" i="177"/>
  <c r="L3" i="177"/>
  <c r="J3" i="177"/>
  <c r="J2" i="177"/>
  <c r="F1" i="177"/>
  <c r="BW82" i="176"/>
  <c r="BS82" i="176"/>
  <c r="BO82" i="176"/>
  <c r="BK82" i="176"/>
  <c r="BG82" i="176"/>
  <c r="BC82" i="176"/>
  <c r="AY82" i="176"/>
  <c r="AU82" i="176"/>
  <c r="AQ82" i="176"/>
  <c r="AM82" i="176"/>
  <c r="AI82" i="176"/>
  <c r="AE82" i="176"/>
  <c r="AA82" i="176"/>
  <c r="W82" i="176"/>
  <c r="S82" i="176"/>
  <c r="O82" i="176"/>
  <c r="J82" i="176"/>
  <c r="BW81" i="176"/>
  <c r="BS81" i="176"/>
  <c r="BO81" i="176"/>
  <c r="BK81" i="176"/>
  <c r="BG81" i="176"/>
  <c r="BC81" i="176"/>
  <c r="AY81" i="176"/>
  <c r="AU81" i="176"/>
  <c r="AQ81" i="176"/>
  <c r="AM81" i="176"/>
  <c r="AI81" i="176"/>
  <c r="AE81" i="176"/>
  <c r="AA81" i="176"/>
  <c r="W81" i="176"/>
  <c r="S81" i="176"/>
  <c r="O81" i="176"/>
  <c r="J81" i="176"/>
  <c r="BW80" i="176"/>
  <c r="BS80" i="176"/>
  <c r="BO80" i="176"/>
  <c r="BK80" i="176"/>
  <c r="BG80" i="176"/>
  <c r="BC80" i="176"/>
  <c r="AY80" i="176"/>
  <c r="AU80" i="176"/>
  <c r="AQ80" i="176"/>
  <c r="AM80" i="176"/>
  <c r="AI80" i="176"/>
  <c r="AE80" i="176"/>
  <c r="AA80" i="176"/>
  <c r="W80" i="176"/>
  <c r="S80" i="176"/>
  <c r="O80" i="176"/>
  <c r="J80" i="176"/>
  <c r="BW79" i="176"/>
  <c r="BS79" i="176"/>
  <c r="BO79" i="176"/>
  <c r="BK79" i="176"/>
  <c r="BG79" i="176"/>
  <c r="BC79" i="176"/>
  <c r="AY79" i="176"/>
  <c r="AU79" i="176"/>
  <c r="AQ79" i="176"/>
  <c r="AM79" i="176"/>
  <c r="AI79" i="176"/>
  <c r="AE79" i="176"/>
  <c r="AA79" i="176"/>
  <c r="W79" i="176"/>
  <c r="S79" i="176"/>
  <c r="O79" i="176"/>
  <c r="J79" i="176"/>
  <c r="BW78" i="176"/>
  <c r="BS78" i="176"/>
  <c r="BO78" i="176"/>
  <c r="BK78" i="176"/>
  <c r="BG78" i="176"/>
  <c r="BC78" i="176"/>
  <c r="AY78" i="176"/>
  <c r="AU78" i="176"/>
  <c r="AQ78" i="176"/>
  <c r="AM78" i="176"/>
  <c r="AI78" i="176"/>
  <c r="AE78" i="176"/>
  <c r="AA78" i="176"/>
  <c r="W78" i="176"/>
  <c r="S78" i="176"/>
  <c r="O78" i="176"/>
  <c r="J78" i="176"/>
  <c r="BW77" i="176"/>
  <c r="BS77" i="176"/>
  <c r="BO77" i="176"/>
  <c r="BK77" i="176"/>
  <c r="BG77" i="176"/>
  <c r="BC77" i="176"/>
  <c r="AY77" i="176"/>
  <c r="AU77" i="176"/>
  <c r="AQ77" i="176"/>
  <c r="AM77" i="176"/>
  <c r="AI77" i="176"/>
  <c r="AE77" i="176"/>
  <c r="AA77" i="176"/>
  <c r="W77" i="176"/>
  <c r="S77" i="176"/>
  <c r="O77" i="176"/>
  <c r="J77" i="176"/>
  <c r="BW76" i="176"/>
  <c r="BS76" i="176"/>
  <c r="BO76" i="176"/>
  <c r="BK76" i="176"/>
  <c r="BG76" i="176"/>
  <c r="BC76" i="176"/>
  <c r="AY76" i="176"/>
  <c r="AU76" i="176"/>
  <c r="AQ76" i="176"/>
  <c r="AM76" i="176"/>
  <c r="AI76" i="176"/>
  <c r="AE76" i="176"/>
  <c r="AA76" i="176"/>
  <c r="W76" i="176"/>
  <c r="S76" i="176"/>
  <c r="O76" i="176"/>
  <c r="J76" i="176"/>
  <c r="BW75" i="176"/>
  <c r="BS75" i="176"/>
  <c r="BO75" i="176"/>
  <c r="BK75" i="176"/>
  <c r="BG75" i="176"/>
  <c r="BC75" i="176"/>
  <c r="AY75" i="176"/>
  <c r="AU75" i="176"/>
  <c r="AQ75" i="176"/>
  <c r="AM75" i="176"/>
  <c r="AI75" i="176"/>
  <c r="AE75" i="176"/>
  <c r="AA75" i="176"/>
  <c r="W75" i="176"/>
  <c r="S75" i="176"/>
  <c r="O75" i="176"/>
  <c r="J75" i="176"/>
  <c r="BW74" i="176"/>
  <c r="BS74" i="176"/>
  <c r="BO74" i="176"/>
  <c r="BK74" i="176"/>
  <c r="BG74" i="176"/>
  <c r="BC74" i="176"/>
  <c r="AY74" i="176"/>
  <c r="AU74" i="176"/>
  <c r="AQ74" i="176"/>
  <c r="AM74" i="176"/>
  <c r="AI74" i="176"/>
  <c r="AE74" i="176"/>
  <c r="AA74" i="176"/>
  <c r="W74" i="176"/>
  <c r="S74" i="176"/>
  <c r="O74" i="176"/>
  <c r="J74" i="176"/>
  <c r="BW73" i="176"/>
  <c r="BS73" i="176"/>
  <c r="BO73" i="176"/>
  <c r="BK73" i="176"/>
  <c r="BG73" i="176"/>
  <c r="BC73" i="176"/>
  <c r="AY73" i="176"/>
  <c r="AU73" i="176"/>
  <c r="AQ73" i="176"/>
  <c r="AM73" i="176"/>
  <c r="AI73" i="176"/>
  <c r="AE73" i="176"/>
  <c r="AA73" i="176"/>
  <c r="W73" i="176"/>
  <c r="S73" i="176"/>
  <c r="O73" i="176"/>
  <c r="J73" i="176"/>
  <c r="BW72" i="176"/>
  <c r="BS72" i="176"/>
  <c r="BO72" i="176"/>
  <c r="BK72" i="176"/>
  <c r="BG72" i="176"/>
  <c r="BC72" i="176"/>
  <c r="AY72" i="176"/>
  <c r="AU72" i="176"/>
  <c r="AQ72" i="176"/>
  <c r="AM72" i="176"/>
  <c r="AI72" i="176"/>
  <c r="AE72" i="176"/>
  <c r="AA72" i="176"/>
  <c r="W72" i="176"/>
  <c r="S72" i="176"/>
  <c r="O72" i="176"/>
  <c r="J72" i="176"/>
  <c r="BW71" i="176"/>
  <c r="BS71" i="176"/>
  <c r="BO71" i="176"/>
  <c r="BK71" i="176"/>
  <c r="BG71" i="176"/>
  <c r="BC71" i="176"/>
  <c r="AY71" i="176"/>
  <c r="AU71" i="176"/>
  <c r="AQ71" i="176"/>
  <c r="AM71" i="176"/>
  <c r="AI71" i="176"/>
  <c r="AE71" i="176"/>
  <c r="AA71" i="176"/>
  <c r="W71" i="176"/>
  <c r="S71" i="176"/>
  <c r="O71" i="176"/>
  <c r="J71" i="176"/>
  <c r="BW70" i="176"/>
  <c r="BS70" i="176"/>
  <c r="BO70" i="176"/>
  <c r="BK70" i="176"/>
  <c r="BG70" i="176"/>
  <c r="BC70" i="176"/>
  <c r="AY70" i="176"/>
  <c r="AU70" i="176"/>
  <c r="AQ70" i="176"/>
  <c r="AM70" i="176"/>
  <c r="AI70" i="176"/>
  <c r="AE70" i="176"/>
  <c r="AA70" i="176"/>
  <c r="W70" i="176"/>
  <c r="S70" i="176"/>
  <c r="O70" i="176"/>
  <c r="J70" i="176"/>
  <c r="BW69" i="176"/>
  <c r="BS69" i="176"/>
  <c r="BO69" i="176"/>
  <c r="BK69" i="176"/>
  <c r="BG69" i="176"/>
  <c r="BC69" i="176"/>
  <c r="AY69" i="176"/>
  <c r="AU69" i="176"/>
  <c r="AQ69" i="176"/>
  <c r="AM69" i="176"/>
  <c r="AI69" i="176"/>
  <c r="AE69" i="176"/>
  <c r="AA69" i="176"/>
  <c r="W69" i="176"/>
  <c r="S69" i="176"/>
  <c r="O69" i="176"/>
  <c r="J69" i="176"/>
  <c r="BW68" i="176"/>
  <c r="BS68" i="176"/>
  <c r="BO68" i="176"/>
  <c r="BK68" i="176"/>
  <c r="BG68" i="176"/>
  <c r="BC68" i="176"/>
  <c r="AY68" i="176"/>
  <c r="AU68" i="176"/>
  <c r="AQ68" i="176"/>
  <c r="AM68" i="176"/>
  <c r="AI68" i="176"/>
  <c r="AE68" i="176"/>
  <c r="AA68" i="176"/>
  <c r="W68" i="176"/>
  <c r="S68" i="176"/>
  <c r="O68" i="176"/>
  <c r="J68" i="176"/>
  <c r="BW67" i="176"/>
  <c r="BS67" i="176"/>
  <c r="BO67" i="176"/>
  <c r="BK67" i="176"/>
  <c r="BG67" i="176"/>
  <c r="BC67" i="176"/>
  <c r="AY67" i="176"/>
  <c r="AU67" i="176"/>
  <c r="AQ67" i="176"/>
  <c r="AM67" i="176"/>
  <c r="AI67" i="176"/>
  <c r="AE67" i="176"/>
  <c r="AA67" i="176"/>
  <c r="W67" i="176"/>
  <c r="S67" i="176"/>
  <c r="O67" i="176"/>
  <c r="J67" i="176"/>
  <c r="BW66" i="176"/>
  <c r="BS66" i="176"/>
  <c r="BO66" i="176"/>
  <c r="BK66" i="176"/>
  <c r="BG66" i="176"/>
  <c r="BC66" i="176"/>
  <c r="AY66" i="176"/>
  <c r="AU66" i="176"/>
  <c r="AQ66" i="176"/>
  <c r="AM66" i="176"/>
  <c r="AI66" i="176"/>
  <c r="AE66" i="176"/>
  <c r="AA66" i="176"/>
  <c r="W66" i="176"/>
  <c r="S66" i="176"/>
  <c r="O66" i="176"/>
  <c r="J66" i="176"/>
  <c r="BW65" i="176"/>
  <c r="BS65" i="176"/>
  <c r="BO65" i="176"/>
  <c r="BK65" i="176"/>
  <c r="BG65" i="176"/>
  <c r="BC65" i="176"/>
  <c r="AY65" i="176"/>
  <c r="AU65" i="176"/>
  <c r="AQ65" i="176"/>
  <c r="AM65" i="176"/>
  <c r="AI65" i="176"/>
  <c r="AE65" i="176"/>
  <c r="AA65" i="176"/>
  <c r="W65" i="176"/>
  <c r="S65" i="176"/>
  <c r="O65" i="176"/>
  <c r="J65" i="176"/>
  <c r="BW64" i="176"/>
  <c r="BS64" i="176"/>
  <c r="BO64" i="176"/>
  <c r="BK64" i="176"/>
  <c r="BG64" i="176"/>
  <c r="BC64" i="176"/>
  <c r="AY64" i="176"/>
  <c r="AU64" i="176"/>
  <c r="AQ64" i="176"/>
  <c r="AM64" i="176"/>
  <c r="AI64" i="176"/>
  <c r="AE64" i="176"/>
  <c r="AA64" i="176"/>
  <c r="W64" i="176"/>
  <c r="S64" i="176"/>
  <c r="O64" i="176"/>
  <c r="J64" i="176"/>
  <c r="BW63" i="176"/>
  <c r="BS63" i="176"/>
  <c r="BO63" i="176"/>
  <c r="BK63" i="176"/>
  <c r="BG63" i="176"/>
  <c r="BC63" i="176"/>
  <c r="AY63" i="176"/>
  <c r="AU63" i="176"/>
  <c r="AQ63" i="176"/>
  <c r="AM63" i="176"/>
  <c r="AI63" i="176"/>
  <c r="AE63" i="176"/>
  <c r="AA63" i="176"/>
  <c r="W63" i="176"/>
  <c r="S63" i="176"/>
  <c r="O63" i="176"/>
  <c r="J63" i="176"/>
  <c r="BW62" i="176"/>
  <c r="BS62" i="176"/>
  <c r="BO62" i="176"/>
  <c r="BK62" i="176"/>
  <c r="BG62" i="176"/>
  <c r="BC62" i="176"/>
  <c r="AY62" i="176"/>
  <c r="AU62" i="176"/>
  <c r="AQ62" i="176"/>
  <c r="AM62" i="176"/>
  <c r="AI62" i="176"/>
  <c r="AE62" i="176"/>
  <c r="AA62" i="176"/>
  <c r="W62" i="176"/>
  <c r="S62" i="176"/>
  <c r="O62" i="176"/>
  <c r="J62" i="176"/>
  <c r="BW61" i="176"/>
  <c r="BS61" i="176"/>
  <c r="BO61" i="176"/>
  <c r="BK61" i="176"/>
  <c r="BG61" i="176"/>
  <c r="BC61" i="176"/>
  <c r="AY61" i="176"/>
  <c r="AU61" i="176"/>
  <c r="AQ61" i="176"/>
  <c r="AM61" i="176"/>
  <c r="AI61" i="176"/>
  <c r="AE61" i="176"/>
  <c r="AA61" i="176"/>
  <c r="W61" i="176"/>
  <c r="S61" i="176"/>
  <c r="O61" i="176"/>
  <c r="J61" i="176"/>
  <c r="BW60" i="176"/>
  <c r="BS60" i="176"/>
  <c r="BO60" i="176"/>
  <c r="BK60" i="176"/>
  <c r="BG60" i="176"/>
  <c r="BC60" i="176"/>
  <c r="AY60" i="176"/>
  <c r="AU60" i="176"/>
  <c r="AQ60" i="176"/>
  <c r="AM60" i="176"/>
  <c r="AI60" i="176"/>
  <c r="AE60" i="176"/>
  <c r="AA60" i="176"/>
  <c r="W60" i="176"/>
  <c r="S60" i="176"/>
  <c r="O60" i="176"/>
  <c r="J60" i="176"/>
  <c r="BW59" i="176"/>
  <c r="BS59" i="176"/>
  <c r="BO59" i="176"/>
  <c r="BK59" i="176"/>
  <c r="BG59" i="176"/>
  <c r="BC59" i="176"/>
  <c r="AY59" i="176"/>
  <c r="AU59" i="176"/>
  <c r="AQ59" i="176"/>
  <c r="AM59" i="176"/>
  <c r="AI59" i="176"/>
  <c r="AE59" i="176"/>
  <c r="AA59" i="176"/>
  <c r="W59" i="176"/>
  <c r="S59" i="176"/>
  <c r="O59" i="176"/>
  <c r="J59" i="176"/>
  <c r="BW58" i="176"/>
  <c r="BS58" i="176"/>
  <c r="BO58" i="176"/>
  <c r="BK58" i="176"/>
  <c r="BG58" i="176"/>
  <c r="BC58" i="176"/>
  <c r="AY58" i="176"/>
  <c r="AU58" i="176"/>
  <c r="AQ58" i="176"/>
  <c r="AM58" i="176"/>
  <c r="AI58" i="176"/>
  <c r="AE58" i="176"/>
  <c r="AA58" i="176"/>
  <c r="W58" i="176"/>
  <c r="S58" i="176"/>
  <c r="O58" i="176"/>
  <c r="J58" i="176"/>
  <c r="BW57" i="176"/>
  <c r="BS57" i="176"/>
  <c r="BO57" i="176"/>
  <c r="BK57" i="176"/>
  <c r="BG57" i="176"/>
  <c r="BC57" i="176"/>
  <c r="AY57" i="176"/>
  <c r="AU57" i="176"/>
  <c r="AQ57" i="176"/>
  <c r="AM57" i="176"/>
  <c r="AI57" i="176"/>
  <c r="AE57" i="176"/>
  <c r="AA57" i="176"/>
  <c r="W57" i="176"/>
  <c r="S57" i="176"/>
  <c r="O57" i="176"/>
  <c r="J57" i="176"/>
  <c r="BW56" i="176"/>
  <c r="BS56" i="176"/>
  <c r="BO56" i="176"/>
  <c r="BK56" i="176"/>
  <c r="BG56" i="176"/>
  <c r="BC56" i="176"/>
  <c r="AY56" i="176"/>
  <c r="AU56" i="176"/>
  <c r="AQ56" i="176"/>
  <c r="AM56" i="176"/>
  <c r="AI56" i="176"/>
  <c r="AE56" i="176"/>
  <c r="AA56" i="176"/>
  <c r="W56" i="176"/>
  <c r="S56" i="176"/>
  <c r="O56" i="176"/>
  <c r="J56" i="176"/>
  <c r="BW55" i="176"/>
  <c r="BS55" i="176"/>
  <c r="BO55" i="176"/>
  <c r="BK55" i="176"/>
  <c r="BG55" i="176"/>
  <c r="BC55" i="176"/>
  <c r="AY55" i="176"/>
  <c r="AU55" i="176"/>
  <c r="AQ55" i="176"/>
  <c r="AM55" i="176"/>
  <c r="AI55" i="176"/>
  <c r="AE55" i="176"/>
  <c r="AA55" i="176"/>
  <c r="W55" i="176"/>
  <c r="S55" i="176"/>
  <c r="O55" i="176"/>
  <c r="J55" i="176"/>
  <c r="BW54" i="176"/>
  <c r="BS54" i="176"/>
  <c r="BO54" i="176"/>
  <c r="BK54" i="176"/>
  <c r="BG54" i="176"/>
  <c r="BC54" i="176"/>
  <c r="AY54" i="176"/>
  <c r="AU54" i="176"/>
  <c r="AQ54" i="176"/>
  <c r="AM54" i="176"/>
  <c r="AI54" i="176"/>
  <c r="AE54" i="176"/>
  <c r="AA54" i="176"/>
  <c r="W54" i="176"/>
  <c r="S54" i="176"/>
  <c r="O54" i="176"/>
  <c r="J54" i="176"/>
  <c r="BW53" i="176"/>
  <c r="BS53" i="176"/>
  <c r="BO53" i="176"/>
  <c r="BK53" i="176"/>
  <c r="BG53" i="176"/>
  <c r="BC53" i="176"/>
  <c r="AY53" i="176"/>
  <c r="AU53" i="176"/>
  <c r="AQ53" i="176"/>
  <c r="AM53" i="176"/>
  <c r="AI53" i="176"/>
  <c r="AE53" i="176"/>
  <c r="AA53" i="176"/>
  <c r="W53" i="176"/>
  <c r="S53" i="176"/>
  <c r="O53" i="176"/>
  <c r="J53" i="176"/>
  <c r="BW52" i="176"/>
  <c r="BS52" i="176"/>
  <c r="BO52" i="176"/>
  <c r="BK52" i="176"/>
  <c r="BG52" i="176"/>
  <c r="BC52" i="176"/>
  <c r="AY52" i="176"/>
  <c r="AU52" i="176"/>
  <c r="AQ52" i="176"/>
  <c r="AM52" i="176"/>
  <c r="AI52" i="176"/>
  <c r="AE52" i="176"/>
  <c r="AA52" i="176"/>
  <c r="W52" i="176"/>
  <c r="S52" i="176"/>
  <c r="O52" i="176"/>
  <c r="J52" i="176"/>
  <c r="BW51" i="176"/>
  <c r="BS51" i="176"/>
  <c r="BO51" i="176"/>
  <c r="BK51" i="176"/>
  <c r="BG51" i="176"/>
  <c r="BC51" i="176"/>
  <c r="AY51" i="176"/>
  <c r="AU51" i="176"/>
  <c r="AQ51" i="176"/>
  <c r="AM51" i="176"/>
  <c r="AI51" i="176"/>
  <c r="AE51" i="176"/>
  <c r="AA51" i="176"/>
  <c r="W51" i="176"/>
  <c r="S51" i="176"/>
  <c r="O51" i="176"/>
  <c r="J51" i="176"/>
  <c r="BW50" i="176"/>
  <c r="BS50" i="176"/>
  <c r="BO50" i="176"/>
  <c r="BK50" i="176"/>
  <c r="BG50" i="176"/>
  <c r="BC50" i="176"/>
  <c r="AY50" i="176"/>
  <c r="AU50" i="176"/>
  <c r="AQ50" i="176"/>
  <c r="AM50" i="176"/>
  <c r="AI50" i="176"/>
  <c r="AE50" i="176"/>
  <c r="AA50" i="176"/>
  <c r="W50" i="176"/>
  <c r="S50" i="176"/>
  <c r="O50" i="176"/>
  <c r="J50" i="176"/>
  <c r="BW49" i="176"/>
  <c r="BS49" i="176"/>
  <c r="BO49" i="176"/>
  <c r="BK49" i="176"/>
  <c r="BG49" i="176"/>
  <c r="BC49" i="176"/>
  <c r="AY49" i="176"/>
  <c r="AU49" i="176"/>
  <c r="AQ49" i="176"/>
  <c r="AM49" i="176"/>
  <c r="AI49" i="176"/>
  <c r="AE49" i="176"/>
  <c r="AA49" i="176"/>
  <c r="W49" i="176"/>
  <c r="S49" i="176"/>
  <c r="O49" i="176"/>
  <c r="J49" i="176"/>
  <c r="BW48" i="176"/>
  <c r="BS48" i="176"/>
  <c r="BO48" i="176"/>
  <c r="BK48" i="176"/>
  <c r="BG48" i="176"/>
  <c r="BC48" i="176"/>
  <c r="AY48" i="176"/>
  <c r="AU48" i="176"/>
  <c r="AQ48" i="176"/>
  <c r="AM48" i="176"/>
  <c r="AI48" i="176"/>
  <c r="AE48" i="176"/>
  <c r="AA48" i="176"/>
  <c r="W48" i="176"/>
  <c r="S48" i="176"/>
  <c r="O48" i="176"/>
  <c r="J48" i="176"/>
  <c r="BW47" i="176"/>
  <c r="BS47" i="176"/>
  <c r="BO47" i="176"/>
  <c r="BK47" i="176"/>
  <c r="BG47" i="176"/>
  <c r="BC47" i="176"/>
  <c r="AY47" i="176"/>
  <c r="AU47" i="176"/>
  <c r="AQ47" i="176"/>
  <c r="AM47" i="176"/>
  <c r="AI47" i="176"/>
  <c r="AE47" i="176"/>
  <c r="AA47" i="176"/>
  <c r="W47" i="176"/>
  <c r="S47" i="176"/>
  <c r="O47" i="176"/>
  <c r="J47" i="176"/>
  <c r="BW46" i="176"/>
  <c r="BS46" i="176"/>
  <c r="BO46" i="176"/>
  <c r="BK46" i="176"/>
  <c r="BG46" i="176"/>
  <c r="BC46" i="176"/>
  <c r="AY46" i="176"/>
  <c r="AU46" i="176"/>
  <c r="AQ46" i="176"/>
  <c r="AM46" i="176"/>
  <c r="AI46" i="176"/>
  <c r="AE46" i="176"/>
  <c r="AA46" i="176"/>
  <c r="W46" i="176"/>
  <c r="S46" i="176"/>
  <c r="O46" i="176"/>
  <c r="J46" i="176"/>
  <c r="BW45" i="176"/>
  <c r="BS45" i="176"/>
  <c r="BO45" i="176"/>
  <c r="BK45" i="176"/>
  <c r="BG45" i="176"/>
  <c r="BC45" i="176"/>
  <c r="AY45" i="176"/>
  <c r="AU45" i="176"/>
  <c r="AQ45" i="176"/>
  <c r="AM45" i="176"/>
  <c r="AI45" i="176"/>
  <c r="AE45" i="176"/>
  <c r="AA45" i="176"/>
  <c r="W45" i="176"/>
  <c r="S45" i="176"/>
  <c r="O45" i="176"/>
  <c r="J45" i="176"/>
  <c r="BW44" i="176"/>
  <c r="BS44" i="176"/>
  <c r="BO44" i="176"/>
  <c r="BK44" i="176"/>
  <c r="BG44" i="176"/>
  <c r="BC44" i="176"/>
  <c r="AY44" i="176"/>
  <c r="AU44" i="176"/>
  <c r="AQ44" i="176"/>
  <c r="AM44" i="176"/>
  <c r="AI44" i="176"/>
  <c r="AE44" i="176"/>
  <c r="AA44" i="176"/>
  <c r="W44" i="176"/>
  <c r="S44" i="176"/>
  <c r="O44" i="176"/>
  <c r="J44" i="176"/>
  <c r="BW43" i="176"/>
  <c r="BS43" i="176"/>
  <c r="BO43" i="176"/>
  <c r="BK43" i="176"/>
  <c r="BG43" i="176"/>
  <c r="BC43" i="176"/>
  <c r="AY43" i="176"/>
  <c r="AU43" i="176"/>
  <c r="AQ43" i="176"/>
  <c r="AM43" i="176"/>
  <c r="AI43" i="176"/>
  <c r="AE43" i="176"/>
  <c r="AA43" i="176"/>
  <c r="W43" i="176"/>
  <c r="S43" i="176"/>
  <c r="O43" i="176"/>
  <c r="J43" i="176"/>
  <c r="BW42" i="176"/>
  <c r="BS42" i="176"/>
  <c r="BO42" i="176"/>
  <c r="BK42" i="176"/>
  <c r="BG42" i="176"/>
  <c r="BC42" i="176"/>
  <c r="AY42" i="176"/>
  <c r="AU42" i="176"/>
  <c r="AQ42" i="176"/>
  <c r="AM42" i="176"/>
  <c r="AI42" i="176"/>
  <c r="AE42" i="176"/>
  <c r="AA42" i="176"/>
  <c r="W42" i="176"/>
  <c r="S42" i="176"/>
  <c r="O42" i="176"/>
  <c r="J42" i="176"/>
  <c r="BW41" i="176"/>
  <c r="BS41" i="176"/>
  <c r="BO41" i="176"/>
  <c r="BK41" i="176"/>
  <c r="BG41" i="176"/>
  <c r="BC41" i="176"/>
  <c r="AY41" i="176"/>
  <c r="AU41" i="176"/>
  <c r="AQ41" i="176"/>
  <c r="AM41" i="176"/>
  <c r="AI41" i="176"/>
  <c r="AE41" i="176"/>
  <c r="AA41" i="176"/>
  <c r="W41" i="176"/>
  <c r="S41" i="176"/>
  <c r="O41" i="176"/>
  <c r="J41" i="176"/>
  <c r="BW40" i="176"/>
  <c r="BS40" i="176"/>
  <c r="BO40" i="176"/>
  <c r="BK40" i="176"/>
  <c r="BG40" i="176"/>
  <c r="BC40" i="176"/>
  <c r="AY40" i="176"/>
  <c r="AU40" i="176"/>
  <c r="AQ40" i="176"/>
  <c r="AM40" i="176"/>
  <c r="AI40" i="176"/>
  <c r="AE40" i="176"/>
  <c r="AA40" i="176"/>
  <c r="W40" i="176"/>
  <c r="S40" i="176"/>
  <c r="O40" i="176"/>
  <c r="J40" i="176"/>
  <c r="BW39" i="176"/>
  <c r="BS39" i="176"/>
  <c r="BO39" i="176"/>
  <c r="BK39" i="176"/>
  <c r="BG39" i="176"/>
  <c r="BC39" i="176"/>
  <c r="AY39" i="176"/>
  <c r="AU39" i="176"/>
  <c r="AQ39" i="176"/>
  <c r="AM39" i="176"/>
  <c r="AI39" i="176"/>
  <c r="AE39" i="176"/>
  <c r="AA39" i="176"/>
  <c r="W39" i="176"/>
  <c r="S39" i="176"/>
  <c r="O39" i="176"/>
  <c r="J39" i="176"/>
  <c r="BW38" i="176"/>
  <c r="BS38" i="176"/>
  <c r="BO38" i="176"/>
  <c r="BK38" i="176"/>
  <c r="BG38" i="176"/>
  <c r="BC38" i="176"/>
  <c r="AY38" i="176"/>
  <c r="AU38" i="176"/>
  <c r="AQ38" i="176"/>
  <c r="AM38" i="176"/>
  <c r="AI38" i="176"/>
  <c r="AE38" i="176"/>
  <c r="AA38" i="176"/>
  <c r="W38" i="176"/>
  <c r="S38" i="176"/>
  <c r="O38" i="176"/>
  <c r="J38" i="176"/>
  <c r="BW37" i="176"/>
  <c r="BS37" i="176"/>
  <c r="BO37" i="176"/>
  <c r="BK37" i="176"/>
  <c r="BG37" i="176"/>
  <c r="BC37" i="176"/>
  <c r="AY37" i="176"/>
  <c r="AU37" i="176"/>
  <c r="AQ37" i="176"/>
  <c r="AM37" i="176"/>
  <c r="AI37" i="176"/>
  <c r="AE37" i="176"/>
  <c r="AA37" i="176"/>
  <c r="W37" i="176"/>
  <c r="S37" i="176"/>
  <c r="O37" i="176"/>
  <c r="J37" i="176"/>
  <c r="BW36" i="176"/>
  <c r="BS36" i="176"/>
  <c r="BO36" i="176"/>
  <c r="BK36" i="176"/>
  <c r="BG36" i="176"/>
  <c r="BC36" i="176"/>
  <c r="AY36" i="176"/>
  <c r="AU36" i="176"/>
  <c r="AQ36" i="176"/>
  <c r="AM36" i="176"/>
  <c r="AI36" i="176"/>
  <c r="AE36" i="176"/>
  <c r="AA36" i="176"/>
  <c r="W36" i="176"/>
  <c r="S36" i="176"/>
  <c r="O36" i="176"/>
  <c r="J36" i="176"/>
  <c r="BW35" i="176"/>
  <c r="BS35" i="176"/>
  <c r="BO35" i="176"/>
  <c r="BK35" i="176"/>
  <c r="BG35" i="176"/>
  <c r="BC35" i="176"/>
  <c r="AY35" i="176"/>
  <c r="AU35" i="176"/>
  <c r="AQ35" i="176"/>
  <c r="AM35" i="176"/>
  <c r="AI35" i="176"/>
  <c r="AE35" i="176"/>
  <c r="AA35" i="176"/>
  <c r="W35" i="176"/>
  <c r="S35" i="176"/>
  <c r="O35" i="176"/>
  <c r="J35" i="176"/>
  <c r="BW34" i="176"/>
  <c r="BS34" i="176"/>
  <c r="BO34" i="176"/>
  <c r="BK34" i="176"/>
  <c r="BG34" i="176"/>
  <c r="BC34" i="176"/>
  <c r="AY34" i="176"/>
  <c r="AU34" i="176"/>
  <c r="AQ34" i="176"/>
  <c r="AM34" i="176"/>
  <c r="AI34" i="176"/>
  <c r="AE34" i="176"/>
  <c r="AA34" i="176"/>
  <c r="W34" i="176"/>
  <c r="S34" i="176"/>
  <c r="O34" i="176"/>
  <c r="J34" i="176"/>
  <c r="BW33" i="176"/>
  <c r="BS33" i="176"/>
  <c r="BO33" i="176"/>
  <c r="BK33" i="176"/>
  <c r="BG33" i="176"/>
  <c r="BC33" i="176"/>
  <c r="AY33" i="176"/>
  <c r="AU33" i="176"/>
  <c r="AQ33" i="176"/>
  <c r="AM33" i="176"/>
  <c r="AI33" i="176"/>
  <c r="AE33" i="176"/>
  <c r="AA33" i="176"/>
  <c r="W33" i="176"/>
  <c r="S33" i="176"/>
  <c r="O33" i="176"/>
  <c r="J33" i="176"/>
  <c r="BW32" i="176"/>
  <c r="BS32" i="176"/>
  <c r="BO32" i="176"/>
  <c r="BK32" i="176"/>
  <c r="BG32" i="176"/>
  <c r="BC32" i="176"/>
  <c r="AY32" i="176"/>
  <c r="AU32" i="176"/>
  <c r="AQ32" i="176"/>
  <c r="AM32" i="176"/>
  <c r="AI32" i="176"/>
  <c r="AE32" i="176"/>
  <c r="AA32" i="176"/>
  <c r="W32" i="176"/>
  <c r="S32" i="176"/>
  <c r="O32" i="176"/>
  <c r="J32" i="176"/>
  <c r="BW31" i="176"/>
  <c r="BS31" i="176"/>
  <c r="BO31" i="176"/>
  <c r="BK31" i="176"/>
  <c r="BG31" i="176"/>
  <c r="BC31" i="176"/>
  <c r="AY31" i="176"/>
  <c r="AU31" i="176"/>
  <c r="AQ31" i="176"/>
  <c r="AM31" i="176"/>
  <c r="AI31" i="176"/>
  <c r="AE31" i="176"/>
  <c r="AA31" i="176"/>
  <c r="W31" i="176"/>
  <c r="S31" i="176"/>
  <c r="O31" i="176"/>
  <c r="J31" i="176"/>
  <c r="BW30" i="176"/>
  <c r="BS30" i="176"/>
  <c r="BO30" i="176"/>
  <c r="BK30" i="176"/>
  <c r="BG30" i="176"/>
  <c r="BC30" i="176"/>
  <c r="AY30" i="176"/>
  <c r="AU30" i="176"/>
  <c r="AQ30" i="176"/>
  <c r="AM30" i="176"/>
  <c r="AI30" i="176"/>
  <c r="AE30" i="176"/>
  <c r="AA30" i="176"/>
  <c r="W30" i="176"/>
  <c r="S30" i="176"/>
  <c r="O30" i="176"/>
  <c r="J30" i="176"/>
  <c r="BW29" i="176"/>
  <c r="BS29" i="176"/>
  <c r="BO29" i="176"/>
  <c r="BK29" i="176"/>
  <c r="BG29" i="176"/>
  <c r="BC29" i="176"/>
  <c r="AY29" i="176"/>
  <c r="AU29" i="176"/>
  <c r="AQ29" i="176"/>
  <c r="AM29" i="176"/>
  <c r="AI29" i="176"/>
  <c r="AE29" i="176"/>
  <c r="AA29" i="176"/>
  <c r="W29" i="176"/>
  <c r="S29" i="176"/>
  <c r="O29" i="176"/>
  <c r="J29" i="176"/>
  <c r="BW28" i="176"/>
  <c r="BS28" i="176"/>
  <c r="BO28" i="176"/>
  <c r="BK28" i="176"/>
  <c r="BG28" i="176"/>
  <c r="BC28" i="176"/>
  <c r="AY28" i="176"/>
  <c r="AU28" i="176"/>
  <c r="AQ28" i="176"/>
  <c r="AM28" i="176"/>
  <c r="AI28" i="176"/>
  <c r="AE28" i="176"/>
  <c r="AA28" i="176"/>
  <c r="W28" i="176"/>
  <c r="S28" i="176"/>
  <c r="O28" i="176"/>
  <c r="J28" i="176"/>
  <c r="BW27" i="176"/>
  <c r="BS27" i="176"/>
  <c r="BO27" i="176"/>
  <c r="BK27" i="176"/>
  <c r="BG27" i="176"/>
  <c r="BC27" i="176"/>
  <c r="AY27" i="176"/>
  <c r="AU27" i="176"/>
  <c r="AQ27" i="176"/>
  <c r="AM27" i="176"/>
  <c r="AI27" i="176"/>
  <c r="AE27" i="176"/>
  <c r="AA27" i="176"/>
  <c r="W27" i="176"/>
  <c r="S27" i="176"/>
  <c r="O27" i="176"/>
  <c r="J27" i="176"/>
  <c r="BW26" i="176"/>
  <c r="BS26" i="176"/>
  <c r="BO26" i="176"/>
  <c r="BK26" i="176"/>
  <c r="BG26" i="176"/>
  <c r="BC26" i="176"/>
  <c r="AY26" i="176"/>
  <c r="AU26" i="176"/>
  <c r="AQ26" i="176"/>
  <c r="AM26" i="176"/>
  <c r="AI26" i="176"/>
  <c r="AE26" i="176"/>
  <c r="AA26" i="176"/>
  <c r="W26" i="176"/>
  <c r="S26" i="176"/>
  <c r="O26" i="176"/>
  <c r="J26" i="176"/>
  <c r="BW25" i="176"/>
  <c r="BS25" i="176"/>
  <c r="BO25" i="176"/>
  <c r="BK25" i="176"/>
  <c r="BG25" i="176"/>
  <c r="BC25" i="176"/>
  <c r="AY25" i="176"/>
  <c r="AU25" i="176"/>
  <c r="AQ25" i="176"/>
  <c r="AM25" i="176"/>
  <c r="AI25" i="176"/>
  <c r="AE25" i="176"/>
  <c r="AA25" i="176"/>
  <c r="W25" i="176"/>
  <c r="S25" i="176"/>
  <c r="O25" i="176"/>
  <c r="J25" i="176"/>
  <c r="BW24" i="176"/>
  <c r="BS24" i="176"/>
  <c r="BO24" i="176"/>
  <c r="BK24" i="176"/>
  <c r="BG24" i="176"/>
  <c r="BC24" i="176"/>
  <c r="AY24" i="176"/>
  <c r="AU24" i="176"/>
  <c r="AQ24" i="176"/>
  <c r="AM24" i="176"/>
  <c r="AI24" i="176"/>
  <c r="AE24" i="176"/>
  <c r="AA24" i="176"/>
  <c r="W24" i="176"/>
  <c r="S24" i="176"/>
  <c r="O24" i="176"/>
  <c r="J24" i="176"/>
  <c r="BW23" i="176"/>
  <c r="BS23" i="176"/>
  <c r="BO23" i="176"/>
  <c r="BK23" i="176"/>
  <c r="BG23" i="176"/>
  <c r="BC23" i="176"/>
  <c r="AY23" i="176"/>
  <c r="AU23" i="176"/>
  <c r="AQ23" i="176"/>
  <c r="AM23" i="176"/>
  <c r="AI23" i="176"/>
  <c r="AE23" i="176"/>
  <c r="AA23" i="176"/>
  <c r="W23" i="176"/>
  <c r="S23" i="176"/>
  <c r="O23" i="176"/>
  <c r="J23" i="176"/>
  <c r="BW22" i="176"/>
  <c r="BS22" i="176"/>
  <c r="BO22" i="176"/>
  <c r="BK22" i="176"/>
  <c r="BG22" i="176"/>
  <c r="BC22" i="176"/>
  <c r="AY22" i="176"/>
  <c r="AU22" i="176"/>
  <c r="AQ22" i="176"/>
  <c r="AM22" i="176"/>
  <c r="AI22" i="176"/>
  <c r="AE22" i="176"/>
  <c r="AA22" i="176"/>
  <c r="W22" i="176"/>
  <c r="S22" i="176"/>
  <c r="O22" i="176"/>
  <c r="J22" i="176"/>
  <c r="BW21" i="176"/>
  <c r="BS21" i="176"/>
  <c r="BO21" i="176"/>
  <c r="BK21" i="176"/>
  <c r="BG21" i="176"/>
  <c r="BC21" i="176"/>
  <c r="AY21" i="176"/>
  <c r="AU21" i="176"/>
  <c r="AQ21" i="176"/>
  <c r="AM21" i="176"/>
  <c r="AI21" i="176"/>
  <c r="AE21" i="176"/>
  <c r="AA21" i="176"/>
  <c r="W21" i="176"/>
  <c r="S21" i="176"/>
  <c r="O21" i="176"/>
  <c r="J21" i="176"/>
  <c r="BW20" i="176"/>
  <c r="BS20" i="176"/>
  <c r="BO20" i="176"/>
  <c r="BK20" i="176"/>
  <c r="BG20" i="176"/>
  <c r="BC20" i="176"/>
  <c r="AY20" i="176"/>
  <c r="AU20" i="176"/>
  <c r="AQ20" i="176"/>
  <c r="AM20" i="176"/>
  <c r="AI20" i="176"/>
  <c r="AE20" i="176"/>
  <c r="AA20" i="176"/>
  <c r="W20" i="176"/>
  <c r="S20" i="176"/>
  <c r="O20" i="176"/>
  <c r="J20" i="176"/>
  <c r="BW19" i="176"/>
  <c r="BS19" i="176"/>
  <c r="BO19" i="176"/>
  <c r="BK19" i="176"/>
  <c r="BG19" i="176"/>
  <c r="BC19" i="176"/>
  <c r="AY19" i="176"/>
  <c r="AU19" i="176"/>
  <c r="AQ19" i="176"/>
  <c r="AM19" i="176"/>
  <c r="AI19" i="176"/>
  <c r="AE19" i="176"/>
  <c r="AA19" i="176"/>
  <c r="W19" i="176"/>
  <c r="S19" i="176"/>
  <c r="O19" i="176"/>
  <c r="J19" i="176"/>
  <c r="BW18" i="176"/>
  <c r="BS18" i="176"/>
  <c r="BO18" i="176"/>
  <c r="BK18" i="176"/>
  <c r="BG18" i="176"/>
  <c r="BC18" i="176"/>
  <c r="AY18" i="176"/>
  <c r="AU18" i="176"/>
  <c r="AQ18" i="176"/>
  <c r="AM18" i="176"/>
  <c r="AI18" i="176"/>
  <c r="AE18" i="176"/>
  <c r="AA18" i="176"/>
  <c r="W18" i="176"/>
  <c r="S18" i="176"/>
  <c r="O18" i="176"/>
  <c r="J18" i="176"/>
  <c r="BW17" i="176"/>
  <c r="BS17" i="176"/>
  <c r="BO17" i="176"/>
  <c r="BK17" i="176"/>
  <c r="BG17" i="176"/>
  <c r="BC17" i="176"/>
  <c r="AY17" i="176"/>
  <c r="AU17" i="176"/>
  <c r="AQ17" i="176"/>
  <c r="AM17" i="176"/>
  <c r="AI17" i="176"/>
  <c r="AE17" i="176"/>
  <c r="AA17" i="176"/>
  <c r="W17" i="176"/>
  <c r="S17" i="176"/>
  <c r="O17" i="176"/>
  <c r="J17" i="176"/>
  <c r="BW16" i="176"/>
  <c r="BS16" i="176"/>
  <c r="BO16" i="176"/>
  <c r="BK16" i="176"/>
  <c r="BG16" i="176"/>
  <c r="BC16" i="176"/>
  <c r="AY16" i="176"/>
  <c r="AU16" i="176"/>
  <c r="AQ16" i="176"/>
  <c r="AM16" i="176"/>
  <c r="AI16" i="176"/>
  <c r="AE16" i="176"/>
  <c r="AA16" i="176"/>
  <c r="W16" i="176"/>
  <c r="S16" i="176"/>
  <c r="O16" i="176"/>
  <c r="J16" i="176"/>
  <c r="BW15" i="176"/>
  <c r="BS15" i="176"/>
  <c r="BO15" i="176"/>
  <c r="BK15" i="176"/>
  <c r="BG15" i="176"/>
  <c r="BC15" i="176"/>
  <c r="AY15" i="176"/>
  <c r="AU15" i="176"/>
  <c r="AQ15" i="176"/>
  <c r="AM15" i="176"/>
  <c r="AI15" i="176"/>
  <c r="AE15" i="176"/>
  <c r="AA15" i="176"/>
  <c r="W15" i="176"/>
  <c r="S15" i="176"/>
  <c r="O15" i="176"/>
  <c r="J15" i="176"/>
  <c r="BW14" i="176"/>
  <c r="BS14" i="176"/>
  <c r="BO14" i="176"/>
  <c r="BK14" i="176"/>
  <c r="BG14" i="176"/>
  <c r="BC14" i="176"/>
  <c r="AY14" i="176"/>
  <c r="AU14" i="176"/>
  <c r="AQ14" i="176"/>
  <c r="AM14" i="176"/>
  <c r="AI14" i="176"/>
  <c r="AE14" i="176"/>
  <c r="AA14" i="176"/>
  <c r="W14" i="176"/>
  <c r="S14" i="176"/>
  <c r="O14" i="176"/>
  <c r="J14" i="176"/>
  <c r="BW13" i="176"/>
  <c r="BS13" i="176"/>
  <c r="BO13" i="176"/>
  <c r="BK13" i="176"/>
  <c r="BG13" i="176"/>
  <c r="BC13" i="176"/>
  <c r="AY13" i="176"/>
  <c r="AU13" i="176"/>
  <c r="AQ13" i="176"/>
  <c r="AM13" i="176"/>
  <c r="AI13" i="176"/>
  <c r="AE13" i="176"/>
  <c r="AA13" i="176"/>
  <c r="W13" i="176"/>
  <c r="S13" i="176"/>
  <c r="O13" i="176"/>
  <c r="J13" i="176"/>
  <c r="BW12" i="176"/>
  <c r="BS12" i="176"/>
  <c r="BO12" i="176"/>
  <c r="BK12" i="176"/>
  <c r="BG12" i="176"/>
  <c r="BC12" i="176"/>
  <c r="AY12" i="176"/>
  <c r="AU12" i="176"/>
  <c r="AQ12" i="176"/>
  <c r="AM12" i="176"/>
  <c r="AI12" i="176"/>
  <c r="AE12" i="176"/>
  <c r="AA12" i="176"/>
  <c r="W12" i="176"/>
  <c r="S12" i="176"/>
  <c r="O12" i="176"/>
  <c r="J12" i="176"/>
  <c r="BW11" i="176"/>
  <c r="BS11" i="176"/>
  <c r="BO11" i="176"/>
  <c r="BK11" i="176"/>
  <c r="BG11" i="176"/>
  <c r="BC11" i="176"/>
  <c r="AY11" i="176"/>
  <c r="AU11" i="176"/>
  <c r="AQ11" i="176"/>
  <c r="AM11" i="176"/>
  <c r="AI11" i="176"/>
  <c r="AE11" i="176"/>
  <c r="AA11" i="176"/>
  <c r="W11" i="176"/>
  <c r="S11" i="176"/>
  <c r="O11" i="176"/>
  <c r="J11" i="176"/>
  <c r="BW10" i="176"/>
  <c r="BS10" i="176"/>
  <c r="BO10" i="176"/>
  <c r="BK10" i="176"/>
  <c r="BG10" i="176"/>
  <c r="BC10" i="176"/>
  <c r="AY10" i="176"/>
  <c r="AU10" i="176"/>
  <c r="AQ10" i="176"/>
  <c r="AM10" i="176"/>
  <c r="AI10" i="176"/>
  <c r="AE10" i="176"/>
  <c r="AA10" i="176"/>
  <c r="W10" i="176"/>
  <c r="S10" i="176"/>
  <c r="O10" i="176"/>
  <c r="J10" i="176"/>
  <c r="BW9" i="176"/>
  <c r="BS9" i="176"/>
  <c r="BO9" i="176"/>
  <c r="BK9" i="176"/>
  <c r="BG9" i="176"/>
  <c r="BC9" i="176"/>
  <c r="AY9" i="176"/>
  <c r="AU9" i="176"/>
  <c r="AQ9" i="176"/>
  <c r="AM9" i="176"/>
  <c r="AI9" i="176"/>
  <c r="AE9" i="176"/>
  <c r="AA9" i="176"/>
  <c r="W9" i="176"/>
  <c r="S9" i="176"/>
  <c r="O9" i="176"/>
  <c r="J9" i="176"/>
  <c r="BW8" i="176"/>
  <c r="BS8" i="176"/>
  <c r="BO8" i="176"/>
  <c r="BK8" i="176"/>
  <c r="BG8" i="176"/>
  <c r="BC8" i="176"/>
  <c r="AY8" i="176"/>
  <c r="AU8" i="176"/>
  <c r="AQ8" i="176"/>
  <c r="AM8" i="176"/>
  <c r="AI8" i="176"/>
  <c r="AE8" i="176"/>
  <c r="AA8" i="176"/>
  <c r="W8" i="176"/>
  <c r="S8" i="176"/>
  <c r="O8" i="176"/>
  <c r="J8" i="176"/>
  <c r="BW7" i="176"/>
  <c r="BS7" i="176"/>
  <c r="BO7" i="176"/>
  <c r="BK7" i="176"/>
  <c r="BG7" i="176"/>
  <c r="BC7" i="176"/>
  <c r="AY7" i="176"/>
  <c r="AU7" i="176"/>
  <c r="AQ7" i="176"/>
  <c r="AM7" i="176"/>
  <c r="AI7" i="176"/>
  <c r="AE7" i="176"/>
  <c r="AA7" i="176"/>
  <c r="W7" i="176"/>
  <c r="S7" i="176"/>
  <c r="O7" i="176"/>
  <c r="J7" i="176"/>
  <c r="BU6" i="176"/>
  <c r="BT6" i="176"/>
  <c r="BQ6" i="176"/>
  <c r="BP6" i="176"/>
  <c r="AS6" i="176"/>
  <c r="Z6" i="176"/>
  <c r="AA6" i="176" s="1"/>
  <c r="Y6" i="176"/>
  <c r="X6" i="176"/>
  <c r="BT4" i="176"/>
  <c r="BS4" i="176"/>
  <c r="BT5" i="176" s="1"/>
  <c r="BO4" i="176"/>
  <c r="BR6" i="176" s="1"/>
  <c r="BS6" i="176" s="1"/>
  <c r="BK4" i="176"/>
  <c r="BL5" i="176" s="1"/>
  <c r="BG4" i="176"/>
  <c r="BH5" i="176" s="1"/>
  <c r="BC4" i="176"/>
  <c r="BF6" i="176" s="1"/>
  <c r="BG6" i="176" s="1"/>
  <c r="AY4" i="176"/>
  <c r="AZ4" i="176" s="1"/>
  <c r="AU4" i="176"/>
  <c r="AX6" i="176" s="1"/>
  <c r="AY6" i="176" s="1"/>
  <c r="AR4" i="176"/>
  <c r="AQ4" i="176"/>
  <c r="AT6" i="176" s="1"/>
  <c r="AU6" i="176" s="1"/>
  <c r="AM4" i="176"/>
  <c r="AP6" i="176" s="1"/>
  <c r="AQ6" i="176" s="1"/>
  <c r="AI4" i="176"/>
  <c r="AL6" i="176" s="1"/>
  <c r="AM6" i="176" s="1"/>
  <c r="AE4" i="176"/>
  <c r="AH6" i="176" s="1"/>
  <c r="AI6" i="176" s="1"/>
  <c r="AA4" i="176"/>
  <c r="AB4" i="176" s="1"/>
  <c r="W4" i="176"/>
  <c r="X5" i="176" s="1"/>
  <c r="S4" i="176"/>
  <c r="V6" i="176" s="1"/>
  <c r="W6" i="176" s="1"/>
  <c r="O4" i="176"/>
  <c r="P5" i="176" s="1"/>
  <c r="K4" i="176"/>
  <c r="L5" i="176" s="1"/>
  <c r="J4" i="176"/>
  <c r="E4" i="176"/>
  <c r="BT3" i="176"/>
  <c r="BP3" i="176"/>
  <c r="BL3" i="176"/>
  <c r="BH3" i="176"/>
  <c r="BD3" i="176"/>
  <c r="AZ3" i="176"/>
  <c r="AV3" i="176"/>
  <c r="AR3" i="176"/>
  <c r="AN3" i="176"/>
  <c r="AJ3" i="176"/>
  <c r="AF3" i="176"/>
  <c r="AB3" i="176"/>
  <c r="X3" i="176"/>
  <c r="T3" i="176"/>
  <c r="P3" i="176"/>
  <c r="L3" i="176"/>
  <c r="J3" i="176"/>
  <c r="J2" i="176"/>
  <c r="F1" i="176"/>
  <c r="BW82" i="175"/>
  <c r="BS82" i="175"/>
  <c r="BO82" i="175"/>
  <c r="BK82" i="175"/>
  <c r="BG82" i="175"/>
  <c r="BC82" i="175"/>
  <c r="AY82" i="175"/>
  <c r="AU82" i="175"/>
  <c r="AQ82" i="175"/>
  <c r="AM82" i="175"/>
  <c r="AI82" i="175"/>
  <c r="AE82" i="175"/>
  <c r="AA82" i="175"/>
  <c r="W82" i="175"/>
  <c r="S82" i="175"/>
  <c r="O82" i="175"/>
  <c r="J82" i="175"/>
  <c r="BW81" i="175"/>
  <c r="BS81" i="175"/>
  <c r="BO81" i="175"/>
  <c r="BK81" i="175"/>
  <c r="BG81" i="175"/>
  <c r="BC81" i="175"/>
  <c r="AY81" i="175"/>
  <c r="AU81" i="175"/>
  <c r="AQ81" i="175"/>
  <c r="AM81" i="175"/>
  <c r="AI81" i="175"/>
  <c r="AE81" i="175"/>
  <c r="AA81" i="175"/>
  <c r="W81" i="175"/>
  <c r="S81" i="175"/>
  <c r="O81" i="175"/>
  <c r="J81" i="175"/>
  <c r="BW80" i="175"/>
  <c r="BS80" i="175"/>
  <c r="BO80" i="175"/>
  <c r="BK80" i="175"/>
  <c r="BG80" i="175"/>
  <c r="BC80" i="175"/>
  <c r="AY80" i="175"/>
  <c r="AU80" i="175"/>
  <c r="AQ80" i="175"/>
  <c r="AM80" i="175"/>
  <c r="AI80" i="175"/>
  <c r="AE80" i="175"/>
  <c r="AA80" i="175"/>
  <c r="W80" i="175"/>
  <c r="S80" i="175"/>
  <c r="O80" i="175"/>
  <c r="J80" i="175"/>
  <c r="BW79" i="175"/>
  <c r="BS79" i="175"/>
  <c r="BO79" i="175"/>
  <c r="BK79" i="175"/>
  <c r="BG79" i="175"/>
  <c r="BC79" i="175"/>
  <c r="AY79" i="175"/>
  <c r="AU79" i="175"/>
  <c r="AQ79" i="175"/>
  <c r="AM79" i="175"/>
  <c r="AI79" i="175"/>
  <c r="AE79" i="175"/>
  <c r="AA79" i="175"/>
  <c r="W79" i="175"/>
  <c r="S79" i="175"/>
  <c r="O79" i="175"/>
  <c r="J79" i="175"/>
  <c r="BW78" i="175"/>
  <c r="BS78" i="175"/>
  <c r="BO78" i="175"/>
  <c r="BK78" i="175"/>
  <c r="BG78" i="175"/>
  <c r="BC78" i="175"/>
  <c r="AY78" i="175"/>
  <c r="AU78" i="175"/>
  <c r="AQ78" i="175"/>
  <c r="AM78" i="175"/>
  <c r="AI78" i="175"/>
  <c r="AE78" i="175"/>
  <c r="AA78" i="175"/>
  <c r="W78" i="175"/>
  <c r="S78" i="175"/>
  <c r="O78" i="175"/>
  <c r="J78" i="175"/>
  <c r="BW77" i="175"/>
  <c r="BS77" i="175"/>
  <c r="BO77" i="175"/>
  <c r="BK77" i="175"/>
  <c r="BG77" i="175"/>
  <c r="BC77" i="175"/>
  <c r="AY77" i="175"/>
  <c r="AU77" i="175"/>
  <c r="AQ77" i="175"/>
  <c r="AM77" i="175"/>
  <c r="AI77" i="175"/>
  <c r="AE77" i="175"/>
  <c r="AA77" i="175"/>
  <c r="W77" i="175"/>
  <c r="S77" i="175"/>
  <c r="O77" i="175"/>
  <c r="J77" i="175"/>
  <c r="BW76" i="175"/>
  <c r="BS76" i="175"/>
  <c r="BO76" i="175"/>
  <c r="BK76" i="175"/>
  <c r="BG76" i="175"/>
  <c r="BC76" i="175"/>
  <c r="AY76" i="175"/>
  <c r="AU76" i="175"/>
  <c r="AQ76" i="175"/>
  <c r="AM76" i="175"/>
  <c r="AI76" i="175"/>
  <c r="AE76" i="175"/>
  <c r="AA76" i="175"/>
  <c r="W76" i="175"/>
  <c r="S76" i="175"/>
  <c r="O76" i="175"/>
  <c r="J76" i="175"/>
  <c r="BW75" i="175"/>
  <c r="BS75" i="175"/>
  <c r="BO75" i="175"/>
  <c r="BK75" i="175"/>
  <c r="BG75" i="175"/>
  <c r="BC75" i="175"/>
  <c r="AY75" i="175"/>
  <c r="AU75" i="175"/>
  <c r="AQ75" i="175"/>
  <c r="AM75" i="175"/>
  <c r="AI75" i="175"/>
  <c r="AE75" i="175"/>
  <c r="AA75" i="175"/>
  <c r="W75" i="175"/>
  <c r="S75" i="175"/>
  <c r="O75" i="175"/>
  <c r="J75" i="175"/>
  <c r="BW74" i="175"/>
  <c r="BS74" i="175"/>
  <c r="BO74" i="175"/>
  <c r="BK74" i="175"/>
  <c r="BG74" i="175"/>
  <c r="BC74" i="175"/>
  <c r="AY74" i="175"/>
  <c r="AU74" i="175"/>
  <c r="AQ74" i="175"/>
  <c r="AM74" i="175"/>
  <c r="AI74" i="175"/>
  <c r="AE74" i="175"/>
  <c r="AA74" i="175"/>
  <c r="W74" i="175"/>
  <c r="S74" i="175"/>
  <c r="O74" i="175"/>
  <c r="J74" i="175"/>
  <c r="BW73" i="175"/>
  <c r="BS73" i="175"/>
  <c r="BO73" i="175"/>
  <c r="BK73" i="175"/>
  <c r="BG73" i="175"/>
  <c r="BC73" i="175"/>
  <c r="AY73" i="175"/>
  <c r="AU73" i="175"/>
  <c r="AQ73" i="175"/>
  <c r="AM73" i="175"/>
  <c r="AI73" i="175"/>
  <c r="AE73" i="175"/>
  <c r="AA73" i="175"/>
  <c r="W73" i="175"/>
  <c r="S73" i="175"/>
  <c r="O73" i="175"/>
  <c r="J73" i="175"/>
  <c r="BW72" i="175"/>
  <c r="BS72" i="175"/>
  <c r="BO72" i="175"/>
  <c r="BK72" i="175"/>
  <c r="BG72" i="175"/>
  <c r="BC72" i="175"/>
  <c r="AY72" i="175"/>
  <c r="AU72" i="175"/>
  <c r="AQ72" i="175"/>
  <c r="AM72" i="175"/>
  <c r="AI72" i="175"/>
  <c r="AE72" i="175"/>
  <c r="AA72" i="175"/>
  <c r="W72" i="175"/>
  <c r="S72" i="175"/>
  <c r="O72" i="175"/>
  <c r="J72" i="175"/>
  <c r="BW71" i="175"/>
  <c r="BS71" i="175"/>
  <c r="BO71" i="175"/>
  <c r="BK71" i="175"/>
  <c r="BG71" i="175"/>
  <c r="BC71" i="175"/>
  <c r="AY71" i="175"/>
  <c r="AU71" i="175"/>
  <c r="AQ71" i="175"/>
  <c r="AM71" i="175"/>
  <c r="AI71" i="175"/>
  <c r="AE71" i="175"/>
  <c r="AA71" i="175"/>
  <c r="W71" i="175"/>
  <c r="S71" i="175"/>
  <c r="O71" i="175"/>
  <c r="J71" i="175"/>
  <c r="BW70" i="175"/>
  <c r="BS70" i="175"/>
  <c r="BO70" i="175"/>
  <c r="BK70" i="175"/>
  <c r="BG70" i="175"/>
  <c r="BC70" i="175"/>
  <c r="AY70" i="175"/>
  <c r="AU70" i="175"/>
  <c r="AQ70" i="175"/>
  <c r="AM70" i="175"/>
  <c r="AI70" i="175"/>
  <c r="AE70" i="175"/>
  <c r="AA70" i="175"/>
  <c r="W70" i="175"/>
  <c r="S70" i="175"/>
  <c r="O70" i="175"/>
  <c r="J70" i="175"/>
  <c r="BW69" i="175"/>
  <c r="BS69" i="175"/>
  <c r="BO69" i="175"/>
  <c r="BK69" i="175"/>
  <c r="BG69" i="175"/>
  <c r="BC69" i="175"/>
  <c r="AY69" i="175"/>
  <c r="AU69" i="175"/>
  <c r="AQ69" i="175"/>
  <c r="AM69" i="175"/>
  <c r="AI69" i="175"/>
  <c r="AE69" i="175"/>
  <c r="AA69" i="175"/>
  <c r="W69" i="175"/>
  <c r="S69" i="175"/>
  <c r="O69" i="175"/>
  <c r="J69" i="175"/>
  <c r="BW68" i="175"/>
  <c r="BS68" i="175"/>
  <c r="BO68" i="175"/>
  <c r="BK68" i="175"/>
  <c r="BG68" i="175"/>
  <c r="BC68" i="175"/>
  <c r="AY68" i="175"/>
  <c r="AU68" i="175"/>
  <c r="AQ68" i="175"/>
  <c r="AM68" i="175"/>
  <c r="AI68" i="175"/>
  <c r="AE68" i="175"/>
  <c r="AA68" i="175"/>
  <c r="W68" i="175"/>
  <c r="S68" i="175"/>
  <c r="O68" i="175"/>
  <c r="J68" i="175"/>
  <c r="BW67" i="175"/>
  <c r="BS67" i="175"/>
  <c r="BO67" i="175"/>
  <c r="BK67" i="175"/>
  <c r="BG67" i="175"/>
  <c r="BC67" i="175"/>
  <c r="AY67" i="175"/>
  <c r="AU67" i="175"/>
  <c r="AQ67" i="175"/>
  <c r="AM67" i="175"/>
  <c r="AI67" i="175"/>
  <c r="AE67" i="175"/>
  <c r="AA67" i="175"/>
  <c r="W67" i="175"/>
  <c r="S67" i="175"/>
  <c r="O67" i="175"/>
  <c r="J67" i="175"/>
  <c r="BW66" i="175"/>
  <c r="BS66" i="175"/>
  <c r="BO66" i="175"/>
  <c r="BK66" i="175"/>
  <c r="BG66" i="175"/>
  <c r="BC66" i="175"/>
  <c r="AY66" i="175"/>
  <c r="AU66" i="175"/>
  <c r="AQ66" i="175"/>
  <c r="AM66" i="175"/>
  <c r="AI66" i="175"/>
  <c r="AE66" i="175"/>
  <c r="AA66" i="175"/>
  <c r="W66" i="175"/>
  <c r="S66" i="175"/>
  <c r="O66" i="175"/>
  <c r="J66" i="175"/>
  <c r="BW65" i="175"/>
  <c r="BS65" i="175"/>
  <c r="BO65" i="175"/>
  <c r="BK65" i="175"/>
  <c r="BG65" i="175"/>
  <c r="BC65" i="175"/>
  <c r="AY65" i="175"/>
  <c r="AU65" i="175"/>
  <c r="AQ65" i="175"/>
  <c r="AM65" i="175"/>
  <c r="AI65" i="175"/>
  <c r="AE65" i="175"/>
  <c r="AA65" i="175"/>
  <c r="W65" i="175"/>
  <c r="S65" i="175"/>
  <c r="O65" i="175"/>
  <c r="J65" i="175"/>
  <c r="BW64" i="175"/>
  <c r="BS64" i="175"/>
  <c r="BO64" i="175"/>
  <c r="BK64" i="175"/>
  <c r="BG64" i="175"/>
  <c r="BC64" i="175"/>
  <c r="AY64" i="175"/>
  <c r="AU64" i="175"/>
  <c r="AQ64" i="175"/>
  <c r="AM64" i="175"/>
  <c r="AI64" i="175"/>
  <c r="AE64" i="175"/>
  <c r="AA64" i="175"/>
  <c r="W64" i="175"/>
  <c r="S64" i="175"/>
  <c r="O64" i="175"/>
  <c r="J64" i="175"/>
  <c r="BW63" i="175"/>
  <c r="BS63" i="175"/>
  <c r="BO63" i="175"/>
  <c r="BK63" i="175"/>
  <c r="BG63" i="175"/>
  <c r="BC63" i="175"/>
  <c r="AY63" i="175"/>
  <c r="AU63" i="175"/>
  <c r="AQ63" i="175"/>
  <c r="AM63" i="175"/>
  <c r="AI63" i="175"/>
  <c r="AE63" i="175"/>
  <c r="AA63" i="175"/>
  <c r="W63" i="175"/>
  <c r="S63" i="175"/>
  <c r="O63" i="175"/>
  <c r="J63" i="175"/>
  <c r="BW62" i="175"/>
  <c r="BS62" i="175"/>
  <c r="BO62" i="175"/>
  <c r="BK62" i="175"/>
  <c r="BG62" i="175"/>
  <c r="BC62" i="175"/>
  <c r="AY62" i="175"/>
  <c r="AU62" i="175"/>
  <c r="AQ62" i="175"/>
  <c r="AM62" i="175"/>
  <c r="AI62" i="175"/>
  <c r="AE62" i="175"/>
  <c r="AA62" i="175"/>
  <c r="W62" i="175"/>
  <c r="S62" i="175"/>
  <c r="O62" i="175"/>
  <c r="J62" i="175"/>
  <c r="BW61" i="175"/>
  <c r="BS61" i="175"/>
  <c r="BO61" i="175"/>
  <c r="BK61" i="175"/>
  <c r="BG61" i="175"/>
  <c r="BC61" i="175"/>
  <c r="AY61" i="175"/>
  <c r="AU61" i="175"/>
  <c r="AQ61" i="175"/>
  <c r="AM61" i="175"/>
  <c r="AI61" i="175"/>
  <c r="AE61" i="175"/>
  <c r="AA61" i="175"/>
  <c r="W61" i="175"/>
  <c r="S61" i="175"/>
  <c r="O61" i="175"/>
  <c r="J61" i="175"/>
  <c r="BW60" i="175"/>
  <c r="BS60" i="175"/>
  <c r="BO60" i="175"/>
  <c r="BK60" i="175"/>
  <c r="BG60" i="175"/>
  <c r="BC60" i="175"/>
  <c r="AY60" i="175"/>
  <c r="AU60" i="175"/>
  <c r="AQ60" i="175"/>
  <c r="AM60" i="175"/>
  <c r="AI60" i="175"/>
  <c r="AE60" i="175"/>
  <c r="AA60" i="175"/>
  <c r="W60" i="175"/>
  <c r="S60" i="175"/>
  <c r="O60" i="175"/>
  <c r="J60" i="175"/>
  <c r="BW59" i="175"/>
  <c r="BS59" i="175"/>
  <c r="BO59" i="175"/>
  <c r="BK59" i="175"/>
  <c r="BG59" i="175"/>
  <c r="BC59" i="175"/>
  <c r="AY59" i="175"/>
  <c r="AU59" i="175"/>
  <c r="AQ59" i="175"/>
  <c r="AM59" i="175"/>
  <c r="AI59" i="175"/>
  <c r="AE59" i="175"/>
  <c r="AA59" i="175"/>
  <c r="W59" i="175"/>
  <c r="S59" i="175"/>
  <c r="O59" i="175"/>
  <c r="J59" i="175"/>
  <c r="BW58" i="175"/>
  <c r="BS58" i="175"/>
  <c r="BO58" i="175"/>
  <c r="BK58" i="175"/>
  <c r="BG58" i="175"/>
  <c r="BC58" i="175"/>
  <c r="AY58" i="175"/>
  <c r="AU58" i="175"/>
  <c r="AQ58" i="175"/>
  <c r="AM58" i="175"/>
  <c r="AI58" i="175"/>
  <c r="AE58" i="175"/>
  <c r="AA58" i="175"/>
  <c r="W58" i="175"/>
  <c r="S58" i="175"/>
  <c r="O58" i="175"/>
  <c r="J58" i="175"/>
  <c r="BW57" i="175"/>
  <c r="BS57" i="175"/>
  <c r="BO57" i="175"/>
  <c r="BK57" i="175"/>
  <c r="BG57" i="175"/>
  <c r="BC57" i="175"/>
  <c r="AY57" i="175"/>
  <c r="AU57" i="175"/>
  <c r="AQ57" i="175"/>
  <c r="AM57" i="175"/>
  <c r="AI57" i="175"/>
  <c r="AE57" i="175"/>
  <c r="AA57" i="175"/>
  <c r="W57" i="175"/>
  <c r="S57" i="175"/>
  <c r="O57" i="175"/>
  <c r="J57" i="175"/>
  <c r="BW56" i="175"/>
  <c r="BS56" i="175"/>
  <c r="BO56" i="175"/>
  <c r="BK56" i="175"/>
  <c r="BG56" i="175"/>
  <c r="BC56" i="175"/>
  <c r="AY56" i="175"/>
  <c r="AU56" i="175"/>
  <c r="AQ56" i="175"/>
  <c r="AM56" i="175"/>
  <c r="AI56" i="175"/>
  <c r="AE56" i="175"/>
  <c r="AA56" i="175"/>
  <c r="W56" i="175"/>
  <c r="S56" i="175"/>
  <c r="O56" i="175"/>
  <c r="J56" i="175"/>
  <c r="BW55" i="175"/>
  <c r="BS55" i="175"/>
  <c r="BO55" i="175"/>
  <c r="BK55" i="175"/>
  <c r="BG55" i="175"/>
  <c r="BC55" i="175"/>
  <c r="AY55" i="175"/>
  <c r="AU55" i="175"/>
  <c r="AQ55" i="175"/>
  <c r="AM55" i="175"/>
  <c r="AI55" i="175"/>
  <c r="AE55" i="175"/>
  <c r="AA55" i="175"/>
  <c r="W55" i="175"/>
  <c r="S55" i="175"/>
  <c r="O55" i="175"/>
  <c r="J55" i="175"/>
  <c r="BW54" i="175"/>
  <c r="BS54" i="175"/>
  <c r="BO54" i="175"/>
  <c r="BK54" i="175"/>
  <c r="BG54" i="175"/>
  <c r="BC54" i="175"/>
  <c r="AY54" i="175"/>
  <c r="AU54" i="175"/>
  <c r="AQ54" i="175"/>
  <c r="AM54" i="175"/>
  <c r="AI54" i="175"/>
  <c r="AE54" i="175"/>
  <c r="AA54" i="175"/>
  <c r="W54" i="175"/>
  <c r="S54" i="175"/>
  <c r="O54" i="175"/>
  <c r="J54" i="175"/>
  <c r="BW53" i="175"/>
  <c r="BS53" i="175"/>
  <c r="BO53" i="175"/>
  <c r="BK53" i="175"/>
  <c r="BG53" i="175"/>
  <c r="BC53" i="175"/>
  <c r="AY53" i="175"/>
  <c r="AU53" i="175"/>
  <c r="AQ53" i="175"/>
  <c r="AM53" i="175"/>
  <c r="AI53" i="175"/>
  <c r="AE53" i="175"/>
  <c r="AA53" i="175"/>
  <c r="W53" i="175"/>
  <c r="S53" i="175"/>
  <c r="O53" i="175"/>
  <c r="J53" i="175"/>
  <c r="BW52" i="175"/>
  <c r="BS52" i="175"/>
  <c r="BO52" i="175"/>
  <c r="BK52" i="175"/>
  <c r="BG52" i="175"/>
  <c r="BC52" i="175"/>
  <c r="AY52" i="175"/>
  <c r="AU52" i="175"/>
  <c r="AQ52" i="175"/>
  <c r="AM52" i="175"/>
  <c r="AI52" i="175"/>
  <c r="AE52" i="175"/>
  <c r="AA52" i="175"/>
  <c r="W52" i="175"/>
  <c r="S52" i="175"/>
  <c r="O52" i="175"/>
  <c r="J52" i="175"/>
  <c r="BW51" i="175"/>
  <c r="BS51" i="175"/>
  <c r="BO51" i="175"/>
  <c r="BK51" i="175"/>
  <c r="BG51" i="175"/>
  <c r="BC51" i="175"/>
  <c r="AY51" i="175"/>
  <c r="AU51" i="175"/>
  <c r="AQ51" i="175"/>
  <c r="AM51" i="175"/>
  <c r="AI51" i="175"/>
  <c r="AE51" i="175"/>
  <c r="AA51" i="175"/>
  <c r="W51" i="175"/>
  <c r="S51" i="175"/>
  <c r="O51" i="175"/>
  <c r="J51" i="175"/>
  <c r="BW50" i="175"/>
  <c r="BS50" i="175"/>
  <c r="BO50" i="175"/>
  <c r="BK50" i="175"/>
  <c r="BG50" i="175"/>
  <c r="BC50" i="175"/>
  <c r="AY50" i="175"/>
  <c r="AU50" i="175"/>
  <c r="AQ50" i="175"/>
  <c r="AM50" i="175"/>
  <c r="AI50" i="175"/>
  <c r="AE50" i="175"/>
  <c r="AA50" i="175"/>
  <c r="W50" i="175"/>
  <c r="S50" i="175"/>
  <c r="O50" i="175"/>
  <c r="J50" i="175"/>
  <c r="BW49" i="175"/>
  <c r="BS49" i="175"/>
  <c r="BO49" i="175"/>
  <c r="BK49" i="175"/>
  <c r="BG49" i="175"/>
  <c r="BC49" i="175"/>
  <c r="AY49" i="175"/>
  <c r="AU49" i="175"/>
  <c r="AQ49" i="175"/>
  <c r="AM49" i="175"/>
  <c r="AI49" i="175"/>
  <c r="AE49" i="175"/>
  <c r="AA49" i="175"/>
  <c r="W49" i="175"/>
  <c r="S49" i="175"/>
  <c r="O49" i="175"/>
  <c r="J49" i="175"/>
  <c r="BW48" i="175"/>
  <c r="BS48" i="175"/>
  <c r="BO48" i="175"/>
  <c r="BK48" i="175"/>
  <c r="BG48" i="175"/>
  <c r="BC48" i="175"/>
  <c r="AY48" i="175"/>
  <c r="AU48" i="175"/>
  <c r="AQ48" i="175"/>
  <c r="AM48" i="175"/>
  <c r="AI48" i="175"/>
  <c r="AE48" i="175"/>
  <c r="AA48" i="175"/>
  <c r="W48" i="175"/>
  <c r="S48" i="175"/>
  <c r="O48" i="175"/>
  <c r="J48" i="175"/>
  <c r="BW47" i="175"/>
  <c r="BS47" i="175"/>
  <c r="BO47" i="175"/>
  <c r="BK47" i="175"/>
  <c r="BG47" i="175"/>
  <c r="BC47" i="175"/>
  <c r="AY47" i="175"/>
  <c r="AU47" i="175"/>
  <c r="AQ47" i="175"/>
  <c r="AM47" i="175"/>
  <c r="AI47" i="175"/>
  <c r="AE47" i="175"/>
  <c r="AA47" i="175"/>
  <c r="W47" i="175"/>
  <c r="S47" i="175"/>
  <c r="O47" i="175"/>
  <c r="J47" i="175"/>
  <c r="BW46" i="175"/>
  <c r="BS46" i="175"/>
  <c r="BO46" i="175"/>
  <c r="BK46" i="175"/>
  <c r="BG46" i="175"/>
  <c r="BC46" i="175"/>
  <c r="AY46" i="175"/>
  <c r="AU46" i="175"/>
  <c r="AQ46" i="175"/>
  <c r="AM46" i="175"/>
  <c r="AI46" i="175"/>
  <c r="AE46" i="175"/>
  <c r="AA46" i="175"/>
  <c r="W46" i="175"/>
  <c r="S46" i="175"/>
  <c r="O46" i="175"/>
  <c r="J46" i="175"/>
  <c r="BW45" i="175"/>
  <c r="BS45" i="175"/>
  <c r="BO45" i="175"/>
  <c r="BK45" i="175"/>
  <c r="BG45" i="175"/>
  <c r="BC45" i="175"/>
  <c r="AY45" i="175"/>
  <c r="AU45" i="175"/>
  <c r="AQ45" i="175"/>
  <c r="AM45" i="175"/>
  <c r="AI45" i="175"/>
  <c r="AE45" i="175"/>
  <c r="AA45" i="175"/>
  <c r="W45" i="175"/>
  <c r="S45" i="175"/>
  <c r="O45" i="175"/>
  <c r="J45" i="175"/>
  <c r="BW44" i="175"/>
  <c r="BS44" i="175"/>
  <c r="BO44" i="175"/>
  <c r="BK44" i="175"/>
  <c r="BG44" i="175"/>
  <c r="BC44" i="175"/>
  <c r="AY44" i="175"/>
  <c r="AU44" i="175"/>
  <c r="AQ44" i="175"/>
  <c r="AM44" i="175"/>
  <c r="AI44" i="175"/>
  <c r="AE44" i="175"/>
  <c r="AA44" i="175"/>
  <c r="W44" i="175"/>
  <c r="S44" i="175"/>
  <c r="O44" i="175"/>
  <c r="J44" i="175"/>
  <c r="BW43" i="175"/>
  <c r="BS43" i="175"/>
  <c r="BO43" i="175"/>
  <c r="BK43" i="175"/>
  <c r="BG43" i="175"/>
  <c r="BC43" i="175"/>
  <c r="AY43" i="175"/>
  <c r="AU43" i="175"/>
  <c r="AQ43" i="175"/>
  <c r="AM43" i="175"/>
  <c r="AI43" i="175"/>
  <c r="AE43" i="175"/>
  <c r="AA43" i="175"/>
  <c r="W43" i="175"/>
  <c r="S43" i="175"/>
  <c r="O43" i="175"/>
  <c r="J43" i="175"/>
  <c r="BW42" i="175"/>
  <c r="BS42" i="175"/>
  <c r="BO42" i="175"/>
  <c r="BK42" i="175"/>
  <c r="BG42" i="175"/>
  <c r="BC42" i="175"/>
  <c r="AY42" i="175"/>
  <c r="AU42" i="175"/>
  <c r="AQ42" i="175"/>
  <c r="AM42" i="175"/>
  <c r="AI42" i="175"/>
  <c r="AE42" i="175"/>
  <c r="AA42" i="175"/>
  <c r="W42" i="175"/>
  <c r="S42" i="175"/>
  <c r="O42" i="175"/>
  <c r="J42" i="175"/>
  <c r="BW41" i="175"/>
  <c r="BS41" i="175"/>
  <c r="BO41" i="175"/>
  <c r="BK41" i="175"/>
  <c r="BG41" i="175"/>
  <c r="BC41" i="175"/>
  <c r="AY41" i="175"/>
  <c r="AU41" i="175"/>
  <c r="AQ41" i="175"/>
  <c r="AM41" i="175"/>
  <c r="AI41" i="175"/>
  <c r="AE41" i="175"/>
  <c r="AA41" i="175"/>
  <c r="W41" i="175"/>
  <c r="S41" i="175"/>
  <c r="O41" i="175"/>
  <c r="J41" i="175"/>
  <c r="BW40" i="175"/>
  <c r="BS40" i="175"/>
  <c r="BO40" i="175"/>
  <c r="BK40" i="175"/>
  <c r="BG40" i="175"/>
  <c r="BC40" i="175"/>
  <c r="AY40" i="175"/>
  <c r="AU40" i="175"/>
  <c r="AQ40" i="175"/>
  <c r="AM40" i="175"/>
  <c r="AI40" i="175"/>
  <c r="AE40" i="175"/>
  <c r="AA40" i="175"/>
  <c r="W40" i="175"/>
  <c r="S40" i="175"/>
  <c r="O40" i="175"/>
  <c r="J40" i="175"/>
  <c r="BW39" i="175"/>
  <c r="BS39" i="175"/>
  <c r="BO39" i="175"/>
  <c r="BK39" i="175"/>
  <c r="BG39" i="175"/>
  <c r="BC39" i="175"/>
  <c r="AY39" i="175"/>
  <c r="AU39" i="175"/>
  <c r="AQ39" i="175"/>
  <c r="AM39" i="175"/>
  <c r="AI39" i="175"/>
  <c r="AE39" i="175"/>
  <c r="AA39" i="175"/>
  <c r="W39" i="175"/>
  <c r="S39" i="175"/>
  <c r="O39" i="175"/>
  <c r="J39" i="175"/>
  <c r="BW38" i="175"/>
  <c r="BS38" i="175"/>
  <c r="BO38" i="175"/>
  <c r="BK38" i="175"/>
  <c r="BG38" i="175"/>
  <c r="BC38" i="175"/>
  <c r="AY38" i="175"/>
  <c r="AU38" i="175"/>
  <c r="AQ38" i="175"/>
  <c r="AM38" i="175"/>
  <c r="AI38" i="175"/>
  <c r="AE38" i="175"/>
  <c r="AA38" i="175"/>
  <c r="W38" i="175"/>
  <c r="S38" i="175"/>
  <c r="O38" i="175"/>
  <c r="J38" i="175"/>
  <c r="BW37" i="175"/>
  <c r="BS37" i="175"/>
  <c r="BO37" i="175"/>
  <c r="BK37" i="175"/>
  <c r="BG37" i="175"/>
  <c r="BC37" i="175"/>
  <c r="AY37" i="175"/>
  <c r="AU37" i="175"/>
  <c r="AQ37" i="175"/>
  <c r="AM37" i="175"/>
  <c r="AI37" i="175"/>
  <c r="AE37" i="175"/>
  <c r="AA37" i="175"/>
  <c r="W37" i="175"/>
  <c r="S37" i="175"/>
  <c r="O37" i="175"/>
  <c r="J37" i="175"/>
  <c r="BW36" i="175"/>
  <c r="BS36" i="175"/>
  <c r="BO36" i="175"/>
  <c r="BK36" i="175"/>
  <c r="BG36" i="175"/>
  <c r="BC36" i="175"/>
  <c r="AY36" i="175"/>
  <c r="AU36" i="175"/>
  <c r="AQ36" i="175"/>
  <c r="AM36" i="175"/>
  <c r="AI36" i="175"/>
  <c r="AE36" i="175"/>
  <c r="AA36" i="175"/>
  <c r="W36" i="175"/>
  <c r="S36" i="175"/>
  <c r="O36" i="175"/>
  <c r="J36" i="175"/>
  <c r="BW35" i="175"/>
  <c r="BS35" i="175"/>
  <c r="BO35" i="175"/>
  <c r="BK35" i="175"/>
  <c r="BG35" i="175"/>
  <c r="BC35" i="175"/>
  <c r="AY35" i="175"/>
  <c r="AU35" i="175"/>
  <c r="AQ35" i="175"/>
  <c r="AM35" i="175"/>
  <c r="AI35" i="175"/>
  <c r="AE35" i="175"/>
  <c r="AA35" i="175"/>
  <c r="W35" i="175"/>
  <c r="S35" i="175"/>
  <c r="O35" i="175"/>
  <c r="J35" i="175"/>
  <c r="BW34" i="175"/>
  <c r="BS34" i="175"/>
  <c r="BO34" i="175"/>
  <c r="BK34" i="175"/>
  <c r="BG34" i="175"/>
  <c r="BC34" i="175"/>
  <c r="AY34" i="175"/>
  <c r="AU34" i="175"/>
  <c r="AQ34" i="175"/>
  <c r="AM34" i="175"/>
  <c r="AI34" i="175"/>
  <c r="AE34" i="175"/>
  <c r="AA34" i="175"/>
  <c r="W34" i="175"/>
  <c r="S34" i="175"/>
  <c r="O34" i="175"/>
  <c r="J34" i="175"/>
  <c r="BW33" i="175"/>
  <c r="BS33" i="175"/>
  <c r="BO33" i="175"/>
  <c r="BK33" i="175"/>
  <c r="BG33" i="175"/>
  <c r="BC33" i="175"/>
  <c r="AY33" i="175"/>
  <c r="AU33" i="175"/>
  <c r="AQ33" i="175"/>
  <c r="AM33" i="175"/>
  <c r="AI33" i="175"/>
  <c r="AE33" i="175"/>
  <c r="AA33" i="175"/>
  <c r="W33" i="175"/>
  <c r="S33" i="175"/>
  <c r="O33" i="175"/>
  <c r="J33" i="175"/>
  <c r="BW32" i="175"/>
  <c r="BS32" i="175"/>
  <c r="BO32" i="175"/>
  <c r="BK32" i="175"/>
  <c r="BG32" i="175"/>
  <c r="BC32" i="175"/>
  <c r="AY32" i="175"/>
  <c r="AU32" i="175"/>
  <c r="AQ32" i="175"/>
  <c r="AM32" i="175"/>
  <c r="AI32" i="175"/>
  <c r="AE32" i="175"/>
  <c r="AA32" i="175"/>
  <c r="W32" i="175"/>
  <c r="S32" i="175"/>
  <c r="O32" i="175"/>
  <c r="J32" i="175"/>
  <c r="BW31" i="175"/>
  <c r="BS31" i="175"/>
  <c r="BO31" i="175"/>
  <c r="BK31" i="175"/>
  <c r="BG31" i="175"/>
  <c r="BC31" i="175"/>
  <c r="AY31" i="175"/>
  <c r="AU31" i="175"/>
  <c r="AQ31" i="175"/>
  <c r="AM31" i="175"/>
  <c r="AI31" i="175"/>
  <c r="AE31" i="175"/>
  <c r="AA31" i="175"/>
  <c r="W31" i="175"/>
  <c r="S31" i="175"/>
  <c r="O31" i="175"/>
  <c r="J31" i="175"/>
  <c r="BW30" i="175"/>
  <c r="BS30" i="175"/>
  <c r="BO30" i="175"/>
  <c r="BK30" i="175"/>
  <c r="BG30" i="175"/>
  <c r="BC30" i="175"/>
  <c r="AY30" i="175"/>
  <c r="AU30" i="175"/>
  <c r="AQ30" i="175"/>
  <c r="AM30" i="175"/>
  <c r="AI30" i="175"/>
  <c r="AE30" i="175"/>
  <c r="AA30" i="175"/>
  <c r="W30" i="175"/>
  <c r="S30" i="175"/>
  <c r="O30" i="175"/>
  <c r="J30" i="175"/>
  <c r="BW29" i="175"/>
  <c r="BS29" i="175"/>
  <c r="BO29" i="175"/>
  <c r="BK29" i="175"/>
  <c r="BG29" i="175"/>
  <c r="BC29" i="175"/>
  <c r="AY29" i="175"/>
  <c r="AU29" i="175"/>
  <c r="AQ29" i="175"/>
  <c r="AM29" i="175"/>
  <c r="AI29" i="175"/>
  <c r="AE29" i="175"/>
  <c r="AA29" i="175"/>
  <c r="W29" i="175"/>
  <c r="S29" i="175"/>
  <c r="O29" i="175"/>
  <c r="J29" i="175"/>
  <c r="BW28" i="175"/>
  <c r="BS28" i="175"/>
  <c r="BO28" i="175"/>
  <c r="BK28" i="175"/>
  <c r="BG28" i="175"/>
  <c r="BC28" i="175"/>
  <c r="AY28" i="175"/>
  <c r="AU28" i="175"/>
  <c r="AQ28" i="175"/>
  <c r="AM28" i="175"/>
  <c r="AI28" i="175"/>
  <c r="AE28" i="175"/>
  <c r="AA28" i="175"/>
  <c r="W28" i="175"/>
  <c r="S28" i="175"/>
  <c r="O28" i="175"/>
  <c r="J28" i="175"/>
  <c r="BW27" i="175"/>
  <c r="BS27" i="175"/>
  <c r="BO27" i="175"/>
  <c r="BK27" i="175"/>
  <c r="BG27" i="175"/>
  <c r="BC27" i="175"/>
  <c r="AY27" i="175"/>
  <c r="AU27" i="175"/>
  <c r="AQ27" i="175"/>
  <c r="AM27" i="175"/>
  <c r="AI27" i="175"/>
  <c r="AE27" i="175"/>
  <c r="AA27" i="175"/>
  <c r="W27" i="175"/>
  <c r="S27" i="175"/>
  <c r="O27" i="175"/>
  <c r="J27" i="175"/>
  <c r="BW26" i="175"/>
  <c r="BS26" i="175"/>
  <c r="BO26" i="175"/>
  <c r="BK26" i="175"/>
  <c r="BG26" i="175"/>
  <c r="BC26" i="175"/>
  <c r="AY26" i="175"/>
  <c r="AU26" i="175"/>
  <c r="AQ26" i="175"/>
  <c r="AM26" i="175"/>
  <c r="AI26" i="175"/>
  <c r="AE26" i="175"/>
  <c r="AA26" i="175"/>
  <c r="W26" i="175"/>
  <c r="S26" i="175"/>
  <c r="O26" i="175"/>
  <c r="J26" i="175"/>
  <c r="BW25" i="175"/>
  <c r="BS25" i="175"/>
  <c r="BO25" i="175"/>
  <c r="BK25" i="175"/>
  <c r="BG25" i="175"/>
  <c r="BC25" i="175"/>
  <c r="AY25" i="175"/>
  <c r="AU25" i="175"/>
  <c r="AQ25" i="175"/>
  <c r="AM25" i="175"/>
  <c r="AI25" i="175"/>
  <c r="AE25" i="175"/>
  <c r="AA25" i="175"/>
  <c r="W25" i="175"/>
  <c r="S25" i="175"/>
  <c r="O25" i="175"/>
  <c r="J25" i="175"/>
  <c r="BW24" i="175"/>
  <c r="BS24" i="175"/>
  <c r="BO24" i="175"/>
  <c r="BK24" i="175"/>
  <c r="BG24" i="175"/>
  <c r="BC24" i="175"/>
  <c r="AY24" i="175"/>
  <c r="AU24" i="175"/>
  <c r="AQ24" i="175"/>
  <c r="AM24" i="175"/>
  <c r="AI24" i="175"/>
  <c r="AE24" i="175"/>
  <c r="AA24" i="175"/>
  <c r="W24" i="175"/>
  <c r="S24" i="175"/>
  <c r="O24" i="175"/>
  <c r="J24" i="175"/>
  <c r="BW23" i="175"/>
  <c r="BS23" i="175"/>
  <c r="BO23" i="175"/>
  <c r="BK23" i="175"/>
  <c r="BG23" i="175"/>
  <c r="BC23" i="175"/>
  <c r="AY23" i="175"/>
  <c r="AU23" i="175"/>
  <c r="AQ23" i="175"/>
  <c r="AM23" i="175"/>
  <c r="AI23" i="175"/>
  <c r="AE23" i="175"/>
  <c r="AA23" i="175"/>
  <c r="W23" i="175"/>
  <c r="S23" i="175"/>
  <c r="O23" i="175"/>
  <c r="J23" i="175"/>
  <c r="BW22" i="175"/>
  <c r="BS22" i="175"/>
  <c r="BO22" i="175"/>
  <c r="BK22" i="175"/>
  <c r="BG22" i="175"/>
  <c r="BC22" i="175"/>
  <c r="AY22" i="175"/>
  <c r="AU22" i="175"/>
  <c r="AQ22" i="175"/>
  <c r="AM22" i="175"/>
  <c r="AI22" i="175"/>
  <c r="AE22" i="175"/>
  <c r="AA22" i="175"/>
  <c r="W22" i="175"/>
  <c r="S22" i="175"/>
  <c r="O22" i="175"/>
  <c r="J22" i="175"/>
  <c r="BW21" i="175"/>
  <c r="BS21" i="175"/>
  <c r="BO21" i="175"/>
  <c r="BK21" i="175"/>
  <c r="BG21" i="175"/>
  <c r="BC21" i="175"/>
  <c r="AY21" i="175"/>
  <c r="AU21" i="175"/>
  <c r="AQ21" i="175"/>
  <c r="AM21" i="175"/>
  <c r="AI21" i="175"/>
  <c r="AE21" i="175"/>
  <c r="AA21" i="175"/>
  <c r="W21" i="175"/>
  <c r="S21" i="175"/>
  <c r="O21" i="175"/>
  <c r="J21" i="175"/>
  <c r="BW20" i="175"/>
  <c r="BS20" i="175"/>
  <c r="BO20" i="175"/>
  <c r="BK20" i="175"/>
  <c r="BG20" i="175"/>
  <c r="BC20" i="175"/>
  <c r="AY20" i="175"/>
  <c r="AU20" i="175"/>
  <c r="AQ20" i="175"/>
  <c r="AM20" i="175"/>
  <c r="AI20" i="175"/>
  <c r="AE20" i="175"/>
  <c r="AA20" i="175"/>
  <c r="W20" i="175"/>
  <c r="S20" i="175"/>
  <c r="O20" i="175"/>
  <c r="J20" i="175"/>
  <c r="BW19" i="175"/>
  <c r="BS19" i="175"/>
  <c r="BO19" i="175"/>
  <c r="BK19" i="175"/>
  <c r="BG19" i="175"/>
  <c r="BC19" i="175"/>
  <c r="AY19" i="175"/>
  <c r="AU19" i="175"/>
  <c r="AQ19" i="175"/>
  <c r="AM19" i="175"/>
  <c r="AI19" i="175"/>
  <c r="AE19" i="175"/>
  <c r="AA19" i="175"/>
  <c r="W19" i="175"/>
  <c r="S19" i="175"/>
  <c r="O19" i="175"/>
  <c r="J19" i="175"/>
  <c r="BW18" i="175"/>
  <c r="BS18" i="175"/>
  <c r="BO18" i="175"/>
  <c r="BK18" i="175"/>
  <c r="BG18" i="175"/>
  <c r="BC18" i="175"/>
  <c r="AY18" i="175"/>
  <c r="AU18" i="175"/>
  <c r="AQ18" i="175"/>
  <c r="AM18" i="175"/>
  <c r="AI18" i="175"/>
  <c r="AE18" i="175"/>
  <c r="AA18" i="175"/>
  <c r="W18" i="175"/>
  <c r="S18" i="175"/>
  <c r="O18" i="175"/>
  <c r="J18" i="175"/>
  <c r="BW17" i="175"/>
  <c r="BS17" i="175"/>
  <c r="BO17" i="175"/>
  <c r="BK17" i="175"/>
  <c r="BG17" i="175"/>
  <c r="BC17" i="175"/>
  <c r="AY17" i="175"/>
  <c r="AU17" i="175"/>
  <c r="AQ17" i="175"/>
  <c r="AM17" i="175"/>
  <c r="AI17" i="175"/>
  <c r="AE17" i="175"/>
  <c r="AA17" i="175"/>
  <c r="W17" i="175"/>
  <c r="S17" i="175"/>
  <c r="O17" i="175"/>
  <c r="J17" i="175"/>
  <c r="BW16" i="175"/>
  <c r="BS16" i="175"/>
  <c r="BO16" i="175"/>
  <c r="BK16" i="175"/>
  <c r="BG16" i="175"/>
  <c r="BC16" i="175"/>
  <c r="AY16" i="175"/>
  <c r="AU16" i="175"/>
  <c r="AQ16" i="175"/>
  <c r="AM16" i="175"/>
  <c r="AI16" i="175"/>
  <c r="AE16" i="175"/>
  <c r="AA16" i="175"/>
  <c r="W16" i="175"/>
  <c r="S16" i="175"/>
  <c r="O16" i="175"/>
  <c r="J16" i="175"/>
  <c r="BW15" i="175"/>
  <c r="BS15" i="175"/>
  <c r="BO15" i="175"/>
  <c r="BK15" i="175"/>
  <c r="BG15" i="175"/>
  <c r="BC15" i="175"/>
  <c r="AY15" i="175"/>
  <c r="AU15" i="175"/>
  <c r="AQ15" i="175"/>
  <c r="AM15" i="175"/>
  <c r="AI15" i="175"/>
  <c r="AE15" i="175"/>
  <c r="AA15" i="175"/>
  <c r="W15" i="175"/>
  <c r="S15" i="175"/>
  <c r="O15" i="175"/>
  <c r="J15" i="175"/>
  <c r="BW14" i="175"/>
  <c r="BS14" i="175"/>
  <c r="BO14" i="175"/>
  <c r="BK14" i="175"/>
  <c r="BG14" i="175"/>
  <c r="BC14" i="175"/>
  <c r="AY14" i="175"/>
  <c r="AU14" i="175"/>
  <c r="AQ14" i="175"/>
  <c r="AM14" i="175"/>
  <c r="AI14" i="175"/>
  <c r="AE14" i="175"/>
  <c r="AA14" i="175"/>
  <c r="W14" i="175"/>
  <c r="S14" i="175"/>
  <c r="O14" i="175"/>
  <c r="J14" i="175"/>
  <c r="BW13" i="175"/>
  <c r="BS13" i="175"/>
  <c r="BO13" i="175"/>
  <c r="BK13" i="175"/>
  <c r="BG13" i="175"/>
  <c r="BC13" i="175"/>
  <c r="AY13" i="175"/>
  <c r="AU13" i="175"/>
  <c r="AQ13" i="175"/>
  <c r="AM13" i="175"/>
  <c r="AI13" i="175"/>
  <c r="AE13" i="175"/>
  <c r="AA13" i="175"/>
  <c r="W13" i="175"/>
  <c r="S13" i="175"/>
  <c r="O13" i="175"/>
  <c r="J13" i="175"/>
  <c r="BW12" i="175"/>
  <c r="BS12" i="175"/>
  <c r="BO12" i="175"/>
  <c r="BK12" i="175"/>
  <c r="BG12" i="175"/>
  <c r="BC12" i="175"/>
  <c r="AY12" i="175"/>
  <c r="AU12" i="175"/>
  <c r="AQ12" i="175"/>
  <c r="AM12" i="175"/>
  <c r="AI12" i="175"/>
  <c r="AE12" i="175"/>
  <c r="AA12" i="175"/>
  <c r="W12" i="175"/>
  <c r="S12" i="175"/>
  <c r="O12" i="175"/>
  <c r="J12" i="175"/>
  <c r="BW11" i="175"/>
  <c r="BS11" i="175"/>
  <c r="BO11" i="175"/>
  <c r="BK11" i="175"/>
  <c r="BG11" i="175"/>
  <c r="BC11" i="175"/>
  <c r="AY11" i="175"/>
  <c r="AU11" i="175"/>
  <c r="AQ11" i="175"/>
  <c r="AM11" i="175"/>
  <c r="AI11" i="175"/>
  <c r="AE11" i="175"/>
  <c r="AA11" i="175"/>
  <c r="W11" i="175"/>
  <c r="S11" i="175"/>
  <c r="O11" i="175"/>
  <c r="J11" i="175"/>
  <c r="BW10" i="175"/>
  <c r="BS10" i="175"/>
  <c r="BO10" i="175"/>
  <c r="BK10" i="175"/>
  <c r="BG10" i="175"/>
  <c r="BC10" i="175"/>
  <c r="AY10" i="175"/>
  <c r="AU10" i="175"/>
  <c r="AQ10" i="175"/>
  <c r="AM10" i="175"/>
  <c r="AI10" i="175"/>
  <c r="AE10" i="175"/>
  <c r="AA10" i="175"/>
  <c r="W10" i="175"/>
  <c r="S10" i="175"/>
  <c r="O10" i="175"/>
  <c r="J10" i="175"/>
  <c r="BW9" i="175"/>
  <c r="BS9" i="175"/>
  <c r="BO9" i="175"/>
  <c r="BK9" i="175"/>
  <c r="BG9" i="175"/>
  <c r="BC9" i="175"/>
  <c r="AY9" i="175"/>
  <c r="AU9" i="175"/>
  <c r="AQ9" i="175"/>
  <c r="AM9" i="175"/>
  <c r="AI9" i="175"/>
  <c r="AE9" i="175"/>
  <c r="AA9" i="175"/>
  <c r="W9" i="175"/>
  <c r="S9" i="175"/>
  <c r="O9" i="175"/>
  <c r="J9" i="175"/>
  <c r="BW8" i="175"/>
  <c r="BS8" i="175"/>
  <c r="BO8" i="175"/>
  <c r="BK8" i="175"/>
  <c r="BG8" i="175"/>
  <c r="BC8" i="175"/>
  <c r="AY8" i="175"/>
  <c r="AU8" i="175"/>
  <c r="AQ8" i="175"/>
  <c r="AM8" i="175"/>
  <c r="AI8" i="175"/>
  <c r="AE8" i="175"/>
  <c r="AA8" i="175"/>
  <c r="W8" i="175"/>
  <c r="S8" i="175"/>
  <c r="O8" i="175"/>
  <c r="J8" i="175"/>
  <c r="BW7" i="175"/>
  <c r="BS7" i="175"/>
  <c r="BO7" i="175"/>
  <c r="BK7" i="175"/>
  <c r="BG7" i="175"/>
  <c r="BC7" i="175"/>
  <c r="AY7" i="175"/>
  <c r="AU7" i="175"/>
  <c r="AQ7" i="175"/>
  <c r="AM7" i="175"/>
  <c r="AI7" i="175"/>
  <c r="AE7" i="175"/>
  <c r="AA7" i="175"/>
  <c r="W7" i="175"/>
  <c r="S7" i="175"/>
  <c r="O7" i="175"/>
  <c r="J7" i="175"/>
  <c r="BP6" i="175"/>
  <c r="BE6" i="175"/>
  <c r="AX6" i="175"/>
  <c r="AY6" i="175" s="1"/>
  <c r="AV6" i="175"/>
  <c r="AC6" i="175"/>
  <c r="Z6" i="175"/>
  <c r="AA6" i="175" s="1"/>
  <c r="Y6" i="175"/>
  <c r="U6" i="175"/>
  <c r="Q6" i="175"/>
  <c r="AB5" i="175"/>
  <c r="BS4" i="175"/>
  <c r="BT6" i="175" s="1"/>
  <c r="BP4" i="175"/>
  <c r="BO4" i="175"/>
  <c r="BR6" i="175" s="1"/>
  <c r="BS6" i="175" s="1"/>
  <c r="BK4" i="175"/>
  <c r="BL5" i="175" s="1"/>
  <c r="BG4" i="175"/>
  <c r="BH5" i="175" s="1"/>
  <c r="BC4" i="175"/>
  <c r="BD4" i="175" s="1"/>
  <c r="AY4" i="175"/>
  <c r="AZ4" i="175" s="1"/>
  <c r="AU4" i="175"/>
  <c r="AW6" i="175" s="1"/>
  <c r="AQ4" i="175"/>
  <c r="AT6" i="175" s="1"/>
  <c r="AU6" i="175" s="1"/>
  <c r="AM4" i="175"/>
  <c r="AP6" i="175" s="1"/>
  <c r="AQ6" i="175" s="1"/>
  <c r="AI4" i="175"/>
  <c r="AJ6" i="175" s="1"/>
  <c r="AE4" i="175"/>
  <c r="AF4" i="175" s="1"/>
  <c r="AA4" i="175"/>
  <c r="AB4" i="175" s="1"/>
  <c r="X4" i="175"/>
  <c r="W4" i="175"/>
  <c r="X5" i="175" s="1"/>
  <c r="T4" i="175"/>
  <c r="S4" i="175"/>
  <c r="V6" i="175" s="1"/>
  <c r="W6" i="175" s="1"/>
  <c r="O4" i="175"/>
  <c r="P5" i="175" s="1"/>
  <c r="K4" i="175"/>
  <c r="L5" i="175" s="1"/>
  <c r="J4" i="175"/>
  <c r="E4" i="175"/>
  <c r="BT3" i="175"/>
  <c r="BP3" i="175"/>
  <c r="BL3" i="175"/>
  <c r="BH3" i="175"/>
  <c r="BD3" i="175"/>
  <c r="AZ3" i="175"/>
  <c r="AV3" i="175"/>
  <c r="AR3" i="175"/>
  <c r="AN3" i="175"/>
  <c r="AJ3" i="175"/>
  <c r="AF3" i="175"/>
  <c r="AB3" i="175"/>
  <c r="X3" i="175"/>
  <c r="T3" i="175"/>
  <c r="P3" i="175"/>
  <c r="L3" i="175"/>
  <c r="J3" i="175"/>
  <c r="J2" i="175"/>
  <c r="F1" i="175"/>
  <c r="BW82" i="174"/>
  <c r="BS82" i="174"/>
  <c r="BO82" i="174"/>
  <c r="BK82" i="174"/>
  <c r="BG82" i="174"/>
  <c r="BC82" i="174"/>
  <c r="AY82" i="174"/>
  <c r="AU82" i="174"/>
  <c r="AQ82" i="174"/>
  <c r="AM82" i="174"/>
  <c r="AI82" i="174"/>
  <c r="AE82" i="174"/>
  <c r="AA82" i="174"/>
  <c r="W82" i="174"/>
  <c r="S82" i="174"/>
  <c r="O82" i="174"/>
  <c r="J82" i="174"/>
  <c r="BW81" i="174"/>
  <c r="BS81" i="174"/>
  <c r="BO81" i="174"/>
  <c r="BK81" i="174"/>
  <c r="BG81" i="174"/>
  <c r="BC81" i="174"/>
  <c r="AY81" i="174"/>
  <c r="AU81" i="174"/>
  <c r="AQ81" i="174"/>
  <c r="AM81" i="174"/>
  <c r="AI81" i="174"/>
  <c r="AE81" i="174"/>
  <c r="AA81" i="174"/>
  <c r="W81" i="174"/>
  <c r="S81" i="174"/>
  <c r="O81" i="174"/>
  <c r="J81" i="174"/>
  <c r="BW80" i="174"/>
  <c r="BS80" i="174"/>
  <c r="BO80" i="174"/>
  <c r="BK80" i="174"/>
  <c r="BG80" i="174"/>
  <c r="BC80" i="174"/>
  <c r="AY80" i="174"/>
  <c r="AU80" i="174"/>
  <c r="AQ80" i="174"/>
  <c r="AM80" i="174"/>
  <c r="AI80" i="174"/>
  <c r="AE80" i="174"/>
  <c r="AA80" i="174"/>
  <c r="W80" i="174"/>
  <c r="S80" i="174"/>
  <c r="O80" i="174"/>
  <c r="J80" i="174"/>
  <c r="BW79" i="174"/>
  <c r="BS79" i="174"/>
  <c r="BO79" i="174"/>
  <c r="BK79" i="174"/>
  <c r="BG79" i="174"/>
  <c r="BC79" i="174"/>
  <c r="AY79" i="174"/>
  <c r="AU79" i="174"/>
  <c r="AQ79" i="174"/>
  <c r="AM79" i="174"/>
  <c r="AI79" i="174"/>
  <c r="AE79" i="174"/>
  <c r="AA79" i="174"/>
  <c r="W79" i="174"/>
  <c r="S79" i="174"/>
  <c r="O79" i="174"/>
  <c r="J79" i="174"/>
  <c r="BW78" i="174"/>
  <c r="BS78" i="174"/>
  <c r="BO78" i="174"/>
  <c r="BK78" i="174"/>
  <c r="BG78" i="174"/>
  <c r="BC78" i="174"/>
  <c r="AY78" i="174"/>
  <c r="AU78" i="174"/>
  <c r="AQ78" i="174"/>
  <c r="AM78" i="174"/>
  <c r="AI78" i="174"/>
  <c r="AE78" i="174"/>
  <c r="AA78" i="174"/>
  <c r="W78" i="174"/>
  <c r="S78" i="174"/>
  <c r="O78" i="174"/>
  <c r="J78" i="174"/>
  <c r="BW77" i="174"/>
  <c r="BS77" i="174"/>
  <c r="BO77" i="174"/>
  <c r="BK77" i="174"/>
  <c r="BG77" i="174"/>
  <c r="BC77" i="174"/>
  <c r="AY77" i="174"/>
  <c r="AU77" i="174"/>
  <c r="AQ77" i="174"/>
  <c r="AM77" i="174"/>
  <c r="AI77" i="174"/>
  <c r="AE77" i="174"/>
  <c r="AA77" i="174"/>
  <c r="W77" i="174"/>
  <c r="S77" i="174"/>
  <c r="O77" i="174"/>
  <c r="J77" i="174"/>
  <c r="BW76" i="174"/>
  <c r="BS76" i="174"/>
  <c r="BO76" i="174"/>
  <c r="BK76" i="174"/>
  <c r="BG76" i="174"/>
  <c r="BC76" i="174"/>
  <c r="AY76" i="174"/>
  <c r="AU76" i="174"/>
  <c r="AQ76" i="174"/>
  <c r="AM76" i="174"/>
  <c r="AI76" i="174"/>
  <c r="AE76" i="174"/>
  <c r="AA76" i="174"/>
  <c r="W76" i="174"/>
  <c r="S76" i="174"/>
  <c r="O76" i="174"/>
  <c r="J76" i="174"/>
  <c r="BW75" i="174"/>
  <c r="BS75" i="174"/>
  <c r="BO75" i="174"/>
  <c r="BK75" i="174"/>
  <c r="BG75" i="174"/>
  <c r="BC75" i="174"/>
  <c r="AY75" i="174"/>
  <c r="AU75" i="174"/>
  <c r="AQ75" i="174"/>
  <c r="AM75" i="174"/>
  <c r="AI75" i="174"/>
  <c r="AE75" i="174"/>
  <c r="AA75" i="174"/>
  <c r="W75" i="174"/>
  <c r="S75" i="174"/>
  <c r="O75" i="174"/>
  <c r="J75" i="174"/>
  <c r="BW74" i="174"/>
  <c r="BS74" i="174"/>
  <c r="BO74" i="174"/>
  <c r="BK74" i="174"/>
  <c r="BG74" i="174"/>
  <c r="BC74" i="174"/>
  <c r="AY74" i="174"/>
  <c r="AU74" i="174"/>
  <c r="AQ74" i="174"/>
  <c r="AM74" i="174"/>
  <c r="AI74" i="174"/>
  <c r="AE74" i="174"/>
  <c r="AA74" i="174"/>
  <c r="W74" i="174"/>
  <c r="S74" i="174"/>
  <c r="O74" i="174"/>
  <c r="J74" i="174"/>
  <c r="BW73" i="174"/>
  <c r="BS73" i="174"/>
  <c r="BO73" i="174"/>
  <c r="BK73" i="174"/>
  <c r="BG73" i="174"/>
  <c r="BC73" i="174"/>
  <c r="AY73" i="174"/>
  <c r="AU73" i="174"/>
  <c r="AQ73" i="174"/>
  <c r="AM73" i="174"/>
  <c r="AI73" i="174"/>
  <c r="AE73" i="174"/>
  <c r="AA73" i="174"/>
  <c r="W73" i="174"/>
  <c r="S73" i="174"/>
  <c r="O73" i="174"/>
  <c r="J73" i="174"/>
  <c r="BW72" i="174"/>
  <c r="BS72" i="174"/>
  <c r="BO72" i="174"/>
  <c r="BK72" i="174"/>
  <c r="BG72" i="174"/>
  <c r="BC72" i="174"/>
  <c r="AY72" i="174"/>
  <c r="AU72" i="174"/>
  <c r="AQ72" i="174"/>
  <c r="AM72" i="174"/>
  <c r="AI72" i="174"/>
  <c r="AE72" i="174"/>
  <c r="AA72" i="174"/>
  <c r="W72" i="174"/>
  <c r="S72" i="174"/>
  <c r="O72" i="174"/>
  <c r="J72" i="174"/>
  <c r="BW71" i="174"/>
  <c r="BS71" i="174"/>
  <c r="BO71" i="174"/>
  <c r="BK71" i="174"/>
  <c r="BG71" i="174"/>
  <c r="BC71" i="174"/>
  <c r="AY71" i="174"/>
  <c r="AU71" i="174"/>
  <c r="AQ71" i="174"/>
  <c r="AM71" i="174"/>
  <c r="AI71" i="174"/>
  <c r="AE71" i="174"/>
  <c r="AA71" i="174"/>
  <c r="W71" i="174"/>
  <c r="S71" i="174"/>
  <c r="O71" i="174"/>
  <c r="J71" i="174"/>
  <c r="BW70" i="174"/>
  <c r="BS70" i="174"/>
  <c r="BO70" i="174"/>
  <c r="BK70" i="174"/>
  <c r="BG70" i="174"/>
  <c r="BC70" i="174"/>
  <c r="AY70" i="174"/>
  <c r="AU70" i="174"/>
  <c r="AQ70" i="174"/>
  <c r="AM70" i="174"/>
  <c r="AI70" i="174"/>
  <c r="AE70" i="174"/>
  <c r="AA70" i="174"/>
  <c r="W70" i="174"/>
  <c r="S70" i="174"/>
  <c r="O70" i="174"/>
  <c r="J70" i="174"/>
  <c r="BW69" i="174"/>
  <c r="BS69" i="174"/>
  <c r="BO69" i="174"/>
  <c r="BK69" i="174"/>
  <c r="BG69" i="174"/>
  <c r="BC69" i="174"/>
  <c r="AY69" i="174"/>
  <c r="AU69" i="174"/>
  <c r="AQ69" i="174"/>
  <c r="AM69" i="174"/>
  <c r="AI69" i="174"/>
  <c r="AE69" i="174"/>
  <c r="AA69" i="174"/>
  <c r="W69" i="174"/>
  <c r="S69" i="174"/>
  <c r="O69" i="174"/>
  <c r="J69" i="174"/>
  <c r="BW68" i="174"/>
  <c r="BS68" i="174"/>
  <c r="BO68" i="174"/>
  <c r="BK68" i="174"/>
  <c r="BG68" i="174"/>
  <c r="BC68" i="174"/>
  <c r="AY68" i="174"/>
  <c r="AU68" i="174"/>
  <c r="AQ68" i="174"/>
  <c r="AM68" i="174"/>
  <c r="AI68" i="174"/>
  <c r="AE68" i="174"/>
  <c r="AA68" i="174"/>
  <c r="W68" i="174"/>
  <c r="S68" i="174"/>
  <c r="O68" i="174"/>
  <c r="J68" i="174"/>
  <c r="BW67" i="174"/>
  <c r="BS67" i="174"/>
  <c r="BO67" i="174"/>
  <c r="BK67" i="174"/>
  <c r="BG67" i="174"/>
  <c r="BC67" i="174"/>
  <c r="AY67" i="174"/>
  <c r="AU67" i="174"/>
  <c r="AQ67" i="174"/>
  <c r="AM67" i="174"/>
  <c r="AI67" i="174"/>
  <c r="AE67" i="174"/>
  <c r="AA67" i="174"/>
  <c r="W67" i="174"/>
  <c r="S67" i="174"/>
  <c r="O67" i="174"/>
  <c r="J67" i="174"/>
  <c r="BW66" i="174"/>
  <c r="BS66" i="174"/>
  <c r="BO66" i="174"/>
  <c r="BK66" i="174"/>
  <c r="BG66" i="174"/>
  <c r="BC66" i="174"/>
  <c r="AY66" i="174"/>
  <c r="AU66" i="174"/>
  <c r="AQ66" i="174"/>
  <c r="AM66" i="174"/>
  <c r="AI66" i="174"/>
  <c r="AE66" i="174"/>
  <c r="AA66" i="174"/>
  <c r="W66" i="174"/>
  <c r="S66" i="174"/>
  <c r="O66" i="174"/>
  <c r="J66" i="174"/>
  <c r="BW65" i="174"/>
  <c r="BS65" i="174"/>
  <c r="BO65" i="174"/>
  <c r="BK65" i="174"/>
  <c r="BG65" i="174"/>
  <c r="BC65" i="174"/>
  <c r="AY65" i="174"/>
  <c r="AU65" i="174"/>
  <c r="AQ65" i="174"/>
  <c r="AM65" i="174"/>
  <c r="AI65" i="174"/>
  <c r="AE65" i="174"/>
  <c r="AA65" i="174"/>
  <c r="W65" i="174"/>
  <c r="S65" i="174"/>
  <c r="O65" i="174"/>
  <c r="J65" i="174"/>
  <c r="BW64" i="174"/>
  <c r="BS64" i="174"/>
  <c r="BO64" i="174"/>
  <c r="BK64" i="174"/>
  <c r="BG64" i="174"/>
  <c r="BC64" i="174"/>
  <c r="AY64" i="174"/>
  <c r="AU64" i="174"/>
  <c r="AQ64" i="174"/>
  <c r="AM64" i="174"/>
  <c r="AI64" i="174"/>
  <c r="AE64" i="174"/>
  <c r="AA64" i="174"/>
  <c r="W64" i="174"/>
  <c r="S64" i="174"/>
  <c r="O64" i="174"/>
  <c r="J64" i="174"/>
  <c r="BW63" i="174"/>
  <c r="BS63" i="174"/>
  <c r="BO63" i="174"/>
  <c r="BK63" i="174"/>
  <c r="BG63" i="174"/>
  <c r="BC63" i="174"/>
  <c r="AY63" i="174"/>
  <c r="AU63" i="174"/>
  <c r="AQ63" i="174"/>
  <c r="AM63" i="174"/>
  <c r="AI63" i="174"/>
  <c r="AE63" i="174"/>
  <c r="AA63" i="174"/>
  <c r="W63" i="174"/>
  <c r="S63" i="174"/>
  <c r="O63" i="174"/>
  <c r="J63" i="174"/>
  <c r="BW62" i="174"/>
  <c r="BS62" i="174"/>
  <c r="BO62" i="174"/>
  <c r="BK62" i="174"/>
  <c r="BG62" i="174"/>
  <c r="BC62" i="174"/>
  <c r="AY62" i="174"/>
  <c r="AU62" i="174"/>
  <c r="AQ62" i="174"/>
  <c r="AM62" i="174"/>
  <c r="AI62" i="174"/>
  <c r="AE62" i="174"/>
  <c r="AA62" i="174"/>
  <c r="W62" i="174"/>
  <c r="S62" i="174"/>
  <c r="O62" i="174"/>
  <c r="J62" i="174"/>
  <c r="BW61" i="174"/>
  <c r="BS61" i="174"/>
  <c r="BO61" i="174"/>
  <c r="BK61" i="174"/>
  <c r="BG61" i="174"/>
  <c r="BC61" i="174"/>
  <c r="AY61" i="174"/>
  <c r="AU61" i="174"/>
  <c r="AQ61" i="174"/>
  <c r="AM61" i="174"/>
  <c r="AI61" i="174"/>
  <c r="AE61" i="174"/>
  <c r="AA61" i="174"/>
  <c r="W61" i="174"/>
  <c r="S61" i="174"/>
  <c r="O61" i="174"/>
  <c r="J61" i="174"/>
  <c r="BW60" i="174"/>
  <c r="BS60" i="174"/>
  <c r="BO60" i="174"/>
  <c r="BK60" i="174"/>
  <c r="BG60" i="174"/>
  <c r="BC60" i="174"/>
  <c r="AY60" i="174"/>
  <c r="AU60" i="174"/>
  <c r="AQ60" i="174"/>
  <c r="AM60" i="174"/>
  <c r="AI60" i="174"/>
  <c r="AE60" i="174"/>
  <c r="AA60" i="174"/>
  <c r="W60" i="174"/>
  <c r="S60" i="174"/>
  <c r="O60" i="174"/>
  <c r="J60" i="174"/>
  <c r="BW59" i="174"/>
  <c r="BS59" i="174"/>
  <c r="BO59" i="174"/>
  <c r="BK59" i="174"/>
  <c r="BG59" i="174"/>
  <c r="BC59" i="174"/>
  <c r="AY59" i="174"/>
  <c r="AU59" i="174"/>
  <c r="AQ59" i="174"/>
  <c r="AM59" i="174"/>
  <c r="AI59" i="174"/>
  <c r="AE59" i="174"/>
  <c r="AA59" i="174"/>
  <c r="W59" i="174"/>
  <c r="S59" i="174"/>
  <c r="O59" i="174"/>
  <c r="J59" i="174"/>
  <c r="BW58" i="174"/>
  <c r="BS58" i="174"/>
  <c r="BO58" i="174"/>
  <c r="BK58" i="174"/>
  <c r="BG58" i="174"/>
  <c r="BC58" i="174"/>
  <c r="AY58" i="174"/>
  <c r="AU58" i="174"/>
  <c r="AQ58" i="174"/>
  <c r="AM58" i="174"/>
  <c r="AI58" i="174"/>
  <c r="AE58" i="174"/>
  <c r="AA58" i="174"/>
  <c r="W58" i="174"/>
  <c r="S58" i="174"/>
  <c r="O58" i="174"/>
  <c r="J58" i="174"/>
  <c r="BW57" i="174"/>
  <c r="BS57" i="174"/>
  <c r="BO57" i="174"/>
  <c r="BK57" i="174"/>
  <c r="BG57" i="174"/>
  <c r="BC57" i="174"/>
  <c r="AY57" i="174"/>
  <c r="AU57" i="174"/>
  <c r="AQ57" i="174"/>
  <c r="AM57" i="174"/>
  <c r="AI57" i="174"/>
  <c r="AE57" i="174"/>
  <c r="AA57" i="174"/>
  <c r="W57" i="174"/>
  <c r="S57" i="174"/>
  <c r="O57" i="174"/>
  <c r="J57" i="174"/>
  <c r="BW56" i="174"/>
  <c r="BS56" i="174"/>
  <c r="BO56" i="174"/>
  <c r="BK56" i="174"/>
  <c r="BG56" i="174"/>
  <c r="BC56" i="174"/>
  <c r="AY56" i="174"/>
  <c r="AU56" i="174"/>
  <c r="AQ56" i="174"/>
  <c r="AM56" i="174"/>
  <c r="AI56" i="174"/>
  <c r="AE56" i="174"/>
  <c r="AA56" i="174"/>
  <c r="W56" i="174"/>
  <c r="S56" i="174"/>
  <c r="O56" i="174"/>
  <c r="J56" i="174"/>
  <c r="BW55" i="174"/>
  <c r="BS55" i="174"/>
  <c r="BO55" i="174"/>
  <c r="BK55" i="174"/>
  <c r="BG55" i="174"/>
  <c r="BC55" i="174"/>
  <c r="AY55" i="174"/>
  <c r="AU55" i="174"/>
  <c r="AQ55" i="174"/>
  <c r="AM55" i="174"/>
  <c r="AI55" i="174"/>
  <c r="AE55" i="174"/>
  <c r="AA55" i="174"/>
  <c r="W55" i="174"/>
  <c r="S55" i="174"/>
  <c r="O55" i="174"/>
  <c r="J55" i="174"/>
  <c r="BW54" i="174"/>
  <c r="BS54" i="174"/>
  <c r="BO54" i="174"/>
  <c r="BK54" i="174"/>
  <c r="BG54" i="174"/>
  <c r="BC54" i="174"/>
  <c r="AY54" i="174"/>
  <c r="AU54" i="174"/>
  <c r="AQ54" i="174"/>
  <c r="AM54" i="174"/>
  <c r="AI54" i="174"/>
  <c r="AE54" i="174"/>
  <c r="AA54" i="174"/>
  <c r="W54" i="174"/>
  <c r="S54" i="174"/>
  <c r="O54" i="174"/>
  <c r="J54" i="174"/>
  <c r="BW53" i="174"/>
  <c r="BS53" i="174"/>
  <c r="BO53" i="174"/>
  <c r="BK53" i="174"/>
  <c r="BG53" i="174"/>
  <c r="BC53" i="174"/>
  <c r="AY53" i="174"/>
  <c r="AU53" i="174"/>
  <c r="AQ53" i="174"/>
  <c r="AM53" i="174"/>
  <c r="AI53" i="174"/>
  <c r="AE53" i="174"/>
  <c r="AA53" i="174"/>
  <c r="W53" i="174"/>
  <c r="S53" i="174"/>
  <c r="O53" i="174"/>
  <c r="J53" i="174"/>
  <c r="BW52" i="174"/>
  <c r="BS52" i="174"/>
  <c r="BO52" i="174"/>
  <c r="BK52" i="174"/>
  <c r="BG52" i="174"/>
  <c r="BC52" i="174"/>
  <c r="AY52" i="174"/>
  <c r="AU52" i="174"/>
  <c r="AQ52" i="174"/>
  <c r="AM52" i="174"/>
  <c r="AI52" i="174"/>
  <c r="AE52" i="174"/>
  <c r="AA52" i="174"/>
  <c r="W52" i="174"/>
  <c r="S52" i="174"/>
  <c r="O52" i="174"/>
  <c r="J52" i="174"/>
  <c r="BW51" i="174"/>
  <c r="BS51" i="174"/>
  <c r="BO51" i="174"/>
  <c r="BK51" i="174"/>
  <c r="BG51" i="174"/>
  <c r="BC51" i="174"/>
  <c r="AY51" i="174"/>
  <c r="AU51" i="174"/>
  <c r="AQ51" i="174"/>
  <c r="AM51" i="174"/>
  <c r="AI51" i="174"/>
  <c r="AE51" i="174"/>
  <c r="AA51" i="174"/>
  <c r="W51" i="174"/>
  <c r="S51" i="174"/>
  <c r="O51" i="174"/>
  <c r="J51" i="174"/>
  <c r="BW50" i="174"/>
  <c r="BS50" i="174"/>
  <c r="BO50" i="174"/>
  <c r="BK50" i="174"/>
  <c r="BG50" i="174"/>
  <c r="BC50" i="174"/>
  <c r="AY50" i="174"/>
  <c r="AU50" i="174"/>
  <c r="AQ50" i="174"/>
  <c r="AM50" i="174"/>
  <c r="AI50" i="174"/>
  <c r="AE50" i="174"/>
  <c r="AA50" i="174"/>
  <c r="W50" i="174"/>
  <c r="S50" i="174"/>
  <c r="O50" i="174"/>
  <c r="J50" i="174"/>
  <c r="BW49" i="174"/>
  <c r="BS49" i="174"/>
  <c r="BO49" i="174"/>
  <c r="BK49" i="174"/>
  <c r="BG49" i="174"/>
  <c r="BC49" i="174"/>
  <c r="AY49" i="174"/>
  <c r="AU49" i="174"/>
  <c r="AQ49" i="174"/>
  <c r="AM49" i="174"/>
  <c r="AI49" i="174"/>
  <c r="AE49" i="174"/>
  <c r="AA49" i="174"/>
  <c r="W49" i="174"/>
  <c r="S49" i="174"/>
  <c r="O49" i="174"/>
  <c r="J49" i="174"/>
  <c r="BW48" i="174"/>
  <c r="BS48" i="174"/>
  <c r="BO48" i="174"/>
  <c r="BK48" i="174"/>
  <c r="BG48" i="174"/>
  <c r="BC48" i="174"/>
  <c r="AY48" i="174"/>
  <c r="AU48" i="174"/>
  <c r="AQ48" i="174"/>
  <c r="AM48" i="174"/>
  <c r="AI48" i="174"/>
  <c r="AE48" i="174"/>
  <c r="AA48" i="174"/>
  <c r="W48" i="174"/>
  <c r="S48" i="174"/>
  <c r="O48" i="174"/>
  <c r="J48" i="174"/>
  <c r="BW47" i="174"/>
  <c r="BS47" i="174"/>
  <c r="BO47" i="174"/>
  <c r="BK47" i="174"/>
  <c r="BG47" i="174"/>
  <c r="BC47" i="174"/>
  <c r="AY47" i="174"/>
  <c r="AU47" i="174"/>
  <c r="AQ47" i="174"/>
  <c r="AM47" i="174"/>
  <c r="AI47" i="174"/>
  <c r="AE47" i="174"/>
  <c r="AA47" i="174"/>
  <c r="W47" i="174"/>
  <c r="S47" i="174"/>
  <c r="O47" i="174"/>
  <c r="J47" i="174"/>
  <c r="BW46" i="174"/>
  <c r="BS46" i="174"/>
  <c r="BO46" i="174"/>
  <c r="BK46" i="174"/>
  <c r="BG46" i="174"/>
  <c r="BC46" i="174"/>
  <c r="AY46" i="174"/>
  <c r="AU46" i="174"/>
  <c r="AQ46" i="174"/>
  <c r="AM46" i="174"/>
  <c r="AI46" i="174"/>
  <c r="AE46" i="174"/>
  <c r="AA46" i="174"/>
  <c r="W46" i="174"/>
  <c r="S46" i="174"/>
  <c r="O46" i="174"/>
  <c r="J46" i="174"/>
  <c r="BW45" i="174"/>
  <c r="BS45" i="174"/>
  <c r="BO45" i="174"/>
  <c r="BK45" i="174"/>
  <c r="BG45" i="174"/>
  <c r="BC45" i="174"/>
  <c r="AY45" i="174"/>
  <c r="AU45" i="174"/>
  <c r="AQ45" i="174"/>
  <c r="AM45" i="174"/>
  <c r="AI45" i="174"/>
  <c r="AE45" i="174"/>
  <c r="AA45" i="174"/>
  <c r="W45" i="174"/>
  <c r="S45" i="174"/>
  <c r="O45" i="174"/>
  <c r="J45" i="174"/>
  <c r="BW44" i="174"/>
  <c r="BS44" i="174"/>
  <c r="BO44" i="174"/>
  <c r="BK44" i="174"/>
  <c r="BG44" i="174"/>
  <c r="BC44" i="174"/>
  <c r="AY44" i="174"/>
  <c r="AU44" i="174"/>
  <c r="AQ44" i="174"/>
  <c r="AM44" i="174"/>
  <c r="AI44" i="174"/>
  <c r="AE44" i="174"/>
  <c r="AA44" i="174"/>
  <c r="W44" i="174"/>
  <c r="S44" i="174"/>
  <c r="O44" i="174"/>
  <c r="J44" i="174"/>
  <c r="BW43" i="174"/>
  <c r="BS43" i="174"/>
  <c r="BO43" i="174"/>
  <c r="BK43" i="174"/>
  <c r="BG43" i="174"/>
  <c r="BC43" i="174"/>
  <c r="AY43" i="174"/>
  <c r="AU43" i="174"/>
  <c r="AQ43" i="174"/>
  <c r="AM43" i="174"/>
  <c r="AI43" i="174"/>
  <c r="AE43" i="174"/>
  <c r="AA43" i="174"/>
  <c r="W43" i="174"/>
  <c r="S43" i="174"/>
  <c r="O43" i="174"/>
  <c r="J43" i="174"/>
  <c r="BW42" i="174"/>
  <c r="BS42" i="174"/>
  <c r="BO42" i="174"/>
  <c r="BK42" i="174"/>
  <c r="BG42" i="174"/>
  <c r="BC42" i="174"/>
  <c r="AY42" i="174"/>
  <c r="AU42" i="174"/>
  <c r="AQ42" i="174"/>
  <c r="AM42" i="174"/>
  <c r="AI42" i="174"/>
  <c r="AE42" i="174"/>
  <c r="AA42" i="174"/>
  <c r="W42" i="174"/>
  <c r="S42" i="174"/>
  <c r="O42" i="174"/>
  <c r="J42" i="174"/>
  <c r="BW41" i="174"/>
  <c r="BS41" i="174"/>
  <c r="BO41" i="174"/>
  <c r="BK41" i="174"/>
  <c r="BG41" i="174"/>
  <c r="BC41" i="174"/>
  <c r="AY41" i="174"/>
  <c r="AU41" i="174"/>
  <c r="AQ41" i="174"/>
  <c r="AM41" i="174"/>
  <c r="AI41" i="174"/>
  <c r="AE41" i="174"/>
  <c r="AA41" i="174"/>
  <c r="W41" i="174"/>
  <c r="S41" i="174"/>
  <c r="O41" i="174"/>
  <c r="J41" i="174"/>
  <c r="BW40" i="174"/>
  <c r="BS40" i="174"/>
  <c r="BO40" i="174"/>
  <c r="BK40" i="174"/>
  <c r="BG40" i="174"/>
  <c r="BC40" i="174"/>
  <c r="AY40" i="174"/>
  <c r="AU40" i="174"/>
  <c r="AQ40" i="174"/>
  <c r="AM40" i="174"/>
  <c r="AI40" i="174"/>
  <c r="AE40" i="174"/>
  <c r="AA40" i="174"/>
  <c r="W40" i="174"/>
  <c r="S40" i="174"/>
  <c r="O40" i="174"/>
  <c r="J40" i="174"/>
  <c r="BW39" i="174"/>
  <c r="BS39" i="174"/>
  <c r="BO39" i="174"/>
  <c r="BK39" i="174"/>
  <c r="BG39" i="174"/>
  <c r="BC39" i="174"/>
  <c r="AY39" i="174"/>
  <c r="AU39" i="174"/>
  <c r="AQ39" i="174"/>
  <c r="AM39" i="174"/>
  <c r="AI39" i="174"/>
  <c r="AE39" i="174"/>
  <c r="AA39" i="174"/>
  <c r="W39" i="174"/>
  <c r="S39" i="174"/>
  <c r="O39" i="174"/>
  <c r="J39" i="174"/>
  <c r="BW38" i="174"/>
  <c r="BS38" i="174"/>
  <c r="BO38" i="174"/>
  <c r="BK38" i="174"/>
  <c r="BG38" i="174"/>
  <c r="BC38" i="174"/>
  <c r="AY38" i="174"/>
  <c r="AU38" i="174"/>
  <c r="AQ38" i="174"/>
  <c r="AM38" i="174"/>
  <c r="AI38" i="174"/>
  <c r="AE38" i="174"/>
  <c r="AA38" i="174"/>
  <c r="W38" i="174"/>
  <c r="S38" i="174"/>
  <c r="O38" i="174"/>
  <c r="J38" i="174"/>
  <c r="BW37" i="174"/>
  <c r="BS37" i="174"/>
  <c r="BO37" i="174"/>
  <c r="BK37" i="174"/>
  <c r="BG37" i="174"/>
  <c r="BC37" i="174"/>
  <c r="AY37" i="174"/>
  <c r="AU37" i="174"/>
  <c r="AQ37" i="174"/>
  <c r="AM37" i="174"/>
  <c r="AI37" i="174"/>
  <c r="AE37" i="174"/>
  <c r="AA37" i="174"/>
  <c r="W37" i="174"/>
  <c r="S37" i="174"/>
  <c r="O37" i="174"/>
  <c r="J37" i="174"/>
  <c r="BW36" i="174"/>
  <c r="BS36" i="174"/>
  <c r="BO36" i="174"/>
  <c r="BK36" i="174"/>
  <c r="BG36" i="174"/>
  <c r="BC36" i="174"/>
  <c r="AY36" i="174"/>
  <c r="AU36" i="174"/>
  <c r="AQ36" i="174"/>
  <c r="AM36" i="174"/>
  <c r="AI36" i="174"/>
  <c r="AE36" i="174"/>
  <c r="AA36" i="174"/>
  <c r="W36" i="174"/>
  <c r="S36" i="174"/>
  <c r="O36" i="174"/>
  <c r="J36" i="174"/>
  <c r="BW35" i="174"/>
  <c r="BS35" i="174"/>
  <c r="BO35" i="174"/>
  <c r="BK35" i="174"/>
  <c r="BG35" i="174"/>
  <c r="BC35" i="174"/>
  <c r="AY35" i="174"/>
  <c r="AU35" i="174"/>
  <c r="AQ35" i="174"/>
  <c r="AM35" i="174"/>
  <c r="AI35" i="174"/>
  <c r="AE35" i="174"/>
  <c r="AA35" i="174"/>
  <c r="W35" i="174"/>
  <c r="S35" i="174"/>
  <c r="O35" i="174"/>
  <c r="J35" i="174"/>
  <c r="BW34" i="174"/>
  <c r="BS34" i="174"/>
  <c r="BO34" i="174"/>
  <c r="BK34" i="174"/>
  <c r="BG34" i="174"/>
  <c r="BC34" i="174"/>
  <c r="AY34" i="174"/>
  <c r="AU34" i="174"/>
  <c r="AQ34" i="174"/>
  <c r="AM34" i="174"/>
  <c r="AI34" i="174"/>
  <c r="AE34" i="174"/>
  <c r="AA34" i="174"/>
  <c r="W34" i="174"/>
  <c r="S34" i="174"/>
  <c r="O34" i="174"/>
  <c r="J34" i="174"/>
  <c r="BW33" i="174"/>
  <c r="BS33" i="174"/>
  <c r="BO33" i="174"/>
  <c r="BK33" i="174"/>
  <c r="BG33" i="174"/>
  <c r="BC33" i="174"/>
  <c r="AY33" i="174"/>
  <c r="AU33" i="174"/>
  <c r="AQ33" i="174"/>
  <c r="AM33" i="174"/>
  <c r="AI33" i="174"/>
  <c r="AE33" i="174"/>
  <c r="AA33" i="174"/>
  <c r="W33" i="174"/>
  <c r="S33" i="174"/>
  <c r="O33" i="174"/>
  <c r="J33" i="174"/>
  <c r="BW32" i="174"/>
  <c r="BS32" i="174"/>
  <c r="BO32" i="174"/>
  <c r="BK32" i="174"/>
  <c r="BG32" i="174"/>
  <c r="BC32" i="174"/>
  <c r="AY32" i="174"/>
  <c r="AU32" i="174"/>
  <c r="AQ32" i="174"/>
  <c r="AM32" i="174"/>
  <c r="AI32" i="174"/>
  <c r="AE32" i="174"/>
  <c r="AA32" i="174"/>
  <c r="W32" i="174"/>
  <c r="S32" i="174"/>
  <c r="O32" i="174"/>
  <c r="J32" i="174"/>
  <c r="BW31" i="174"/>
  <c r="BS31" i="174"/>
  <c r="BO31" i="174"/>
  <c r="BK31" i="174"/>
  <c r="BG31" i="174"/>
  <c r="BC31" i="174"/>
  <c r="AY31" i="174"/>
  <c r="AU31" i="174"/>
  <c r="AQ31" i="174"/>
  <c r="AM31" i="174"/>
  <c r="AI31" i="174"/>
  <c r="AE31" i="174"/>
  <c r="AA31" i="174"/>
  <c r="W31" i="174"/>
  <c r="S31" i="174"/>
  <c r="O31" i="174"/>
  <c r="J31" i="174"/>
  <c r="BW30" i="174"/>
  <c r="BS30" i="174"/>
  <c r="BO30" i="174"/>
  <c r="BK30" i="174"/>
  <c r="BG30" i="174"/>
  <c r="BC30" i="174"/>
  <c r="AY30" i="174"/>
  <c r="AU30" i="174"/>
  <c r="AQ30" i="174"/>
  <c r="AM30" i="174"/>
  <c r="AI30" i="174"/>
  <c r="AE30" i="174"/>
  <c r="AA30" i="174"/>
  <c r="W30" i="174"/>
  <c r="S30" i="174"/>
  <c r="O30" i="174"/>
  <c r="J30" i="174"/>
  <c r="BW29" i="174"/>
  <c r="BS29" i="174"/>
  <c r="BO29" i="174"/>
  <c r="BK29" i="174"/>
  <c r="BG29" i="174"/>
  <c r="BC29" i="174"/>
  <c r="AY29" i="174"/>
  <c r="AU29" i="174"/>
  <c r="AQ29" i="174"/>
  <c r="AM29" i="174"/>
  <c r="AI29" i="174"/>
  <c r="AE29" i="174"/>
  <c r="AA29" i="174"/>
  <c r="W29" i="174"/>
  <c r="S29" i="174"/>
  <c r="O29" i="174"/>
  <c r="J29" i="174"/>
  <c r="BW28" i="174"/>
  <c r="BS28" i="174"/>
  <c r="BO28" i="174"/>
  <c r="BK28" i="174"/>
  <c r="BG28" i="174"/>
  <c r="BC28" i="174"/>
  <c r="AY28" i="174"/>
  <c r="AU28" i="174"/>
  <c r="AQ28" i="174"/>
  <c r="AM28" i="174"/>
  <c r="AI28" i="174"/>
  <c r="AE28" i="174"/>
  <c r="AA28" i="174"/>
  <c r="W28" i="174"/>
  <c r="S28" i="174"/>
  <c r="O28" i="174"/>
  <c r="J28" i="174"/>
  <c r="BW27" i="174"/>
  <c r="BS27" i="174"/>
  <c r="BO27" i="174"/>
  <c r="BK27" i="174"/>
  <c r="BG27" i="174"/>
  <c r="BC27" i="174"/>
  <c r="AY27" i="174"/>
  <c r="AU27" i="174"/>
  <c r="AQ27" i="174"/>
  <c r="AM27" i="174"/>
  <c r="AI27" i="174"/>
  <c r="AE27" i="174"/>
  <c r="AA27" i="174"/>
  <c r="W27" i="174"/>
  <c r="S27" i="174"/>
  <c r="O27" i="174"/>
  <c r="J27" i="174"/>
  <c r="BW26" i="174"/>
  <c r="BS26" i="174"/>
  <c r="BO26" i="174"/>
  <c r="BK26" i="174"/>
  <c r="BG26" i="174"/>
  <c r="BC26" i="174"/>
  <c r="AY26" i="174"/>
  <c r="AU26" i="174"/>
  <c r="AQ26" i="174"/>
  <c r="AM26" i="174"/>
  <c r="AI26" i="174"/>
  <c r="AE26" i="174"/>
  <c r="AA26" i="174"/>
  <c r="W26" i="174"/>
  <c r="S26" i="174"/>
  <c r="O26" i="174"/>
  <c r="J26" i="174"/>
  <c r="BW25" i="174"/>
  <c r="BS25" i="174"/>
  <c r="BO25" i="174"/>
  <c r="BK25" i="174"/>
  <c r="BG25" i="174"/>
  <c r="BC25" i="174"/>
  <c r="AY25" i="174"/>
  <c r="AU25" i="174"/>
  <c r="AQ25" i="174"/>
  <c r="AM25" i="174"/>
  <c r="AI25" i="174"/>
  <c r="AE25" i="174"/>
  <c r="AA25" i="174"/>
  <c r="W25" i="174"/>
  <c r="S25" i="174"/>
  <c r="O25" i="174"/>
  <c r="J25" i="174"/>
  <c r="BW24" i="174"/>
  <c r="BS24" i="174"/>
  <c r="BO24" i="174"/>
  <c r="BK24" i="174"/>
  <c r="BG24" i="174"/>
  <c r="BC24" i="174"/>
  <c r="AY24" i="174"/>
  <c r="AU24" i="174"/>
  <c r="AQ24" i="174"/>
  <c r="AM24" i="174"/>
  <c r="AI24" i="174"/>
  <c r="AE24" i="174"/>
  <c r="AA24" i="174"/>
  <c r="W24" i="174"/>
  <c r="S24" i="174"/>
  <c r="O24" i="174"/>
  <c r="J24" i="174"/>
  <c r="BW23" i="174"/>
  <c r="BS23" i="174"/>
  <c r="BO23" i="174"/>
  <c r="BK23" i="174"/>
  <c r="BG23" i="174"/>
  <c r="BC23" i="174"/>
  <c r="AY23" i="174"/>
  <c r="AU23" i="174"/>
  <c r="AQ23" i="174"/>
  <c r="AM23" i="174"/>
  <c r="AI23" i="174"/>
  <c r="AE23" i="174"/>
  <c r="AA23" i="174"/>
  <c r="W23" i="174"/>
  <c r="S23" i="174"/>
  <c r="O23" i="174"/>
  <c r="J23" i="174"/>
  <c r="BW22" i="174"/>
  <c r="BS22" i="174"/>
  <c r="BO22" i="174"/>
  <c r="BK22" i="174"/>
  <c r="BG22" i="174"/>
  <c r="BC22" i="174"/>
  <c r="AY22" i="174"/>
  <c r="AU22" i="174"/>
  <c r="AQ22" i="174"/>
  <c r="AM22" i="174"/>
  <c r="AI22" i="174"/>
  <c r="AE22" i="174"/>
  <c r="AA22" i="174"/>
  <c r="W22" i="174"/>
  <c r="S22" i="174"/>
  <c r="O22" i="174"/>
  <c r="J22" i="174"/>
  <c r="BW21" i="174"/>
  <c r="BS21" i="174"/>
  <c r="BO21" i="174"/>
  <c r="BK21" i="174"/>
  <c r="BG21" i="174"/>
  <c r="BC21" i="174"/>
  <c r="AY21" i="174"/>
  <c r="AU21" i="174"/>
  <c r="AQ21" i="174"/>
  <c r="AM21" i="174"/>
  <c r="AI21" i="174"/>
  <c r="AE21" i="174"/>
  <c r="AA21" i="174"/>
  <c r="W21" i="174"/>
  <c r="S21" i="174"/>
  <c r="O21" i="174"/>
  <c r="J21" i="174"/>
  <c r="BW20" i="174"/>
  <c r="BS20" i="174"/>
  <c r="BO20" i="174"/>
  <c r="BK20" i="174"/>
  <c r="BG20" i="174"/>
  <c r="BC20" i="174"/>
  <c r="AY20" i="174"/>
  <c r="AU20" i="174"/>
  <c r="AQ20" i="174"/>
  <c r="AM20" i="174"/>
  <c r="AI20" i="174"/>
  <c r="AE20" i="174"/>
  <c r="AA20" i="174"/>
  <c r="W20" i="174"/>
  <c r="S20" i="174"/>
  <c r="O20" i="174"/>
  <c r="J20" i="174"/>
  <c r="BW19" i="174"/>
  <c r="BS19" i="174"/>
  <c r="BO19" i="174"/>
  <c r="BK19" i="174"/>
  <c r="BG19" i="174"/>
  <c r="BC19" i="174"/>
  <c r="AY19" i="174"/>
  <c r="AU19" i="174"/>
  <c r="AQ19" i="174"/>
  <c r="AM19" i="174"/>
  <c r="AI19" i="174"/>
  <c r="AE19" i="174"/>
  <c r="AA19" i="174"/>
  <c r="W19" i="174"/>
  <c r="S19" i="174"/>
  <c r="O19" i="174"/>
  <c r="J19" i="174"/>
  <c r="BW18" i="174"/>
  <c r="BS18" i="174"/>
  <c r="BO18" i="174"/>
  <c r="BK18" i="174"/>
  <c r="BG18" i="174"/>
  <c r="BC18" i="174"/>
  <c r="AY18" i="174"/>
  <c r="AU18" i="174"/>
  <c r="AQ18" i="174"/>
  <c r="AM18" i="174"/>
  <c r="AI18" i="174"/>
  <c r="AE18" i="174"/>
  <c r="AA18" i="174"/>
  <c r="W18" i="174"/>
  <c r="S18" i="174"/>
  <c r="O18" i="174"/>
  <c r="J18" i="174"/>
  <c r="BW17" i="174"/>
  <c r="BS17" i="174"/>
  <c r="BO17" i="174"/>
  <c r="BK17" i="174"/>
  <c r="BG17" i="174"/>
  <c r="BC17" i="174"/>
  <c r="AY17" i="174"/>
  <c r="AU17" i="174"/>
  <c r="AQ17" i="174"/>
  <c r="AM17" i="174"/>
  <c r="AI17" i="174"/>
  <c r="AE17" i="174"/>
  <c r="AA17" i="174"/>
  <c r="W17" i="174"/>
  <c r="S17" i="174"/>
  <c r="O17" i="174"/>
  <c r="J17" i="174"/>
  <c r="BW16" i="174"/>
  <c r="BS16" i="174"/>
  <c r="BO16" i="174"/>
  <c r="BK16" i="174"/>
  <c r="BG16" i="174"/>
  <c r="BC16" i="174"/>
  <c r="AY16" i="174"/>
  <c r="AU16" i="174"/>
  <c r="AQ16" i="174"/>
  <c r="AM16" i="174"/>
  <c r="AI16" i="174"/>
  <c r="AE16" i="174"/>
  <c r="AA16" i="174"/>
  <c r="W16" i="174"/>
  <c r="S16" i="174"/>
  <c r="O16" i="174"/>
  <c r="J16" i="174"/>
  <c r="BW15" i="174"/>
  <c r="BS15" i="174"/>
  <c r="BO15" i="174"/>
  <c r="BK15" i="174"/>
  <c r="BG15" i="174"/>
  <c r="BC15" i="174"/>
  <c r="AY15" i="174"/>
  <c r="AU15" i="174"/>
  <c r="AQ15" i="174"/>
  <c r="AM15" i="174"/>
  <c r="AI15" i="174"/>
  <c r="AE15" i="174"/>
  <c r="AA15" i="174"/>
  <c r="W15" i="174"/>
  <c r="S15" i="174"/>
  <c r="O15" i="174"/>
  <c r="J15" i="174"/>
  <c r="BW14" i="174"/>
  <c r="BS14" i="174"/>
  <c r="BO14" i="174"/>
  <c r="BK14" i="174"/>
  <c r="BG14" i="174"/>
  <c r="BC14" i="174"/>
  <c r="AY14" i="174"/>
  <c r="AU14" i="174"/>
  <c r="AQ14" i="174"/>
  <c r="AM14" i="174"/>
  <c r="AI14" i="174"/>
  <c r="AE14" i="174"/>
  <c r="AA14" i="174"/>
  <c r="W14" i="174"/>
  <c r="S14" i="174"/>
  <c r="O14" i="174"/>
  <c r="J14" i="174"/>
  <c r="BW13" i="174"/>
  <c r="BS13" i="174"/>
  <c r="BO13" i="174"/>
  <c r="BK13" i="174"/>
  <c r="BG13" i="174"/>
  <c r="BC13" i="174"/>
  <c r="AY13" i="174"/>
  <c r="AU13" i="174"/>
  <c r="AQ13" i="174"/>
  <c r="AM13" i="174"/>
  <c r="AI13" i="174"/>
  <c r="AE13" i="174"/>
  <c r="AA13" i="174"/>
  <c r="W13" i="174"/>
  <c r="S13" i="174"/>
  <c r="O13" i="174"/>
  <c r="J13" i="174"/>
  <c r="BW12" i="174"/>
  <c r="BS12" i="174"/>
  <c r="BO12" i="174"/>
  <c r="BK12" i="174"/>
  <c r="BG12" i="174"/>
  <c r="BC12" i="174"/>
  <c r="AY12" i="174"/>
  <c r="AU12" i="174"/>
  <c r="AQ12" i="174"/>
  <c r="AM12" i="174"/>
  <c r="AI12" i="174"/>
  <c r="AE12" i="174"/>
  <c r="AA12" i="174"/>
  <c r="W12" i="174"/>
  <c r="S12" i="174"/>
  <c r="O12" i="174"/>
  <c r="J12" i="174"/>
  <c r="BW11" i="174"/>
  <c r="BS11" i="174"/>
  <c r="BO11" i="174"/>
  <c r="BK11" i="174"/>
  <c r="BG11" i="174"/>
  <c r="BC11" i="174"/>
  <c r="AY11" i="174"/>
  <c r="AU11" i="174"/>
  <c r="AQ11" i="174"/>
  <c r="AM11" i="174"/>
  <c r="AI11" i="174"/>
  <c r="AE11" i="174"/>
  <c r="AA11" i="174"/>
  <c r="W11" i="174"/>
  <c r="S11" i="174"/>
  <c r="O11" i="174"/>
  <c r="J11" i="174"/>
  <c r="BW10" i="174"/>
  <c r="BS10" i="174"/>
  <c r="BO10" i="174"/>
  <c r="BK10" i="174"/>
  <c r="BG10" i="174"/>
  <c r="BC10" i="174"/>
  <c r="AY10" i="174"/>
  <c r="AU10" i="174"/>
  <c r="AQ10" i="174"/>
  <c r="AM10" i="174"/>
  <c r="AI10" i="174"/>
  <c r="AE10" i="174"/>
  <c r="AA10" i="174"/>
  <c r="W10" i="174"/>
  <c r="S10" i="174"/>
  <c r="O10" i="174"/>
  <c r="J10" i="174"/>
  <c r="BW9" i="174"/>
  <c r="BS9" i="174"/>
  <c r="BO9" i="174"/>
  <c r="BK9" i="174"/>
  <c r="BG9" i="174"/>
  <c r="BC9" i="174"/>
  <c r="AY9" i="174"/>
  <c r="AU9" i="174"/>
  <c r="AQ9" i="174"/>
  <c r="AM9" i="174"/>
  <c r="AI9" i="174"/>
  <c r="AE9" i="174"/>
  <c r="AA9" i="174"/>
  <c r="W9" i="174"/>
  <c r="S9" i="174"/>
  <c r="O9" i="174"/>
  <c r="J9" i="174"/>
  <c r="BW8" i="174"/>
  <c r="BS8" i="174"/>
  <c r="BO8" i="174"/>
  <c r="BK8" i="174"/>
  <c r="BG8" i="174"/>
  <c r="BC8" i="174"/>
  <c r="AY8" i="174"/>
  <c r="AU8" i="174"/>
  <c r="AQ8" i="174"/>
  <c r="AM8" i="174"/>
  <c r="AI8" i="174"/>
  <c r="AE8" i="174"/>
  <c r="AA8" i="174"/>
  <c r="W8" i="174"/>
  <c r="S8" i="174"/>
  <c r="O8" i="174"/>
  <c r="J8" i="174"/>
  <c r="BW7" i="174"/>
  <c r="BS7" i="174"/>
  <c r="BO7" i="174"/>
  <c r="BK7" i="174"/>
  <c r="BG7" i="174"/>
  <c r="BC7" i="174"/>
  <c r="AY7" i="174"/>
  <c r="AU7" i="174"/>
  <c r="AQ7" i="174"/>
  <c r="AM7" i="174"/>
  <c r="AI7" i="174"/>
  <c r="AE7" i="174"/>
  <c r="AA7" i="174"/>
  <c r="W7" i="174"/>
  <c r="S7" i="174"/>
  <c r="O7" i="174"/>
  <c r="J7" i="174"/>
  <c r="BV6" i="174"/>
  <c r="BW6" i="174" s="1"/>
  <c r="BT6" i="174"/>
  <c r="BM6" i="174"/>
  <c r="BL6" i="174"/>
  <c r="BE6" i="174"/>
  <c r="BA6" i="174"/>
  <c r="AW6" i="174"/>
  <c r="AS6" i="174"/>
  <c r="AK6" i="174"/>
  <c r="AC6" i="174"/>
  <c r="AB6" i="174"/>
  <c r="AA6" i="174"/>
  <c r="Z6" i="174"/>
  <c r="Y6" i="174"/>
  <c r="X6" i="174"/>
  <c r="M6" i="174"/>
  <c r="BT5" i="174"/>
  <c r="AV5" i="174"/>
  <c r="AR5" i="174"/>
  <c r="X5" i="174"/>
  <c r="BT4" i="174"/>
  <c r="BS4" i="174"/>
  <c r="BU6" i="174" s="1"/>
  <c r="BO4" i="174"/>
  <c r="BR6" i="174" s="1"/>
  <c r="BS6" i="174" s="1"/>
  <c r="BL4" i="174"/>
  <c r="BK4" i="174"/>
  <c r="BN6" i="174" s="1"/>
  <c r="BO6" i="174" s="1"/>
  <c r="BG4" i="174"/>
  <c r="BH5" i="174" s="1"/>
  <c r="BD4" i="174"/>
  <c r="BC4" i="174"/>
  <c r="BF6" i="174" s="1"/>
  <c r="BG6" i="174" s="1"/>
  <c r="AY4" i="174"/>
  <c r="BB6" i="174" s="1"/>
  <c r="BC6" i="174" s="1"/>
  <c r="AU4" i="174"/>
  <c r="AX6" i="174" s="1"/>
  <c r="AY6" i="174" s="1"/>
  <c r="AQ4" i="174"/>
  <c r="AT6" i="174" s="1"/>
  <c r="AU6" i="174" s="1"/>
  <c r="AM4" i="174"/>
  <c r="AP6" i="174" s="1"/>
  <c r="AQ6" i="174" s="1"/>
  <c r="AI4" i="174"/>
  <c r="AL6" i="174" s="1"/>
  <c r="AM6" i="174" s="1"/>
  <c r="AF4" i="174"/>
  <c r="AE4" i="174"/>
  <c r="AH6" i="174" s="1"/>
  <c r="AI6" i="174" s="1"/>
  <c r="AA4" i="174"/>
  <c r="AD6" i="174" s="1"/>
  <c r="AE6" i="174" s="1"/>
  <c r="X4" i="174"/>
  <c r="W4" i="174"/>
  <c r="S4" i="174"/>
  <c r="V6" i="174" s="1"/>
  <c r="W6" i="174" s="1"/>
  <c r="O4" i="174"/>
  <c r="R6" i="174" s="1"/>
  <c r="S6" i="174" s="1"/>
  <c r="L4" i="174"/>
  <c r="K4" i="174"/>
  <c r="L5" i="174" s="1"/>
  <c r="J4" i="174"/>
  <c r="E4" i="174"/>
  <c r="BT3" i="174"/>
  <c r="BP3" i="174"/>
  <c r="BL3" i="174"/>
  <c r="BH3" i="174"/>
  <c r="BD3" i="174"/>
  <c r="AZ3" i="174"/>
  <c r="AV3" i="174"/>
  <c r="AR3" i="174"/>
  <c r="AN3" i="174"/>
  <c r="AJ3" i="174"/>
  <c r="AF3" i="174"/>
  <c r="AB3" i="174"/>
  <c r="X3" i="174"/>
  <c r="T3" i="174"/>
  <c r="P3" i="174"/>
  <c r="L3" i="174"/>
  <c r="J3" i="174"/>
  <c r="J2" i="174"/>
  <c r="F1" i="174"/>
  <c r="BW82" i="173"/>
  <c r="BS82" i="173"/>
  <c r="BO82" i="173"/>
  <c r="BK82" i="173"/>
  <c r="BG82" i="173"/>
  <c r="BC82" i="173"/>
  <c r="AY82" i="173"/>
  <c r="AU82" i="173"/>
  <c r="AQ82" i="173"/>
  <c r="AM82" i="173"/>
  <c r="AI82" i="173"/>
  <c r="AE82" i="173"/>
  <c r="AA82" i="173"/>
  <c r="W82" i="173"/>
  <c r="S82" i="173"/>
  <c r="O82" i="173"/>
  <c r="J82" i="173"/>
  <c r="BW81" i="173"/>
  <c r="BS81" i="173"/>
  <c r="BO81" i="173"/>
  <c r="BK81" i="173"/>
  <c r="BG81" i="173"/>
  <c r="BC81" i="173"/>
  <c r="AY81" i="173"/>
  <c r="AU81" i="173"/>
  <c r="AQ81" i="173"/>
  <c r="AM81" i="173"/>
  <c r="AI81" i="173"/>
  <c r="AE81" i="173"/>
  <c r="AA81" i="173"/>
  <c r="W81" i="173"/>
  <c r="S81" i="173"/>
  <c r="O81" i="173"/>
  <c r="J81" i="173"/>
  <c r="BW80" i="173"/>
  <c r="BS80" i="173"/>
  <c r="BO80" i="173"/>
  <c r="BK80" i="173"/>
  <c r="BG80" i="173"/>
  <c r="BC80" i="173"/>
  <c r="AY80" i="173"/>
  <c r="AU80" i="173"/>
  <c r="AQ80" i="173"/>
  <c r="AM80" i="173"/>
  <c r="AI80" i="173"/>
  <c r="AE80" i="173"/>
  <c r="AA80" i="173"/>
  <c r="W80" i="173"/>
  <c r="S80" i="173"/>
  <c r="O80" i="173"/>
  <c r="J80" i="173"/>
  <c r="BW79" i="173"/>
  <c r="BS79" i="173"/>
  <c r="BO79" i="173"/>
  <c r="BK79" i="173"/>
  <c r="BG79" i="173"/>
  <c r="BC79" i="173"/>
  <c r="AY79" i="173"/>
  <c r="AU79" i="173"/>
  <c r="AQ79" i="173"/>
  <c r="AM79" i="173"/>
  <c r="AI79" i="173"/>
  <c r="AE79" i="173"/>
  <c r="AA79" i="173"/>
  <c r="W79" i="173"/>
  <c r="S79" i="173"/>
  <c r="O79" i="173"/>
  <c r="J79" i="173"/>
  <c r="BW78" i="173"/>
  <c r="BS78" i="173"/>
  <c r="BO78" i="173"/>
  <c r="BK78" i="173"/>
  <c r="BG78" i="173"/>
  <c r="BC78" i="173"/>
  <c r="AY78" i="173"/>
  <c r="AU78" i="173"/>
  <c r="AQ78" i="173"/>
  <c r="AM78" i="173"/>
  <c r="AI78" i="173"/>
  <c r="AE78" i="173"/>
  <c r="AA78" i="173"/>
  <c r="W78" i="173"/>
  <c r="S78" i="173"/>
  <c r="O78" i="173"/>
  <c r="J78" i="173"/>
  <c r="BW77" i="173"/>
  <c r="BS77" i="173"/>
  <c r="BO77" i="173"/>
  <c r="BK77" i="173"/>
  <c r="BG77" i="173"/>
  <c r="BC77" i="173"/>
  <c r="AY77" i="173"/>
  <c r="AU77" i="173"/>
  <c r="AQ77" i="173"/>
  <c r="AM77" i="173"/>
  <c r="AI77" i="173"/>
  <c r="AE77" i="173"/>
  <c r="AA77" i="173"/>
  <c r="W77" i="173"/>
  <c r="S77" i="173"/>
  <c r="O77" i="173"/>
  <c r="J77" i="173"/>
  <c r="BW76" i="173"/>
  <c r="BS76" i="173"/>
  <c r="BO76" i="173"/>
  <c r="BK76" i="173"/>
  <c r="BG76" i="173"/>
  <c r="BC76" i="173"/>
  <c r="AY76" i="173"/>
  <c r="AU76" i="173"/>
  <c r="AQ76" i="173"/>
  <c r="AM76" i="173"/>
  <c r="AI76" i="173"/>
  <c r="AE76" i="173"/>
  <c r="AA76" i="173"/>
  <c r="W76" i="173"/>
  <c r="S76" i="173"/>
  <c r="O76" i="173"/>
  <c r="J76" i="173"/>
  <c r="BW75" i="173"/>
  <c r="BS75" i="173"/>
  <c r="BO75" i="173"/>
  <c r="BK75" i="173"/>
  <c r="BG75" i="173"/>
  <c r="BC75" i="173"/>
  <c r="AY75" i="173"/>
  <c r="AU75" i="173"/>
  <c r="AQ75" i="173"/>
  <c r="AM75" i="173"/>
  <c r="AI75" i="173"/>
  <c r="AE75" i="173"/>
  <c r="AA75" i="173"/>
  <c r="W75" i="173"/>
  <c r="S75" i="173"/>
  <c r="O75" i="173"/>
  <c r="J75" i="173"/>
  <c r="BW74" i="173"/>
  <c r="BS74" i="173"/>
  <c r="BO74" i="173"/>
  <c r="BK74" i="173"/>
  <c r="BG74" i="173"/>
  <c r="BC74" i="173"/>
  <c r="AY74" i="173"/>
  <c r="AU74" i="173"/>
  <c r="AQ74" i="173"/>
  <c r="AM74" i="173"/>
  <c r="AI74" i="173"/>
  <c r="AE74" i="173"/>
  <c r="AA74" i="173"/>
  <c r="W74" i="173"/>
  <c r="S74" i="173"/>
  <c r="O74" i="173"/>
  <c r="J74" i="173"/>
  <c r="BW73" i="173"/>
  <c r="BS73" i="173"/>
  <c r="BO73" i="173"/>
  <c r="BK73" i="173"/>
  <c r="BG73" i="173"/>
  <c r="BC73" i="173"/>
  <c r="AY73" i="173"/>
  <c r="AU73" i="173"/>
  <c r="AQ73" i="173"/>
  <c r="AM73" i="173"/>
  <c r="AI73" i="173"/>
  <c r="AE73" i="173"/>
  <c r="AA73" i="173"/>
  <c r="W73" i="173"/>
  <c r="S73" i="173"/>
  <c r="O73" i="173"/>
  <c r="J73" i="173"/>
  <c r="BW72" i="173"/>
  <c r="BS72" i="173"/>
  <c r="BO72" i="173"/>
  <c r="BK72" i="173"/>
  <c r="BG72" i="173"/>
  <c r="BC72" i="173"/>
  <c r="AY72" i="173"/>
  <c r="AU72" i="173"/>
  <c r="AQ72" i="173"/>
  <c r="AM72" i="173"/>
  <c r="AI72" i="173"/>
  <c r="AE72" i="173"/>
  <c r="AA72" i="173"/>
  <c r="W72" i="173"/>
  <c r="S72" i="173"/>
  <c r="O72" i="173"/>
  <c r="J72" i="173"/>
  <c r="BW71" i="173"/>
  <c r="BS71" i="173"/>
  <c r="BO71" i="173"/>
  <c r="BK71" i="173"/>
  <c r="BG71" i="173"/>
  <c r="BC71" i="173"/>
  <c r="AY71" i="173"/>
  <c r="AU71" i="173"/>
  <c r="AQ71" i="173"/>
  <c r="AM71" i="173"/>
  <c r="AI71" i="173"/>
  <c r="AE71" i="173"/>
  <c r="AA71" i="173"/>
  <c r="W71" i="173"/>
  <c r="S71" i="173"/>
  <c r="O71" i="173"/>
  <c r="J71" i="173"/>
  <c r="BW70" i="173"/>
  <c r="BS70" i="173"/>
  <c r="BO70" i="173"/>
  <c r="BK70" i="173"/>
  <c r="BG70" i="173"/>
  <c r="BC70" i="173"/>
  <c r="AY70" i="173"/>
  <c r="AU70" i="173"/>
  <c r="AQ70" i="173"/>
  <c r="AM70" i="173"/>
  <c r="AI70" i="173"/>
  <c r="AE70" i="173"/>
  <c r="AA70" i="173"/>
  <c r="W70" i="173"/>
  <c r="S70" i="173"/>
  <c r="O70" i="173"/>
  <c r="J70" i="173"/>
  <c r="BW69" i="173"/>
  <c r="BS69" i="173"/>
  <c r="BO69" i="173"/>
  <c r="BK69" i="173"/>
  <c r="BG69" i="173"/>
  <c r="BC69" i="173"/>
  <c r="AY69" i="173"/>
  <c r="AU69" i="173"/>
  <c r="AQ69" i="173"/>
  <c r="AM69" i="173"/>
  <c r="AI69" i="173"/>
  <c r="AE69" i="173"/>
  <c r="AA69" i="173"/>
  <c r="W69" i="173"/>
  <c r="S69" i="173"/>
  <c r="O69" i="173"/>
  <c r="J69" i="173"/>
  <c r="BW68" i="173"/>
  <c r="BS68" i="173"/>
  <c r="BO68" i="173"/>
  <c r="BK68" i="173"/>
  <c r="BG68" i="173"/>
  <c r="BC68" i="173"/>
  <c r="AY68" i="173"/>
  <c r="AU68" i="173"/>
  <c r="AQ68" i="173"/>
  <c r="AM68" i="173"/>
  <c r="AI68" i="173"/>
  <c r="AE68" i="173"/>
  <c r="AA68" i="173"/>
  <c r="W68" i="173"/>
  <c r="S68" i="173"/>
  <c r="O68" i="173"/>
  <c r="J68" i="173"/>
  <c r="BW67" i="173"/>
  <c r="BS67" i="173"/>
  <c r="BO67" i="173"/>
  <c r="BK67" i="173"/>
  <c r="BG67" i="173"/>
  <c r="BC67" i="173"/>
  <c r="AY67" i="173"/>
  <c r="AU67" i="173"/>
  <c r="AQ67" i="173"/>
  <c r="AM67" i="173"/>
  <c r="AI67" i="173"/>
  <c r="AE67" i="173"/>
  <c r="AA67" i="173"/>
  <c r="W67" i="173"/>
  <c r="S67" i="173"/>
  <c r="O67" i="173"/>
  <c r="J67" i="173"/>
  <c r="BW66" i="173"/>
  <c r="BS66" i="173"/>
  <c r="BO66" i="173"/>
  <c r="BK66" i="173"/>
  <c r="BG66" i="173"/>
  <c r="BC66" i="173"/>
  <c r="AY66" i="173"/>
  <c r="AU66" i="173"/>
  <c r="AQ66" i="173"/>
  <c r="AM66" i="173"/>
  <c r="AI66" i="173"/>
  <c r="AE66" i="173"/>
  <c r="AA66" i="173"/>
  <c r="W66" i="173"/>
  <c r="S66" i="173"/>
  <c r="O66" i="173"/>
  <c r="J66" i="173"/>
  <c r="BW65" i="173"/>
  <c r="BS65" i="173"/>
  <c r="BO65" i="173"/>
  <c r="BK65" i="173"/>
  <c r="BG65" i="173"/>
  <c r="BC65" i="173"/>
  <c r="AY65" i="173"/>
  <c r="AU65" i="173"/>
  <c r="AQ65" i="173"/>
  <c r="AM65" i="173"/>
  <c r="AI65" i="173"/>
  <c r="AE65" i="173"/>
  <c r="AA65" i="173"/>
  <c r="W65" i="173"/>
  <c r="S65" i="173"/>
  <c r="O65" i="173"/>
  <c r="J65" i="173"/>
  <c r="BW64" i="173"/>
  <c r="BS64" i="173"/>
  <c r="BO64" i="173"/>
  <c r="BK64" i="173"/>
  <c r="BG64" i="173"/>
  <c r="BC64" i="173"/>
  <c r="AY64" i="173"/>
  <c r="AU64" i="173"/>
  <c r="AQ64" i="173"/>
  <c r="AM64" i="173"/>
  <c r="AI64" i="173"/>
  <c r="AE64" i="173"/>
  <c r="AA64" i="173"/>
  <c r="W64" i="173"/>
  <c r="S64" i="173"/>
  <c r="O64" i="173"/>
  <c r="J64" i="173"/>
  <c r="BW63" i="173"/>
  <c r="BS63" i="173"/>
  <c r="BO63" i="173"/>
  <c r="BK63" i="173"/>
  <c r="BG63" i="173"/>
  <c r="BC63" i="173"/>
  <c r="AY63" i="173"/>
  <c r="AU63" i="173"/>
  <c r="AQ63" i="173"/>
  <c r="AM63" i="173"/>
  <c r="AI63" i="173"/>
  <c r="AE63" i="173"/>
  <c r="AA63" i="173"/>
  <c r="W63" i="173"/>
  <c r="S63" i="173"/>
  <c r="O63" i="173"/>
  <c r="J63" i="173"/>
  <c r="BW62" i="173"/>
  <c r="BS62" i="173"/>
  <c r="BO62" i="173"/>
  <c r="BK62" i="173"/>
  <c r="BG62" i="173"/>
  <c r="BC62" i="173"/>
  <c r="AY62" i="173"/>
  <c r="AU62" i="173"/>
  <c r="AQ62" i="173"/>
  <c r="AM62" i="173"/>
  <c r="AI62" i="173"/>
  <c r="AE62" i="173"/>
  <c r="AA62" i="173"/>
  <c r="W62" i="173"/>
  <c r="S62" i="173"/>
  <c r="O62" i="173"/>
  <c r="J62" i="173"/>
  <c r="BW61" i="173"/>
  <c r="BS61" i="173"/>
  <c r="BO61" i="173"/>
  <c r="BK61" i="173"/>
  <c r="BG61" i="173"/>
  <c r="BC61" i="173"/>
  <c r="AY61" i="173"/>
  <c r="AU61" i="173"/>
  <c r="AQ61" i="173"/>
  <c r="AM61" i="173"/>
  <c r="AI61" i="173"/>
  <c r="AE61" i="173"/>
  <c r="AA61" i="173"/>
  <c r="W61" i="173"/>
  <c r="S61" i="173"/>
  <c r="O61" i="173"/>
  <c r="J61" i="173"/>
  <c r="BW60" i="173"/>
  <c r="BS60" i="173"/>
  <c r="BO60" i="173"/>
  <c r="BK60" i="173"/>
  <c r="BG60" i="173"/>
  <c r="BC60" i="173"/>
  <c r="AY60" i="173"/>
  <c r="AU60" i="173"/>
  <c r="AQ60" i="173"/>
  <c r="AM60" i="173"/>
  <c r="AI60" i="173"/>
  <c r="AE60" i="173"/>
  <c r="AA60" i="173"/>
  <c r="W60" i="173"/>
  <c r="S60" i="173"/>
  <c r="O60" i="173"/>
  <c r="J60" i="173"/>
  <c r="BW59" i="173"/>
  <c r="BS59" i="173"/>
  <c r="BO59" i="173"/>
  <c r="BK59" i="173"/>
  <c r="BG59" i="173"/>
  <c r="BC59" i="173"/>
  <c r="AY59" i="173"/>
  <c r="AU59" i="173"/>
  <c r="AQ59" i="173"/>
  <c r="AM59" i="173"/>
  <c r="AI59" i="173"/>
  <c r="AE59" i="173"/>
  <c r="AA59" i="173"/>
  <c r="W59" i="173"/>
  <c r="S59" i="173"/>
  <c r="O59" i="173"/>
  <c r="J59" i="173"/>
  <c r="BW58" i="173"/>
  <c r="BS58" i="173"/>
  <c r="BO58" i="173"/>
  <c r="BK58" i="173"/>
  <c r="BG58" i="173"/>
  <c r="BC58" i="173"/>
  <c r="AY58" i="173"/>
  <c r="AU58" i="173"/>
  <c r="AQ58" i="173"/>
  <c r="AM58" i="173"/>
  <c r="AI58" i="173"/>
  <c r="AE58" i="173"/>
  <c r="AA58" i="173"/>
  <c r="W58" i="173"/>
  <c r="S58" i="173"/>
  <c r="O58" i="173"/>
  <c r="J58" i="173"/>
  <c r="BW57" i="173"/>
  <c r="BS57" i="173"/>
  <c r="BO57" i="173"/>
  <c r="BK57" i="173"/>
  <c r="BG57" i="173"/>
  <c r="BC57" i="173"/>
  <c r="AY57" i="173"/>
  <c r="AU57" i="173"/>
  <c r="AQ57" i="173"/>
  <c r="AM57" i="173"/>
  <c r="AI57" i="173"/>
  <c r="AE57" i="173"/>
  <c r="AA57" i="173"/>
  <c r="W57" i="173"/>
  <c r="S57" i="173"/>
  <c r="O57" i="173"/>
  <c r="J57" i="173"/>
  <c r="BW56" i="173"/>
  <c r="BS56" i="173"/>
  <c r="BO56" i="173"/>
  <c r="BK56" i="173"/>
  <c r="BG56" i="173"/>
  <c r="BC56" i="173"/>
  <c r="AY56" i="173"/>
  <c r="AU56" i="173"/>
  <c r="AQ56" i="173"/>
  <c r="AM56" i="173"/>
  <c r="AI56" i="173"/>
  <c r="AE56" i="173"/>
  <c r="AA56" i="173"/>
  <c r="W56" i="173"/>
  <c r="S56" i="173"/>
  <c r="O56" i="173"/>
  <c r="J56" i="173"/>
  <c r="BW55" i="173"/>
  <c r="BS55" i="173"/>
  <c r="BO55" i="173"/>
  <c r="BK55" i="173"/>
  <c r="BG55" i="173"/>
  <c r="BC55" i="173"/>
  <c r="AY55" i="173"/>
  <c r="AU55" i="173"/>
  <c r="AQ55" i="173"/>
  <c r="AM55" i="173"/>
  <c r="AI55" i="173"/>
  <c r="AE55" i="173"/>
  <c r="AA55" i="173"/>
  <c r="W55" i="173"/>
  <c r="S55" i="173"/>
  <c r="O55" i="173"/>
  <c r="J55" i="173"/>
  <c r="BW54" i="173"/>
  <c r="BS54" i="173"/>
  <c r="BO54" i="173"/>
  <c r="BK54" i="173"/>
  <c r="BG54" i="173"/>
  <c r="BC54" i="173"/>
  <c r="AY54" i="173"/>
  <c r="AU54" i="173"/>
  <c r="AQ54" i="173"/>
  <c r="AM54" i="173"/>
  <c r="AI54" i="173"/>
  <c r="AE54" i="173"/>
  <c r="AA54" i="173"/>
  <c r="W54" i="173"/>
  <c r="S54" i="173"/>
  <c r="O54" i="173"/>
  <c r="J54" i="173"/>
  <c r="BW53" i="173"/>
  <c r="BS53" i="173"/>
  <c r="BO53" i="173"/>
  <c r="BK53" i="173"/>
  <c r="BG53" i="173"/>
  <c r="BC53" i="173"/>
  <c r="AY53" i="173"/>
  <c r="AU53" i="173"/>
  <c r="AQ53" i="173"/>
  <c r="AM53" i="173"/>
  <c r="AI53" i="173"/>
  <c r="AE53" i="173"/>
  <c r="AA53" i="173"/>
  <c r="W53" i="173"/>
  <c r="S53" i="173"/>
  <c r="O53" i="173"/>
  <c r="J53" i="173"/>
  <c r="BW52" i="173"/>
  <c r="BS52" i="173"/>
  <c r="BO52" i="173"/>
  <c r="BK52" i="173"/>
  <c r="BG52" i="173"/>
  <c r="BC52" i="173"/>
  <c r="AY52" i="173"/>
  <c r="AU52" i="173"/>
  <c r="AQ52" i="173"/>
  <c r="AM52" i="173"/>
  <c r="AI52" i="173"/>
  <c r="AE52" i="173"/>
  <c r="AA52" i="173"/>
  <c r="W52" i="173"/>
  <c r="S52" i="173"/>
  <c r="O52" i="173"/>
  <c r="J52" i="173"/>
  <c r="BW51" i="173"/>
  <c r="BS51" i="173"/>
  <c r="BO51" i="173"/>
  <c r="BK51" i="173"/>
  <c r="BG51" i="173"/>
  <c r="BC51" i="173"/>
  <c r="AY51" i="173"/>
  <c r="AU51" i="173"/>
  <c r="AQ51" i="173"/>
  <c r="AM51" i="173"/>
  <c r="AI51" i="173"/>
  <c r="AE51" i="173"/>
  <c r="AA51" i="173"/>
  <c r="W51" i="173"/>
  <c r="S51" i="173"/>
  <c r="O51" i="173"/>
  <c r="J51" i="173"/>
  <c r="BW50" i="173"/>
  <c r="BS50" i="173"/>
  <c r="BO50" i="173"/>
  <c r="BK50" i="173"/>
  <c r="BG50" i="173"/>
  <c r="BC50" i="173"/>
  <c r="AY50" i="173"/>
  <c r="AU50" i="173"/>
  <c r="AQ50" i="173"/>
  <c r="AM50" i="173"/>
  <c r="AI50" i="173"/>
  <c r="AE50" i="173"/>
  <c r="AA50" i="173"/>
  <c r="W50" i="173"/>
  <c r="S50" i="173"/>
  <c r="O50" i="173"/>
  <c r="J50" i="173"/>
  <c r="BW49" i="173"/>
  <c r="BS49" i="173"/>
  <c r="BO49" i="173"/>
  <c r="BK49" i="173"/>
  <c r="BG49" i="173"/>
  <c r="BC49" i="173"/>
  <c r="AY49" i="173"/>
  <c r="AU49" i="173"/>
  <c r="AQ49" i="173"/>
  <c r="AM49" i="173"/>
  <c r="AI49" i="173"/>
  <c r="AE49" i="173"/>
  <c r="AA49" i="173"/>
  <c r="W49" i="173"/>
  <c r="S49" i="173"/>
  <c r="O49" i="173"/>
  <c r="J49" i="173"/>
  <c r="BW48" i="173"/>
  <c r="BS48" i="173"/>
  <c r="BO48" i="173"/>
  <c r="BK48" i="173"/>
  <c r="BG48" i="173"/>
  <c r="BC48" i="173"/>
  <c r="AY48" i="173"/>
  <c r="AU48" i="173"/>
  <c r="AQ48" i="173"/>
  <c r="AM48" i="173"/>
  <c r="AI48" i="173"/>
  <c r="AE48" i="173"/>
  <c r="AA48" i="173"/>
  <c r="W48" i="173"/>
  <c r="S48" i="173"/>
  <c r="O48" i="173"/>
  <c r="J48" i="173"/>
  <c r="BW47" i="173"/>
  <c r="BS47" i="173"/>
  <c r="BO47" i="173"/>
  <c r="BK47" i="173"/>
  <c r="BG47" i="173"/>
  <c r="BC47" i="173"/>
  <c r="AY47" i="173"/>
  <c r="AU47" i="173"/>
  <c r="AQ47" i="173"/>
  <c r="AM47" i="173"/>
  <c r="AI47" i="173"/>
  <c r="AE47" i="173"/>
  <c r="AA47" i="173"/>
  <c r="W47" i="173"/>
  <c r="S47" i="173"/>
  <c r="O47" i="173"/>
  <c r="J47" i="173"/>
  <c r="BW46" i="173"/>
  <c r="BS46" i="173"/>
  <c r="BO46" i="173"/>
  <c r="BK46" i="173"/>
  <c r="BG46" i="173"/>
  <c r="BC46" i="173"/>
  <c r="AY46" i="173"/>
  <c r="AU46" i="173"/>
  <c r="AQ46" i="173"/>
  <c r="AM46" i="173"/>
  <c r="AI46" i="173"/>
  <c r="AE46" i="173"/>
  <c r="AA46" i="173"/>
  <c r="W46" i="173"/>
  <c r="S46" i="173"/>
  <c r="O46" i="173"/>
  <c r="J46" i="173"/>
  <c r="BW45" i="173"/>
  <c r="BS45" i="173"/>
  <c r="BO45" i="173"/>
  <c r="BK45" i="173"/>
  <c r="BG45" i="173"/>
  <c r="BC45" i="173"/>
  <c r="AY45" i="173"/>
  <c r="AU45" i="173"/>
  <c r="AQ45" i="173"/>
  <c r="AM45" i="173"/>
  <c r="AI45" i="173"/>
  <c r="AE45" i="173"/>
  <c r="AA45" i="173"/>
  <c r="W45" i="173"/>
  <c r="S45" i="173"/>
  <c r="O45" i="173"/>
  <c r="J45" i="173"/>
  <c r="BW44" i="173"/>
  <c r="BS44" i="173"/>
  <c r="BO44" i="173"/>
  <c r="BK44" i="173"/>
  <c r="BG44" i="173"/>
  <c r="BC44" i="173"/>
  <c r="AY44" i="173"/>
  <c r="AU44" i="173"/>
  <c r="AQ44" i="173"/>
  <c r="AM44" i="173"/>
  <c r="AI44" i="173"/>
  <c r="AE44" i="173"/>
  <c r="AA44" i="173"/>
  <c r="W44" i="173"/>
  <c r="S44" i="173"/>
  <c r="O44" i="173"/>
  <c r="J44" i="173"/>
  <c r="BW43" i="173"/>
  <c r="BS43" i="173"/>
  <c r="BO43" i="173"/>
  <c r="BK43" i="173"/>
  <c r="BG43" i="173"/>
  <c r="BC43" i="173"/>
  <c r="AY43" i="173"/>
  <c r="AU43" i="173"/>
  <c r="AQ43" i="173"/>
  <c r="AM43" i="173"/>
  <c r="AI43" i="173"/>
  <c r="AE43" i="173"/>
  <c r="AA43" i="173"/>
  <c r="W43" i="173"/>
  <c r="S43" i="173"/>
  <c r="O43" i="173"/>
  <c r="J43" i="173"/>
  <c r="BW42" i="173"/>
  <c r="BS42" i="173"/>
  <c r="BO42" i="173"/>
  <c r="BK42" i="173"/>
  <c r="BG42" i="173"/>
  <c r="BC42" i="173"/>
  <c r="AY42" i="173"/>
  <c r="AU42" i="173"/>
  <c r="AQ42" i="173"/>
  <c r="AM42" i="173"/>
  <c r="AI42" i="173"/>
  <c r="AE42" i="173"/>
  <c r="AA42" i="173"/>
  <c r="W42" i="173"/>
  <c r="S42" i="173"/>
  <c r="O42" i="173"/>
  <c r="J42" i="173"/>
  <c r="BW41" i="173"/>
  <c r="BS41" i="173"/>
  <c r="BO41" i="173"/>
  <c r="BK41" i="173"/>
  <c r="BG41" i="173"/>
  <c r="BC41" i="173"/>
  <c r="AY41" i="173"/>
  <c r="AU41" i="173"/>
  <c r="AQ41" i="173"/>
  <c r="AM41" i="173"/>
  <c r="AI41" i="173"/>
  <c r="AE41" i="173"/>
  <c r="AA41" i="173"/>
  <c r="W41" i="173"/>
  <c r="S41" i="173"/>
  <c r="O41" i="173"/>
  <c r="J41" i="173"/>
  <c r="BW40" i="173"/>
  <c r="BS40" i="173"/>
  <c r="BO40" i="173"/>
  <c r="BK40" i="173"/>
  <c r="BG40" i="173"/>
  <c r="BC40" i="173"/>
  <c r="AY40" i="173"/>
  <c r="AU40" i="173"/>
  <c r="AQ40" i="173"/>
  <c r="AM40" i="173"/>
  <c r="AI40" i="173"/>
  <c r="AE40" i="173"/>
  <c r="AA40" i="173"/>
  <c r="W40" i="173"/>
  <c r="S40" i="173"/>
  <c r="O40" i="173"/>
  <c r="J40" i="173"/>
  <c r="BW39" i="173"/>
  <c r="BS39" i="173"/>
  <c r="BO39" i="173"/>
  <c r="BK39" i="173"/>
  <c r="BG39" i="173"/>
  <c r="BC39" i="173"/>
  <c r="AY39" i="173"/>
  <c r="AU39" i="173"/>
  <c r="AQ39" i="173"/>
  <c r="AM39" i="173"/>
  <c r="AI39" i="173"/>
  <c r="AE39" i="173"/>
  <c r="AA39" i="173"/>
  <c r="W39" i="173"/>
  <c r="S39" i="173"/>
  <c r="O39" i="173"/>
  <c r="J39" i="173"/>
  <c r="BW38" i="173"/>
  <c r="BS38" i="173"/>
  <c r="BO38" i="173"/>
  <c r="BK38" i="173"/>
  <c r="BG38" i="173"/>
  <c r="BC38" i="173"/>
  <c r="AY38" i="173"/>
  <c r="AU38" i="173"/>
  <c r="AQ38" i="173"/>
  <c r="AM38" i="173"/>
  <c r="AI38" i="173"/>
  <c r="AE38" i="173"/>
  <c r="AA38" i="173"/>
  <c r="W38" i="173"/>
  <c r="S38" i="173"/>
  <c r="O38" i="173"/>
  <c r="J38" i="173"/>
  <c r="BW37" i="173"/>
  <c r="BS37" i="173"/>
  <c r="BO37" i="173"/>
  <c r="BK37" i="173"/>
  <c r="BG37" i="173"/>
  <c r="BC37" i="173"/>
  <c r="AY37" i="173"/>
  <c r="AU37" i="173"/>
  <c r="AQ37" i="173"/>
  <c r="AM37" i="173"/>
  <c r="AI37" i="173"/>
  <c r="AE37" i="173"/>
  <c r="AA37" i="173"/>
  <c r="W37" i="173"/>
  <c r="S37" i="173"/>
  <c r="O37" i="173"/>
  <c r="J37" i="173"/>
  <c r="BW36" i="173"/>
  <c r="BS36" i="173"/>
  <c r="BO36" i="173"/>
  <c r="BK36" i="173"/>
  <c r="BG36" i="173"/>
  <c r="BC36" i="173"/>
  <c r="AY36" i="173"/>
  <c r="AU36" i="173"/>
  <c r="AQ36" i="173"/>
  <c r="AM36" i="173"/>
  <c r="AI36" i="173"/>
  <c r="AE36" i="173"/>
  <c r="AA36" i="173"/>
  <c r="W36" i="173"/>
  <c r="S36" i="173"/>
  <c r="O36" i="173"/>
  <c r="J36" i="173"/>
  <c r="BW35" i="173"/>
  <c r="BS35" i="173"/>
  <c r="BO35" i="173"/>
  <c r="BK35" i="173"/>
  <c r="BG35" i="173"/>
  <c r="BC35" i="173"/>
  <c r="AY35" i="173"/>
  <c r="AU35" i="173"/>
  <c r="AQ35" i="173"/>
  <c r="AM35" i="173"/>
  <c r="AI35" i="173"/>
  <c r="AE35" i="173"/>
  <c r="AA35" i="173"/>
  <c r="W35" i="173"/>
  <c r="S35" i="173"/>
  <c r="O35" i="173"/>
  <c r="J35" i="173"/>
  <c r="BW34" i="173"/>
  <c r="BS34" i="173"/>
  <c r="BO34" i="173"/>
  <c r="BK34" i="173"/>
  <c r="BG34" i="173"/>
  <c r="BC34" i="173"/>
  <c r="AY34" i="173"/>
  <c r="AU34" i="173"/>
  <c r="AQ34" i="173"/>
  <c r="AM34" i="173"/>
  <c r="AI34" i="173"/>
  <c r="AE34" i="173"/>
  <c r="AA34" i="173"/>
  <c r="W34" i="173"/>
  <c r="S34" i="173"/>
  <c r="O34" i="173"/>
  <c r="J34" i="173"/>
  <c r="BW33" i="173"/>
  <c r="BS33" i="173"/>
  <c r="BO33" i="173"/>
  <c r="BK33" i="173"/>
  <c r="BG33" i="173"/>
  <c r="BC33" i="173"/>
  <c r="AY33" i="173"/>
  <c r="AU33" i="173"/>
  <c r="AQ33" i="173"/>
  <c r="AM33" i="173"/>
  <c r="AI33" i="173"/>
  <c r="AE33" i="173"/>
  <c r="AA33" i="173"/>
  <c r="W33" i="173"/>
  <c r="S33" i="173"/>
  <c r="O33" i="173"/>
  <c r="J33" i="173"/>
  <c r="BW32" i="173"/>
  <c r="BS32" i="173"/>
  <c r="BO32" i="173"/>
  <c r="BK32" i="173"/>
  <c r="BG32" i="173"/>
  <c r="BC32" i="173"/>
  <c r="AY32" i="173"/>
  <c r="AU32" i="173"/>
  <c r="AQ32" i="173"/>
  <c r="AM32" i="173"/>
  <c r="AI32" i="173"/>
  <c r="AE32" i="173"/>
  <c r="AA32" i="173"/>
  <c r="W32" i="173"/>
  <c r="S32" i="173"/>
  <c r="O32" i="173"/>
  <c r="J32" i="173"/>
  <c r="BW31" i="173"/>
  <c r="BS31" i="173"/>
  <c r="BO31" i="173"/>
  <c r="BK31" i="173"/>
  <c r="BG31" i="173"/>
  <c r="BC31" i="173"/>
  <c r="AY31" i="173"/>
  <c r="AU31" i="173"/>
  <c r="AQ31" i="173"/>
  <c r="AM31" i="173"/>
  <c r="AI31" i="173"/>
  <c r="AE31" i="173"/>
  <c r="AA31" i="173"/>
  <c r="W31" i="173"/>
  <c r="S31" i="173"/>
  <c r="O31" i="173"/>
  <c r="J31" i="173"/>
  <c r="BW30" i="173"/>
  <c r="BS30" i="173"/>
  <c r="BO30" i="173"/>
  <c r="BK30" i="173"/>
  <c r="BG30" i="173"/>
  <c r="BC30" i="173"/>
  <c r="AY30" i="173"/>
  <c r="AU30" i="173"/>
  <c r="AQ30" i="173"/>
  <c r="AM30" i="173"/>
  <c r="AI30" i="173"/>
  <c r="AE30" i="173"/>
  <c r="AA30" i="173"/>
  <c r="W30" i="173"/>
  <c r="S30" i="173"/>
  <c r="O30" i="173"/>
  <c r="J30" i="173"/>
  <c r="BW29" i="173"/>
  <c r="BS29" i="173"/>
  <c r="BO29" i="173"/>
  <c r="BK29" i="173"/>
  <c r="BG29" i="173"/>
  <c r="BC29" i="173"/>
  <c r="AY29" i="173"/>
  <c r="AU29" i="173"/>
  <c r="AQ29" i="173"/>
  <c r="AM29" i="173"/>
  <c r="AI29" i="173"/>
  <c r="AE29" i="173"/>
  <c r="AA29" i="173"/>
  <c r="W29" i="173"/>
  <c r="S29" i="173"/>
  <c r="O29" i="173"/>
  <c r="J29" i="173"/>
  <c r="BW28" i="173"/>
  <c r="BS28" i="173"/>
  <c r="BO28" i="173"/>
  <c r="BK28" i="173"/>
  <c r="BG28" i="173"/>
  <c r="BC28" i="173"/>
  <c r="AY28" i="173"/>
  <c r="AU28" i="173"/>
  <c r="AQ28" i="173"/>
  <c r="AM28" i="173"/>
  <c r="AI28" i="173"/>
  <c r="AE28" i="173"/>
  <c r="AA28" i="173"/>
  <c r="W28" i="173"/>
  <c r="S28" i="173"/>
  <c r="O28" i="173"/>
  <c r="J28" i="173"/>
  <c r="BW27" i="173"/>
  <c r="BS27" i="173"/>
  <c r="BO27" i="173"/>
  <c r="BK27" i="173"/>
  <c r="BG27" i="173"/>
  <c r="BC27" i="173"/>
  <c r="AY27" i="173"/>
  <c r="AU27" i="173"/>
  <c r="AQ27" i="173"/>
  <c r="AM27" i="173"/>
  <c r="AI27" i="173"/>
  <c r="AE27" i="173"/>
  <c r="AA27" i="173"/>
  <c r="W27" i="173"/>
  <c r="S27" i="173"/>
  <c r="O27" i="173"/>
  <c r="J27" i="173"/>
  <c r="BW26" i="173"/>
  <c r="BS26" i="173"/>
  <c r="BO26" i="173"/>
  <c r="BK26" i="173"/>
  <c r="BG26" i="173"/>
  <c r="BC26" i="173"/>
  <c r="AY26" i="173"/>
  <c r="AU26" i="173"/>
  <c r="AQ26" i="173"/>
  <c r="AM26" i="173"/>
  <c r="AI26" i="173"/>
  <c r="AE26" i="173"/>
  <c r="AA26" i="173"/>
  <c r="W26" i="173"/>
  <c r="S26" i="173"/>
  <c r="O26" i="173"/>
  <c r="J26" i="173"/>
  <c r="BW25" i="173"/>
  <c r="BS25" i="173"/>
  <c r="BO25" i="173"/>
  <c r="BK25" i="173"/>
  <c r="BG25" i="173"/>
  <c r="BC25" i="173"/>
  <c r="AY25" i="173"/>
  <c r="AU25" i="173"/>
  <c r="AQ25" i="173"/>
  <c r="AM25" i="173"/>
  <c r="AI25" i="173"/>
  <c r="AE25" i="173"/>
  <c r="AA25" i="173"/>
  <c r="W25" i="173"/>
  <c r="S25" i="173"/>
  <c r="O25" i="173"/>
  <c r="J25" i="173"/>
  <c r="BW24" i="173"/>
  <c r="BS24" i="173"/>
  <c r="BO24" i="173"/>
  <c r="BK24" i="173"/>
  <c r="BG24" i="173"/>
  <c r="BC24" i="173"/>
  <c r="AY24" i="173"/>
  <c r="AU24" i="173"/>
  <c r="AQ24" i="173"/>
  <c r="AM24" i="173"/>
  <c r="AI24" i="173"/>
  <c r="AE24" i="173"/>
  <c r="AA24" i="173"/>
  <c r="W24" i="173"/>
  <c r="S24" i="173"/>
  <c r="O24" i="173"/>
  <c r="J24" i="173"/>
  <c r="BW23" i="173"/>
  <c r="BS23" i="173"/>
  <c r="BO23" i="173"/>
  <c r="BK23" i="173"/>
  <c r="BG23" i="173"/>
  <c r="BC23" i="173"/>
  <c r="AY23" i="173"/>
  <c r="AU23" i="173"/>
  <c r="AQ23" i="173"/>
  <c r="AM23" i="173"/>
  <c r="AI23" i="173"/>
  <c r="AE23" i="173"/>
  <c r="AA23" i="173"/>
  <c r="W23" i="173"/>
  <c r="S23" i="173"/>
  <c r="O23" i="173"/>
  <c r="J23" i="173"/>
  <c r="BW22" i="173"/>
  <c r="BS22" i="173"/>
  <c r="BO22" i="173"/>
  <c r="BK22" i="173"/>
  <c r="BG22" i="173"/>
  <c r="BC22" i="173"/>
  <c r="AY22" i="173"/>
  <c r="AU22" i="173"/>
  <c r="AQ22" i="173"/>
  <c r="AM22" i="173"/>
  <c r="AI22" i="173"/>
  <c r="AE22" i="173"/>
  <c r="AA22" i="173"/>
  <c r="W22" i="173"/>
  <c r="S22" i="173"/>
  <c r="O22" i="173"/>
  <c r="J22" i="173"/>
  <c r="BW21" i="173"/>
  <c r="BS21" i="173"/>
  <c r="BO21" i="173"/>
  <c r="BK21" i="173"/>
  <c r="BG21" i="173"/>
  <c r="BC21" i="173"/>
  <c r="AY21" i="173"/>
  <c r="AU21" i="173"/>
  <c r="AQ21" i="173"/>
  <c r="AM21" i="173"/>
  <c r="AI21" i="173"/>
  <c r="AE21" i="173"/>
  <c r="AA21" i="173"/>
  <c r="W21" i="173"/>
  <c r="S21" i="173"/>
  <c r="O21" i="173"/>
  <c r="J21" i="173"/>
  <c r="BW20" i="173"/>
  <c r="BS20" i="173"/>
  <c r="BO20" i="173"/>
  <c r="BK20" i="173"/>
  <c r="BG20" i="173"/>
  <c r="BC20" i="173"/>
  <c r="AY20" i="173"/>
  <c r="AU20" i="173"/>
  <c r="AQ20" i="173"/>
  <c r="AM20" i="173"/>
  <c r="AI20" i="173"/>
  <c r="AE20" i="173"/>
  <c r="AA20" i="173"/>
  <c r="W20" i="173"/>
  <c r="S20" i="173"/>
  <c r="O20" i="173"/>
  <c r="J20" i="173"/>
  <c r="BW19" i="173"/>
  <c r="BS19" i="173"/>
  <c r="BO19" i="173"/>
  <c r="BK19" i="173"/>
  <c r="BG19" i="173"/>
  <c r="BC19" i="173"/>
  <c r="AY19" i="173"/>
  <c r="AU19" i="173"/>
  <c r="AQ19" i="173"/>
  <c r="AM19" i="173"/>
  <c r="AI19" i="173"/>
  <c r="AE19" i="173"/>
  <c r="AA19" i="173"/>
  <c r="W19" i="173"/>
  <c r="S19" i="173"/>
  <c r="O19" i="173"/>
  <c r="J19" i="173"/>
  <c r="BW18" i="173"/>
  <c r="BS18" i="173"/>
  <c r="BO18" i="173"/>
  <c r="BK18" i="173"/>
  <c r="BG18" i="173"/>
  <c r="BC18" i="173"/>
  <c r="AY18" i="173"/>
  <c r="AU18" i="173"/>
  <c r="AQ18" i="173"/>
  <c r="AM18" i="173"/>
  <c r="AI18" i="173"/>
  <c r="AE18" i="173"/>
  <c r="AA18" i="173"/>
  <c r="W18" i="173"/>
  <c r="S18" i="173"/>
  <c r="O18" i="173"/>
  <c r="J18" i="173"/>
  <c r="BW17" i="173"/>
  <c r="BS17" i="173"/>
  <c r="BO17" i="173"/>
  <c r="BK17" i="173"/>
  <c r="BG17" i="173"/>
  <c r="BC17" i="173"/>
  <c r="AY17" i="173"/>
  <c r="AU17" i="173"/>
  <c r="AQ17" i="173"/>
  <c r="AM17" i="173"/>
  <c r="AI17" i="173"/>
  <c r="AE17" i="173"/>
  <c r="AA17" i="173"/>
  <c r="W17" i="173"/>
  <c r="S17" i="173"/>
  <c r="O17" i="173"/>
  <c r="J17" i="173"/>
  <c r="BW16" i="173"/>
  <c r="BS16" i="173"/>
  <c r="BO16" i="173"/>
  <c r="BK16" i="173"/>
  <c r="BG16" i="173"/>
  <c r="BC16" i="173"/>
  <c r="AY16" i="173"/>
  <c r="AU16" i="173"/>
  <c r="AQ16" i="173"/>
  <c r="AM16" i="173"/>
  <c r="AI16" i="173"/>
  <c r="AE16" i="173"/>
  <c r="AA16" i="173"/>
  <c r="W16" i="173"/>
  <c r="S16" i="173"/>
  <c r="O16" i="173"/>
  <c r="J16" i="173"/>
  <c r="BW15" i="173"/>
  <c r="BS15" i="173"/>
  <c r="BO15" i="173"/>
  <c r="BK15" i="173"/>
  <c r="BG15" i="173"/>
  <c r="BC15" i="173"/>
  <c r="AY15" i="173"/>
  <c r="AU15" i="173"/>
  <c r="AQ15" i="173"/>
  <c r="AM15" i="173"/>
  <c r="AI15" i="173"/>
  <c r="AE15" i="173"/>
  <c r="AA15" i="173"/>
  <c r="W15" i="173"/>
  <c r="S15" i="173"/>
  <c r="O15" i="173"/>
  <c r="J15" i="173"/>
  <c r="BW14" i="173"/>
  <c r="BS14" i="173"/>
  <c r="BO14" i="173"/>
  <c r="BK14" i="173"/>
  <c r="BG14" i="173"/>
  <c r="BC14" i="173"/>
  <c r="AY14" i="173"/>
  <c r="AU14" i="173"/>
  <c r="AQ14" i="173"/>
  <c r="AM14" i="173"/>
  <c r="AI14" i="173"/>
  <c r="AE14" i="173"/>
  <c r="AA14" i="173"/>
  <c r="W14" i="173"/>
  <c r="S14" i="173"/>
  <c r="O14" i="173"/>
  <c r="J14" i="173"/>
  <c r="BW13" i="173"/>
  <c r="BS13" i="173"/>
  <c r="BO13" i="173"/>
  <c r="BK13" i="173"/>
  <c r="BG13" i="173"/>
  <c r="BC13" i="173"/>
  <c r="AY13" i="173"/>
  <c r="AU13" i="173"/>
  <c r="AQ13" i="173"/>
  <c r="AM13" i="173"/>
  <c r="AI13" i="173"/>
  <c r="AE13" i="173"/>
  <c r="AA13" i="173"/>
  <c r="W13" i="173"/>
  <c r="S13" i="173"/>
  <c r="O13" i="173"/>
  <c r="J13" i="173"/>
  <c r="BW12" i="173"/>
  <c r="BS12" i="173"/>
  <c r="BO12" i="173"/>
  <c r="BK12" i="173"/>
  <c r="BG12" i="173"/>
  <c r="BC12" i="173"/>
  <c r="AY12" i="173"/>
  <c r="AU12" i="173"/>
  <c r="AQ12" i="173"/>
  <c r="AM12" i="173"/>
  <c r="AI12" i="173"/>
  <c r="AE12" i="173"/>
  <c r="AA12" i="173"/>
  <c r="W12" i="173"/>
  <c r="S12" i="173"/>
  <c r="O12" i="173"/>
  <c r="J12" i="173"/>
  <c r="BW11" i="173"/>
  <c r="BS11" i="173"/>
  <c r="BO11" i="173"/>
  <c r="BK11" i="173"/>
  <c r="BG11" i="173"/>
  <c r="BC11" i="173"/>
  <c r="AY11" i="173"/>
  <c r="AU11" i="173"/>
  <c r="AQ11" i="173"/>
  <c r="AM11" i="173"/>
  <c r="AI11" i="173"/>
  <c r="AE11" i="173"/>
  <c r="AA11" i="173"/>
  <c r="W11" i="173"/>
  <c r="S11" i="173"/>
  <c r="O11" i="173"/>
  <c r="J11" i="173"/>
  <c r="BW10" i="173"/>
  <c r="BS10" i="173"/>
  <c r="BO10" i="173"/>
  <c r="BK10" i="173"/>
  <c r="BG10" i="173"/>
  <c r="BC10" i="173"/>
  <c r="AY10" i="173"/>
  <c r="AU10" i="173"/>
  <c r="AQ10" i="173"/>
  <c r="AM10" i="173"/>
  <c r="AI10" i="173"/>
  <c r="AE10" i="173"/>
  <c r="AA10" i="173"/>
  <c r="W10" i="173"/>
  <c r="S10" i="173"/>
  <c r="O10" i="173"/>
  <c r="J10" i="173"/>
  <c r="BW9" i="173"/>
  <c r="BS9" i="173"/>
  <c r="BO9" i="173"/>
  <c r="BK9" i="173"/>
  <c r="BG9" i="173"/>
  <c r="BC9" i="173"/>
  <c r="AY9" i="173"/>
  <c r="AU9" i="173"/>
  <c r="AQ9" i="173"/>
  <c r="AM9" i="173"/>
  <c r="AI9" i="173"/>
  <c r="AE9" i="173"/>
  <c r="AA9" i="173"/>
  <c r="W9" i="173"/>
  <c r="S9" i="173"/>
  <c r="O9" i="173"/>
  <c r="J9" i="173"/>
  <c r="BW8" i="173"/>
  <c r="BS8" i="173"/>
  <c r="BO8" i="173"/>
  <c r="BK8" i="173"/>
  <c r="BG8" i="173"/>
  <c r="BC8" i="173"/>
  <c r="AY8" i="173"/>
  <c r="AU8" i="173"/>
  <c r="AQ8" i="173"/>
  <c r="AM8" i="173"/>
  <c r="AI8" i="173"/>
  <c r="AE8" i="173"/>
  <c r="AA8" i="173"/>
  <c r="W8" i="173"/>
  <c r="S8" i="173"/>
  <c r="O8" i="173"/>
  <c r="J8" i="173"/>
  <c r="BW7" i="173"/>
  <c r="BS7" i="173"/>
  <c r="BO7" i="173"/>
  <c r="BK7" i="173"/>
  <c r="BG7" i="173"/>
  <c r="BC7" i="173"/>
  <c r="AY7" i="173"/>
  <c r="AU7" i="173"/>
  <c r="AQ7" i="173"/>
  <c r="AM7" i="173"/>
  <c r="AI7" i="173"/>
  <c r="AE7" i="173"/>
  <c r="AA7" i="173"/>
  <c r="W7" i="173"/>
  <c r="S7" i="173"/>
  <c r="O7" i="173"/>
  <c r="J7" i="173"/>
  <c r="BV6" i="173"/>
  <c r="BW6" i="173" s="1"/>
  <c r="BU6" i="173"/>
  <c r="BT6" i="173"/>
  <c r="BI6" i="173"/>
  <c r="BB6" i="173"/>
  <c r="BC6" i="173" s="1"/>
  <c r="BA6" i="173"/>
  <c r="AO6" i="173"/>
  <c r="AL6" i="173"/>
  <c r="AM6" i="173" s="1"/>
  <c r="AF6" i="173"/>
  <c r="AC6" i="173"/>
  <c r="AB6" i="173"/>
  <c r="N6" i="173"/>
  <c r="O6" i="173" s="1"/>
  <c r="M6" i="173"/>
  <c r="AZ5" i="173"/>
  <c r="AJ5" i="173"/>
  <c r="AF5" i="173"/>
  <c r="AB5" i="173"/>
  <c r="BS4" i="173"/>
  <c r="BT5" i="173" s="1"/>
  <c r="BO4" i="173"/>
  <c r="BR6" i="173" s="1"/>
  <c r="BS6" i="173" s="1"/>
  <c r="BK4" i="173"/>
  <c r="BL5" i="173" s="1"/>
  <c r="BH4" i="173"/>
  <c r="BG4" i="173"/>
  <c r="BH5" i="173" s="1"/>
  <c r="BC4" i="173"/>
  <c r="BD4" i="173" s="1"/>
  <c r="AY4" i="173"/>
  <c r="AZ4" i="173" s="1"/>
  <c r="AU4" i="173"/>
  <c r="AV5" i="173" s="1"/>
  <c r="AR4" i="173"/>
  <c r="AQ4" i="173"/>
  <c r="AT6" i="173" s="1"/>
  <c r="AU6" i="173" s="1"/>
  <c r="AM4" i="173"/>
  <c r="AP6" i="173" s="1"/>
  <c r="AQ6" i="173" s="1"/>
  <c r="AI4" i="173"/>
  <c r="AJ6" i="173" s="1"/>
  <c r="AE4" i="173"/>
  <c r="AF4" i="173" s="1"/>
  <c r="AA4" i="173"/>
  <c r="AB4" i="173" s="1"/>
  <c r="W4" i="173"/>
  <c r="X5" i="173" s="1"/>
  <c r="S4" i="173"/>
  <c r="V6" i="173" s="1"/>
  <c r="W6" i="173" s="1"/>
  <c r="O4" i="173"/>
  <c r="P5" i="173" s="1"/>
  <c r="L4" i="173"/>
  <c r="K4" i="173"/>
  <c r="L5" i="173" s="1"/>
  <c r="J4" i="173"/>
  <c r="E4" i="173"/>
  <c r="BT3" i="173"/>
  <c r="BP3" i="173"/>
  <c r="BL3" i="173"/>
  <c r="BH3" i="173"/>
  <c r="BD3" i="173"/>
  <c r="AZ3" i="173"/>
  <c r="AV3" i="173"/>
  <c r="AR3" i="173"/>
  <c r="AN3" i="173"/>
  <c r="AJ3" i="173"/>
  <c r="AF3" i="173"/>
  <c r="AB3" i="173"/>
  <c r="X3" i="173"/>
  <c r="T3" i="173"/>
  <c r="P3" i="173"/>
  <c r="L3" i="173"/>
  <c r="J3" i="173"/>
  <c r="J2" i="173"/>
  <c r="F1" i="173"/>
  <c r="E4" i="2"/>
  <c r="J7" i="2"/>
  <c r="J8" i="2"/>
  <c r="J9" i="2"/>
  <c r="J10" i="2"/>
  <c r="J11" i="2"/>
  <c r="J12" i="2"/>
  <c r="J13" i="2"/>
  <c r="J14" i="2"/>
  <c r="J15" i="2"/>
  <c r="J16" i="2"/>
  <c r="J17" i="2"/>
  <c r="J18" i="2"/>
  <c r="J19" i="2"/>
  <c r="J20" i="2"/>
  <c r="J21" i="2"/>
  <c r="J22" i="2"/>
  <c r="J23" i="2"/>
  <c r="J24"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BP5" i="181" l="1"/>
  <c r="AL6" i="181"/>
  <c r="AM6" i="181" s="1"/>
  <c r="BR6" i="181"/>
  <c r="BS6" i="181" s="1"/>
  <c r="BP4" i="181"/>
  <c r="AJ4" i="181"/>
  <c r="T6" i="181"/>
  <c r="AV6" i="181"/>
  <c r="L5" i="181"/>
  <c r="V6" i="181"/>
  <c r="W6" i="181" s="1"/>
  <c r="AX6" i="181"/>
  <c r="AY6" i="181" s="1"/>
  <c r="T5" i="181"/>
  <c r="BD6" i="181"/>
  <c r="AF6" i="181"/>
  <c r="BP6" i="181"/>
  <c r="BH5" i="181"/>
  <c r="AK6" i="181"/>
  <c r="AF4" i="180"/>
  <c r="BL5" i="180"/>
  <c r="AS6" i="180"/>
  <c r="BT6" i="180"/>
  <c r="BL4" i="180"/>
  <c r="BP5" i="180"/>
  <c r="AT6" i="180"/>
  <c r="AU6" i="180" s="1"/>
  <c r="BU6" i="180"/>
  <c r="R6" i="180"/>
  <c r="S6" i="180" s="1"/>
  <c r="AN4" i="180"/>
  <c r="BP4" i="180"/>
  <c r="U6" i="180"/>
  <c r="AV6" i="180"/>
  <c r="P4" i="180"/>
  <c r="AR4" i="180"/>
  <c r="P5" i="180"/>
  <c r="T5" i="180"/>
  <c r="X6" i="180"/>
  <c r="T4" i="180"/>
  <c r="AB5" i="180"/>
  <c r="Y6" i="180"/>
  <c r="BE6" i="180"/>
  <c r="AF5" i="180"/>
  <c r="AN5" i="180"/>
  <c r="AD6" i="180"/>
  <c r="AE6" i="180" s="1"/>
  <c r="BQ6" i="180"/>
  <c r="AB4" i="180"/>
  <c r="BD4" i="180"/>
  <c r="AZ5" i="180"/>
  <c r="AG6" i="180"/>
  <c r="BR6" i="180"/>
  <c r="BS6" i="180" s="1"/>
  <c r="AJ4" i="179"/>
  <c r="BL4" i="179"/>
  <c r="Q6" i="179"/>
  <c r="AW6" i="179"/>
  <c r="BA6" i="179"/>
  <c r="BB6" i="179"/>
  <c r="BC6" i="179" s="1"/>
  <c r="Y6" i="179"/>
  <c r="AB5" i="179"/>
  <c r="AD6" i="179"/>
  <c r="AE6" i="179" s="1"/>
  <c r="BI6" i="179"/>
  <c r="AF5" i="179"/>
  <c r="BM6" i="179"/>
  <c r="X4" i="179"/>
  <c r="AZ5" i="179"/>
  <c r="AO6" i="179"/>
  <c r="BU6" i="179"/>
  <c r="AP6" i="179"/>
  <c r="AQ6" i="179" s="1"/>
  <c r="M6" i="179"/>
  <c r="AK6" i="178"/>
  <c r="AB5" i="178"/>
  <c r="AV6" i="178"/>
  <c r="AF5" i="178"/>
  <c r="AJ5" i="178"/>
  <c r="BU6" i="178"/>
  <c r="X4" i="178"/>
  <c r="BH4" i="178"/>
  <c r="X6" i="178"/>
  <c r="BV6" i="178"/>
  <c r="BW6" i="178" s="1"/>
  <c r="BT6" i="178"/>
  <c r="Y6" i="178"/>
  <c r="AJ4" i="178"/>
  <c r="BT4" i="178"/>
  <c r="AL6" i="178"/>
  <c r="AM6" i="178" s="1"/>
  <c r="L4" i="177"/>
  <c r="X6" i="177"/>
  <c r="AZ6" i="177"/>
  <c r="Y6" i="177"/>
  <c r="BA6" i="177"/>
  <c r="T5" i="177"/>
  <c r="Z6" i="177"/>
  <c r="AA6" i="177" s="1"/>
  <c r="BB6" i="177"/>
  <c r="BC6" i="177" s="1"/>
  <c r="X5" i="177"/>
  <c r="BI6" i="177"/>
  <c r="AZ4" i="177"/>
  <c r="AF5" i="177"/>
  <c r="BR6" i="177"/>
  <c r="BS6" i="177" s="1"/>
  <c r="AJ4" i="177"/>
  <c r="M6" i="177"/>
  <c r="AV6" i="176"/>
  <c r="T6" i="176"/>
  <c r="X4" i="176"/>
  <c r="BD4" i="176"/>
  <c r="U6" i="176"/>
  <c r="BE6" i="176"/>
  <c r="AF4" i="176"/>
  <c r="AF6" i="176"/>
  <c r="BP4" i="176"/>
  <c r="AG6" i="176"/>
  <c r="BV6" i="176"/>
  <c r="BW6" i="176" s="1"/>
  <c r="AR6" i="176"/>
  <c r="AB5" i="176"/>
  <c r="AF5" i="176"/>
  <c r="AV4" i="176"/>
  <c r="AV5" i="176"/>
  <c r="AW6" i="176"/>
  <c r="T4" i="176"/>
  <c r="BD5" i="176"/>
  <c r="BD6" i="176"/>
  <c r="AV5" i="175"/>
  <c r="AV4" i="175"/>
  <c r="BD5" i="175"/>
  <c r="AR6" i="175"/>
  <c r="BU6" i="175"/>
  <c r="AO6" i="175"/>
  <c r="BT5" i="175"/>
  <c r="AS6" i="175"/>
  <c r="BV6" i="175"/>
  <c r="BW6" i="175" s="1"/>
  <c r="T6" i="175"/>
  <c r="X6" i="175"/>
  <c r="BA6" i="175"/>
  <c r="BD6" i="175"/>
  <c r="BT4" i="175"/>
  <c r="AF6" i="175"/>
  <c r="BM6" i="175"/>
  <c r="AR4" i="175"/>
  <c r="AF5" i="175"/>
  <c r="AG6" i="175"/>
  <c r="BQ6" i="175"/>
  <c r="AN6" i="174"/>
  <c r="P4" i="174"/>
  <c r="P6" i="174"/>
  <c r="AO6" i="174"/>
  <c r="BQ6" i="174"/>
  <c r="AN4" i="174"/>
  <c r="Q6" i="174"/>
  <c r="AV4" i="174"/>
  <c r="P5" i="174"/>
  <c r="U6" i="174"/>
  <c r="AV6" i="174"/>
  <c r="AZ4" i="174"/>
  <c r="AB5" i="174"/>
  <c r="AB4" i="174"/>
  <c r="AF5" i="174"/>
  <c r="AN5" i="174"/>
  <c r="AZ6" i="174"/>
  <c r="BH4" i="174"/>
  <c r="AJ4" i="174"/>
  <c r="BL5" i="174"/>
  <c r="AG6" i="174"/>
  <c r="BI6" i="174"/>
  <c r="X4" i="173"/>
  <c r="BD5" i="173"/>
  <c r="AK6" i="173"/>
  <c r="BJ6" i="173"/>
  <c r="BK6" i="173" s="1"/>
  <c r="AV6" i="173"/>
  <c r="AJ4" i="173"/>
  <c r="X6" i="173"/>
  <c r="Y6" i="173"/>
  <c r="AX6" i="173"/>
  <c r="AY6" i="173" s="1"/>
  <c r="Q6" i="173"/>
  <c r="BP4" i="173"/>
  <c r="AW6" i="173"/>
  <c r="BT4" i="173"/>
  <c r="Z6" i="173"/>
  <c r="AA6" i="173" s="1"/>
  <c r="AZ6" i="173"/>
  <c r="AV4" i="173"/>
  <c r="AD6" i="173"/>
  <c r="AE6" i="173" s="1"/>
  <c r="T4" i="173"/>
  <c r="BD6" i="173"/>
  <c r="AB5" i="181"/>
  <c r="AH6" i="181"/>
  <c r="AI6" i="181" s="1"/>
  <c r="AF5" i="181"/>
  <c r="BF6" i="181"/>
  <c r="BG6" i="181" s="1"/>
  <c r="P4" i="181"/>
  <c r="AN4" i="181"/>
  <c r="BL4" i="181"/>
  <c r="AN5" i="181"/>
  <c r="AR5" i="181"/>
  <c r="P6" i="181"/>
  <c r="AB6" i="181"/>
  <c r="AN6" i="181"/>
  <c r="AZ6" i="181"/>
  <c r="BL6" i="181"/>
  <c r="Q6" i="181"/>
  <c r="AC6" i="181"/>
  <c r="AO6" i="181"/>
  <c r="BA6" i="181"/>
  <c r="BM6" i="181"/>
  <c r="AZ5" i="181"/>
  <c r="R6" i="181"/>
  <c r="S6" i="181" s="1"/>
  <c r="AD6" i="181"/>
  <c r="AE6" i="181" s="1"/>
  <c r="BB6" i="181"/>
  <c r="BC6" i="181" s="1"/>
  <c r="BN6" i="181"/>
  <c r="BO6" i="181" s="1"/>
  <c r="BD5" i="181"/>
  <c r="AG6" i="181"/>
  <c r="BE6" i="181"/>
  <c r="BH6" i="180"/>
  <c r="L4" i="180"/>
  <c r="AJ4" i="180"/>
  <c r="BH4" i="180"/>
  <c r="M6" i="180"/>
  <c r="AK6" i="180"/>
  <c r="BI6" i="180"/>
  <c r="AJ5" i="180"/>
  <c r="N6" i="180"/>
  <c r="O6" i="180" s="1"/>
  <c r="Z6" i="180"/>
  <c r="AA6" i="180" s="1"/>
  <c r="AL6" i="180"/>
  <c r="AM6" i="180" s="1"/>
  <c r="AX6" i="180"/>
  <c r="AY6" i="180" s="1"/>
  <c r="BJ6" i="180"/>
  <c r="BK6" i="180" s="1"/>
  <c r="BV6" i="180"/>
  <c r="BW6" i="180" s="1"/>
  <c r="AR5" i="180"/>
  <c r="P6" i="180"/>
  <c r="AN6" i="180"/>
  <c r="BL6" i="180"/>
  <c r="AV5" i="180"/>
  <c r="X4" i="180"/>
  <c r="BT4" i="180"/>
  <c r="L6" i="180"/>
  <c r="AF6" i="180"/>
  <c r="BD6" i="180"/>
  <c r="L6" i="179"/>
  <c r="X6" i="179"/>
  <c r="AJ6" i="179"/>
  <c r="AV6" i="179"/>
  <c r="BH6" i="179"/>
  <c r="BT6" i="179"/>
  <c r="AJ5" i="179"/>
  <c r="N6" i="179"/>
  <c r="O6" i="179" s="1"/>
  <c r="Z6" i="179"/>
  <c r="AA6" i="179" s="1"/>
  <c r="BJ6" i="179"/>
  <c r="BK6" i="179" s="1"/>
  <c r="BV6" i="179"/>
  <c r="BW6" i="179" s="1"/>
  <c r="AR5" i="179"/>
  <c r="P6" i="179"/>
  <c r="AB6" i="179"/>
  <c r="AZ6" i="179"/>
  <c r="BL6" i="179"/>
  <c r="T6" i="179"/>
  <c r="AR6" i="179"/>
  <c r="BP6" i="179"/>
  <c r="U6" i="179"/>
  <c r="AG6" i="179"/>
  <c r="AS6" i="179"/>
  <c r="BE6" i="179"/>
  <c r="BQ6" i="179"/>
  <c r="T5" i="179"/>
  <c r="BP5" i="179"/>
  <c r="AH6" i="179"/>
  <c r="AI6" i="179" s="1"/>
  <c r="BF6" i="179"/>
  <c r="BG6" i="179" s="1"/>
  <c r="L6" i="178"/>
  <c r="BH6" i="178"/>
  <c r="P4" i="178"/>
  <c r="AN4" i="178"/>
  <c r="BL4" i="178"/>
  <c r="AN5" i="178"/>
  <c r="AR5" i="178"/>
  <c r="P6" i="178"/>
  <c r="AB6" i="178"/>
  <c r="AN6" i="178"/>
  <c r="AZ6" i="178"/>
  <c r="BL6" i="178"/>
  <c r="T4" i="178"/>
  <c r="AR4" i="178"/>
  <c r="BP4" i="178"/>
  <c r="Q6" i="178"/>
  <c r="AC6" i="178"/>
  <c r="AO6" i="178"/>
  <c r="BA6" i="178"/>
  <c r="BM6" i="178"/>
  <c r="AZ5" i="178"/>
  <c r="R6" i="178"/>
  <c r="S6" i="178" s="1"/>
  <c r="AD6" i="178"/>
  <c r="AE6" i="178" s="1"/>
  <c r="BB6" i="178"/>
  <c r="BC6" i="178" s="1"/>
  <c r="BN6" i="178"/>
  <c r="BO6" i="178" s="1"/>
  <c r="T6" i="178"/>
  <c r="AF6" i="178"/>
  <c r="AR6" i="178"/>
  <c r="BD6" i="178"/>
  <c r="BP6" i="178"/>
  <c r="U6" i="178"/>
  <c r="AG6" i="178"/>
  <c r="AS6" i="178"/>
  <c r="BE6" i="178"/>
  <c r="BQ6" i="178"/>
  <c r="T5" i="178"/>
  <c r="BP5" i="178"/>
  <c r="AH6" i="178"/>
  <c r="AI6" i="178" s="1"/>
  <c r="BF6" i="178"/>
  <c r="BG6" i="178" s="1"/>
  <c r="L6" i="177"/>
  <c r="AJ6" i="177"/>
  <c r="BH6" i="177"/>
  <c r="AJ5" i="177"/>
  <c r="N6" i="177"/>
  <c r="O6" i="177" s="1"/>
  <c r="BJ6" i="177"/>
  <c r="BK6" i="177" s="1"/>
  <c r="P4" i="177"/>
  <c r="AN4" i="177"/>
  <c r="BL4" i="177"/>
  <c r="AN5" i="177"/>
  <c r="AR5" i="177"/>
  <c r="P6" i="177"/>
  <c r="AN6" i="177"/>
  <c r="BL6" i="177"/>
  <c r="Q6" i="177"/>
  <c r="AO6" i="177"/>
  <c r="BM6" i="177"/>
  <c r="R6" i="177"/>
  <c r="S6" i="177" s="1"/>
  <c r="BN6" i="177"/>
  <c r="BO6" i="177" s="1"/>
  <c r="BD5" i="177"/>
  <c r="T6" i="177"/>
  <c r="AF6" i="177"/>
  <c r="AR6" i="177"/>
  <c r="BD6" i="177"/>
  <c r="BP6" i="177"/>
  <c r="AG6" i="177"/>
  <c r="BE6" i="177"/>
  <c r="AH6" i="177"/>
  <c r="AI6" i="177" s="1"/>
  <c r="BF6" i="177"/>
  <c r="BG6" i="177" s="1"/>
  <c r="AJ6" i="176"/>
  <c r="L4" i="176"/>
  <c r="AJ4" i="176"/>
  <c r="BH4" i="176"/>
  <c r="M6" i="176"/>
  <c r="AK6" i="176"/>
  <c r="BI6" i="176"/>
  <c r="AJ5" i="176"/>
  <c r="N6" i="176"/>
  <c r="O6" i="176" s="1"/>
  <c r="BJ6" i="176"/>
  <c r="BK6" i="176" s="1"/>
  <c r="P4" i="176"/>
  <c r="AN4" i="176"/>
  <c r="BL4" i="176"/>
  <c r="AN5" i="176"/>
  <c r="AR5" i="176"/>
  <c r="P6" i="176"/>
  <c r="AB6" i="176"/>
  <c r="AN6" i="176"/>
  <c r="AZ6" i="176"/>
  <c r="BL6" i="176"/>
  <c r="L6" i="176"/>
  <c r="Q6" i="176"/>
  <c r="AC6" i="176"/>
  <c r="AO6" i="176"/>
  <c r="BA6" i="176"/>
  <c r="BM6" i="176"/>
  <c r="AZ5" i="176"/>
  <c r="R6" i="176"/>
  <c r="S6" i="176" s="1"/>
  <c r="AD6" i="176"/>
  <c r="AE6" i="176" s="1"/>
  <c r="BB6" i="176"/>
  <c r="BC6" i="176" s="1"/>
  <c r="BN6" i="176"/>
  <c r="BO6" i="176" s="1"/>
  <c r="BH6" i="176"/>
  <c r="T5" i="176"/>
  <c r="BP5" i="176"/>
  <c r="L4" i="175"/>
  <c r="AJ4" i="175"/>
  <c r="BH4" i="175"/>
  <c r="M6" i="175"/>
  <c r="AK6" i="175"/>
  <c r="BI6" i="175"/>
  <c r="AJ5" i="175"/>
  <c r="N6" i="175"/>
  <c r="O6" i="175" s="1"/>
  <c r="AL6" i="175"/>
  <c r="AM6" i="175" s="1"/>
  <c r="BJ6" i="175"/>
  <c r="BK6" i="175" s="1"/>
  <c r="L6" i="175"/>
  <c r="BH6" i="175"/>
  <c r="P4" i="175"/>
  <c r="AN4" i="175"/>
  <c r="BL4" i="175"/>
  <c r="AN5" i="175"/>
  <c r="AR5" i="175"/>
  <c r="P6" i="175"/>
  <c r="AB6" i="175"/>
  <c r="AN6" i="175"/>
  <c r="AZ6" i="175"/>
  <c r="BL6" i="175"/>
  <c r="AZ5" i="175"/>
  <c r="R6" i="175"/>
  <c r="S6" i="175" s="1"/>
  <c r="AD6" i="175"/>
  <c r="AE6" i="175" s="1"/>
  <c r="BB6" i="175"/>
  <c r="BC6" i="175" s="1"/>
  <c r="BN6" i="175"/>
  <c r="BO6" i="175" s="1"/>
  <c r="T5" i="175"/>
  <c r="BP5" i="175"/>
  <c r="AH6" i="175"/>
  <c r="AI6" i="175" s="1"/>
  <c r="BF6" i="175"/>
  <c r="BG6" i="175" s="1"/>
  <c r="L6" i="174"/>
  <c r="AJ6" i="174"/>
  <c r="BH6" i="174"/>
  <c r="AJ5" i="174"/>
  <c r="N6" i="174"/>
  <c r="O6" i="174" s="1"/>
  <c r="BJ6" i="174"/>
  <c r="BK6" i="174" s="1"/>
  <c r="T4" i="174"/>
  <c r="AR4" i="174"/>
  <c r="BP4" i="174"/>
  <c r="AZ5" i="174"/>
  <c r="BD5" i="174"/>
  <c r="T6" i="174"/>
  <c r="AF6" i="174"/>
  <c r="AR6" i="174"/>
  <c r="BD6" i="174"/>
  <c r="BP6" i="174"/>
  <c r="T5" i="174"/>
  <c r="BP5" i="174"/>
  <c r="BM6" i="173"/>
  <c r="L6" i="173"/>
  <c r="BH6" i="173"/>
  <c r="P4" i="173"/>
  <c r="AN4" i="173"/>
  <c r="BL4" i="173"/>
  <c r="AN5" i="173"/>
  <c r="AR5" i="173"/>
  <c r="P6" i="173"/>
  <c r="AN6" i="173"/>
  <c r="BL6" i="173"/>
  <c r="R6" i="173"/>
  <c r="S6" i="173" s="1"/>
  <c r="BN6" i="173"/>
  <c r="BO6" i="173" s="1"/>
  <c r="T6" i="173"/>
  <c r="AR6" i="173"/>
  <c r="BP6" i="173"/>
  <c r="U6" i="173"/>
  <c r="AG6" i="173"/>
  <c r="AS6" i="173"/>
  <c r="BE6" i="173"/>
  <c r="BQ6" i="173"/>
  <c r="T5" i="173"/>
  <c r="BP5" i="173"/>
  <c r="AH6" i="173"/>
  <c r="AI6" i="173" s="1"/>
  <c r="BF6" i="173"/>
  <c r="BG6" i="173"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E36" i="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E37" i="1"/>
  <c r="G36" i="1"/>
  <c r="D37" i="1"/>
  <c r="F37" i="1"/>
  <c r="F36" i="1"/>
  <c r="D36" i="1"/>
  <c r="C11" i="36"/>
  <c r="C10" i="36"/>
  <c r="C29" i="36"/>
  <c r="C31" i="36" s="1"/>
  <c r="J110" i="3"/>
  <c r="G37" i="1" l="1"/>
  <c r="D26" i="1"/>
  <c r="F26" i="1"/>
  <c r="G26" i="1"/>
  <c r="E26" i="1"/>
  <c r="C30" i="36"/>
  <c r="B86" i="3"/>
  <c r="F6" i="1"/>
  <c r="C26" i="36" l="1"/>
  <c r="C25" i="36"/>
  <c r="K3" i="1" l="1"/>
  <c r="D21" i="1" l="1"/>
  <c r="BS4" i="2" l="1"/>
  <c r="BT4" i="2" s="1"/>
  <c r="BO4" i="2"/>
  <c r="BP4" i="2" s="1"/>
  <c r="BK4" i="2"/>
  <c r="BL4" i="2" s="1"/>
  <c r="BG4" i="2"/>
  <c r="BH4" i="2" s="1"/>
  <c r="BC4" i="2"/>
  <c r="BD4" i="2" s="1"/>
  <c r="AY4" i="2"/>
  <c r="AZ4" i="2" s="1"/>
  <c r="AU4" i="2"/>
  <c r="AV4" i="2" s="1"/>
  <c r="AQ4" i="2"/>
  <c r="AR4" i="2" s="1"/>
  <c r="AM4" i="2"/>
  <c r="AN4" i="2" s="1"/>
  <c r="AI4" i="2"/>
  <c r="AJ4" i="2" s="1"/>
  <c r="BT3" i="2"/>
  <c r="BP3" i="2"/>
  <c r="BL3" i="2"/>
  <c r="BH3" i="2"/>
  <c r="BD3" i="2"/>
  <c r="AZ3" i="2"/>
  <c r="AV3" i="2"/>
  <c r="AR3" i="2"/>
  <c r="AN3" i="2"/>
  <c r="AJ3" i="2"/>
  <c r="AF3" i="2"/>
  <c r="AE4" i="2"/>
  <c r="AF4" i="2" s="1"/>
  <c r="AL6" i="2" l="1"/>
  <c r="AM6" i="2" s="1"/>
  <c r="AP6" i="2"/>
  <c r="AQ6" i="2" s="1"/>
  <c r="AT6" i="2"/>
  <c r="AU6" i="2" s="1"/>
  <c r="AX6" i="2"/>
  <c r="AY6" i="2" s="1"/>
  <c r="BB6" i="2"/>
  <c r="BC6" i="2" s="1"/>
  <c r="BF6" i="2"/>
  <c r="BG6" i="2" s="1"/>
  <c r="BR6" i="2"/>
  <c r="BS6" i="2" s="1"/>
  <c r="BN6" i="2"/>
  <c r="BO6" i="2" s="1"/>
  <c r="BV6" i="2"/>
  <c r="BW6" i="2" s="1"/>
  <c r="AJ6" i="2"/>
  <c r="AN5" i="2"/>
  <c r="BD6" i="2"/>
  <c r="AN6" i="2"/>
  <c r="AO6" i="2"/>
  <c r="BD5" i="2"/>
  <c r="BE6" i="2"/>
  <c r="BP5" i="2"/>
  <c r="BP6" i="2"/>
  <c r="BQ6" i="2"/>
  <c r="AR5" i="2"/>
  <c r="BH5" i="2"/>
  <c r="BT5" i="2"/>
  <c r="AR6" i="2"/>
  <c r="BH6" i="2"/>
  <c r="BT6" i="2"/>
  <c r="AS6" i="2"/>
  <c r="BI6" i="2"/>
  <c r="BU6" i="2"/>
  <c r="BJ6" i="2"/>
  <c r="BK6" i="2" s="1"/>
  <c r="AJ5" i="2"/>
  <c r="AZ5" i="2"/>
  <c r="BL5" i="2"/>
  <c r="AV5" i="2"/>
  <c r="AZ6" i="2"/>
  <c r="BL6" i="2"/>
  <c r="AV6" i="2"/>
  <c r="AK6" i="2"/>
  <c r="BA6" i="2"/>
  <c r="BM6" i="2"/>
  <c r="AW6" i="2"/>
  <c r="C12" i="36"/>
  <c r="A1" i="36" s="1"/>
  <c r="F8" i="1"/>
  <c r="N6" i="2"/>
  <c r="O6" i="2" s="1"/>
  <c r="AB3" i="2"/>
  <c r="X3" i="2"/>
  <c r="T3" i="2"/>
  <c r="P3" i="2"/>
  <c r="L3" i="2"/>
  <c r="J4" i="2"/>
  <c r="J3" i="2"/>
  <c r="J2" i="2"/>
  <c r="AA4" i="2"/>
  <c r="AB4" i="2" s="1"/>
  <c r="W4" i="2"/>
  <c r="X4" i="2" s="1"/>
  <c r="S4" i="2"/>
  <c r="T4" i="2" s="1"/>
  <c r="O4" i="2"/>
  <c r="P4"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5" i="2"/>
  <c r="AF6" i="2"/>
  <c r="AG6" i="2"/>
  <c r="D29" i="1"/>
  <c r="D30" i="1" s="1"/>
  <c r="G29" i="1"/>
  <c r="G28" i="1"/>
  <c r="L4" i="2" l="1"/>
  <c r="L6" i="2"/>
  <c r="X5" i="2"/>
  <c r="X6" i="2"/>
  <c r="AB5" i="2"/>
  <c r="AB6" i="2"/>
  <c r="T5" i="2"/>
  <c r="T6" i="2"/>
  <c r="P5" i="2"/>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<sst xmlns="http://schemas.openxmlformats.org/spreadsheetml/2006/main" count="1232" uniqueCount="788">
  <si>
    <t>Tonnes (air)</t>
    <phoneticPr fontId="1" type="noConversion"/>
  </si>
  <si>
    <t>Tonnes (vac)</t>
    <phoneticPr fontId="1" type="noConversion"/>
  </si>
  <si>
    <t>Long Tons</t>
    <phoneticPr fontId="1" type="noConversion"/>
  </si>
  <si>
    <t>Bbls @ 60°F</t>
    <phoneticPr fontId="1" type="noConversion"/>
  </si>
  <si>
    <t>No</t>
  </si>
  <si>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</si>
  <si>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</si>
  <si>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</si>
  <si>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</si>
  <si>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</si>
  <si>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</si>
  <si>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</si>
  <si>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</si>
  <si>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</si>
  <si>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</si>
  <si>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</si>
  <si>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</si>
  <si>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</si>
  <si>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</si>
  <si>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</si>
  <si>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</si>
  <si>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</si>
  <si>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</si>
  <si>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</si>
  <si>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</si>
  <si>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</si>
  <si>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</si>
  <si>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</si>
  <si>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</si>
  <si>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</si>
  <si>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</si>
  <si>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</si>
  <si>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</si>
  <si>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</si>
  <si>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</si>
  <si>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</si>
  <si>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</si>
  <si>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</si>
  <si>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</si>
  <si>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</si>
  <si>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</si>
  <si>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</si>
  <si>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</si>
  <si>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</si>
  <si>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</si>
  <si>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</si>
  <si>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</si>
  <si>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</si>
  <si>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</si>
  <si>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</si>
  <si>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</si>
  <si>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</si>
  <si>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</si>
  <si>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</si>
  <si>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</si>
  <si>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</si>
  <si>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</si>
  <si>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</si>
  <si>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</si>
  <si>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</si>
  <si>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</si>
  <si>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</si>
  <si>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</si>
  <si>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</si>
  <si>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</si>
  <si>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</si>
  <si>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</si>
  <si>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</si>
  <si>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</si>
  <si>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</si>
  <si>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</si>
  <si>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</si>
  <si>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</si>
  <si>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</si>
  <si>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</si>
  <si>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</si>
  <si>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</si>
  <si>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</si>
  <si>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</si>
  <si>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</si>
  <si>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</si>
  <si>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</si>
  <si>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</si>
  <si>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</si>
  <si>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</si>
  <si>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</si>
  <si>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</si>
  <si>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</si>
  <si>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</si>
  <si>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</si>
  <si>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</si>
  <si>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</si>
  <si>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</si>
  <si>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</si>
  <si>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</si>
  <si>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</si>
  <si>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</si>
  <si>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</si>
  <si>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</si>
  <si>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</si>
  <si>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</si>
  <si>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</si>
  <si>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</si>
  <si>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</si>
  <si>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</si>
  <si>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</si>
  <si>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</si>
  <si>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</si>
  <si>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</si>
  <si>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</si>
  <si>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</si>
  <si>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</si>
  <si>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</si>
  <si>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</si>
  <si>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</si>
  <si>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</si>
  <si>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</si>
  <si>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</si>
  <si>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</si>
  <si>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</si>
  <si>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</si>
  <si>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</si>
  <si>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</si>
  <si>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</si>
  <si>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</si>
  <si>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</si>
  <si>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</si>
  <si>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</si>
  <si>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</si>
  <si>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</si>
  <si>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</si>
  <si>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</si>
  <si>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</si>
  <si>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</si>
  <si>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</si>
  <si>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</si>
  <si>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</si>
  <si>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</si>
  <si>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</si>
  <si>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</si>
  <si>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</si>
  <si>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</si>
  <si>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</si>
  <si>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</si>
  <si>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</si>
  <si>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</si>
  <si>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</si>
  <si>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</si>
  <si>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</si>
  <si>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</si>
  <si>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</si>
  <si>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</si>
  <si>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</si>
  <si>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</si>
  <si>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</si>
  <si>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</si>
  <si>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</si>
  <si>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</si>
  <si>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</si>
  <si>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</si>
  <si>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</si>
  <si>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</si>
  <si>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</si>
  <si>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</si>
  <si>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</si>
  <si>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</si>
  <si>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</si>
  <si>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</si>
  <si>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</si>
  <si>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</si>
  <si>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</si>
  <si>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</si>
  <si>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</si>
  <si>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</si>
  <si>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</si>
  <si>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</si>
  <si>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</si>
  <si>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</si>
  <si>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</si>
  <si>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</si>
  <si>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</si>
  <si>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</si>
  <si>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</si>
  <si>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</si>
  <si>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</si>
  <si>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</si>
  <si>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</si>
  <si>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</si>
  <si>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</si>
  <si>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</si>
  <si>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</si>
  <si>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</si>
  <si>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</si>
  <si>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</si>
  <si>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</si>
  <si>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</si>
  <si>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</si>
  <si>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</si>
  <si>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</si>
  <si>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</si>
  <si>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</si>
  <si>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</si>
  <si>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</si>
  <si>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</si>
  <si>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</si>
  <si>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</si>
  <si>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</si>
  <si>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</si>
  <si>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</si>
  <si>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</si>
  <si>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</si>
  <si>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</si>
  <si>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</si>
  <si>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</si>
  <si>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</si>
  <si>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</si>
  <si>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</si>
  <si>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</si>
  <si>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</si>
  <si>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</si>
  <si>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</si>
  <si>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</si>
  <si>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</si>
  <si>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</si>
  <si>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</si>
  <si>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</si>
  <si>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</si>
  <si>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</si>
  <si>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</si>
  <si>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</si>
  <si>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</si>
  <si>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</si>
  <si>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</si>
  <si>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</si>
  <si>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</si>
  <si>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</si>
  <si>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</si>
  <si>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</si>
  <si>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</si>
  <si>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</si>
  <si>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</si>
  <si>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</si>
  <si>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</si>
  <si>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</si>
  <si>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</si>
  <si>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</si>
  <si>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</si>
  <si>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</si>
  <si>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</si>
  <si>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</si>
  <si>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</si>
  <si>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</si>
  <si>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</si>
  <si>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</si>
  <si>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</si>
  <si>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</si>
  <si>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</si>
  <si>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</si>
  <si>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</si>
  <si>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</si>
  <si>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</si>
  <si>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</si>
  <si>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</si>
  <si>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</si>
  <si>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</si>
  <si>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</si>
  <si>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</si>
  <si>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</si>
  <si>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</si>
  <si>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</si>
  <si>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</si>
  <si>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</si>
  <si>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</si>
  <si>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</si>
  <si>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</si>
  <si>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</si>
  <si>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</si>
  <si>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</si>
  <si>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</si>
  <si>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</si>
  <si>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</si>
  <si>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</si>
  <si>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</si>
  <si>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</si>
  <si>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</si>
  <si>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</si>
  <si>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</si>
  <si>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</si>
  <si>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</si>
  <si>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</si>
  <si>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</si>
  <si>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</si>
  <si>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</si>
  <si>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</si>
  <si>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</si>
  <si>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</si>
  <si>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</si>
  <si>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</si>
  <si>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</si>
  <si>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</si>
  <si>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</si>
  <si>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</si>
  <si>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</si>
  <si>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</si>
  <si>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</si>
  <si>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</si>
  <si>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</si>
  <si>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</si>
  <si>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</si>
  <si>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</si>
  <si>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</si>
  <si>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</si>
  <si>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</si>
  <si>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</si>
  <si>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</si>
  <si>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</si>
  <si>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</si>
  <si>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</si>
  <si>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</si>
  <si>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</si>
  <si>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</si>
  <si>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</si>
  <si>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</si>
  <si>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</si>
  <si>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</si>
  <si>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</si>
  <si>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</si>
  <si>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</si>
  <si>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</si>
  <si>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</si>
  <si>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</si>
  <si>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</si>
  <si>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</si>
  <si>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</si>
  <si>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</si>
  <si>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</si>
  <si>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</si>
  <si>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</si>
  <si>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</si>
  <si>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</si>
  <si>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</si>
  <si>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</si>
  <si>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</si>
  <si>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</si>
  <si>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</si>
  <si>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</si>
  <si>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</si>
  <si>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</si>
  <si>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</si>
  <si>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</si>
  <si>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</si>
  <si>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</si>
  <si>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</si>
  <si>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</si>
  <si>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</si>
  <si>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</si>
  <si>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</si>
  <si>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</si>
  <si>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</si>
  <si>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</si>
  <si>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</si>
  <si>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</si>
  <si>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</si>
  <si>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</si>
  <si>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</si>
  <si>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</si>
  <si>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</si>
  <si>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</si>
  <si>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</si>
  <si>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</si>
  <si>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</si>
  <si>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</si>
  <si>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</si>
  <si>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</si>
  <si>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</si>
  <si>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</si>
  <si>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</si>
  <si>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</si>
  <si>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</si>
  <si>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</si>
  <si>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</si>
  <si>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</si>
  <si>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</si>
  <si>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</si>
  <si>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</si>
  <si>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</si>
  <si>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</si>
  <si>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</si>
  <si>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</si>
  <si>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</si>
  <si>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</si>
  <si>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</si>
  <si>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</si>
  <si>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</si>
  <si>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</si>
  <si>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</si>
  <si>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</si>
  <si>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</si>
  <si>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</si>
  <si>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</si>
  <si>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</si>
  <si>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</si>
  <si>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</si>
  <si>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</si>
  <si>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</si>
  <si>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</si>
  <si>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</si>
  <si>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</si>
  <si>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</si>
  <si>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</si>
  <si>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</si>
  <si>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</si>
  <si>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</si>
  <si>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</si>
  <si>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</si>
  <si>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</si>
  <si>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</si>
  <si>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</si>
  <si>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</si>
  <si>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</si>
  <si>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</si>
  <si>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</si>
  <si>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</si>
  <si>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</si>
  <si>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</si>
  <si>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</si>
  <si>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</si>
  <si>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</si>
  <si>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</si>
  <si>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</si>
  <si>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</si>
  <si>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</si>
  <si>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</si>
  <si>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</si>
  <si>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</si>
  <si>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</si>
  <si>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</si>
  <si>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</si>
  <si>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</si>
  <si>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</si>
  <si>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</si>
  <si>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</si>
  <si>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</si>
  <si>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</si>
  <si>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</si>
  <si>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</si>
  <si>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</si>
  <si>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</si>
  <si>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</si>
  <si>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</si>
  <si>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</si>
  <si>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</si>
  <si>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</si>
  <si>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</si>
  <si>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</si>
  <si>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</si>
  <si>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</si>
  <si>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</si>
  <si>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</si>
  <si>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</si>
  <si>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</si>
  <si>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</si>
  <si>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</si>
  <si>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</si>
  <si>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</si>
  <si>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</si>
  <si>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</si>
  <si>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</si>
  <si>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</si>
  <si>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</si>
  <si>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</si>
  <si>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</si>
  <si>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</si>
  <si>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</si>
  <si>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</si>
  <si>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</si>
  <si>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</si>
  <si>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</si>
  <si>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</si>
  <si>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</si>
  <si>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</si>
  <si>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</si>
  <si>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</si>
  <si>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</si>
  <si>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</si>
  <si>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</si>
  <si>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</si>
  <si>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</si>
  <si>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</si>
  <si>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</si>
  <si>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</si>
  <si>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</si>
  <si>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</si>
  <si>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</si>
  <si>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</si>
  <si>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</si>
  <si>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</si>
  <si>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</si>
  <si>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</si>
  <si>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</si>
  <si>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</si>
  <si>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</si>
  <si>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</si>
  <si>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</si>
  <si>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</si>
  <si>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</si>
  <si>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</si>
  <si>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</si>
  <si>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</si>
  <si>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</si>
  <si>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</si>
  <si>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</si>
  <si>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</si>
  <si>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</si>
  <si>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</si>
  <si>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</si>
  <si>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</si>
  <si>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</si>
  <si>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</si>
  <si>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</si>
  <si>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</si>
  <si>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</si>
  <si>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</si>
  <si>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</si>
  <si>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</si>
  <si>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</si>
  <si>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</si>
  <si>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</si>
  <si>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</si>
  <si>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</si>
  <si>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</si>
  <si>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</si>
  <si>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</si>
  <si>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</si>
  <si>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</si>
  <si>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</si>
  <si>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</si>
  <si>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</si>
  <si>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</si>
  <si>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</si>
  <si>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</si>
  <si>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</si>
  <si>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</si>
  <si>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</si>
  <si>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</si>
  <si>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</si>
  <si>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</si>
  <si>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</si>
  <si>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</si>
  <si>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</si>
  <si>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</si>
  <si>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</si>
  <si>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</si>
  <si>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</si>
  <si>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</si>
  <si>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</si>
  <si>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</si>
  <si>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</si>
  <si>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</si>
  <si>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</si>
  <si>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</si>
  <si>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</si>
  <si>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</si>
  <si>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</si>
  <si>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</si>
  <si>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</si>
  <si>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</si>
  <si>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</si>
  <si>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</si>
  <si>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</si>
  <si>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</si>
  <si>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</si>
  <si>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</si>
  <si>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</si>
  <si>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</si>
  <si>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</si>
  <si>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</si>
  <si>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</si>
  <si>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</si>
  <si>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</si>
  <si>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</si>
  <si>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</si>
  <si>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</si>
  <si>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</si>
  <si>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</si>
  <si>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</si>
  <si>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</si>
  <si>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</si>
  <si>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</si>
  <si>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</si>
  <si>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</si>
  <si>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</si>
  <si>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</si>
  <si>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</si>
  <si>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</si>
  <si>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</si>
  <si>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</si>
  <si>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</si>
  <si>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</si>
  <si>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</si>
  <si>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</si>
  <si>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</si>
  <si>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</si>
  <si>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</si>
  <si>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</si>
  <si>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</si>
  <si>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</si>
  <si>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</si>
  <si>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</si>
  <si>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</si>
  <si>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</si>
  <si>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</si>
  <si>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</si>
  <si>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</si>
  <si>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</si>
  <si>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</si>
  <si>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</si>
  <si>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</si>
  <si>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</si>
  <si>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</si>
  <si>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</si>
  <si>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</si>
  <si>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</si>
  <si>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</si>
  <si>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</si>
  <si>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</si>
  <si>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</si>
  <si>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</si>
  <si>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</si>
  <si>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</si>
  <si>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</si>
  <si>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</si>
  <si>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</si>
  <si>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</si>
  <si>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</si>
  <si>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</si>
  <si>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</si>
  <si>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</si>
  <si>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</si>
  <si>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</si>
  <si>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</si>
  <si>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</si>
  <si>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</si>
  <si>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</si>
  <si>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</si>
  <si>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</si>
  <si>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</si>
  <si>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</si>
  <si>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</si>
  <si>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</si>
  <si>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</si>
  <si>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</si>
  <si>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</si>
  <si>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</si>
  <si>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</si>
  <si>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</si>
  <si>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</si>
  <si>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</si>
  <si>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</si>
  <si>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</si>
  <si>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</si>
  <si>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</si>
  <si>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</si>
  <si>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</si>
  <si>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</si>
  <si>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</si>
  <si>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</si>
  <si>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</si>
  <si>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</si>
  <si>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</si>
  <si>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</si>
  <si>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</si>
  <si>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</si>
  <si>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</si>
  <si>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</si>
  <si>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</si>
  <si>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</si>
  <si>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</si>
  <si>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</si>
  <si>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</si>
  <si>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</si>
  <si>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</si>
  <si>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</si>
  <si>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</si>
  <si>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[SET 2]</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</si>
  <si>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</si>
  <si>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</si>
  <si>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</si>
  <si>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</si>
  <si>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</si>
  <si>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</si>
  <si>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</si>
  <si>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</si>
  <si>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t>Upassword_1</t>
    <phoneticPr fontId="1" type="noConversion"/>
  </si>
  <si>
    <t>Ypassword_1</t>
    <phoneticPr fontId="1" type="noConversion"/>
  </si>
  <si>
    <t>CHEVRON</t>
  </si>
  <si>
    <t>BULLDOG</t>
    <phoneticPr fontId="1" type="noConversion"/>
  </si>
  <si>
    <t>23C781553-05</t>
    <phoneticPr fontId="1" type="noConversion"/>
  </si>
  <si>
    <t>KEROSENE</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</si>
  <si>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</si>
  <si>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</si>
  <si>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</si>
  <si>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</si>
  <si>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</si>
  <si>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</si>
  <si>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</si>
  <si>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</si>
  <si>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</si>
  <si>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</si>
  <si>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</si>
  <si>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</si>
  <si>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</si>
  <si>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</si>
  <si>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</si>
  <si>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</si>
  <si>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</si>
  <si>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</si>
  <si>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</si>
  <si>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</si>
  <si>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</si>
  <si>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</si>
  <si>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</si>
  <si>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</si>
  <si>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</si>
  <si>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</si>
  <si>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</si>
  <si>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</si>
  <si>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</si>
  <si>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</si>
  <si>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</si>
  <si>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</si>
  <si>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</si>
  <si>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</si>
  <si>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</si>
  <si>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</si>
  <si>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</si>
  <si>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</si>
  <si>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</si>
  <si>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</si>
  <si>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</si>
  <si>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</si>
  <si>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</si>
  <si>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</si>
  <si>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</si>
  <si>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Report only</t>
  </si>
  <si>
    <t>max = 1.0 (buy)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</si>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</sst>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
      <patternFill patternType="solid">
        <fgColor theme="0" tint="-0.14996795556505021"/>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6">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 fillId="3" borderId="0" xfId="0" applyFont="1" applyFill="1" applyAlignment="1" applyProtection="1">
      <alignment horizontal="left" vertical="center"/>
      <protection hidden="1"/>
    </xf>
    <xf numFmtId="185" fontId="15" fillId="22" borderId="1"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40"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451">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0000CC"/>
      <color rgb="FFFFFF99"/>
      <color rgb="FFFF00FF"/>
      <color rgb="FFFF6600"/>
      <color rgb="FFCCFFFF"/>
      <color rgb="FF66FFFF"/>
      <color rgb="FFFF99FF"/>
      <color rgb="FFFFFF00"/>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F22" sqref="F22"/>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241</v>
      </c>
      <c r="C3" s="171" t="s">
        <v>229</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384</v>
      </c>
      <c r="C5" s="148" t="s">
        <v>115</v>
      </c>
      <c r="E5" s="221" t="s">
        <v>637</v>
      </c>
      <c r="F5" s="233" t="s">
        <v>664</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247</v>
      </c>
      <c r="C7" s="153" t="str">
        <f>IF(C5="","",CONCATENATE(VLOOKUP(C5,Sheet3!$I$1:$L$91,4,),"; hyunjin.kim@sgs.com"))</f>
        <v>kr_ogcyosu@sgs.com; hyunjin.kim@sgs.com</v>
      </c>
      <c r="D7" s="102" t="s">
        <v>386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661</v>
      </c>
      <c r="C9" s="218" t="s">
        <v>662</v>
      </c>
      <c r="E9" s="226" t="s">
        <v>665</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637</v>
      </c>
      <c r="F10" s="233" t="s">
        <v>668</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637</v>
      </c>
      <c r="F11" s="233" t="s">
        <v>667</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637</v>
      </c>
      <c r="F12" s="233" t="s">
        <v>669</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663</v>
      </c>
      <c r="E13" s="227" t="s">
        <v>666</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660</v>
      </c>
      <c r="C14" s="209"/>
      <c r="E14" s="221" t="s">
        <v>637</v>
      </c>
      <c r="F14" s="233" t="s">
        <v>670</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658</v>
      </c>
      <c r="C15" s="192"/>
      <c r="E15" s="221" t="s">
        <v>637</v>
      </c>
      <c r="F15" s="233" t="s">
        <v>671</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659</v>
      </c>
      <c r="C16" s="169"/>
      <c r="E16" s="221" t="s">
        <v>637</v>
      </c>
      <c r="F16" s="233" t="s">
        <v>672</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232</v>
      </c>
      <c r="C18" s="185" t="s">
        <v>695</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242</v>
      </c>
      <c r="C19" s="187" t="s">
        <v>245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248</v>
      </c>
      <c r="C20" s="188" t="s">
        <v>697</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251</v>
      </c>
      <c r="C21" s="187" t="s">
        <v>696</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262</v>
      </c>
      <c r="C22" s="189" t="s">
        <v>698</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383</v>
      </c>
      <c r="C26" s="177" t="str">
        <f>IF(B6="여수",C36,C35)</f>
        <v>Ypassword_1</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397</v>
      </c>
      <c r="C29" s="173">
        <f ca="1">TODAY()</f>
        <v>45293</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399</v>
      </c>
      <c r="C30" s="173">
        <f ca="1">IF(C29="","",EDATE(C29,-6))</f>
        <v>45109</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400</v>
      </c>
      <c r="C31" s="173">
        <f ca="1">IF(C29="","",EDATE(C29,3))</f>
        <v>45384</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389</v>
      </c>
      <c r="C34" s="235" t="s">
        <v>383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633</v>
      </c>
      <c r="C35" s="237" t="s">
        <v>693</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634</v>
      </c>
      <c r="C36" s="237" t="s">
        <v>694</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450" priority="17">
      <formula>$C$5=""</formula>
    </cfRule>
  </conditionalFormatting>
  <conditionalFormatting sqref="B6:C6">
    <cfRule type="expression" dxfId="2449" priority="16">
      <formula>$C$5=""</formula>
    </cfRule>
  </conditionalFormatting>
  <conditionalFormatting sqref="B7:C7">
    <cfRule type="expression" dxfId="2448" priority="15">
      <formula>$C$5=""</formula>
    </cfRule>
  </conditionalFormatting>
  <conditionalFormatting sqref="B10">
    <cfRule type="expression" dxfId="2447" priority="10">
      <formula>$C$10="No"</formula>
    </cfRule>
  </conditionalFormatting>
  <conditionalFormatting sqref="B11">
    <cfRule type="expression" dxfId="2446" priority="9">
      <formula>$C$11="No"</formula>
    </cfRule>
  </conditionalFormatting>
  <conditionalFormatting sqref="B12">
    <cfRule type="expression" dxfId="2445" priority="8">
      <formula>$C$12="No"</formula>
    </cfRule>
  </conditionalFormatting>
  <conditionalFormatting sqref="C15">
    <cfRule type="expression" dxfId="2444" priority="5">
      <formula>$C$58=1</formula>
    </cfRule>
  </conditionalFormatting>
  <conditionalFormatting sqref="C16">
    <cfRule type="expression" dxfId="2443" priority="4">
      <formula>$C$58=1</formula>
    </cfRule>
  </conditionalFormatting>
  <conditionalFormatting sqref="C10">
    <cfRule type="expression" dxfId="2442" priority="3">
      <formula>$C$48=1</formula>
    </cfRule>
  </conditionalFormatting>
  <conditionalFormatting sqref="C11">
    <cfRule type="expression" dxfId="2441" priority="2">
      <formula>$C$49=1</formula>
    </cfRule>
  </conditionalFormatting>
  <conditionalFormatting sqref="C12">
    <cfRule type="expression" dxfId="244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9" t="s">
        <v>231</v>
      </c>
      <c r="C1" s="279"/>
      <c r="D1" s="3"/>
      <c r="E1" s="4"/>
      <c r="F1" s="282"/>
      <c r="G1" s="282"/>
      <c r="H1" s="282"/>
      <c r="I1" s="4"/>
      <c r="J1" s="278" t="s">
        <v>12</v>
      </c>
      <c r="K1" s="278"/>
      <c r="L1" s="4"/>
      <c r="M1" s="4"/>
      <c r="N1" s="4"/>
      <c r="O1" s="4"/>
      <c r="P1" s="4"/>
    </row>
    <row r="2" spans="1:36" ht="13.9" customHeight="1">
      <c r="A2" s="79"/>
      <c r="B2" s="280"/>
      <c r="C2" s="280"/>
      <c r="D2" s="5"/>
      <c r="E2" s="6"/>
      <c r="F2" s="283"/>
      <c r="G2" s="283"/>
      <c r="H2" s="283"/>
      <c r="I2" s="4"/>
      <c r="J2" s="281"/>
      <c r="K2" s="281"/>
      <c r="L2" s="284" t="s">
        <v>318</v>
      </c>
      <c r="M2" s="266"/>
      <c r="N2" s="266" t="s">
        <v>319</v>
      </c>
      <c r="O2" s="267"/>
      <c r="P2" s="4"/>
    </row>
    <row r="3" spans="1:36" ht="13.9" customHeight="1">
      <c r="A3" s="79"/>
      <c r="B3" s="14"/>
      <c r="C3" s="18"/>
      <c r="D3" s="76"/>
      <c r="E3" s="74" t="s">
        <v>259</v>
      </c>
      <c r="F3" s="75" t="s">
        <v>253</v>
      </c>
      <c r="G3" s="74"/>
      <c r="H3" s="106" t="s">
        <v>312</v>
      </c>
      <c r="I3" s="4"/>
      <c r="J3" s="16"/>
      <c r="K3" s="18"/>
      <c r="L3" s="206" t="s">
        <v>259</v>
      </c>
      <c r="M3" s="207" t="s">
        <v>253</v>
      </c>
      <c r="N3" s="206" t="s">
        <v>259</v>
      </c>
      <c r="O3" s="207" t="s">
        <v>253</v>
      </c>
      <c r="P3" s="4"/>
      <c r="AA3" s="14"/>
    </row>
    <row r="4" spans="1:36" ht="13.9" customHeight="1">
      <c r="A4" s="79"/>
      <c r="B4" s="15"/>
      <c r="C4" s="77" t="s">
        <v>252</v>
      </c>
      <c r="D4" s="72" t="s">
        <v>18</v>
      </c>
      <c r="E4" s="70" t="s">
        <v>10</v>
      </c>
      <c r="F4" s="71" t="s">
        <v>11</v>
      </c>
      <c r="G4" s="70" t="s">
        <v>8</v>
      </c>
      <c r="H4" s="78" t="s">
        <v>254</v>
      </c>
      <c r="I4" s="4"/>
      <c r="J4" s="17"/>
      <c r="K4" s="96" t="s">
        <v>255</v>
      </c>
      <c r="L4" s="204" t="s">
        <v>320</v>
      </c>
      <c r="M4" s="205" t="s">
        <v>321</v>
      </c>
      <c r="N4" s="204" t="s">
        <v>322</v>
      </c>
      <c r="O4" s="205" t="s">
        <v>323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7" t="s">
        <v>359</v>
      </c>
      <c r="K25" s="277"/>
      <c r="L25" s="4"/>
      <c r="M25" s="4"/>
      <c r="N25" s="4"/>
      <c r="O25" s="4"/>
      <c r="P25" s="4"/>
      <c r="AA25" s="101">
        <f t="shared" si="1"/>
        <v>0</v>
      </c>
    </row>
    <row r="26" spans="1:27" ht="13.9" customHeight="1">
      <c r="A26" s="80">
        <v>22</v>
      </c>
      <c r="B26" s="122"/>
      <c r="C26" s="123"/>
      <c r="D26" s="57"/>
      <c r="E26" s="94"/>
      <c r="F26" s="59"/>
      <c r="G26" s="60"/>
      <c r="H26" s="203" t="str">
        <f t="shared" si="0"/>
        <v/>
      </c>
      <c r="I26" s="4"/>
      <c r="J26" s="278"/>
      <c r="K26" s="278"/>
      <c r="L26" s="4"/>
      <c r="M26" s="4"/>
      <c r="N26" s="4"/>
      <c r="O26" s="4"/>
      <c r="P26" s="4"/>
      <c r="AA26" s="101">
        <f t="shared" si="1"/>
        <v>0</v>
      </c>
    </row>
    <row r="27" spans="1:27" ht="13.9" customHeight="1">
      <c r="A27" s="80">
        <v>23</v>
      </c>
      <c r="B27" s="122"/>
      <c r="C27" s="123"/>
      <c r="D27" s="57"/>
      <c r="E27" s="94"/>
      <c r="F27" s="59"/>
      <c r="G27" s="60"/>
      <c r="H27" s="203" t="str">
        <f t="shared" si="0"/>
        <v/>
      </c>
      <c r="I27" s="4"/>
      <c r="J27" s="268"/>
      <c r="K27" s="269"/>
      <c r="L27" s="269"/>
      <c r="M27" s="269"/>
      <c r="N27" s="269"/>
      <c r="O27" s="270"/>
      <c r="P27" s="4"/>
      <c r="AA27" s="101">
        <f t="shared" si="1"/>
        <v>0</v>
      </c>
    </row>
    <row r="28" spans="1:27" ht="13.9" customHeight="1">
      <c r="A28" s="80">
        <v>24</v>
      </c>
      <c r="B28" s="122"/>
      <c r="C28" s="123"/>
      <c r="D28" s="57"/>
      <c r="E28" s="94"/>
      <c r="F28" s="59"/>
      <c r="G28" s="60"/>
      <c r="H28" s="203" t="str">
        <f t="shared" si="0"/>
        <v/>
      </c>
      <c r="I28" s="4"/>
      <c r="J28" s="271"/>
      <c r="K28" s="272"/>
      <c r="L28" s="272"/>
      <c r="M28" s="272"/>
      <c r="N28" s="272"/>
      <c r="O28" s="273"/>
      <c r="P28" s="4"/>
      <c r="AA28" s="101">
        <f t="shared" si="1"/>
        <v>0</v>
      </c>
    </row>
    <row r="29" spans="1:27" ht="13.9" customHeight="1">
      <c r="A29" s="80">
        <v>25</v>
      </c>
      <c r="B29" s="122"/>
      <c r="C29" s="123"/>
      <c r="D29" s="57"/>
      <c r="E29" s="94"/>
      <c r="F29" s="59"/>
      <c r="G29" s="60"/>
      <c r="H29" s="203" t="str">
        <f t="shared" si="0"/>
        <v/>
      </c>
      <c r="I29" s="4"/>
      <c r="J29" s="271"/>
      <c r="K29" s="272"/>
      <c r="L29" s="272"/>
      <c r="M29" s="272"/>
      <c r="N29" s="272"/>
      <c r="O29" s="273"/>
      <c r="P29" s="4"/>
      <c r="AA29" s="101">
        <f t="shared" si="1"/>
        <v>0</v>
      </c>
    </row>
    <row r="30" spans="1:27" ht="13.9" customHeight="1">
      <c r="A30" s="80">
        <v>26</v>
      </c>
      <c r="B30" s="122"/>
      <c r="C30" s="123"/>
      <c r="D30" s="57"/>
      <c r="E30" s="94"/>
      <c r="F30" s="59"/>
      <c r="G30" s="60"/>
      <c r="H30" s="203" t="str">
        <f t="shared" si="0"/>
        <v/>
      </c>
      <c r="I30" s="4"/>
      <c r="J30" s="271"/>
      <c r="K30" s="272"/>
      <c r="L30" s="272"/>
      <c r="M30" s="272"/>
      <c r="N30" s="272"/>
      <c r="O30" s="273"/>
      <c r="P30" s="4"/>
      <c r="AA30" s="101">
        <f t="shared" si="1"/>
        <v>0</v>
      </c>
    </row>
    <row r="31" spans="1:27" ht="13.9" customHeight="1">
      <c r="A31" s="80">
        <v>27</v>
      </c>
      <c r="B31" s="122"/>
      <c r="C31" s="123"/>
      <c r="D31" s="57"/>
      <c r="E31" s="94"/>
      <c r="F31" s="59"/>
      <c r="G31" s="60"/>
      <c r="H31" s="203" t="str">
        <f t="shared" si="0"/>
        <v/>
      </c>
      <c r="I31" s="4"/>
      <c r="J31" s="271"/>
      <c r="K31" s="272"/>
      <c r="L31" s="272"/>
      <c r="M31" s="272"/>
      <c r="N31" s="272"/>
      <c r="O31" s="273"/>
      <c r="P31" s="4"/>
      <c r="AA31" s="101">
        <f t="shared" si="1"/>
        <v>0</v>
      </c>
    </row>
    <row r="32" spans="1:27" ht="13.9" customHeight="1">
      <c r="A32" s="80">
        <v>28</v>
      </c>
      <c r="B32" s="122"/>
      <c r="C32" s="123"/>
      <c r="D32" s="57"/>
      <c r="E32" s="94"/>
      <c r="F32" s="59"/>
      <c r="G32" s="60"/>
      <c r="H32" s="203" t="str">
        <f t="shared" si="0"/>
        <v/>
      </c>
      <c r="I32" s="4"/>
      <c r="J32" s="271"/>
      <c r="K32" s="272"/>
      <c r="L32" s="272"/>
      <c r="M32" s="272"/>
      <c r="N32" s="272"/>
      <c r="O32" s="273"/>
      <c r="P32" s="4"/>
      <c r="AA32" s="101">
        <f t="shared" si="1"/>
        <v>0</v>
      </c>
    </row>
    <row r="33" spans="1:27" ht="13.9" customHeight="1">
      <c r="A33" s="80">
        <v>29</v>
      </c>
      <c r="B33" s="122"/>
      <c r="C33" s="123"/>
      <c r="D33" s="57"/>
      <c r="E33" s="94"/>
      <c r="F33" s="59"/>
      <c r="G33" s="60"/>
      <c r="H33" s="203" t="str">
        <f t="shared" si="0"/>
        <v/>
      </c>
      <c r="I33" s="4"/>
      <c r="J33" s="271"/>
      <c r="K33" s="272"/>
      <c r="L33" s="272"/>
      <c r="M33" s="272"/>
      <c r="N33" s="272"/>
      <c r="O33" s="273"/>
      <c r="P33" s="4"/>
      <c r="AA33" s="101">
        <f t="shared" si="1"/>
        <v>0</v>
      </c>
    </row>
    <row r="34" spans="1:27" ht="13.9" customHeight="1">
      <c r="A34" s="80">
        <v>30</v>
      </c>
      <c r="B34" s="122"/>
      <c r="C34" s="123"/>
      <c r="D34" s="57"/>
      <c r="E34" s="94"/>
      <c r="F34" s="59"/>
      <c r="G34" s="60"/>
      <c r="H34" s="203" t="str">
        <f t="shared" si="0"/>
        <v/>
      </c>
      <c r="I34" s="4"/>
      <c r="J34" s="274"/>
      <c r="K34" s="275"/>
      <c r="L34" s="275"/>
      <c r="M34" s="275"/>
      <c r="N34" s="275"/>
      <c r="O34" s="276"/>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9" t="s">
        <v>230</v>
      </c>
      <c r="C1" s="25"/>
      <c r="D1" s="25"/>
      <c r="E1" s="25"/>
      <c r="F1" s="25"/>
      <c r="G1" s="25"/>
      <c r="H1" s="36"/>
      <c r="J1" s="285" t="s">
        <v>635</v>
      </c>
      <c r="K1" s="286"/>
      <c r="L1" s="286"/>
      <c r="M1" s="286"/>
      <c r="N1" s="287"/>
    </row>
    <row r="2" spans="1:78" ht="15" customHeight="1">
      <c r="A2" s="36"/>
      <c r="B2" s="279"/>
      <c r="C2" s="25"/>
      <c r="D2" s="25"/>
      <c r="E2" s="164"/>
      <c r="F2" s="164"/>
      <c r="G2" s="25"/>
      <c r="H2" s="36"/>
      <c r="J2" s="193" t="s">
        <v>331</v>
      </c>
      <c r="K2" s="197">
        <v>37</v>
      </c>
      <c r="L2" s="251"/>
      <c r="M2" s="193" t="s">
        <v>330</v>
      </c>
      <c r="N2" s="196">
        <v>0.83930000000000005</v>
      </c>
    </row>
    <row r="3" spans="1:78" ht="15" customHeight="1">
      <c r="A3" s="36"/>
      <c r="B3" s="38"/>
      <c r="C3" s="25"/>
      <c r="D3" s="25"/>
      <c r="E3" s="25"/>
      <c r="F3" s="41"/>
      <c r="G3" s="25"/>
      <c r="H3" s="36"/>
      <c r="J3" s="193" t="s">
        <v>330</v>
      </c>
      <c r="K3" s="194">
        <f>IF(K2="","",IF(K2&lt;0,ROUND((141.5/(K2+131.5))-0.0008,4),ROUND((VLOOKUP(ROUND(INT(K2*10)/10+0.1,1),TABLE3,2)-VLOOKUP(INT(K2*10)/10,TABLE3,2))*(((K2*100)-INT(K2*10)*10)/10)+VLOOKUP(INT(K2*10)/10,TABLE3,2),4)))</f>
        <v>0.83930000000000005</v>
      </c>
      <c r="L3" s="252"/>
      <c r="M3" s="193" t="s">
        <v>331</v>
      </c>
      <c r="N3" s="195">
        <f ca="1">IF(N2="","",IF(N2&gt;1.076,ROUND((141.5/(N2+0.0008))-131.5,2),ROUND(FORECAST(N2,OFFSET(DENSHELL,MATCH(N2,DENVAC,1),1,2),OFFSET(DENSHELL,MATCH(N2,DENVAC,1),,2)),2)))</f>
        <v>37</v>
      </c>
    </row>
    <row r="4" spans="1:78" ht="15" customHeight="1">
      <c r="A4" s="36"/>
      <c r="B4" s="36" t="s">
        <v>222</v>
      </c>
      <c r="C4" s="95"/>
      <c r="D4" s="168" t="s">
        <v>313</v>
      </c>
      <c r="E4" s="25"/>
      <c r="F4" s="292"/>
      <c r="G4" s="293"/>
      <c r="H4" s="36"/>
    </row>
    <row r="5" spans="1:78" ht="15" customHeight="1">
      <c r="A5" s="36"/>
      <c r="B5" s="42" t="s">
        <v>223</v>
      </c>
      <c r="C5" s="46"/>
      <c r="D5" s="168" t="s">
        <v>225</v>
      </c>
      <c r="E5" s="25"/>
      <c r="F5" s="288"/>
      <c r="G5" s="289"/>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224</v>
      </c>
      <c r="C6" s="46"/>
      <c r="D6" s="168" t="s">
        <v>263</v>
      </c>
      <c r="E6" s="25"/>
      <c r="F6" s="290" t="str">
        <f>IF('Navarik 설정'!C22="","",'Navarik 설정'!C22)</f>
        <v>KEROSENE</v>
      </c>
      <c r="G6" s="291"/>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314</v>
      </c>
      <c r="C7" s="46"/>
      <c r="D7" s="168" t="s">
        <v>316</v>
      </c>
      <c r="E7" s="25"/>
      <c r="F7" s="61"/>
      <c r="G7" s="200" t="s">
        <v>387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315</v>
      </c>
      <c r="C8" s="261"/>
      <c r="D8" s="168" t="s">
        <v>317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401</v>
      </c>
      <c r="C10" s="25" t="s">
        <v>673</v>
      </c>
      <c r="D10" s="25" t="s">
        <v>197</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226</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227</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200</v>
      </c>
      <c r="C15" s="24"/>
      <c r="D15" s="44"/>
      <c r="E15" s="198" t="s">
        <v>641</v>
      </c>
      <c r="F15" s="37" t="s">
        <v>198</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201</v>
      </c>
      <c r="C16" s="34"/>
      <c r="D16" s="24" t="s">
        <v>339</v>
      </c>
      <c r="E16" s="199" t="s">
        <v>388</v>
      </c>
      <c r="F16" s="37" t="s">
        <v>199</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202</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5</v>
      </c>
      <c r="C19" s="25" t="s">
        <v>673</v>
      </c>
      <c r="D19" s="25" t="s">
        <v>197</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203</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204</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205</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639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215</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218</v>
      </c>
      <c r="C28" s="35" t="str">
        <f>IF(C15="","",C15)</f>
        <v/>
      </c>
      <c r="D28" s="25"/>
      <c r="E28" s="25"/>
      <c r="F28" s="37" t="s">
        <v>198</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206</v>
      </c>
      <c r="C29" s="34"/>
      <c r="D29" s="35" t="str">
        <f>IF(D16="","",D16)</f>
        <v>°F</v>
      </c>
      <c r="E29" s="25"/>
      <c r="F29" s="37" t="s">
        <v>199</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214</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216</v>
      </c>
      <c r="C31" s="33"/>
      <c r="D31" s="36" t="s">
        <v>19</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217</v>
      </c>
      <c r="C32" s="33"/>
      <c r="D32" s="36" t="s">
        <v>19</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636</v>
      </c>
      <c r="C35" s="133" t="s">
        <v>3</v>
      </c>
      <c r="D35" s="133" t="s">
        <v>197</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35"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228</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t="s">
        <v>305</v>
      </c>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256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699</v>
      </c>
      <c r="D7" s="262"/>
      <c r="E7" s="126" t="s">
        <v>743</v>
      </c>
      <c r="F7" s="265"/>
      <c r="G7" s="20"/>
      <c r="H7" s="20"/>
      <c r="I7" s="264" t="s">
        <v>771</v>
      </c>
      <c r="J7" s="246" t="str">
        <f t="shared" ref="J7:J71" si="0">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700</v>
      </c>
      <c r="D8" s="262"/>
      <c r="E8" s="126" t="s">
        <v>744</v>
      </c>
      <c r="F8" s="263"/>
      <c r="G8" s="20"/>
      <c r="H8" s="20"/>
      <c r="I8" s="264" t="s">
        <v>772</v>
      </c>
      <c r="J8" s="246" t="str">
        <f t="shared" si="0"/>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701</v>
      </c>
      <c r="D9" s="262"/>
      <c r="E9" s="126" t="s">
        <v>745</v>
      </c>
      <c r="F9" s="263"/>
      <c r="G9" s="20"/>
      <c r="H9" s="20"/>
      <c r="I9" s="264" t="s">
        <v>773</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c r="C10" s="62" t="s">
        <v>702</v>
      </c>
      <c r="D10" s="262"/>
      <c r="E10" s="126" t="s">
        <v>744</v>
      </c>
      <c r="F10" s="263"/>
      <c r="G10" s="20"/>
      <c r="H10" s="20"/>
      <c r="I10" s="19" t="s">
        <v>774</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703</v>
      </c>
      <c r="D11" s="262"/>
      <c r="E11" s="126" t="s">
        <v>744</v>
      </c>
      <c r="F11" s="263"/>
      <c r="G11" s="20"/>
      <c r="H11" s="20"/>
      <c r="I11" s="19" t="s">
        <v>774</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704</v>
      </c>
      <c r="D12" s="262"/>
      <c r="E12" s="126" t="s">
        <v>744</v>
      </c>
      <c r="F12" s="263"/>
      <c r="G12" s="20"/>
      <c r="H12" s="20"/>
      <c r="I12" s="19" t="s">
        <v>774</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705</v>
      </c>
      <c r="D13" s="262"/>
      <c r="E13" s="126" t="s">
        <v>744</v>
      </c>
      <c r="F13" s="263"/>
      <c r="G13" s="20"/>
      <c r="H13" s="20"/>
      <c r="I13" s="19" t="s">
        <v>743</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706</v>
      </c>
      <c r="D14" s="262"/>
      <c r="E14" s="126" t="s">
        <v>744</v>
      </c>
      <c r="F14" s="263"/>
      <c r="G14" s="20"/>
      <c r="H14" s="20"/>
      <c r="I14" s="19" t="s">
        <v>743</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707</v>
      </c>
      <c r="D15" s="262"/>
      <c r="E15" s="126" t="s">
        <v>744</v>
      </c>
      <c r="F15" s="263"/>
      <c r="G15" s="20"/>
      <c r="H15" s="20"/>
      <c r="I15" s="19" t="s">
        <v>743</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708</v>
      </c>
      <c r="D16" s="262"/>
      <c r="E16" s="126" t="s">
        <v>746</v>
      </c>
      <c r="F16" s="263"/>
      <c r="G16" s="20"/>
      <c r="H16" s="20"/>
      <c r="I16" s="264" t="s">
        <v>775</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c r="C17" s="62" t="s">
        <v>709</v>
      </c>
      <c r="D17" s="262"/>
      <c r="E17" s="126" t="s">
        <v>747</v>
      </c>
      <c r="F17" s="263"/>
      <c r="G17" s="20"/>
      <c r="H17" s="20"/>
      <c r="I17" s="264" t="s">
        <v>776</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710</v>
      </c>
      <c r="D18" s="262"/>
      <c r="E18" s="126" t="s">
        <v>748</v>
      </c>
      <c r="F18" s="263"/>
      <c r="G18" s="20"/>
      <c r="H18" s="20"/>
      <c r="I18" s="264" t="s">
        <v>776</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711</v>
      </c>
      <c r="D19" s="262"/>
      <c r="E19" s="126" t="s">
        <v>749</v>
      </c>
      <c r="F19" s="263"/>
      <c r="G19" s="20"/>
      <c r="H19" s="20"/>
      <c r="I19" s="264" t="s">
        <v>777</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712</v>
      </c>
      <c r="D20" s="262"/>
      <c r="E20" s="126" t="s">
        <v>750</v>
      </c>
      <c r="F20" s="263"/>
      <c r="G20" s="20"/>
      <c r="H20" s="20"/>
      <c r="I20" s="264" t="s">
        <v>777</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c r="C21" s="62" t="s">
        <v>713</v>
      </c>
      <c r="D21" s="117"/>
      <c r="E21" s="126" t="s">
        <v>743</v>
      </c>
      <c r="F21" s="265"/>
      <c r="G21" s="20"/>
      <c r="H21" s="20"/>
      <c r="I21" s="264" t="s">
        <v>778</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714</v>
      </c>
      <c r="D22" s="262"/>
      <c r="E22" s="126" t="s">
        <v>744</v>
      </c>
      <c r="F22" s="263"/>
      <c r="G22" s="20"/>
      <c r="H22" s="20"/>
      <c r="I22" s="19" t="s">
        <v>776</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c r="C23" s="62" t="s">
        <v>715</v>
      </c>
      <c r="D23" s="262"/>
      <c r="E23" s="126" t="s">
        <v>744</v>
      </c>
      <c r="F23" s="263"/>
      <c r="G23" s="20"/>
      <c r="H23" s="20"/>
      <c r="I23" s="19" t="s">
        <v>776</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716</v>
      </c>
      <c r="D24" s="262"/>
      <c r="E24" s="126" t="s">
        <v>744</v>
      </c>
      <c r="F24" s="263"/>
      <c r="G24" s="20"/>
      <c r="H24" s="20"/>
      <c r="I24" s="19" t="s">
        <v>776</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717</v>
      </c>
      <c r="D25" s="262"/>
      <c r="E25" s="126" t="s">
        <v>744</v>
      </c>
      <c r="F25" s="263"/>
      <c r="G25" s="20"/>
      <c r="H25" s="20"/>
      <c r="I25" s="19" t="s">
        <v>776</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718</v>
      </c>
      <c r="D26" s="262"/>
      <c r="E26" s="126" t="s">
        <v>744</v>
      </c>
      <c r="F26" s="263"/>
      <c r="G26" s="20"/>
      <c r="H26" s="20"/>
      <c r="I26" s="264" t="s">
        <v>779</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719</v>
      </c>
      <c r="D27" s="262"/>
      <c r="E27" s="126" t="s">
        <v>751</v>
      </c>
      <c r="F27" s="263"/>
      <c r="G27" s="20"/>
      <c r="H27" s="20"/>
      <c r="I27" s="264" t="s">
        <v>779</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720</v>
      </c>
      <c r="D28" s="262"/>
      <c r="E28" s="126" t="s">
        <v>744</v>
      </c>
      <c r="F28" s="263"/>
      <c r="G28" s="20"/>
      <c r="H28" s="20"/>
      <c r="I28" s="264" t="s">
        <v>779</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721</v>
      </c>
      <c r="D29" s="262"/>
      <c r="E29" s="126" t="s">
        <v>744</v>
      </c>
      <c r="F29" s="263"/>
      <c r="G29" s="20"/>
      <c r="H29" s="20"/>
      <c r="I29" s="264" t="s">
        <v>779</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722</v>
      </c>
      <c r="D30" s="262"/>
      <c r="E30" s="126" t="s">
        <v>752</v>
      </c>
      <c r="F30" s="263"/>
      <c r="G30" s="20"/>
      <c r="H30" s="20"/>
      <c r="I30" s="264" t="s">
        <v>779</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723</v>
      </c>
      <c r="D31" s="262"/>
      <c r="E31" s="126" t="s">
        <v>753</v>
      </c>
      <c r="F31" s="263"/>
      <c r="G31" s="20"/>
      <c r="H31" s="20"/>
      <c r="I31" s="264" t="s">
        <v>776</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724</v>
      </c>
      <c r="D32" s="262"/>
      <c r="E32" s="126" t="s">
        <v>753</v>
      </c>
      <c r="F32" s="263"/>
      <c r="G32" s="20"/>
      <c r="H32" s="20"/>
      <c r="I32" s="264" t="s">
        <v>776</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725</v>
      </c>
      <c r="D33" s="262"/>
      <c r="E33" s="126" t="s">
        <v>754</v>
      </c>
      <c r="F33" s="263"/>
      <c r="G33" s="20"/>
      <c r="H33" s="20"/>
      <c r="I33" s="264" t="s">
        <v>779</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726</v>
      </c>
      <c r="D34" s="262"/>
      <c r="E34" s="126" t="s">
        <v>755</v>
      </c>
      <c r="F34" s="263"/>
      <c r="G34" s="20"/>
      <c r="H34" s="20"/>
      <c r="I34" s="264" t="s">
        <v>780</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727</v>
      </c>
      <c r="D35" s="262"/>
      <c r="E35" s="126" t="s">
        <v>756</v>
      </c>
      <c r="F35" s="263"/>
      <c r="G35" s="20"/>
      <c r="H35" s="20"/>
      <c r="I35" s="264" t="s">
        <v>779</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728</v>
      </c>
      <c r="D36" s="262"/>
      <c r="E36" s="126" t="s">
        <v>757</v>
      </c>
      <c r="F36" s="263"/>
      <c r="G36" s="20"/>
      <c r="H36" s="20"/>
      <c r="I36" s="264" t="s">
        <v>781</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729</v>
      </c>
      <c r="D37" s="262"/>
      <c r="E37" s="126" t="s">
        <v>758</v>
      </c>
      <c r="F37" s="263"/>
      <c r="G37" s="20"/>
      <c r="H37" s="20"/>
      <c r="I37" s="264" t="s">
        <v>782</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730</v>
      </c>
      <c r="D38" s="262"/>
      <c r="E38" s="126" t="s">
        <v>759</v>
      </c>
      <c r="F38" s="263"/>
      <c r="G38" s="20"/>
      <c r="H38" s="20"/>
      <c r="I38" s="264" t="s">
        <v>776</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731</v>
      </c>
      <c r="D39" s="262"/>
      <c r="E39" s="126" t="s">
        <v>760</v>
      </c>
      <c r="F39" s="263"/>
      <c r="G39" s="20"/>
      <c r="H39" s="20"/>
      <c r="I39" s="264" t="s">
        <v>783</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732</v>
      </c>
      <c r="D40" s="262"/>
      <c r="E40" s="126" t="s">
        <v>761</v>
      </c>
      <c r="F40" s="263"/>
      <c r="G40" s="20"/>
      <c r="H40" s="20"/>
      <c r="I40" s="19" t="s">
        <v>772</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733</v>
      </c>
      <c r="D41" s="262"/>
      <c r="E41" s="126" t="s">
        <v>762</v>
      </c>
      <c r="F41" s="263"/>
      <c r="G41" s="20"/>
      <c r="H41" s="20"/>
      <c r="I41" s="19" t="s">
        <v>779</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734</v>
      </c>
      <c r="D42" s="262"/>
      <c r="E42" s="126" t="s">
        <v>763</v>
      </c>
      <c r="F42" s="263"/>
      <c r="G42" s="20"/>
      <c r="H42" s="20"/>
      <c r="I42" s="264" t="s">
        <v>772</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735</v>
      </c>
      <c r="D43" s="262"/>
      <c r="E43" s="126" t="s">
        <v>764</v>
      </c>
      <c r="F43" s="263"/>
      <c r="G43" s="20"/>
      <c r="H43" s="20"/>
      <c r="I43" s="19" t="s">
        <v>784</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736</v>
      </c>
      <c r="D44" s="262"/>
      <c r="E44" s="126" t="s">
        <v>765</v>
      </c>
      <c r="F44" s="263"/>
      <c r="G44" s="20"/>
      <c r="H44" s="20"/>
      <c r="I44" s="264" t="s">
        <v>785</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c r="C45" s="62" t="s">
        <v>737</v>
      </c>
      <c r="D45" s="262"/>
      <c r="E45" s="126" t="s">
        <v>766</v>
      </c>
      <c r="F45" s="263"/>
      <c r="G45" s="20"/>
      <c r="H45" s="20"/>
      <c r="I45" s="19" t="s">
        <v>772</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737</v>
      </c>
      <c r="D46" s="262"/>
      <c r="E46" s="126" t="s">
        <v>767</v>
      </c>
      <c r="F46" s="263"/>
      <c r="G46" s="20"/>
      <c r="H46" s="20"/>
      <c r="I46" s="19" t="s">
        <v>772</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c r="C47" s="62" t="s">
        <v>738</v>
      </c>
      <c r="D47" s="262"/>
      <c r="E47" s="126" t="s">
        <v>768</v>
      </c>
      <c r="F47" s="263"/>
      <c r="G47" s="20"/>
      <c r="H47" s="20"/>
      <c r="I47" s="19" t="s">
        <v>786</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c r="C48" s="62" t="s">
        <v>739</v>
      </c>
      <c r="D48" s="262"/>
      <c r="E48" s="126" t="s">
        <v>769</v>
      </c>
      <c r="F48" s="263"/>
      <c r="G48" s="20"/>
      <c r="H48" s="20"/>
      <c r="I48" s="264" t="s">
        <v>782</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740</v>
      </c>
      <c r="D49" s="262"/>
      <c r="E49" s="126" t="s">
        <v>770</v>
      </c>
      <c r="F49" s="263"/>
      <c r="G49" s="20"/>
      <c r="H49" s="20"/>
      <c r="I49" s="19" t="s">
        <v>787</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t="s">
        <v>741</v>
      </c>
      <c r="D50" s="262"/>
      <c r="E50" s="126" t="s">
        <v>744</v>
      </c>
      <c r="F50" s="263"/>
      <c r="G50" s="20"/>
      <c r="H50" s="20"/>
      <c r="I50" s="19" t="s">
        <v>773</v>
      </c>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t="s">
        <v>742</v>
      </c>
      <c r="D51" s="262"/>
      <c r="E51" s="126" t="s">
        <v>744</v>
      </c>
      <c r="F51" s="263"/>
      <c r="G51" s="20"/>
      <c r="H51" s="20"/>
      <c r="I51" s="19" t="s">
        <v>776</v>
      </c>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c r="D52" s="117"/>
      <c r="E52" s="126"/>
      <c r="F52" s="190"/>
      <c r="G52" s="20"/>
      <c r="H52" s="20"/>
      <c r="I52" s="19"/>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c r="D53" s="117"/>
      <c r="E53" s="126"/>
      <c r="F53" s="190"/>
      <c r="G53" s="20"/>
      <c r="H53" s="20"/>
      <c r="I53" s="19"/>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c r="D54" s="117"/>
      <c r="E54" s="126"/>
      <c r="F54" s="190"/>
      <c r="G54" s="20"/>
      <c r="H54" s="20"/>
      <c r="I54" s="19"/>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c r="D55" s="117"/>
      <c r="E55" s="126"/>
      <c r="F55" s="190"/>
      <c r="G55" s="20"/>
      <c r="H55" s="20"/>
      <c r="I55" s="19"/>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c r="D56" s="117"/>
      <c r="E56" s="126"/>
      <c r="F56" s="190"/>
      <c r="G56" s="20"/>
      <c r="H56" s="20"/>
      <c r="I56" s="19"/>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4"/>
      <c r="G85" s="294"/>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439" priority="338">
      <formula>$F$1=1</formula>
    </cfRule>
    <cfRule type="expression" priority="339">
      <formula>$F$1</formula>
    </cfRule>
  </conditionalFormatting>
  <conditionalFormatting sqref="J4">
    <cfRule type="expression" dxfId="2438" priority="340">
      <formula>$F$1=1</formula>
    </cfRule>
  </conditionalFormatting>
  <conditionalFormatting sqref="C7:G82">
    <cfRule type="expression" dxfId="2437" priority="104">
      <formula>$B7="v"</formula>
    </cfRule>
  </conditionalFormatting>
  <conditionalFormatting sqref="H7:H82">
    <cfRule type="expression" dxfId="2436" priority="207">
      <formula>$B7="v"</formula>
    </cfRule>
  </conditionalFormatting>
  <conditionalFormatting sqref="N7:N82">
    <cfRule type="expression" dxfId="2435" priority="206">
      <formula>$B7="v"</formula>
    </cfRule>
  </conditionalFormatting>
  <conditionalFormatting sqref="M7:M82">
    <cfRule type="expression" dxfId="2434" priority="205">
      <formula>$B7="v"</formula>
    </cfRule>
  </conditionalFormatting>
  <conditionalFormatting sqref="L7:L82">
    <cfRule type="expression" dxfId="2433" priority="342">
      <formula>$B7="v"</formula>
    </cfRule>
  </conditionalFormatting>
  <conditionalFormatting sqref="P7:Q82">
    <cfRule type="expression" dxfId="2432" priority="346">
      <formula>$B7="v"</formula>
    </cfRule>
  </conditionalFormatting>
  <conditionalFormatting sqref="R7:R82">
    <cfRule type="expression" dxfId="2431" priority="203">
      <formula>$B7="v"</formula>
    </cfRule>
  </conditionalFormatting>
  <conditionalFormatting sqref="Z7:Z82 V7:V82 AL7:AL82 AH7:AH82 AD7:AD82 AX7:AX82 AT7:AT82 AP7:AP82 BJ7:BJ82 BF7:BF82 BB7:BB82 BV7:BV82 BR7:BR82 BN7:BN82">
    <cfRule type="expression" dxfId="2430" priority="389">
      <formula>$B7="v"</formula>
    </cfRule>
  </conditionalFormatting>
  <conditionalFormatting sqref="X7:Y82 T7:U82 AJ7:AK82 AF7:AG82 AB7:AC82 AR7:AS82 AN7:AO82 BH7:BI82 BD7:BE82 AZ7:BA82 BT7:BU82 BP7:BQ82 BL7:BM82">
    <cfRule type="expression" dxfId="2429" priority="393">
      <formula>$B7="v"</formula>
    </cfRule>
  </conditionalFormatting>
  <conditionalFormatting sqref="AV7:AW82">
    <cfRule type="expression" dxfId="2428" priority="377">
      <formula>$B7="v"</formula>
    </cfRule>
  </conditionalFormatting>
  <conditionalFormatting sqref="F25">
    <cfRule type="expression" dxfId="2427" priority="179">
      <formula>$E$25="n/a"</formula>
    </cfRule>
  </conditionalFormatting>
  <conditionalFormatting sqref="F7">
    <cfRule type="expression" dxfId="2426" priority="178">
      <formula>$E$7="n/a"</formula>
    </cfRule>
  </conditionalFormatting>
  <conditionalFormatting sqref="F8">
    <cfRule type="expression" dxfId="2425" priority="208">
      <formula>$E$8="n/a"</formula>
    </cfRule>
  </conditionalFormatting>
  <conditionalFormatting sqref="F9">
    <cfRule type="expression" dxfId="2424" priority="177">
      <formula>$E$9="n/a"</formula>
    </cfRule>
  </conditionalFormatting>
  <conditionalFormatting sqref="F10">
    <cfRule type="expression" dxfId="2423" priority="176">
      <formula>$E$10="n/a"</formula>
    </cfRule>
  </conditionalFormatting>
  <conditionalFormatting sqref="F11">
    <cfRule type="expression" dxfId="2422" priority="175">
      <formula>$E$11="n/a"</formula>
    </cfRule>
  </conditionalFormatting>
  <conditionalFormatting sqref="F12">
    <cfRule type="expression" dxfId="2421" priority="174">
      <formula>$E$12="n/a"</formula>
    </cfRule>
  </conditionalFormatting>
  <conditionalFormatting sqref="F13">
    <cfRule type="expression" dxfId="2420" priority="173">
      <formula>$E$13="n/a"</formula>
    </cfRule>
  </conditionalFormatting>
  <conditionalFormatting sqref="F14">
    <cfRule type="expression" dxfId="2419" priority="172">
      <formula>$E$14="n/a"</formula>
    </cfRule>
  </conditionalFormatting>
  <conditionalFormatting sqref="F15">
    <cfRule type="expression" dxfId="2418" priority="171">
      <formula>$E$15="n/a"</formula>
    </cfRule>
  </conditionalFormatting>
  <conditionalFormatting sqref="F16">
    <cfRule type="expression" dxfId="2417" priority="170">
      <formula>$E$16="n/a"</formula>
    </cfRule>
  </conditionalFormatting>
  <conditionalFormatting sqref="F17">
    <cfRule type="expression" dxfId="2416" priority="169">
      <formula>$E$17="n/a"</formula>
    </cfRule>
  </conditionalFormatting>
  <conditionalFormatting sqref="F18">
    <cfRule type="expression" dxfId="2415" priority="168">
      <formula>$E$18="n/a"</formula>
    </cfRule>
  </conditionalFormatting>
  <conditionalFormatting sqref="F19">
    <cfRule type="expression" dxfId="2414" priority="167">
      <formula>$E$19="n/a"</formula>
    </cfRule>
  </conditionalFormatting>
  <conditionalFormatting sqref="F20">
    <cfRule type="expression" dxfId="2413" priority="166">
      <formula>$E$20="n/a"</formula>
    </cfRule>
  </conditionalFormatting>
  <conditionalFormatting sqref="F21">
    <cfRule type="expression" dxfId="2412" priority="165">
      <formula>$E$21="n/a"</formula>
    </cfRule>
  </conditionalFormatting>
  <conditionalFormatting sqref="F22">
    <cfRule type="expression" dxfId="2411" priority="164">
      <formula>$E$22="n/a"</formula>
    </cfRule>
  </conditionalFormatting>
  <conditionalFormatting sqref="F23">
    <cfRule type="expression" dxfId="2410" priority="163">
      <formula>$E$23="n/a"</formula>
    </cfRule>
  </conditionalFormatting>
  <conditionalFormatting sqref="F24">
    <cfRule type="expression" dxfId="2409" priority="162">
      <formula>$E$24="n/a"</formula>
    </cfRule>
  </conditionalFormatting>
  <conditionalFormatting sqref="F26">
    <cfRule type="expression" dxfId="2408" priority="161">
      <formula>$E$26="n/a"</formula>
    </cfRule>
  </conditionalFormatting>
  <conditionalFormatting sqref="F27">
    <cfRule type="expression" dxfId="2407" priority="160">
      <formula>$E$27="n/a"</formula>
    </cfRule>
  </conditionalFormatting>
  <conditionalFormatting sqref="F28">
    <cfRule type="expression" dxfId="2406" priority="159">
      <formula>$E$28="n/a"</formula>
    </cfRule>
  </conditionalFormatting>
  <conditionalFormatting sqref="F29">
    <cfRule type="expression" dxfId="2405" priority="158">
      <formula>$E$29="n/a"</formula>
    </cfRule>
  </conditionalFormatting>
  <conditionalFormatting sqref="F30">
    <cfRule type="expression" dxfId="2404" priority="157">
      <formula>$E$30="n/a"</formula>
    </cfRule>
  </conditionalFormatting>
  <conditionalFormatting sqref="F31">
    <cfRule type="expression" dxfId="2403" priority="156">
      <formula>$E$31="n/a"</formula>
    </cfRule>
  </conditionalFormatting>
  <conditionalFormatting sqref="F32">
    <cfRule type="expression" dxfId="2402" priority="155">
      <formula>$E$32="n/a"</formula>
    </cfRule>
  </conditionalFormatting>
  <conditionalFormatting sqref="F33">
    <cfRule type="expression" dxfId="2401" priority="154">
      <formula>$E$33="n/a"</formula>
    </cfRule>
  </conditionalFormatting>
  <conditionalFormatting sqref="F34">
    <cfRule type="expression" dxfId="2400" priority="153">
      <formula>$E$34="n/a"</formula>
    </cfRule>
  </conditionalFormatting>
  <conditionalFormatting sqref="F35">
    <cfRule type="expression" dxfId="2399" priority="152">
      <formula>$E$35="n/a"</formula>
    </cfRule>
  </conditionalFormatting>
  <conditionalFormatting sqref="F36">
    <cfRule type="expression" dxfId="2398" priority="151">
      <formula>$E$36="n/a"</formula>
    </cfRule>
  </conditionalFormatting>
  <conditionalFormatting sqref="F37">
    <cfRule type="expression" dxfId="2397" priority="150">
      <formula>$E$37="n/a"</formula>
    </cfRule>
  </conditionalFormatting>
  <conditionalFormatting sqref="F38">
    <cfRule type="expression" dxfId="2396" priority="149">
      <formula>$E$38="n/a"</formula>
    </cfRule>
  </conditionalFormatting>
  <conditionalFormatting sqref="F39">
    <cfRule type="expression" dxfId="2395" priority="148">
      <formula>$E$39="n/a"</formula>
    </cfRule>
  </conditionalFormatting>
  <conditionalFormatting sqref="F40">
    <cfRule type="expression" dxfId="2394" priority="147">
      <formula>$E$40="n/a"</formula>
    </cfRule>
  </conditionalFormatting>
  <conditionalFormatting sqref="F41">
    <cfRule type="expression" dxfId="2393" priority="146">
      <formula>$E$41="n/a"</formula>
    </cfRule>
  </conditionalFormatting>
  <conditionalFormatting sqref="F42">
    <cfRule type="expression" dxfId="2392" priority="145">
      <formula>$E$42="n/a"</formula>
    </cfRule>
  </conditionalFormatting>
  <conditionalFormatting sqref="F43">
    <cfRule type="expression" dxfId="2391" priority="144">
      <formula>$E$43="n/a"</formula>
    </cfRule>
  </conditionalFormatting>
  <conditionalFormatting sqref="F44">
    <cfRule type="expression" dxfId="2390" priority="143">
      <formula>$E$44="n/a"</formula>
    </cfRule>
  </conditionalFormatting>
  <conditionalFormatting sqref="F45">
    <cfRule type="expression" dxfId="2389" priority="142">
      <formula>$E$45="n/a"</formula>
    </cfRule>
  </conditionalFormatting>
  <conditionalFormatting sqref="F46">
    <cfRule type="expression" dxfId="2388" priority="141">
      <formula>$E$46="n/a"</formula>
    </cfRule>
  </conditionalFormatting>
  <conditionalFormatting sqref="F82">
    <cfRule type="expression" dxfId="2387" priority="139">
      <formula>$E$82="n/a"</formula>
    </cfRule>
  </conditionalFormatting>
  <conditionalFormatting sqref="F81">
    <cfRule type="expression" dxfId="2386" priority="138">
      <formula>$E$81="n/a"</formula>
    </cfRule>
  </conditionalFormatting>
  <conditionalFormatting sqref="F80">
    <cfRule type="expression" dxfId="2385" priority="137">
      <formula>$E$80="n/a"</formula>
    </cfRule>
  </conditionalFormatting>
  <conditionalFormatting sqref="F79">
    <cfRule type="expression" dxfId="2384" priority="136">
      <formula>$E$79="n/a"</formula>
    </cfRule>
  </conditionalFormatting>
  <conditionalFormatting sqref="F78">
    <cfRule type="expression" dxfId="2383" priority="135">
      <formula>$E$78="n/a"</formula>
    </cfRule>
  </conditionalFormatting>
  <conditionalFormatting sqref="F77">
    <cfRule type="expression" dxfId="2382" priority="134">
      <formula>$E$77="n/a"</formula>
    </cfRule>
  </conditionalFormatting>
  <conditionalFormatting sqref="F76">
    <cfRule type="expression" dxfId="2381" priority="133">
      <formula>$E$76="n/a"</formula>
    </cfRule>
  </conditionalFormatting>
  <conditionalFormatting sqref="F75">
    <cfRule type="expression" dxfId="2380" priority="132">
      <formula>$E$75="n/a"</formula>
    </cfRule>
  </conditionalFormatting>
  <conditionalFormatting sqref="F74">
    <cfRule type="expression" dxfId="2379" priority="131">
      <formula>$E$74="n/a"</formula>
    </cfRule>
  </conditionalFormatting>
  <conditionalFormatting sqref="F73">
    <cfRule type="expression" dxfId="2378" priority="129">
      <formula>$E$73="n/a"</formula>
    </cfRule>
  </conditionalFormatting>
  <conditionalFormatting sqref="F72">
    <cfRule type="expression" dxfId="2377" priority="105">
      <formula>$E$72="n/a"</formula>
    </cfRule>
  </conditionalFormatting>
  <conditionalFormatting sqref="F47">
    <cfRule type="expression" dxfId="2376" priority="140">
      <formula>$E$47="n/a"</formula>
    </cfRule>
  </conditionalFormatting>
  <conditionalFormatting sqref="F48">
    <cfRule type="expression" dxfId="2375" priority="130">
      <formula>$E$48="n/a"</formula>
    </cfRule>
  </conditionalFormatting>
  <conditionalFormatting sqref="F49">
    <cfRule type="expression" dxfId="2374" priority="128">
      <formula>$E$49="n/a"</formula>
    </cfRule>
  </conditionalFormatting>
  <conditionalFormatting sqref="F50">
    <cfRule type="expression" dxfId="2373" priority="127">
      <formula>$E$50="n/a"</formula>
    </cfRule>
  </conditionalFormatting>
  <conditionalFormatting sqref="F51">
    <cfRule type="expression" dxfId="2372" priority="126">
      <formula>$E$51="n/a"</formula>
    </cfRule>
  </conditionalFormatting>
  <conditionalFormatting sqref="F52">
    <cfRule type="expression" dxfId="2371" priority="125">
      <formula>$E$52="n/a"</formula>
    </cfRule>
  </conditionalFormatting>
  <conditionalFormatting sqref="F53">
    <cfRule type="expression" dxfId="2370" priority="124">
      <formula>$E$53="n/a"</formula>
    </cfRule>
  </conditionalFormatting>
  <conditionalFormatting sqref="F54">
    <cfRule type="expression" dxfId="2369" priority="123">
      <formula>$E$54="n/a"</formula>
    </cfRule>
  </conditionalFormatting>
  <conditionalFormatting sqref="F55">
    <cfRule type="expression" dxfId="2368" priority="122">
      <formula>$E$55="n/a"</formula>
    </cfRule>
  </conditionalFormatting>
  <conditionalFormatting sqref="F56">
    <cfRule type="expression" dxfId="2367" priority="121">
      <formula>$E$56="n/a"</formula>
    </cfRule>
  </conditionalFormatting>
  <conditionalFormatting sqref="F57">
    <cfRule type="expression" dxfId="2366" priority="120">
      <formula>$E$57="n/a"</formula>
    </cfRule>
  </conditionalFormatting>
  <conditionalFormatting sqref="F58">
    <cfRule type="expression" dxfId="2365" priority="119">
      <formula>$E$58="n/a"</formula>
    </cfRule>
  </conditionalFormatting>
  <conditionalFormatting sqref="F59">
    <cfRule type="expression" dxfId="2364" priority="118">
      <formula>$E$59="n/a"</formula>
    </cfRule>
  </conditionalFormatting>
  <conditionalFormatting sqref="F60">
    <cfRule type="expression" dxfId="2363" priority="117">
      <formula>$E$60="n/a"</formula>
    </cfRule>
  </conditionalFormatting>
  <conditionalFormatting sqref="F61">
    <cfRule type="expression" dxfId="2362" priority="116">
      <formula>$E$61="n/a"</formula>
    </cfRule>
  </conditionalFormatting>
  <conditionalFormatting sqref="F62">
    <cfRule type="expression" dxfId="2361" priority="115">
      <formula>$E$62="n/a"</formula>
    </cfRule>
  </conditionalFormatting>
  <conditionalFormatting sqref="F63">
    <cfRule type="expression" dxfId="2360" priority="114">
      <formula>$E$63="n/a"</formula>
    </cfRule>
  </conditionalFormatting>
  <conditionalFormatting sqref="F64">
    <cfRule type="expression" dxfId="2359" priority="113">
      <formula>$E$64="n/a"</formula>
    </cfRule>
  </conditionalFormatting>
  <conditionalFormatting sqref="F65">
    <cfRule type="expression" dxfId="2358" priority="112">
      <formula>$E$65="n/a"</formula>
    </cfRule>
  </conditionalFormatting>
  <conditionalFormatting sqref="F66">
    <cfRule type="expression" dxfId="2357" priority="111">
      <formula>$E$66="n/a"</formula>
    </cfRule>
  </conditionalFormatting>
  <conditionalFormatting sqref="F67">
    <cfRule type="expression" dxfId="2356" priority="110">
      <formula>$E$67="n/a"</formula>
    </cfRule>
  </conditionalFormatting>
  <conditionalFormatting sqref="F68">
    <cfRule type="expression" dxfId="2355" priority="109">
      <formula>$E$68="n/a"</formula>
    </cfRule>
  </conditionalFormatting>
  <conditionalFormatting sqref="F69">
    <cfRule type="expression" dxfId="2354" priority="108">
      <formula>$E$69="n/a"</formula>
    </cfRule>
  </conditionalFormatting>
  <conditionalFormatting sqref="F70">
    <cfRule type="expression" dxfId="2353" priority="107">
      <formula>$E$70="n/a"</formula>
    </cfRule>
  </conditionalFormatting>
  <conditionalFormatting sqref="F71">
    <cfRule type="expression" dxfId="2352" priority="106">
      <formula>$E$71="n/a"</formula>
    </cfRule>
  </conditionalFormatting>
  <conditionalFormatting sqref="I7">
    <cfRule type="expression" dxfId="2351" priority="102">
      <formula>$B$7="v"</formula>
    </cfRule>
  </conditionalFormatting>
  <conditionalFormatting sqref="I8">
    <cfRule type="expression" dxfId="2350" priority="101">
      <formula>$B$8="v"</formula>
    </cfRule>
  </conditionalFormatting>
  <conditionalFormatting sqref="I9">
    <cfRule type="expression" dxfId="2349" priority="100">
      <formula>$B$9="v"</formula>
    </cfRule>
  </conditionalFormatting>
  <conditionalFormatting sqref="I10">
    <cfRule type="expression" dxfId="2348" priority="99">
      <formula>$B$10="v"</formula>
    </cfRule>
  </conditionalFormatting>
  <conditionalFormatting sqref="I11">
    <cfRule type="expression" dxfId="2347" priority="98">
      <formula>$B$11="v"</formula>
    </cfRule>
  </conditionalFormatting>
  <conditionalFormatting sqref="I12">
    <cfRule type="expression" dxfId="2346" priority="97">
      <formula>$B$12="v"</formula>
    </cfRule>
  </conditionalFormatting>
  <conditionalFormatting sqref="I13">
    <cfRule type="expression" dxfId="2345" priority="96">
      <formula>$B$13="v"</formula>
    </cfRule>
  </conditionalFormatting>
  <conditionalFormatting sqref="I14">
    <cfRule type="expression" dxfId="2344" priority="95">
      <formula>$B$14="v"</formula>
    </cfRule>
  </conditionalFormatting>
  <conditionalFormatting sqref="I15">
    <cfRule type="expression" dxfId="2343" priority="94">
      <formula>$B$15="v"</formula>
    </cfRule>
  </conditionalFormatting>
  <conditionalFormatting sqref="I16">
    <cfRule type="expression" dxfId="2342" priority="93">
      <formula>$B$16="v"</formula>
    </cfRule>
  </conditionalFormatting>
  <conditionalFormatting sqref="I17">
    <cfRule type="expression" dxfId="2341" priority="92">
      <formula>$B$17="v"</formula>
    </cfRule>
  </conditionalFormatting>
  <conditionalFormatting sqref="I18">
    <cfRule type="expression" dxfId="2340" priority="91">
      <formula>$B$18="v"</formula>
    </cfRule>
  </conditionalFormatting>
  <conditionalFormatting sqref="I19">
    <cfRule type="expression" dxfId="2339" priority="90">
      <formula>$B$19="v"</formula>
    </cfRule>
  </conditionalFormatting>
  <conditionalFormatting sqref="I20">
    <cfRule type="expression" dxfId="2338" priority="89">
      <formula>$B$20="v"</formula>
    </cfRule>
  </conditionalFormatting>
  <conditionalFormatting sqref="I21">
    <cfRule type="expression" dxfId="2337" priority="88">
      <formula>$B$21="v"</formula>
    </cfRule>
  </conditionalFormatting>
  <conditionalFormatting sqref="I22">
    <cfRule type="expression" dxfId="2336" priority="87">
      <formula>$B$22="v"</formula>
    </cfRule>
  </conditionalFormatting>
  <conditionalFormatting sqref="I23">
    <cfRule type="expression" dxfId="2335" priority="86">
      <formula>$B$23="v"</formula>
    </cfRule>
  </conditionalFormatting>
  <conditionalFormatting sqref="I24">
    <cfRule type="expression" dxfId="2334" priority="85">
      <formula>$B$24="v"</formula>
    </cfRule>
  </conditionalFormatting>
  <conditionalFormatting sqref="I25">
    <cfRule type="expression" dxfId="2333" priority="84">
      <formula>$B$25="v"</formula>
    </cfRule>
  </conditionalFormatting>
  <conditionalFormatting sqref="I26">
    <cfRule type="expression" dxfId="2332" priority="83">
      <formula>$B$26="v"</formula>
    </cfRule>
  </conditionalFormatting>
  <conditionalFormatting sqref="I27">
    <cfRule type="expression" dxfId="2331" priority="82">
      <formula>$B$27="v"</formula>
    </cfRule>
  </conditionalFormatting>
  <conditionalFormatting sqref="I28">
    <cfRule type="expression" dxfId="2330" priority="81">
      <formula>$B$28="v"</formula>
    </cfRule>
  </conditionalFormatting>
  <conditionalFormatting sqref="I29">
    <cfRule type="expression" dxfId="2329" priority="80">
      <formula>$B$29="v"</formula>
    </cfRule>
  </conditionalFormatting>
  <conditionalFormatting sqref="I30">
    <cfRule type="expression" dxfId="2328" priority="79">
      <formula>$B$30="v"</formula>
    </cfRule>
  </conditionalFormatting>
  <conditionalFormatting sqref="I31">
    <cfRule type="expression" dxfId="2327" priority="78">
      <formula>$B$31="v"</formula>
    </cfRule>
  </conditionalFormatting>
  <conditionalFormatting sqref="I32">
    <cfRule type="expression" dxfId="2326" priority="77">
      <formula>$B$32="v"</formula>
    </cfRule>
  </conditionalFormatting>
  <conditionalFormatting sqref="I33">
    <cfRule type="expression" dxfId="2325" priority="76">
      <formula>$B$33="v"</formula>
    </cfRule>
  </conditionalFormatting>
  <conditionalFormatting sqref="I34">
    <cfRule type="expression" dxfId="2324" priority="75">
      <formula>$B$34="v"</formula>
    </cfRule>
  </conditionalFormatting>
  <conditionalFormatting sqref="I35">
    <cfRule type="expression" dxfId="2323" priority="74">
      <formula>$B$35="v"</formula>
    </cfRule>
  </conditionalFormatting>
  <conditionalFormatting sqref="I36">
    <cfRule type="expression" dxfId="2322" priority="73">
      <formula>$B$36="v"</formula>
    </cfRule>
  </conditionalFormatting>
  <conditionalFormatting sqref="I37">
    <cfRule type="expression" dxfId="2321" priority="72">
      <formula>$B$37="v"</formula>
    </cfRule>
  </conditionalFormatting>
  <conditionalFormatting sqref="I38">
    <cfRule type="expression" dxfId="2320" priority="71">
      <formula>$B$38="v"</formula>
    </cfRule>
  </conditionalFormatting>
  <conditionalFormatting sqref="I39">
    <cfRule type="expression" dxfId="2319" priority="70">
      <formula>$B$39="v"</formula>
    </cfRule>
  </conditionalFormatting>
  <conditionalFormatting sqref="I40">
    <cfRule type="expression" dxfId="2318" priority="69">
      <formula>$B$40="v"</formula>
    </cfRule>
  </conditionalFormatting>
  <conditionalFormatting sqref="I41">
    <cfRule type="expression" dxfId="2317" priority="68">
      <formula>$B$41="v"</formula>
    </cfRule>
  </conditionalFormatting>
  <conditionalFormatting sqref="I42">
    <cfRule type="expression" dxfId="2316" priority="67">
      <formula>$B$42="v"</formula>
    </cfRule>
  </conditionalFormatting>
  <conditionalFormatting sqref="I43">
    <cfRule type="expression" dxfId="2315" priority="66">
      <formula>$B$43="v"</formula>
    </cfRule>
  </conditionalFormatting>
  <conditionalFormatting sqref="I44">
    <cfRule type="expression" dxfId="2314" priority="65">
      <formula>$B$44="v"</formula>
    </cfRule>
  </conditionalFormatting>
  <conditionalFormatting sqref="I45">
    <cfRule type="expression" dxfId="2313" priority="64">
      <formula>$B$45="v"</formula>
    </cfRule>
  </conditionalFormatting>
  <conditionalFormatting sqref="I46">
    <cfRule type="expression" dxfId="2312" priority="63">
      <formula>$B$46="v"</formula>
    </cfRule>
  </conditionalFormatting>
  <conditionalFormatting sqref="I47">
    <cfRule type="expression" dxfId="2311" priority="62">
      <formula>$B$47="v"</formula>
    </cfRule>
  </conditionalFormatting>
  <conditionalFormatting sqref="I48">
    <cfRule type="expression" dxfId="2310" priority="61">
      <formula>$B$48="v"</formula>
    </cfRule>
  </conditionalFormatting>
  <conditionalFormatting sqref="I49">
    <cfRule type="expression" dxfId="2309" priority="60">
      <formula>$B$49="v"</formula>
    </cfRule>
  </conditionalFormatting>
  <conditionalFormatting sqref="I50">
    <cfRule type="expression" dxfId="2308" priority="59">
      <formula>$B$50="v"</formula>
    </cfRule>
  </conditionalFormatting>
  <conditionalFormatting sqref="I51">
    <cfRule type="expression" dxfId="2307" priority="58">
      <formula>$B$51="v"</formula>
    </cfRule>
  </conditionalFormatting>
  <conditionalFormatting sqref="I52">
    <cfRule type="expression" dxfId="2306" priority="57">
      <formula>$B$52="v"</formula>
    </cfRule>
  </conditionalFormatting>
  <conditionalFormatting sqref="I53">
    <cfRule type="expression" dxfId="2305" priority="56">
      <formula>$B$53="v"</formula>
    </cfRule>
  </conditionalFormatting>
  <conditionalFormatting sqref="I54">
    <cfRule type="expression" dxfId="2304" priority="55">
      <formula>$B$54="v"</formula>
    </cfRule>
  </conditionalFormatting>
  <conditionalFormatting sqref="I55">
    <cfRule type="expression" dxfId="2303" priority="54">
      <formula>$B$55="v"</formula>
    </cfRule>
  </conditionalFormatting>
  <conditionalFormatting sqref="I56">
    <cfRule type="expression" dxfId="2302" priority="53">
      <formula>$B$56="v"</formula>
    </cfRule>
  </conditionalFormatting>
  <conditionalFormatting sqref="I57">
    <cfRule type="expression" dxfId="2301" priority="52">
      <formula>$B$57="v"</formula>
    </cfRule>
  </conditionalFormatting>
  <conditionalFormatting sqref="I58">
    <cfRule type="expression" dxfId="2300" priority="51">
      <formula>$B$58="v"</formula>
    </cfRule>
  </conditionalFormatting>
  <conditionalFormatting sqref="I59">
    <cfRule type="expression" dxfId="2299" priority="50">
      <formula>$B$59="v"</formula>
    </cfRule>
  </conditionalFormatting>
  <conditionalFormatting sqref="I60">
    <cfRule type="expression" dxfId="2298" priority="49">
      <formula>$B$60="v"</formula>
    </cfRule>
  </conditionalFormatting>
  <conditionalFormatting sqref="I61">
    <cfRule type="expression" dxfId="2297" priority="48">
      <formula>$B$61="v"</formula>
    </cfRule>
  </conditionalFormatting>
  <conditionalFormatting sqref="I62">
    <cfRule type="expression" dxfId="2296" priority="47">
      <formula>$B$62="v"</formula>
    </cfRule>
  </conditionalFormatting>
  <conditionalFormatting sqref="I63">
    <cfRule type="expression" dxfId="2295" priority="46">
      <formula>$B$63="v"</formula>
    </cfRule>
  </conditionalFormatting>
  <conditionalFormatting sqref="I64">
    <cfRule type="expression" dxfId="2294" priority="45">
      <formula>$B$64="v"</formula>
    </cfRule>
  </conditionalFormatting>
  <conditionalFormatting sqref="I65">
    <cfRule type="expression" dxfId="2293" priority="44">
      <formula>$B$65="v"</formula>
    </cfRule>
  </conditionalFormatting>
  <conditionalFormatting sqref="I66">
    <cfRule type="expression" dxfId="2292" priority="43">
      <formula>$B$66="v"</formula>
    </cfRule>
  </conditionalFormatting>
  <conditionalFormatting sqref="I67">
    <cfRule type="expression" dxfId="2291" priority="42">
      <formula>$B$67="v"</formula>
    </cfRule>
  </conditionalFormatting>
  <conditionalFormatting sqref="I68">
    <cfRule type="expression" dxfId="2290" priority="41">
      <formula>$B$68="v"</formula>
    </cfRule>
  </conditionalFormatting>
  <conditionalFormatting sqref="I69">
    <cfRule type="expression" dxfId="2289" priority="40">
      <formula>$B$69="v"</formula>
    </cfRule>
  </conditionalFormatting>
  <conditionalFormatting sqref="I70">
    <cfRule type="expression" dxfId="2288" priority="39">
      <formula>$B$70="v"</formula>
    </cfRule>
  </conditionalFormatting>
  <conditionalFormatting sqref="I71">
    <cfRule type="expression" dxfId="2287" priority="38">
      <formula>$B$71="v"</formula>
    </cfRule>
  </conditionalFormatting>
  <conditionalFormatting sqref="I72">
    <cfRule type="expression" dxfId="2286" priority="37">
      <formula>$B$72="v"</formula>
    </cfRule>
  </conditionalFormatting>
  <conditionalFormatting sqref="I73">
    <cfRule type="expression" dxfId="2285" priority="36">
      <formula>$B$73="v"</formula>
    </cfRule>
  </conditionalFormatting>
  <conditionalFormatting sqref="I74">
    <cfRule type="expression" dxfId="2284" priority="35">
      <formula>$B$74="v"</formula>
    </cfRule>
  </conditionalFormatting>
  <conditionalFormatting sqref="I75">
    <cfRule type="expression" dxfId="2283" priority="34">
      <formula>$B$75="v"</formula>
    </cfRule>
  </conditionalFormatting>
  <conditionalFormatting sqref="I76">
    <cfRule type="expression" dxfId="2282" priority="33">
      <formula>$B$76="v"</formula>
    </cfRule>
  </conditionalFormatting>
  <conditionalFormatting sqref="I77">
    <cfRule type="expression" dxfId="2281" priority="32">
      <formula>$B$77="v"</formula>
    </cfRule>
  </conditionalFormatting>
  <conditionalFormatting sqref="I78">
    <cfRule type="expression" dxfId="2280" priority="31">
      <formula>$B$78="v"</formula>
    </cfRule>
  </conditionalFormatting>
  <conditionalFormatting sqref="I79">
    <cfRule type="expression" dxfId="2279" priority="30">
      <formula>$B$79="v"</formula>
    </cfRule>
  </conditionalFormatting>
  <conditionalFormatting sqref="I80">
    <cfRule type="expression" dxfId="2278" priority="29">
      <formula>$B$80="v"</formula>
    </cfRule>
  </conditionalFormatting>
  <conditionalFormatting sqref="I81">
    <cfRule type="expression" dxfId="2277" priority="28">
      <formula>$B$81="v"</formula>
    </cfRule>
  </conditionalFormatting>
  <conditionalFormatting sqref="I82">
    <cfRule type="expression" dxfId="2276" priority="27">
      <formula>$B$82="v"</formula>
    </cfRule>
  </conditionalFormatting>
  <conditionalFormatting sqref="L5:N6">
    <cfRule type="expression" dxfId="2275" priority="341">
      <formula>$K$4=1</formula>
    </cfRule>
  </conditionalFormatting>
  <conditionalFormatting sqref="L7:N82">
    <cfRule type="expression" dxfId="2274" priority="344">
      <formula>$K$4=1</formula>
    </cfRule>
  </conditionalFormatting>
  <conditionalFormatting sqref="M4:N4">
    <cfRule type="expression" dxfId="2273" priority="17" stopIfTrue="1">
      <formula>$K$4=1</formula>
    </cfRule>
  </conditionalFormatting>
  <conditionalFormatting sqref="L7:N82">
    <cfRule type="expression" dxfId="2272" priority="204">
      <formula>$K$4=""</formula>
    </cfRule>
  </conditionalFormatting>
  <conditionalFormatting sqref="P5:R6">
    <cfRule type="expression" dxfId="2271" priority="345">
      <formula>$O$4=1</formula>
    </cfRule>
  </conditionalFormatting>
  <conditionalFormatting sqref="P7:R82">
    <cfRule type="expression" dxfId="2270" priority="348">
      <formula>$O$4=1</formula>
    </cfRule>
  </conditionalFormatting>
  <conditionalFormatting sqref="Q4:R4">
    <cfRule type="expression" dxfId="2269" priority="347">
      <formula>$O$4=1</formula>
    </cfRule>
  </conditionalFormatting>
  <conditionalFormatting sqref="P7:R82">
    <cfRule type="expression" dxfId="2268" priority="202">
      <formula>$O$4=""</formula>
    </cfRule>
  </conditionalFormatting>
  <conditionalFormatting sqref="T5:V6">
    <cfRule type="expression" dxfId="2267" priority="349">
      <formula>$S$4=1</formula>
    </cfRule>
  </conditionalFormatting>
  <conditionalFormatting sqref="T7:V82">
    <cfRule type="expression" dxfId="2266" priority="401">
      <formula>$S$4=1</formula>
    </cfRule>
  </conditionalFormatting>
  <conditionalFormatting sqref="U4:V4">
    <cfRule type="expression" dxfId="2265" priority="351">
      <formula>$S$4=1</formula>
    </cfRule>
  </conditionalFormatting>
  <conditionalFormatting sqref="T7:V82">
    <cfRule type="expression" dxfId="2264" priority="200">
      <formula>$S$4=""</formula>
    </cfRule>
  </conditionalFormatting>
  <conditionalFormatting sqref="X5:Z6">
    <cfRule type="expression" dxfId="2263" priority="353">
      <formula>$W$4=1</formula>
    </cfRule>
  </conditionalFormatting>
  <conditionalFormatting sqref="X7:Z82">
    <cfRule type="expression" dxfId="2262" priority="397">
      <formula>$W$4=1</formula>
    </cfRule>
  </conditionalFormatting>
  <conditionalFormatting sqref="Y4:Z4">
    <cfRule type="expression" dxfId="2261" priority="355">
      <formula>$W$4=1</formula>
    </cfRule>
  </conditionalFormatting>
  <conditionalFormatting sqref="X7:Z82">
    <cfRule type="expression" dxfId="2260" priority="201">
      <formula>$W$4=""</formula>
    </cfRule>
  </conditionalFormatting>
  <conditionalFormatting sqref="AB5:AD6">
    <cfRule type="expression" dxfId="2259" priority="357">
      <formula>$AA$4=1</formula>
    </cfRule>
  </conditionalFormatting>
  <conditionalFormatting sqref="AB7:AD82">
    <cfRule type="expression" dxfId="2258" priority="360">
      <formula>$AA$4=1</formula>
    </cfRule>
  </conditionalFormatting>
  <conditionalFormatting sqref="AC4:AD4">
    <cfRule type="expression" dxfId="2257" priority="359">
      <formula>$AA$4=1</formula>
    </cfRule>
  </conditionalFormatting>
  <conditionalFormatting sqref="AB7:AD82">
    <cfRule type="expression" dxfId="2256" priority="350">
      <formula>$AA$4=""</formula>
    </cfRule>
  </conditionalFormatting>
  <conditionalFormatting sqref="AF5:AH6">
    <cfRule type="expression" dxfId="2255" priority="361">
      <formula>$AE$4=1</formula>
    </cfRule>
  </conditionalFormatting>
  <conditionalFormatting sqref="AF7:AH82">
    <cfRule type="expression" dxfId="2254" priority="364">
      <formula>$AE$4=1</formula>
    </cfRule>
  </conditionalFormatting>
  <conditionalFormatting sqref="AG4:AH4">
    <cfRule type="expression" dxfId="2253" priority="363">
      <formula>$AE$4=1</formula>
    </cfRule>
  </conditionalFormatting>
  <conditionalFormatting sqref="AF7:AH82">
    <cfRule type="expression" dxfId="2252" priority="352">
      <formula>$AE$4=""</formula>
    </cfRule>
  </conditionalFormatting>
  <conditionalFormatting sqref="AJ7:AL82">
    <cfRule type="expression" dxfId="2251" priority="368">
      <formula>$AI$4=1</formula>
    </cfRule>
  </conditionalFormatting>
  <conditionalFormatting sqref="AK4:AL4">
    <cfRule type="expression" dxfId="2250" priority="366">
      <formula>$AI$4=1</formula>
    </cfRule>
  </conditionalFormatting>
  <conditionalFormatting sqref="AJ5:AL6">
    <cfRule type="expression" dxfId="2249" priority="367">
      <formula>$AI$4=1</formula>
    </cfRule>
  </conditionalFormatting>
  <conditionalFormatting sqref="AJ7:AL82">
    <cfRule type="expression" dxfId="2248" priority="354">
      <formula>$AI$4=""</formula>
    </cfRule>
  </conditionalFormatting>
  <conditionalFormatting sqref="AN7:AP82">
    <cfRule type="expression" dxfId="2247" priority="372">
      <formula>$AM$4=1</formula>
    </cfRule>
  </conditionalFormatting>
  <conditionalFormatting sqref="AO4:AP4 AS4:AT4">
    <cfRule type="expression" dxfId="2246" priority="370">
      <formula>AQ$4=1</formula>
    </cfRule>
  </conditionalFormatting>
  <conditionalFormatting sqref="AN5:AP6">
    <cfRule type="expression" dxfId="2245" priority="371">
      <formula>$AM$4=1</formula>
    </cfRule>
  </conditionalFormatting>
  <conditionalFormatting sqref="AN7:AP82">
    <cfRule type="expression" dxfId="2244" priority="356">
      <formula>$AM$4=""</formula>
    </cfRule>
  </conditionalFormatting>
  <conditionalFormatting sqref="AR7:AT82">
    <cfRule type="expression" dxfId="2243" priority="376">
      <formula>$AQ$4=1</formula>
    </cfRule>
  </conditionalFormatting>
  <conditionalFormatting sqref="AR5:AT6">
    <cfRule type="expression" dxfId="2242" priority="375">
      <formula>$AQ$4=1</formula>
    </cfRule>
  </conditionalFormatting>
  <conditionalFormatting sqref="AR7:AT82">
    <cfRule type="expression" dxfId="2241" priority="358">
      <formula>$AQ$4=""</formula>
    </cfRule>
  </conditionalFormatting>
  <conditionalFormatting sqref="AV7:AX82">
    <cfRule type="expression" dxfId="2240" priority="380">
      <formula>$AU$4=1</formula>
    </cfRule>
  </conditionalFormatting>
  <conditionalFormatting sqref="AV5:AX6">
    <cfRule type="expression" dxfId="2239" priority="379">
      <formula>$AU$4=1</formula>
    </cfRule>
  </conditionalFormatting>
  <conditionalFormatting sqref="AV7:AX82">
    <cfRule type="expression" dxfId="2238" priority="199">
      <formula>$AU$4=""</formula>
    </cfRule>
  </conditionalFormatting>
  <conditionalFormatting sqref="AZ7:BB82">
    <cfRule type="expression" dxfId="2237" priority="384">
      <formula>$AY$4=1</formula>
    </cfRule>
  </conditionalFormatting>
  <conditionalFormatting sqref="AZ5:BB6">
    <cfRule type="expression" dxfId="2236" priority="383">
      <formula>$AY$4=1</formula>
    </cfRule>
  </conditionalFormatting>
  <conditionalFormatting sqref="AZ7:BB82">
    <cfRule type="expression" dxfId="2235" priority="362">
      <formula>$AY$4=""</formula>
    </cfRule>
  </conditionalFormatting>
  <conditionalFormatting sqref="BD7:BF82">
    <cfRule type="expression" dxfId="2234" priority="388">
      <formula>$BC$4=1</formula>
    </cfRule>
  </conditionalFormatting>
  <conditionalFormatting sqref="BD5:BF6">
    <cfRule type="expression" dxfId="2233" priority="387">
      <formula>$BC$4=1</formula>
    </cfRule>
  </conditionalFormatting>
  <conditionalFormatting sqref="BD7:BF82">
    <cfRule type="expression" dxfId="2232" priority="365">
      <formula>$BC$4=""</formula>
    </cfRule>
  </conditionalFormatting>
  <conditionalFormatting sqref="BH7:BJ82">
    <cfRule type="expression" dxfId="2231" priority="392">
      <formula>$BG$4=1</formula>
    </cfRule>
  </conditionalFormatting>
  <conditionalFormatting sqref="BH5:BJ6">
    <cfRule type="expression" dxfId="2230" priority="391">
      <formula>$BG$4=1</formula>
    </cfRule>
  </conditionalFormatting>
  <conditionalFormatting sqref="BH7:BJ82">
    <cfRule type="expression" dxfId="2229" priority="369">
      <formula>$BG$4=""</formula>
    </cfRule>
  </conditionalFormatting>
  <conditionalFormatting sqref="BL7:BN82">
    <cfRule type="expression" dxfId="2228" priority="396">
      <formula>$BK$4=1</formula>
    </cfRule>
  </conditionalFormatting>
  <conditionalFormatting sqref="BL5:BN6">
    <cfRule type="expression" dxfId="2227" priority="395">
      <formula>$BK$4=1</formula>
    </cfRule>
  </conditionalFormatting>
  <conditionalFormatting sqref="BL7:BN82">
    <cfRule type="expression" dxfId="2226" priority="373">
      <formula>$BK$4=""</formula>
    </cfRule>
  </conditionalFormatting>
  <conditionalFormatting sqref="BP7:BR82">
    <cfRule type="expression" dxfId="2225" priority="400">
      <formula>$BO$4=1</formula>
    </cfRule>
  </conditionalFormatting>
  <conditionalFormatting sqref="BP5:BR6">
    <cfRule type="expression" dxfId="2224" priority="399">
      <formula>$BO$4=1</formula>
    </cfRule>
  </conditionalFormatting>
  <conditionalFormatting sqref="BP7:BR82">
    <cfRule type="expression" dxfId="2223" priority="381">
      <formula>$BO$4=""</formula>
    </cfRule>
  </conditionalFormatting>
  <conditionalFormatting sqref="BT7:BV82">
    <cfRule type="expression" dxfId="2222" priority="404">
      <formula>$BS$4=1</formula>
    </cfRule>
  </conditionalFormatting>
  <conditionalFormatting sqref="BT5:BV6">
    <cfRule type="expression" dxfId="2221" priority="403">
      <formula>$BS$4=1</formula>
    </cfRule>
  </conditionalFormatting>
  <conditionalFormatting sqref="BT7:BV82">
    <cfRule type="expression" dxfId="2220" priority="385">
      <formula>$BS$4=""</formula>
    </cfRule>
  </conditionalFormatting>
  <conditionalFormatting sqref="AW4:AX4">
    <cfRule type="expression" dxfId="2219" priority="26">
      <formula>AU$4=1</formula>
    </cfRule>
  </conditionalFormatting>
  <conditionalFormatting sqref="BA4:BB4">
    <cfRule type="expression" dxfId="2218" priority="25">
      <formula>AY$4=1</formula>
    </cfRule>
  </conditionalFormatting>
  <conditionalFormatting sqref="BE4:BF4">
    <cfRule type="expression" dxfId="2217" priority="24">
      <formula>BC$4=1</formula>
    </cfRule>
  </conditionalFormatting>
  <conditionalFormatting sqref="BI4:BJ4">
    <cfRule type="expression" dxfId="2216" priority="23">
      <formula>BG$4=1</formula>
    </cfRule>
  </conditionalFormatting>
  <conditionalFormatting sqref="BM4:BN4">
    <cfRule type="expression" dxfId="2215" priority="22">
      <formula>BK$4=1</formula>
    </cfRule>
  </conditionalFormatting>
  <conditionalFormatting sqref="BQ4:BR4">
    <cfRule type="expression" dxfId="2214" priority="21">
      <formula>BO$4=1</formula>
    </cfRule>
  </conditionalFormatting>
  <conditionalFormatting sqref="BU4:BV4">
    <cfRule type="expression" dxfId="2213" priority="20">
      <formula>BS$4=1</formula>
    </cfRule>
  </conditionalFormatting>
  <conditionalFormatting sqref="E4">
    <cfRule type="expression" dxfId="2212" priority="18">
      <formula>$F$4=""</formula>
    </cfRule>
  </conditionalFormatting>
  <conditionalFormatting sqref="L4">
    <cfRule type="expression" dxfId="2211" priority="16">
      <formula>$K$4=1</formula>
    </cfRule>
  </conditionalFormatting>
  <conditionalFormatting sqref="P4">
    <cfRule type="expression" dxfId="2210" priority="15">
      <formula>$O$4=1</formula>
    </cfRule>
  </conditionalFormatting>
  <conditionalFormatting sqref="T4">
    <cfRule type="expression" dxfId="2209" priority="14">
      <formula>$S$4=1</formula>
    </cfRule>
  </conditionalFormatting>
  <conditionalFormatting sqref="X4">
    <cfRule type="expression" dxfId="2208" priority="13">
      <formula>W4=1</formula>
    </cfRule>
  </conditionalFormatting>
  <conditionalFormatting sqref="AB4">
    <cfRule type="expression" dxfId="2207" priority="12">
      <formula>AA4=1</formula>
    </cfRule>
  </conditionalFormatting>
  <conditionalFormatting sqref="AF4">
    <cfRule type="expression" dxfId="2206" priority="11">
      <formula>AE4=1</formula>
    </cfRule>
  </conditionalFormatting>
  <conditionalFormatting sqref="AJ4">
    <cfRule type="expression" dxfId="2205" priority="10">
      <formula>AI4=1</formula>
    </cfRule>
  </conditionalFormatting>
  <conditionalFormatting sqref="AN4">
    <cfRule type="expression" dxfId="2204" priority="9">
      <formula>AM4=1</formula>
    </cfRule>
  </conditionalFormatting>
  <conditionalFormatting sqref="AR4">
    <cfRule type="expression" dxfId="2203" priority="8">
      <formula>AQ4=1</formula>
    </cfRule>
  </conditionalFormatting>
  <conditionalFormatting sqref="AV4">
    <cfRule type="expression" dxfId="2202" priority="7">
      <formula>AU4=1</formula>
    </cfRule>
  </conditionalFormatting>
  <conditionalFormatting sqref="AZ4">
    <cfRule type="expression" dxfId="2201" priority="6">
      <formula>AY4=1</formula>
    </cfRule>
  </conditionalFormatting>
  <conditionalFormatting sqref="BD4">
    <cfRule type="expression" dxfId="2200" priority="5">
      <formula>BC4=1</formula>
    </cfRule>
  </conditionalFormatting>
  <conditionalFormatting sqref="BH4">
    <cfRule type="expression" dxfId="2199" priority="4">
      <formula>BG4=1</formula>
    </cfRule>
  </conditionalFormatting>
  <conditionalFormatting sqref="BL4">
    <cfRule type="expression" dxfId="2198" priority="3">
      <formula>BK4=1</formula>
    </cfRule>
  </conditionalFormatting>
  <conditionalFormatting sqref="BP4">
    <cfRule type="expression" dxfId="2197" priority="2">
      <formula>BO4=1</formula>
    </cfRule>
  </conditionalFormatting>
  <conditionalFormatting sqref="BT4">
    <cfRule type="expression" dxfId="2196" priority="1">
      <formula>BS4=1</formula>
    </cfRule>
  </conditionalFormatting>
  <dataValidations count="65">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7624224F-C378-4D43-8AF7-30E154E4ADB9}">
      <formula1>"* ,[OTHER] Visual"</formula1>
    </dataValidation>
    <dataValidation type="list" allowBlank="1" showInputMessage="1" showErrorMessage="1" sqref="D8" xr:uid="{D8D4DF5A-DDD0-42BB-95A7-B12305F10B9C}">
      <formula1>"* ,[ASTM] D6045,[ASTM] D156"</formula1>
    </dataValidation>
    <dataValidation type="list" allowBlank="1" showInputMessage="1" showErrorMessage="1" sqref="D9" xr:uid="{C9A4E4FB-0E42-4DA1-B4AC-19125221AB70}">
      <formula1>"* ,[IP] IP 423,[ASTM] D5452 Appendix X1"</formula1>
    </dataValidation>
    <dataValidation type="list" allowBlank="1" showInputMessage="1" showErrorMessage="1" sqref="D10 D11 D14" xr:uid="{4ABC6C42-7F3E-4EB6-AC9C-5FCCBC31CA9E}">
      <formula1>"* ,[IP] IP 565,[IP] IP 564"</formula1>
    </dataValidation>
    <dataValidation type="list" allowBlank="1" showInputMessage="1" showErrorMessage="1" sqref="D12 D13 D15" xr:uid="{E82AA899-6D81-491E-BBF9-3CE222C2093B}">
      <formula1>"* ,[IP] IP 564,[IP] IP 565"</formula1>
    </dataValidation>
    <dataValidation type="list" allowBlank="1" showInputMessage="1" showErrorMessage="1" sqref="D16" xr:uid="{E2DFF5C5-2573-4156-B194-7A6DA4B64FBE}">
      <formula1>"* ,[ASTM] D3242,[IP] IP 354"</formula1>
    </dataValidation>
    <dataValidation type="list" allowBlank="1" showInputMessage="1" showErrorMessage="1" sqref="D17" xr:uid="{1516004D-34A8-42AA-ABCB-8764FC1C4E1A}">
      <formula1>"* ,[IP] IP 156,[ASTM] D1319"</formula1>
    </dataValidation>
    <dataValidation type="list" allowBlank="1" showInputMessage="1" showErrorMessage="1" sqref="D18" xr:uid="{4688A0F7-D95B-48CD-8B2A-1E798C144D23}">
      <formula1>"* ,[ASTM] D6379,[IP] IP 436"</formula1>
    </dataValidation>
    <dataValidation type="list" allowBlank="1" showInputMessage="1" showErrorMessage="1" sqref="D19" xr:uid="{1D24D334-7ABE-41E4-BE43-E1ECEB03E47B}">
      <formula1>"* ,[IP] IP 336"</formula1>
    </dataValidation>
    <dataValidation type="list" allowBlank="1" showInputMessage="1" showErrorMessage="1" sqref="D20" xr:uid="{7358863C-5B2C-48C7-A688-3EFC17993823}">
      <formula1>"* ,[ASTM] D3227,[IP] IP 342"</formula1>
    </dataValidation>
    <dataValidation type="list" allowBlank="1" showInputMessage="1" showErrorMessage="1" sqref="D21" xr:uid="{149A09C2-537C-4D4C-AEA4-C01D9F04D54E}">
      <formula1>"[IP] IP 30"</formula1>
    </dataValidation>
    <dataValidation type="list" allowBlank="1" showInputMessage="1" showErrorMessage="1" sqref="D22 D23 D24" xr:uid="{37F780E9-26F4-4030-8870-DC4FEE3D4B07}">
      <formula1>"* ,[OTHER] Calculation"</formula1>
    </dataValidation>
    <dataValidation type="list" allowBlank="1" showInputMessage="1" showErrorMessage="1" sqref="D25" xr:uid="{005BAA2C-73E3-460D-BEE7-1BF07F19B9FA}">
      <formula1>"* ,[OTHER] Not Listed"</formula1>
    </dataValidation>
    <dataValidation type="list" allowBlank="1" showInputMessage="1" showErrorMessage="1" sqref="D26 D30" xr:uid="{36A587AE-1343-4452-AE8A-CC17E8AE6941}">
      <formula1>"* ,[ASTM] D86,[IP] IP 123"</formula1>
    </dataValidation>
    <dataValidation type="list" allowBlank="1" showInputMessage="1" showErrorMessage="1" sqref="D27 D28 D29 D31 D32" xr:uid="{2AE023F0-0BA1-44FA-B7BB-DBED94EB4E19}">
      <formula1>"* ,[IP] IP 123,[ASTM] D86"</formula1>
    </dataValidation>
    <dataValidation type="list" allowBlank="1" showInputMessage="1" showErrorMessage="1" sqref="D33" xr:uid="{B3382900-0894-4E9D-AE20-2E43B10F6D3C}">
      <formula1>"* ,[IP] IP 170"</formula1>
    </dataValidation>
    <dataValidation type="list" allowBlank="1" showInputMessage="1" showErrorMessage="1" sqref="D34" xr:uid="{9392404C-522A-4B6F-B03A-A82F142D6CB1}">
      <formula1>"* ,[IP] IP 365,[ASTM] D4052"</formula1>
    </dataValidation>
    <dataValidation type="list" allowBlank="1" showInputMessage="1" showErrorMessage="1" sqref="D35" xr:uid="{6D83FCD4-7EBA-4E90-8FD6-3F80B752D468}">
      <formula1>"* ,[ASTM] D2386,[IP] IP 16"</formula1>
    </dataValidation>
    <dataValidation type="list" allowBlank="1" showInputMessage="1" showErrorMessage="1" sqref="D36" xr:uid="{BA9BF23A-0E33-4E8D-866F-0C75B2283802}">
      <formula1>"* ,[ASTM] D445,[IP] IP 71"</formula1>
    </dataValidation>
    <dataValidation type="list" allowBlank="1" showInputMessage="1" showErrorMessage="1" sqref="D37" xr:uid="{9327D48A-1714-4C43-86BF-49519AC0FBE7}">
      <formula1>"* ,[ASTM] D1322,[IP] IP 57"</formula1>
    </dataValidation>
    <dataValidation type="list" allowBlank="1" showInputMessage="1" showErrorMessage="1" sqref="D38" xr:uid="{B4C860CE-CFF6-405A-A6C5-E12DF2D3EF56}">
      <formula1>"* ,[ASTM] D1840"</formula1>
    </dataValidation>
    <dataValidation type="list" allowBlank="1" showInputMessage="1" showErrorMessage="1" sqref="D39" xr:uid="{F23E2115-C8A6-4105-A691-0D1D866E75EC}">
      <formula1>"* ,[IP] IP 12,[IP] IP 355,[ASTM] D4809,[ASTM] D3338"</formula1>
    </dataValidation>
    <dataValidation type="list" allowBlank="1" showInputMessage="1" showErrorMessage="1" sqref="D40" xr:uid="{50331652-B34D-4FAD-8720-472396040E43}">
      <formula1>"* ,[IP] IP 154,[ASTM] D130"</formula1>
    </dataValidation>
    <dataValidation type="list" allowBlank="1" showInputMessage="1" showErrorMessage="1" sqref="D41 D43" xr:uid="{2A174AE4-0E70-4445-B4B2-5450F5CC10C4}">
      <formula1>"* ,[ASTM] D3241,[IP] IP 323"</formula1>
    </dataValidation>
    <dataValidation type="list" allowBlank="1" showInputMessage="1" showErrorMessage="1" sqref="D42" xr:uid="{CB347274-C7A0-456B-9E99-FD7781B39570}">
      <formula1>"* ,[IP] IP 323,[ASTM] D3241"</formula1>
    </dataValidation>
    <dataValidation type="list" allowBlank="1" showInputMessage="1" showErrorMessage="1" sqref="D44" xr:uid="{FC3CF02A-6A94-41E1-BE3C-6CF6FFB5ADF3}">
      <formula1>"* ,[IP] IP 540"</formula1>
    </dataValidation>
    <dataValidation type="list" allowBlank="1" showInputMessage="1" showErrorMessage="1" sqref="D45 D46" xr:uid="{D4AEB410-876E-4BAA-8549-FC8D667CE744}">
      <formula1>"* ,[ASTM] D3948"</formula1>
    </dataValidation>
    <dataValidation type="list" allowBlank="1" showInputMessage="1" showErrorMessage="1" sqref="D47" xr:uid="{F2A22322-C2BE-470C-80F5-E1DB00A2BD19}">
      <formula1>"* ,[IP] IP 274,[ASTM] D2624"</formula1>
    </dataValidation>
    <dataValidation type="list" allowBlank="1" showInputMessage="1" showErrorMessage="1" sqref="D48" xr:uid="{E440663D-5A2C-461D-9EE4-BBF3E429B49C}">
      <formula1>"* ,[ASTM] D5001"</formula1>
    </dataValidation>
    <dataValidation type="list" allowBlank="1" showInputMessage="1" showErrorMessage="1" sqref="D49" xr:uid="{2E79DDE4-6B76-48D3-AFD4-B88AAE62B617}">
      <formula1>"* ,[IP] IP 585"</formula1>
    </dataValidation>
    <dataValidation type="list" allowBlank="1" showInputMessage="1" showErrorMessage="1" sqref="D50" xr:uid="{D7429841-56AB-4E22-A1C5-5DB73476006C}">
      <formula1>"* ,[ASTM] Additive - Static Dissipator (declaration)"</formula1>
    </dataValidation>
    <dataValidation type="list" allowBlank="1" showInputMessage="1" showErrorMessage="1" sqref="D51" xr:uid="{062E4452-127A-4A29-8A37-643B26E1E536}">
      <formula1>"* ,[OTHER] FED-STD-791-5327.4"</formula1>
    </dataValidation>
    <dataValidation type="list" allowBlank="1" showInputMessage="1" showErrorMessage="1" sqref="I7" xr:uid="{3D37A427-E2CC-4120-ABC9-886328C0731B}">
      <formula1>"pass/fail,visual"</formula1>
    </dataValidation>
    <dataValidation type="list" allowBlank="1" showInputMessage="1" showErrorMessage="1" sqref="I8" xr:uid="{82E7F05F-9D08-4A3B-96D4-FC2B18809572}">
      <formula1>"haze no,Min,Max,pass/fail,rating,visual"</formula1>
    </dataValidation>
    <dataValidation type="list" allowBlank="1" showInputMessage="1" showErrorMessage="1" sqref="I9" xr:uid="{B0B07982-232C-4641-9279-90397BE10B5E}">
      <formula1>"mg/l,rating"</formula1>
    </dataValidation>
    <dataValidation type="list" allowBlank="1" showInputMessage="1" showErrorMessage="1" sqref="I10 I11 I12" xr:uid="{CE142605-0D7E-4BC6-BDA6-547092ADB017}">
      <formula1>"cumulative counts per ml"</formula1>
    </dataValidation>
    <dataValidation type="list" allowBlank="1" showInputMessage="1" showErrorMessage="1" sqref="I13 I14 I15" xr:uid="{73377C29-0EE5-46F5-90AA-6C8EEAC262A1}">
      <formula1>"n/a"</formula1>
    </dataValidation>
    <dataValidation type="list" allowBlank="1" showInputMessage="1" showErrorMessage="1" sqref="I16" xr:uid="{395F271B-BAA8-4EE6-B4DC-51516CCD7C1A}">
      <formula1>"mg KOH/g,mg NaOH/100ml,mg NaOH/g,mg/kg,mg/l,pH"</formula1>
    </dataValidation>
    <dataValidation type="list" allowBlank="1" showInputMessage="1" showErrorMessage="1" sqref="I17" xr:uid="{9CA66A65-93E5-4636-BD9C-A714A4CF0D86}">
      <formula1>"ppm,%liq vol,%m/m,%mole,%wt,%vol"</formula1>
    </dataValidation>
    <dataValidation type="list" allowBlank="1" showInputMessage="1" showErrorMessage="1" sqref="I18" xr:uid="{F5C95498-55A7-4B81-858F-E8F38680E8A0}">
      <formula1>"ppm,%liq vol,%m/m,%mole,%vol"</formula1>
    </dataValidation>
    <dataValidation type="list" allowBlank="1" showInputMessage="1" showErrorMessage="1" sqref="I19" xr:uid="{99AB3C7C-DE4F-453B-9D57-EE4201A0280F}">
      <formula1>"mg/kg,mg/l,ppm,ppm w/w,%m,%m/m,%wt"</formula1>
    </dataValidation>
    <dataValidation type="list" allowBlank="1" showInputMessage="1" showErrorMessage="1" sqref="I20" xr:uid="{AA4C23BA-A4DA-409B-BA3D-427B24105C4D}">
      <formula1>"mg/kg,mg/m³,ppm,%m,%m/m,%mole,%wt,%vol"</formula1>
    </dataValidation>
    <dataValidation type="list" allowBlank="1" showInputMessage="1" showErrorMessage="1" sqref="I21" xr:uid="{305238B5-C58D-409A-B62F-A00391F94A9F}">
      <formula1>"pos/neg,pass/fail"</formula1>
    </dataValidation>
    <dataValidation type="list" allowBlank="1" showInputMessage="1" showErrorMessage="1" sqref="I22 I23 I24 I25 I51" xr:uid="{E97C4C89-EEC3-487F-AD3C-992F33A597B6}">
      <formula1>"%vol"</formula1>
    </dataValidation>
    <dataValidation type="list" allowBlank="1" showInputMessage="1" showErrorMessage="1" sqref="I26 I27 I28 I29 I30 I32" xr:uid="{1D6270F4-4A25-4AD5-92A0-B67B9BBCDC71}">
      <formula1>"°C,°F,%,%vol"</formula1>
    </dataValidation>
    <dataValidation type="list" allowBlank="1" showInputMessage="1" showErrorMessage="1" sqref="I31" xr:uid="{C126BF6E-2650-41A7-B27B-66A5168C98BB}">
      <formula1>"°C,°F,mg/kg,%,%vol"</formula1>
    </dataValidation>
    <dataValidation type="list" allowBlank="1" showInputMessage="1" showErrorMessage="1" sqref="I33 I35" xr:uid="{5F35EA09-7F53-488E-AD82-8B9B2DF3B8CE}">
      <formula1>"°C,°F"</formula1>
    </dataValidation>
    <dataValidation type="list" allowBlank="1" showInputMessage="1" showErrorMessage="1" sqref="I34" xr:uid="{F354DA45-506D-4A9B-8FD0-1F444D5F5AB7}">
      <formula1>"g/ cc,g/l,g/cm³,g/ml,kg/m³,kg/l,n/a,tonne/m³"</formula1>
    </dataValidation>
    <dataValidation type="list" allowBlank="1" showInputMessage="1" showErrorMessage="1" sqref="I36" xr:uid="{2FE1DBE2-EC72-4742-89C4-BE4574EA0137}">
      <formula1>"cSt,Engler,mm²/s,Pa·s,SUS"</formula1>
    </dataValidation>
    <dataValidation type="list" allowBlank="1" showInputMessage="1" showErrorMessage="1" sqref="I37" xr:uid="{D87F4136-F059-4ED2-A6D6-C3B85A8B8703}">
      <formula1>"°C,°F,mm"</formula1>
    </dataValidation>
    <dataValidation type="list" allowBlank="1" showInputMessage="1" showErrorMessage="1" sqref="I38" xr:uid="{77E28B90-577F-405F-902B-43A722E42392}">
      <formula1>"ppm,%m/m,%mole,%vol"</formula1>
    </dataValidation>
    <dataValidation type="list" allowBlank="1" showInputMessage="1" showErrorMessage="1" sqref="I39" xr:uid="{6069E877-411D-4D43-88E7-2EAA3AF36349}">
      <formula1>"Btu/lb,kcal/kg,MJ/kg"</formula1>
    </dataValidation>
    <dataValidation type="list" allowBlank="1" showInputMessage="1" showErrorMessage="1" sqref="I40 I45 I46" xr:uid="{E893DF52-CDCB-4857-AF28-5DDB293122C6}">
      <formula1>"rating"</formula1>
    </dataValidation>
    <dataValidation type="list" allowBlank="1" showInputMessage="1" showErrorMessage="1" sqref="I41" xr:uid="{4140CEE5-708C-470B-8677-461655D69EC5}">
      <formula1>"°C"</formula1>
    </dataValidation>
    <dataValidation type="list" allowBlank="1" showInputMessage="1" showErrorMessage="1" sqref="I42" xr:uid="{014F8DC9-C1C7-44C9-BE5B-2CDA307F25C4}">
      <formula1>"Min,Max,rating"</formula1>
    </dataValidation>
    <dataValidation type="list" allowBlank="1" showInputMessage="1" showErrorMessage="1" sqref="I43" xr:uid="{08CC8129-A2C1-4591-BA78-C80052E6B4D4}">
      <formula1>"mm Hg"</formula1>
    </dataValidation>
    <dataValidation type="list" allowBlank="1" showInputMessage="1" showErrorMessage="1" sqref="I44" xr:uid="{92B6FE41-9958-4984-B3B8-181965D2A05E}">
      <formula1>"g/m³,mg/100ml,mg/l"</formula1>
    </dataValidation>
    <dataValidation type="list" allowBlank="1" showInputMessage="1" showErrorMessage="1" sqref="I47" xr:uid="{001E0240-0640-4CF3-B85D-C6FECB6A0AAD}">
      <formula1>"pS/m"</formula1>
    </dataValidation>
    <dataValidation type="list" allowBlank="1" showInputMessage="1" showErrorMessage="1" sqref="I48" xr:uid="{2216DE22-DE30-43B1-A637-73B32D069433}">
      <formula1>"μm,mm"</formula1>
    </dataValidation>
    <dataValidation type="list" allowBlank="1" showInputMessage="1" showErrorMessage="1" sqref="I49" xr:uid="{BC1FF15E-C719-4B80-91C1-C7FEC0514C36}">
      <formula1>"ppm v/v"</formula1>
    </dataValidation>
    <dataValidation type="list" allowBlank="1" showInputMessage="1" showErrorMessage="1" sqref="I50" xr:uid="{F3B93D54-1183-44F3-BB33-9422CF8FEE2E}">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xr:uid="{998A0D86-33CF-416A-BE97-305ADB37606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514AD-2492-4BE5-98C8-977AB90511A6}">
  <sheetPr codeName="Sheet5">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684</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195" priority="188">
      <formula>$F$1=1</formula>
    </cfRule>
    <cfRule type="expression" priority="189">
      <formula>$F$1</formula>
    </cfRule>
  </conditionalFormatting>
  <conditionalFormatting sqref="J4">
    <cfRule type="expression" dxfId="2194" priority="190">
      <formula>$F$1=1</formula>
    </cfRule>
  </conditionalFormatting>
  <conditionalFormatting sqref="C7:G82">
    <cfRule type="expression" dxfId="2193" priority="102">
      <formula>$B7="v"</formula>
    </cfRule>
  </conditionalFormatting>
  <conditionalFormatting sqref="H7:H82">
    <cfRule type="expression" dxfId="2192" priority="186">
      <formula>$B7="v"</formula>
    </cfRule>
  </conditionalFormatting>
  <conditionalFormatting sqref="N7:N82">
    <cfRule type="expression" dxfId="2191" priority="185">
      <formula>$B7="v"</formula>
    </cfRule>
  </conditionalFormatting>
  <conditionalFormatting sqref="M7:M82">
    <cfRule type="expression" dxfId="2190" priority="184">
      <formula>$B7="v"</formula>
    </cfRule>
  </conditionalFormatting>
  <conditionalFormatting sqref="L7:L82">
    <cfRule type="expression" dxfId="2189" priority="192">
      <formula>$B7="v"</formula>
    </cfRule>
  </conditionalFormatting>
  <conditionalFormatting sqref="P7:Q82">
    <cfRule type="expression" dxfId="2188" priority="195">
      <formula>$B7="v"</formula>
    </cfRule>
  </conditionalFormatting>
  <conditionalFormatting sqref="R7:R82">
    <cfRule type="expression" dxfId="2187" priority="182">
      <formula>$B7="v"</formula>
    </cfRule>
  </conditionalFormatting>
  <conditionalFormatting sqref="Z7:Z82 V7:V82 AL7:AL82 AH7:AH82 AD7:AD82 AX7:AX82 AT7:AT82 AP7:AP82 BJ7:BJ82 BF7:BF82 BB7:BB82 BV7:BV82 BR7:BR82 BN7:BN82">
    <cfRule type="expression" dxfId="2186" priority="234">
      <formula>$B7="v"</formula>
    </cfRule>
  </conditionalFormatting>
  <conditionalFormatting sqref="X7:Y82 T7:U82 AJ7:AK82 AF7:AG82 AB7:AC82 AR7:AS82 AN7:AO82 BH7:BI82 BD7:BE82 AZ7:BA82 BT7:BU82 BP7:BQ82 BL7:BM82">
    <cfRule type="expression" dxfId="2185" priority="237">
      <formula>$B7="v"</formula>
    </cfRule>
  </conditionalFormatting>
  <conditionalFormatting sqref="AV7:AW82">
    <cfRule type="expression" dxfId="2184" priority="225">
      <formula>$B7="v"</formula>
    </cfRule>
  </conditionalFormatting>
  <conditionalFormatting sqref="F25">
    <cfRule type="expression" dxfId="2183" priority="177">
      <formula>$E$25="n/a"</formula>
    </cfRule>
  </conditionalFormatting>
  <conditionalFormatting sqref="F7">
    <cfRule type="expression" dxfId="2182" priority="176">
      <formula>$E$7="n/a"</formula>
    </cfRule>
  </conditionalFormatting>
  <conditionalFormatting sqref="F8">
    <cfRule type="expression" dxfId="2181" priority="187">
      <formula>$E$8="n/a"</formula>
    </cfRule>
  </conditionalFormatting>
  <conditionalFormatting sqref="F9">
    <cfRule type="expression" dxfId="2180" priority="175">
      <formula>$E$9="n/a"</formula>
    </cfRule>
  </conditionalFormatting>
  <conditionalFormatting sqref="F10">
    <cfRule type="expression" dxfId="2179" priority="174">
      <formula>$E$10="n/a"</formula>
    </cfRule>
  </conditionalFormatting>
  <conditionalFormatting sqref="F11">
    <cfRule type="expression" dxfId="2178" priority="173">
      <formula>$E$11="n/a"</formula>
    </cfRule>
  </conditionalFormatting>
  <conditionalFormatting sqref="F12">
    <cfRule type="expression" dxfId="2177" priority="172">
      <formula>$E$12="n/a"</formula>
    </cfRule>
  </conditionalFormatting>
  <conditionalFormatting sqref="F13">
    <cfRule type="expression" dxfId="2176" priority="171">
      <formula>$E$13="n/a"</formula>
    </cfRule>
  </conditionalFormatting>
  <conditionalFormatting sqref="F14">
    <cfRule type="expression" dxfId="2175" priority="170">
      <formula>$E$14="n/a"</formula>
    </cfRule>
  </conditionalFormatting>
  <conditionalFormatting sqref="F15">
    <cfRule type="expression" dxfId="2174" priority="169">
      <formula>$E$15="n/a"</formula>
    </cfRule>
  </conditionalFormatting>
  <conditionalFormatting sqref="F16">
    <cfRule type="expression" dxfId="2173" priority="168">
      <formula>$E$16="n/a"</formula>
    </cfRule>
  </conditionalFormatting>
  <conditionalFormatting sqref="F17">
    <cfRule type="expression" dxfId="2172" priority="167">
      <formula>$E$17="n/a"</formula>
    </cfRule>
  </conditionalFormatting>
  <conditionalFormatting sqref="F18">
    <cfRule type="expression" dxfId="2171" priority="166">
      <formula>$E$18="n/a"</formula>
    </cfRule>
  </conditionalFormatting>
  <conditionalFormatting sqref="F19">
    <cfRule type="expression" dxfId="2170" priority="165">
      <formula>$E$19="n/a"</formula>
    </cfRule>
  </conditionalFormatting>
  <conditionalFormatting sqref="F20">
    <cfRule type="expression" dxfId="2169" priority="164">
      <formula>$E$20="n/a"</formula>
    </cfRule>
  </conditionalFormatting>
  <conditionalFormatting sqref="F21">
    <cfRule type="expression" dxfId="2168" priority="163">
      <formula>$E$21="n/a"</formula>
    </cfRule>
  </conditionalFormatting>
  <conditionalFormatting sqref="F22">
    <cfRule type="expression" dxfId="2167" priority="162">
      <formula>$E$22="n/a"</formula>
    </cfRule>
  </conditionalFormatting>
  <conditionalFormatting sqref="F23">
    <cfRule type="expression" dxfId="2166" priority="161">
      <formula>$E$23="n/a"</formula>
    </cfRule>
  </conditionalFormatting>
  <conditionalFormatting sqref="F24">
    <cfRule type="expression" dxfId="2165" priority="160">
      <formula>$E$24="n/a"</formula>
    </cfRule>
  </conditionalFormatting>
  <conditionalFormatting sqref="F26">
    <cfRule type="expression" dxfId="2164" priority="159">
      <formula>$E$26="n/a"</formula>
    </cfRule>
  </conditionalFormatting>
  <conditionalFormatting sqref="F27">
    <cfRule type="expression" dxfId="2163" priority="158">
      <formula>$E$27="n/a"</formula>
    </cfRule>
  </conditionalFormatting>
  <conditionalFormatting sqref="F28">
    <cfRule type="expression" dxfId="2162" priority="157">
      <formula>$E$28="n/a"</formula>
    </cfRule>
  </conditionalFormatting>
  <conditionalFormatting sqref="F29">
    <cfRule type="expression" dxfId="2161" priority="156">
      <formula>$E$29="n/a"</formula>
    </cfRule>
  </conditionalFormatting>
  <conditionalFormatting sqref="F30">
    <cfRule type="expression" dxfId="2160" priority="155">
      <formula>$E$30="n/a"</formula>
    </cfRule>
  </conditionalFormatting>
  <conditionalFormatting sqref="F31">
    <cfRule type="expression" dxfId="2159" priority="154">
      <formula>$E$31="n/a"</formula>
    </cfRule>
  </conditionalFormatting>
  <conditionalFormatting sqref="F32">
    <cfRule type="expression" dxfId="2158" priority="153">
      <formula>$E$32="n/a"</formula>
    </cfRule>
  </conditionalFormatting>
  <conditionalFormatting sqref="F33">
    <cfRule type="expression" dxfId="2157" priority="152">
      <formula>$E$33="n/a"</formula>
    </cfRule>
  </conditionalFormatting>
  <conditionalFormatting sqref="F34">
    <cfRule type="expression" dxfId="2156" priority="151">
      <formula>$E$34="n/a"</formula>
    </cfRule>
  </conditionalFormatting>
  <conditionalFormatting sqref="F35">
    <cfRule type="expression" dxfId="2155" priority="150">
      <formula>$E$35="n/a"</formula>
    </cfRule>
  </conditionalFormatting>
  <conditionalFormatting sqref="F36">
    <cfRule type="expression" dxfId="2154" priority="149">
      <formula>$E$36="n/a"</formula>
    </cfRule>
  </conditionalFormatting>
  <conditionalFormatting sqref="F37">
    <cfRule type="expression" dxfId="2153" priority="148">
      <formula>$E$37="n/a"</formula>
    </cfRule>
  </conditionalFormatting>
  <conditionalFormatting sqref="F38">
    <cfRule type="expression" dxfId="2152" priority="147">
      <formula>$E$38="n/a"</formula>
    </cfRule>
  </conditionalFormatting>
  <conditionalFormatting sqref="F39">
    <cfRule type="expression" dxfId="2151" priority="146">
      <formula>$E$39="n/a"</formula>
    </cfRule>
  </conditionalFormatting>
  <conditionalFormatting sqref="F40">
    <cfRule type="expression" dxfId="2150" priority="145">
      <formula>$E$40="n/a"</formula>
    </cfRule>
  </conditionalFormatting>
  <conditionalFormatting sqref="F41">
    <cfRule type="expression" dxfId="2149" priority="144">
      <formula>$E$41="n/a"</formula>
    </cfRule>
  </conditionalFormatting>
  <conditionalFormatting sqref="F42">
    <cfRule type="expression" dxfId="2148" priority="143">
      <formula>$E$42="n/a"</formula>
    </cfRule>
  </conditionalFormatting>
  <conditionalFormatting sqref="F43">
    <cfRule type="expression" dxfId="2147" priority="142">
      <formula>$E$43="n/a"</formula>
    </cfRule>
  </conditionalFormatting>
  <conditionalFormatting sqref="F44">
    <cfRule type="expression" dxfId="2146" priority="141">
      <formula>$E$44="n/a"</formula>
    </cfRule>
  </conditionalFormatting>
  <conditionalFormatting sqref="F45">
    <cfRule type="expression" dxfId="2145" priority="140">
      <formula>$E$45="n/a"</formula>
    </cfRule>
  </conditionalFormatting>
  <conditionalFormatting sqref="F46">
    <cfRule type="expression" dxfId="2144" priority="139">
      <formula>$E$46="n/a"</formula>
    </cfRule>
  </conditionalFormatting>
  <conditionalFormatting sqref="F82">
    <cfRule type="expression" dxfId="2143" priority="137">
      <formula>$E$82="n/a"</formula>
    </cfRule>
  </conditionalFormatting>
  <conditionalFormatting sqref="F81">
    <cfRule type="expression" dxfId="2142" priority="136">
      <formula>$E$81="n/a"</formula>
    </cfRule>
  </conditionalFormatting>
  <conditionalFormatting sqref="F80">
    <cfRule type="expression" dxfId="2141" priority="135">
      <formula>$E$80="n/a"</formula>
    </cfRule>
  </conditionalFormatting>
  <conditionalFormatting sqref="F79">
    <cfRule type="expression" dxfId="2140" priority="134">
      <formula>$E$79="n/a"</formula>
    </cfRule>
  </conditionalFormatting>
  <conditionalFormatting sqref="F78">
    <cfRule type="expression" dxfId="2139" priority="133">
      <formula>$E$78="n/a"</formula>
    </cfRule>
  </conditionalFormatting>
  <conditionalFormatting sqref="F77">
    <cfRule type="expression" dxfId="2138" priority="132">
      <formula>$E$77="n/a"</formula>
    </cfRule>
  </conditionalFormatting>
  <conditionalFormatting sqref="F76">
    <cfRule type="expression" dxfId="2137" priority="131">
      <formula>$E$76="n/a"</formula>
    </cfRule>
  </conditionalFormatting>
  <conditionalFormatting sqref="F75">
    <cfRule type="expression" dxfId="2136" priority="130">
      <formula>$E$75="n/a"</formula>
    </cfRule>
  </conditionalFormatting>
  <conditionalFormatting sqref="F74">
    <cfRule type="expression" dxfId="2135" priority="129">
      <formula>$E$74="n/a"</formula>
    </cfRule>
  </conditionalFormatting>
  <conditionalFormatting sqref="F73">
    <cfRule type="expression" dxfId="2134" priority="127">
      <formula>$E$73="n/a"</formula>
    </cfRule>
  </conditionalFormatting>
  <conditionalFormatting sqref="F72">
    <cfRule type="expression" dxfId="2133" priority="103">
      <formula>$E$72="n/a"</formula>
    </cfRule>
  </conditionalFormatting>
  <conditionalFormatting sqref="F47">
    <cfRule type="expression" dxfId="2132" priority="138">
      <formula>$E$47="n/a"</formula>
    </cfRule>
  </conditionalFormatting>
  <conditionalFormatting sqref="F48">
    <cfRule type="expression" dxfId="2131" priority="128">
      <formula>$E$48="n/a"</formula>
    </cfRule>
  </conditionalFormatting>
  <conditionalFormatting sqref="F49">
    <cfRule type="expression" dxfId="2130" priority="126">
      <formula>$E$49="n/a"</formula>
    </cfRule>
  </conditionalFormatting>
  <conditionalFormatting sqref="F50">
    <cfRule type="expression" dxfId="2129" priority="125">
      <formula>$E$50="n/a"</formula>
    </cfRule>
  </conditionalFormatting>
  <conditionalFormatting sqref="F51">
    <cfRule type="expression" dxfId="2128" priority="124">
      <formula>$E$51="n/a"</formula>
    </cfRule>
  </conditionalFormatting>
  <conditionalFormatting sqref="F52">
    <cfRule type="expression" dxfId="2127" priority="123">
      <formula>$E$52="n/a"</formula>
    </cfRule>
  </conditionalFormatting>
  <conditionalFormatting sqref="F53">
    <cfRule type="expression" dxfId="2126" priority="122">
      <formula>$E$53="n/a"</formula>
    </cfRule>
  </conditionalFormatting>
  <conditionalFormatting sqref="F54">
    <cfRule type="expression" dxfId="2125" priority="121">
      <formula>$E$54="n/a"</formula>
    </cfRule>
  </conditionalFormatting>
  <conditionalFormatting sqref="F55">
    <cfRule type="expression" dxfId="2124" priority="120">
      <formula>$E$55="n/a"</formula>
    </cfRule>
  </conditionalFormatting>
  <conditionalFormatting sqref="F56">
    <cfRule type="expression" dxfId="2123" priority="119">
      <formula>$E$56="n/a"</formula>
    </cfRule>
  </conditionalFormatting>
  <conditionalFormatting sqref="F57">
    <cfRule type="expression" dxfId="2122" priority="118">
      <formula>$E$57="n/a"</formula>
    </cfRule>
  </conditionalFormatting>
  <conditionalFormatting sqref="F58">
    <cfRule type="expression" dxfId="2121" priority="117">
      <formula>$E$58="n/a"</formula>
    </cfRule>
  </conditionalFormatting>
  <conditionalFormatting sqref="F59">
    <cfRule type="expression" dxfId="2120" priority="116">
      <formula>$E$59="n/a"</formula>
    </cfRule>
  </conditionalFormatting>
  <conditionalFormatting sqref="F60">
    <cfRule type="expression" dxfId="2119" priority="115">
      <formula>$E$60="n/a"</formula>
    </cfRule>
  </conditionalFormatting>
  <conditionalFormatting sqref="F61">
    <cfRule type="expression" dxfId="2118" priority="114">
      <formula>$E$61="n/a"</formula>
    </cfRule>
  </conditionalFormatting>
  <conditionalFormatting sqref="F62">
    <cfRule type="expression" dxfId="2117" priority="113">
      <formula>$E$62="n/a"</formula>
    </cfRule>
  </conditionalFormatting>
  <conditionalFormatting sqref="F63">
    <cfRule type="expression" dxfId="2116" priority="112">
      <formula>$E$63="n/a"</formula>
    </cfRule>
  </conditionalFormatting>
  <conditionalFormatting sqref="F64">
    <cfRule type="expression" dxfId="2115" priority="111">
      <formula>$E$64="n/a"</formula>
    </cfRule>
  </conditionalFormatting>
  <conditionalFormatting sqref="F65">
    <cfRule type="expression" dxfId="2114" priority="110">
      <formula>$E$65="n/a"</formula>
    </cfRule>
  </conditionalFormatting>
  <conditionalFormatting sqref="F66">
    <cfRule type="expression" dxfId="2113" priority="109">
      <formula>$E$66="n/a"</formula>
    </cfRule>
  </conditionalFormatting>
  <conditionalFormatting sqref="F67">
    <cfRule type="expression" dxfId="2112" priority="108">
      <formula>$E$67="n/a"</formula>
    </cfRule>
  </conditionalFormatting>
  <conditionalFormatting sqref="F68">
    <cfRule type="expression" dxfId="2111" priority="107">
      <formula>$E$68="n/a"</formula>
    </cfRule>
  </conditionalFormatting>
  <conditionalFormatting sqref="F69">
    <cfRule type="expression" dxfId="2110" priority="106">
      <formula>$E$69="n/a"</formula>
    </cfRule>
  </conditionalFormatting>
  <conditionalFormatting sqref="F70">
    <cfRule type="expression" dxfId="2109" priority="105">
      <formula>$E$70="n/a"</formula>
    </cfRule>
  </conditionalFormatting>
  <conditionalFormatting sqref="F71">
    <cfRule type="expression" dxfId="2108" priority="104">
      <formula>$E$71="n/a"</formula>
    </cfRule>
  </conditionalFormatting>
  <conditionalFormatting sqref="I7">
    <cfRule type="expression" dxfId="2107" priority="101">
      <formula>$B$7="v"</formula>
    </cfRule>
  </conditionalFormatting>
  <conditionalFormatting sqref="I8">
    <cfRule type="expression" dxfId="2106" priority="100">
      <formula>$B$8="v"</formula>
    </cfRule>
  </conditionalFormatting>
  <conditionalFormatting sqref="I9">
    <cfRule type="expression" dxfId="2105" priority="99">
      <formula>$B$9="v"</formula>
    </cfRule>
  </conditionalFormatting>
  <conditionalFormatting sqref="I10">
    <cfRule type="expression" dxfId="2104" priority="98">
      <formula>$B$10="v"</formula>
    </cfRule>
  </conditionalFormatting>
  <conditionalFormatting sqref="I11">
    <cfRule type="expression" dxfId="2103" priority="97">
      <formula>$B$11="v"</formula>
    </cfRule>
  </conditionalFormatting>
  <conditionalFormatting sqref="I12">
    <cfRule type="expression" dxfId="2102" priority="96">
      <formula>$B$12="v"</formula>
    </cfRule>
  </conditionalFormatting>
  <conditionalFormatting sqref="I13">
    <cfRule type="expression" dxfId="2101" priority="95">
      <formula>$B$13="v"</formula>
    </cfRule>
  </conditionalFormatting>
  <conditionalFormatting sqref="I14">
    <cfRule type="expression" dxfId="2100" priority="94">
      <formula>$B$14="v"</formula>
    </cfRule>
  </conditionalFormatting>
  <conditionalFormatting sqref="I15">
    <cfRule type="expression" dxfId="2099" priority="93">
      <formula>$B$15="v"</formula>
    </cfRule>
  </conditionalFormatting>
  <conditionalFormatting sqref="I16">
    <cfRule type="expression" dxfId="2098" priority="92">
      <formula>$B$16="v"</formula>
    </cfRule>
  </conditionalFormatting>
  <conditionalFormatting sqref="I17">
    <cfRule type="expression" dxfId="2097" priority="91">
      <formula>$B$17="v"</formula>
    </cfRule>
  </conditionalFormatting>
  <conditionalFormatting sqref="I18">
    <cfRule type="expression" dxfId="2096" priority="90">
      <formula>$B$18="v"</formula>
    </cfRule>
  </conditionalFormatting>
  <conditionalFormatting sqref="I19">
    <cfRule type="expression" dxfId="2095" priority="89">
      <formula>$B$19="v"</formula>
    </cfRule>
  </conditionalFormatting>
  <conditionalFormatting sqref="I20">
    <cfRule type="expression" dxfId="2094" priority="88">
      <formula>$B$20="v"</formula>
    </cfRule>
  </conditionalFormatting>
  <conditionalFormatting sqref="I21">
    <cfRule type="expression" dxfId="2093" priority="87">
      <formula>$B$21="v"</formula>
    </cfRule>
  </conditionalFormatting>
  <conditionalFormatting sqref="I22">
    <cfRule type="expression" dxfId="2092" priority="86">
      <formula>$B$22="v"</formula>
    </cfRule>
  </conditionalFormatting>
  <conditionalFormatting sqref="I23">
    <cfRule type="expression" dxfId="2091" priority="85">
      <formula>$B$23="v"</formula>
    </cfRule>
  </conditionalFormatting>
  <conditionalFormatting sqref="I24">
    <cfRule type="expression" dxfId="2090" priority="84">
      <formula>$B$24="v"</formula>
    </cfRule>
  </conditionalFormatting>
  <conditionalFormatting sqref="I25">
    <cfRule type="expression" dxfId="2089" priority="83">
      <formula>$B$25="v"</formula>
    </cfRule>
  </conditionalFormatting>
  <conditionalFormatting sqref="I26">
    <cfRule type="expression" dxfId="2088" priority="82">
      <formula>$B$26="v"</formula>
    </cfRule>
  </conditionalFormatting>
  <conditionalFormatting sqref="I27">
    <cfRule type="expression" dxfId="2087" priority="81">
      <formula>$B$27="v"</formula>
    </cfRule>
  </conditionalFormatting>
  <conditionalFormatting sqref="I28">
    <cfRule type="expression" dxfId="2086" priority="80">
      <formula>$B$28="v"</formula>
    </cfRule>
  </conditionalFormatting>
  <conditionalFormatting sqref="I29">
    <cfRule type="expression" dxfId="2085" priority="79">
      <formula>$B$29="v"</formula>
    </cfRule>
  </conditionalFormatting>
  <conditionalFormatting sqref="I30">
    <cfRule type="expression" dxfId="2084" priority="78">
      <formula>$B$30="v"</formula>
    </cfRule>
  </conditionalFormatting>
  <conditionalFormatting sqref="I31">
    <cfRule type="expression" dxfId="2083" priority="77">
      <formula>$B$31="v"</formula>
    </cfRule>
  </conditionalFormatting>
  <conditionalFormatting sqref="I32">
    <cfRule type="expression" dxfId="2082" priority="76">
      <formula>$B$32="v"</formula>
    </cfRule>
  </conditionalFormatting>
  <conditionalFormatting sqref="I33">
    <cfRule type="expression" dxfId="2081" priority="75">
      <formula>$B$33="v"</formula>
    </cfRule>
  </conditionalFormatting>
  <conditionalFormatting sqref="I34">
    <cfRule type="expression" dxfId="2080" priority="74">
      <formula>$B$34="v"</formula>
    </cfRule>
  </conditionalFormatting>
  <conditionalFormatting sqref="I35">
    <cfRule type="expression" dxfId="2079" priority="73">
      <formula>$B$35="v"</formula>
    </cfRule>
  </conditionalFormatting>
  <conditionalFormatting sqref="I36">
    <cfRule type="expression" dxfId="2078" priority="72">
      <formula>$B$36="v"</formula>
    </cfRule>
  </conditionalFormatting>
  <conditionalFormatting sqref="I37">
    <cfRule type="expression" dxfId="2077" priority="71">
      <formula>$B$37="v"</formula>
    </cfRule>
  </conditionalFormatting>
  <conditionalFormatting sqref="I38">
    <cfRule type="expression" dxfId="2076" priority="70">
      <formula>$B$38="v"</formula>
    </cfRule>
  </conditionalFormatting>
  <conditionalFormatting sqref="I39">
    <cfRule type="expression" dxfId="2075" priority="69">
      <formula>$B$39="v"</formula>
    </cfRule>
  </conditionalFormatting>
  <conditionalFormatting sqref="I40">
    <cfRule type="expression" dxfId="2074" priority="68">
      <formula>$B$40="v"</formula>
    </cfRule>
  </conditionalFormatting>
  <conditionalFormatting sqref="I41">
    <cfRule type="expression" dxfId="2073" priority="67">
      <formula>$B$41="v"</formula>
    </cfRule>
  </conditionalFormatting>
  <conditionalFormatting sqref="I42">
    <cfRule type="expression" dxfId="2072" priority="66">
      <formula>$B$42="v"</formula>
    </cfRule>
  </conditionalFormatting>
  <conditionalFormatting sqref="I43">
    <cfRule type="expression" dxfId="2071" priority="65">
      <formula>$B$43="v"</formula>
    </cfRule>
  </conditionalFormatting>
  <conditionalFormatting sqref="I44">
    <cfRule type="expression" dxfId="2070" priority="64">
      <formula>$B$44="v"</formula>
    </cfRule>
  </conditionalFormatting>
  <conditionalFormatting sqref="I45">
    <cfRule type="expression" dxfId="2069" priority="63">
      <formula>$B$45="v"</formula>
    </cfRule>
  </conditionalFormatting>
  <conditionalFormatting sqref="I46">
    <cfRule type="expression" dxfId="2068" priority="62">
      <formula>$B$46="v"</formula>
    </cfRule>
  </conditionalFormatting>
  <conditionalFormatting sqref="I47">
    <cfRule type="expression" dxfId="2067" priority="61">
      <formula>$B$47="v"</formula>
    </cfRule>
  </conditionalFormatting>
  <conditionalFormatting sqref="I48">
    <cfRule type="expression" dxfId="2066" priority="60">
      <formula>$B$48="v"</formula>
    </cfRule>
  </conditionalFormatting>
  <conditionalFormatting sqref="I49">
    <cfRule type="expression" dxfId="2065" priority="59">
      <formula>$B$49="v"</formula>
    </cfRule>
  </conditionalFormatting>
  <conditionalFormatting sqref="I50">
    <cfRule type="expression" dxfId="2064" priority="58">
      <formula>$B$50="v"</formula>
    </cfRule>
  </conditionalFormatting>
  <conditionalFormatting sqref="I51">
    <cfRule type="expression" dxfId="2063" priority="57">
      <formula>$B$51="v"</formula>
    </cfRule>
  </conditionalFormatting>
  <conditionalFormatting sqref="I52">
    <cfRule type="expression" dxfId="2062" priority="56">
      <formula>$B$52="v"</formula>
    </cfRule>
  </conditionalFormatting>
  <conditionalFormatting sqref="I53">
    <cfRule type="expression" dxfId="2061" priority="55">
      <formula>$B$53="v"</formula>
    </cfRule>
  </conditionalFormatting>
  <conditionalFormatting sqref="I54">
    <cfRule type="expression" dxfId="2060" priority="54">
      <formula>$B$54="v"</formula>
    </cfRule>
  </conditionalFormatting>
  <conditionalFormatting sqref="I55">
    <cfRule type="expression" dxfId="2059" priority="53">
      <formula>$B$55="v"</formula>
    </cfRule>
  </conditionalFormatting>
  <conditionalFormatting sqref="I56">
    <cfRule type="expression" dxfId="2058" priority="52">
      <formula>$B$56="v"</formula>
    </cfRule>
  </conditionalFormatting>
  <conditionalFormatting sqref="I57">
    <cfRule type="expression" dxfId="2057" priority="51">
      <formula>$B$57="v"</formula>
    </cfRule>
  </conditionalFormatting>
  <conditionalFormatting sqref="I58">
    <cfRule type="expression" dxfId="2056" priority="50">
      <formula>$B$58="v"</formula>
    </cfRule>
  </conditionalFormatting>
  <conditionalFormatting sqref="I59">
    <cfRule type="expression" dxfId="2055" priority="49">
      <formula>$B$59="v"</formula>
    </cfRule>
  </conditionalFormatting>
  <conditionalFormatting sqref="I60">
    <cfRule type="expression" dxfId="2054" priority="48">
      <formula>$B$60="v"</formula>
    </cfRule>
  </conditionalFormatting>
  <conditionalFormatting sqref="I61">
    <cfRule type="expression" dxfId="2053" priority="47">
      <formula>$B$61="v"</formula>
    </cfRule>
  </conditionalFormatting>
  <conditionalFormatting sqref="I62">
    <cfRule type="expression" dxfId="2052" priority="46">
      <formula>$B$62="v"</formula>
    </cfRule>
  </conditionalFormatting>
  <conditionalFormatting sqref="I63">
    <cfRule type="expression" dxfId="2051" priority="45">
      <formula>$B$63="v"</formula>
    </cfRule>
  </conditionalFormatting>
  <conditionalFormatting sqref="I64">
    <cfRule type="expression" dxfId="2050" priority="44">
      <formula>$B$64="v"</formula>
    </cfRule>
  </conditionalFormatting>
  <conditionalFormatting sqref="I65">
    <cfRule type="expression" dxfId="2049" priority="43">
      <formula>$B$65="v"</formula>
    </cfRule>
  </conditionalFormatting>
  <conditionalFormatting sqref="I66">
    <cfRule type="expression" dxfId="2048" priority="42">
      <formula>$B$66="v"</formula>
    </cfRule>
  </conditionalFormatting>
  <conditionalFormatting sqref="I67">
    <cfRule type="expression" dxfId="2047" priority="41">
      <formula>$B$67="v"</formula>
    </cfRule>
  </conditionalFormatting>
  <conditionalFormatting sqref="I68">
    <cfRule type="expression" dxfId="2046" priority="40">
      <formula>$B$68="v"</formula>
    </cfRule>
  </conditionalFormatting>
  <conditionalFormatting sqref="I69">
    <cfRule type="expression" dxfId="2045" priority="39">
      <formula>$B$69="v"</formula>
    </cfRule>
  </conditionalFormatting>
  <conditionalFormatting sqref="I70">
    <cfRule type="expression" dxfId="2044" priority="38">
      <formula>$B$70="v"</formula>
    </cfRule>
  </conditionalFormatting>
  <conditionalFormatting sqref="I71">
    <cfRule type="expression" dxfId="2043" priority="37">
      <formula>$B$71="v"</formula>
    </cfRule>
  </conditionalFormatting>
  <conditionalFormatting sqref="I72">
    <cfRule type="expression" dxfId="2042" priority="36">
      <formula>$B$72="v"</formula>
    </cfRule>
  </conditionalFormatting>
  <conditionalFormatting sqref="I73">
    <cfRule type="expression" dxfId="2041" priority="35">
      <formula>$B$73="v"</formula>
    </cfRule>
  </conditionalFormatting>
  <conditionalFormatting sqref="I74">
    <cfRule type="expression" dxfId="2040" priority="34">
      <formula>$B$74="v"</formula>
    </cfRule>
  </conditionalFormatting>
  <conditionalFormatting sqref="I75">
    <cfRule type="expression" dxfId="2039" priority="33">
      <formula>$B$75="v"</formula>
    </cfRule>
  </conditionalFormatting>
  <conditionalFormatting sqref="I76">
    <cfRule type="expression" dxfId="2038" priority="32">
      <formula>$B$76="v"</formula>
    </cfRule>
  </conditionalFormatting>
  <conditionalFormatting sqref="I77">
    <cfRule type="expression" dxfId="2037" priority="31">
      <formula>$B$77="v"</formula>
    </cfRule>
  </conditionalFormatting>
  <conditionalFormatting sqref="I78">
    <cfRule type="expression" dxfId="2036" priority="30">
      <formula>$B$78="v"</formula>
    </cfRule>
  </conditionalFormatting>
  <conditionalFormatting sqref="I79">
    <cfRule type="expression" dxfId="2035" priority="29">
      <formula>$B$79="v"</formula>
    </cfRule>
  </conditionalFormatting>
  <conditionalFormatting sqref="I80">
    <cfRule type="expression" dxfId="2034" priority="28">
      <formula>$B$80="v"</formula>
    </cfRule>
  </conditionalFormatting>
  <conditionalFormatting sqref="I81">
    <cfRule type="expression" dxfId="2033" priority="27">
      <formula>$B$81="v"</formula>
    </cfRule>
  </conditionalFormatting>
  <conditionalFormatting sqref="I82">
    <cfRule type="expression" dxfId="2032" priority="26">
      <formula>$B$82="v"</formula>
    </cfRule>
  </conditionalFormatting>
  <conditionalFormatting sqref="L5:N6">
    <cfRule type="expression" dxfId="2031" priority="191">
      <formula>$K$4=1</formula>
    </cfRule>
  </conditionalFormatting>
  <conditionalFormatting sqref="L7:N82">
    <cfRule type="expression" dxfId="2030" priority="193">
      <formula>$K$4=1</formula>
    </cfRule>
  </conditionalFormatting>
  <conditionalFormatting sqref="M4:N4">
    <cfRule type="expression" dxfId="2029" priority="17" stopIfTrue="1">
      <formula>$K$4=1</formula>
    </cfRule>
  </conditionalFormatting>
  <conditionalFormatting sqref="L7:N82">
    <cfRule type="expression" dxfId="2028" priority="183">
      <formula>$K$4=""</formula>
    </cfRule>
  </conditionalFormatting>
  <conditionalFormatting sqref="P5:R6">
    <cfRule type="expression" dxfId="2027" priority="194">
      <formula>$O$4=1</formula>
    </cfRule>
  </conditionalFormatting>
  <conditionalFormatting sqref="P7:R82">
    <cfRule type="expression" dxfId="2026" priority="197">
      <formula>$O$4=1</formula>
    </cfRule>
  </conditionalFormatting>
  <conditionalFormatting sqref="Q4:R4">
    <cfRule type="expression" dxfId="2025" priority="196">
      <formula>$O$4=1</formula>
    </cfRule>
  </conditionalFormatting>
  <conditionalFormatting sqref="P7:R82">
    <cfRule type="expression" dxfId="2024" priority="181">
      <formula>$O$4=""</formula>
    </cfRule>
  </conditionalFormatting>
  <conditionalFormatting sqref="T5:V6">
    <cfRule type="expression" dxfId="2023" priority="198">
      <formula>$S$4=1</formula>
    </cfRule>
  </conditionalFormatting>
  <conditionalFormatting sqref="T7:V82">
    <cfRule type="expression" dxfId="2022" priority="243">
      <formula>$S$4=1</formula>
    </cfRule>
  </conditionalFormatting>
  <conditionalFormatting sqref="U4:V4">
    <cfRule type="expression" dxfId="2021" priority="200">
      <formula>$S$4=1</formula>
    </cfRule>
  </conditionalFormatting>
  <conditionalFormatting sqref="T7:V82">
    <cfRule type="expression" dxfId="2020" priority="179">
      <formula>$S$4=""</formula>
    </cfRule>
  </conditionalFormatting>
  <conditionalFormatting sqref="X5:Z6">
    <cfRule type="expression" dxfId="2019" priority="202">
      <formula>$W$4=1</formula>
    </cfRule>
  </conditionalFormatting>
  <conditionalFormatting sqref="X7:Z82">
    <cfRule type="expression" dxfId="2018" priority="240">
      <formula>$W$4=1</formula>
    </cfRule>
  </conditionalFormatting>
  <conditionalFormatting sqref="Y4:Z4">
    <cfRule type="expression" dxfId="2017" priority="204">
      <formula>$W$4=1</formula>
    </cfRule>
  </conditionalFormatting>
  <conditionalFormatting sqref="X7:Z82">
    <cfRule type="expression" dxfId="2016" priority="180">
      <formula>$W$4=""</formula>
    </cfRule>
  </conditionalFormatting>
  <conditionalFormatting sqref="AB5:AD6">
    <cfRule type="expression" dxfId="2015" priority="206">
      <formula>$AA$4=1</formula>
    </cfRule>
  </conditionalFormatting>
  <conditionalFormatting sqref="AB7:AD82">
    <cfRule type="expression" dxfId="2014" priority="209">
      <formula>$AA$4=1</formula>
    </cfRule>
  </conditionalFormatting>
  <conditionalFormatting sqref="AC4:AD4">
    <cfRule type="expression" dxfId="2013" priority="208">
      <formula>$AA$4=1</formula>
    </cfRule>
  </conditionalFormatting>
  <conditionalFormatting sqref="AB7:AD82">
    <cfRule type="expression" dxfId="2012" priority="199">
      <formula>$AA$4=""</formula>
    </cfRule>
  </conditionalFormatting>
  <conditionalFormatting sqref="AF5:AH6">
    <cfRule type="expression" dxfId="2011" priority="210">
      <formula>$AE$4=1</formula>
    </cfRule>
  </conditionalFormatting>
  <conditionalFormatting sqref="AF7:AH82">
    <cfRule type="expression" dxfId="2010" priority="213">
      <formula>$AE$4=1</formula>
    </cfRule>
  </conditionalFormatting>
  <conditionalFormatting sqref="AG4:AH4">
    <cfRule type="expression" dxfId="2009" priority="212">
      <formula>$AE$4=1</formula>
    </cfRule>
  </conditionalFormatting>
  <conditionalFormatting sqref="AF7:AH82">
    <cfRule type="expression" dxfId="2008" priority="201">
      <formula>$AE$4=""</formula>
    </cfRule>
  </conditionalFormatting>
  <conditionalFormatting sqref="AJ7:AL82">
    <cfRule type="expression" dxfId="2007" priority="217">
      <formula>$AI$4=1</formula>
    </cfRule>
  </conditionalFormatting>
  <conditionalFormatting sqref="AK4:AL4">
    <cfRule type="expression" dxfId="2006" priority="215">
      <formula>$AI$4=1</formula>
    </cfRule>
  </conditionalFormatting>
  <conditionalFormatting sqref="AJ5:AL6">
    <cfRule type="expression" dxfId="2005" priority="216">
      <formula>$AI$4=1</formula>
    </cfRule>
  </conditionalFormatting>
  <conditionalFormatting sqref="AJ7:AL82">
    <cfRule type="expression" dxfId="2004" priority="203">
      <formula>$AI$4=""</formula>
    </cfRule>
  </conditionalFormatting>
  <conditionalFormatting sqref="AN7:AP82">
    <cfRule type="expression" dxfId="2003" priority="221">
      <formula>$AM$4=1</formula>
    </cfRule>
  </conditionalFormatting>
  <conditionalFormatting sqref="AO4:AP4 AS4:AT4">
    <cfRule type="expression" dxfId="2002" priority="219">
      <formula>AQ$4=1</formula>
    </cfRule>
  </conditionalFormatting>
  <conditionalFormatting sqref="AN5:AP6">
    <cfRule type="expression" dxfId="2001" priority="220">
      <formula>$AM$4=1</formula>
    </cfRule>
  </conditionalFormatting>
  <conditionalFormatting sqref="AN7:AP82">
    <cfRule type="expression" dxfId="2000" priority="205">
      <formula>$AM$4=""</formula>
    </cfRule>
  </conditionalFormatting>
  <conditionalFormatting sqref="AR7:AT82">
    <cfRule type="expression" dxfId="1999" priority="224">
      <formula>$AQ$4=1</formula>
    </cfRule>
  </conditionalFormatting>
  <conditionalFormatting sqref="AR5:AT6">
    <cfRule type="expression" dxfId="1998" priority="223">
      <formula>$AQ$4=1</formula>
    </cfRule>
  </conditionalFormatting>
  <conditionalFormatting sqref="AR7:AT82">
    <cfRule type="expression" dxfId="1997" priority="207">
      <formula>$AQ$4=""</formula>
    </cfRule>
  </conditionalFormatting>
  <conditionalFormatting sqref="AV7:AX82">
    <cfRule type="expression" dxfId="1996" priority="227">
      <formula>$AU$4=1</formula>
    </cfRule>
  </conditionalFormatting>
  <conditionalFormatting sqref="AV5:AX6">
    <cfRule type="expression" dxfId="1995" priority="226">
      <formula>$AU$4=1</formula>
    </cfRule>
  </conditionalFormatting>
  <conditionalFormatting sqref="AV7:AX82">
    <cfRule type="expression" dxfId="1994" priority="178">
      <formula>$AU$4=""</formula>
    </cfRule>
  </conditionalFormatting>
  <conditionalFormatting sqref="AZ7:BB82">
    <cfRule type="expression" dxfId="1993" priority="230">
      <formula>$AY$4=1</formula>
    </cfRule>
  </conditionalFormatting>
  <conditionalFormatting sqref="AZ5:BB6">
    <cfRule type="expression" dxfId="1992" priority="229">
      <formula>$AY$4=1</formula>
    </cfRule>
  </conditionalFormatting>
  <conditionalFormatting sqref="AZ7:BB82">
    <cfRule type="expression" dxfId="1991" priority="211">
      <formula>$AY$4=""</formula>
    </cfRule>
  </conditionalFormatting>
  <conditionalFormatting sqref="BD7:BF82">
    <cfRule type="expression" dxfId="1990" priority="233">
      <formula>$BC$4=1</formula>
    </cfRule>
  </conditionalFormatting>
  <conditionalFormatting sqref="BD5:BF6">
    <cfRule type="expression" dxfId="1989" priority="232">
      <formula>$BC$4=1</formula>
    </cfRule>
  </conditionalFormatting>
  <conditionalFormatting sqref="BD7:BF82">
    <cfRule type="expression" dxfId="1988" priority="214">
      <formula>$BC$4=""</formula>
    </cfRule>
  </conditionalFormatting>
  <conditionalFormatting sqref="BH7:BJ82">
    <cfRule type="expression" dxfId="1987" priority="236">
      <formula>$BG$4=1</formula>
    </cfRule>
  </conditionalFormatting>
  <conditionalFormatting sqref="BH5:BJ6">
    <cfRule type="expression" dxfId="1986" priority="235">
      <formula>$BG$4=1</formula>
    </cfRule>
  </conditionalFormatting>
  <conditionalFormatting sqref="BH7:BJ82">
    <cfRule type="expression" dxfId="1985" priority="218">
      <formula>$BG$4=""</formula>
    </cfRule>
  </conditionalFormatting>
  <conditionalFormatting sqref="BL7:BN82">
    <cfRule type="expression" dxfId="1984" priority="239">
      <formula>$BK$4=1</formula>
    </cfRule>
  </conditionalFormatting>
  <conditionalFormatting sqref="BL5:BN6">
    <cfRule type="expression" dxfId="1983" priority="238">
      <formula>$BK$4=1</formula>
    </cfRule>
  </conditionalFormatting>
  <conditionalFormatting sqref="BL7:BN82">
    <cfRule type="expression" dxfId="1982" priority="222">
      <formula>$BK$4=""</formula>
    </cfRule>
  </conditionalFormatting>
  <conditionalFormatting sqref="BP7:BR82">
    <cfRule type="expression" dxfId="1981" priority="242">
      <formula>$BO$4=1</formula>
    </cfRule>
  </conditionalFormatting>
  <conditionalFormatting sqref="BP5:BR6">
    <cfRule type="expression" dxfId="1980" priority="241">
      <formula>$BO$4=1</formula>
    </cfRule>
  </conditionalFormatting>
  <conditionalFormatting sqref="BP7:BR82">
    <cfRule type="expression" dxfId="1979" priority="228">
      <formula>$BO$4=""</formula>
    </cfRule>
  </conditionalFormatting>
  <conditionalFormatting sqref="BT7:BV82">
    <cfRule type="expression" dxfId="1978" priority="245">
      <formula>$BS$4=1</formula>
    </cfRule>
  </conditionalFormatting>
  <conditionalFormatting sqref="BT5:BV6">
    <cfRule type="expression" dxfId="1977" priority="244">
      <formula>$BS$4=1</formula>
    </cfRule>
  </conditionalFormatting>
  <conditionalFormatting sqref="BT7:BV82">
    <cfRule type="expression" dxfId="1976" priority="231">
      <formula>$BS$4=""</formula>
    </cfRule>
  </conditionalFormatting>
  <conditionalFormatting sqref="AW4:AX4">
    <cfRule type="expression" dxfId="1975" priority="25">
      <formula>AU$4=1</formula>
    </cfRule>
  </conditionalFormatting>
  <conditionalFormatting sqref="BA4:BB4">
    <cfRule type="expression" dxfId="1974" priority="24">
      <formula>AY$4=1</formula>
    </cfRule>
  </conditionalFormatting>
  <conditionalFormatting sqref="BE4:BF4">
    <cfRule type="expression" dxfId="1973" priority="23">
      <formula>BC$4=1</formula>
    </cfRule>
  </conditionalFormatting>
  <conditionalFormatting sqref="BI4:BJ4">
    <cfRule type="expression" dxfId="1972" priority="22">
      <formula>BG$4=1</formula>
    </cfRule>
  </conditionalFormatting>
  <conditionalFormatting sqref="BM4:BN4">
    <cfRule type="expression" dxfId="1971" priority="21">
      <formula>BK$4=1</formula>
    </cfRule>
  </conditionalFormatting>
  <conditionalFormatting sqref="BQ4:BR4">
    <cfRule type="expression" dxfId="1970" priority="20">
      <formula>BO$4=1</formula>
    </cfRule>
  </conditionalFormatting>
  <conditionalFormatting sqref="BU4:BV4">
    <cfRule type="expression" dxfId="1969" priority="19">
      <formula>BS$4=1</formula>
    </cfRule>
  </conditionalFormatting>
  <conditionalFormatting sqref="E4">
    <cfRule type="expression" dxfId="1968" priority="18">
      <formula>$F$4=""</formula>
    </cfRule>
  </conditionalFormatting>
  <conditionalFormatting sqref="L4">
    <cfRule type="expression" dxfId="1967" priority="16">
      <formula>$K$4=1</formula>
    </cfRule>
  </conditionalFormatting>
  <conditionalFormatting sqref="P4">
    <cfRule type="expression" dxfId="1966" priority="15">
      <formula>$O$4=1</formula>
    </cfRule>
  </conditionalFormatting>
  <conditionalFormatting sqref="T4">
    <cfRule type="expression" dxfId="1965" priority="14">
      <formula>$S$4=1</formula>
    </cfRule>
  </conditionalFormatting>
  <conditionalFormatting sqref="X4">
    <cfRule type="expression" dxfId="1964" priority="13">
      <formula>W4=1</formula>
    </cfRule>
  </conditionalFormatting>
  <conditionalFormatting sqref="AB4">
    <cfRule type="expression" dxfId="1963" priority="12">
      <formula>AA4=1</formula>
    </cfRule>
  </conditionalFormatting>
  <conditionalFormatting sqref="AF4">
    <cfRule type="expression" dxfId="1962" priority="11">
      <formula>AE4=1</formula>
    </cfRule>
  </conditionalFormatting>
  <conditionalFormatting sqref="AJ4">
    <cfRule type="expression" dxfId="1961" priority="10">
      <formula>AI4=1</formula>
    </cfRule>
  </conditionalFormatting>
  <conditionalFormatting sqref="AN4">
    <cfRule type="expression" dxfId="1960" priority="9">
      <formula>AM4=1</formula>
    </cfRule>
  </conditionalFormatting>
  <conditionalFormatting sqref="AR4">
    <cfRule type="expression" dxfId="1959" priority="8">
      <formula>AQ4=1</formula>
    </cfRule>
  </conditionalFormatting>
  <conditionalFormatting sqref="AV4">
    <cfRule type="expression" dxfId="1958" priority="7">
      <formula>AU4=1</formula>
    </cfRule>
  </conditionalFormatting>
  <conditionalFormatting sqref="AZ4">
    <cfRule type="expression" dxfId="1957" priority="6">
      <formula>AY4=1</formula>
    </cfRule>
  </conditionalFormatting>
  <conditionalFormatting sqref="BD4">
    <cfRule type="expression" dxfId="1956" priority="5">
      <formula>BC4=1</formula>
    </cfRule>
  </conditionalFormatting>
  <conditionalFormatting sqref="BH4">
    <cfRule type="expression" dxfId="1955" priority="4">
      <formula>BG4=1</formula>
    </cfRule>
  </conditionalFormatting>
  <conditionalFormatting sqref="BL4">
    <cfRule type="expression" dxfId="1954" priority="3">
      <formula>BK4=1</formula>
    </cfRule>
  </conditionalFormatting>
  <conditionalFormatting sqref="BP4">
    <cfRule type="expression" dxfId="1953" priority="2">
      <formula>BO4=1</formula>
    </cfRule>
  </conditionalFormatting>
  <conditionalFormatting sqref="BT4">
    <cfRule type="expression" dxfId="1952" priority="1">
      <formula>BS4=1</formula>
    </cfRule>
  </conditionalFormatting>
  <dataValidations count="3">
    <dataValidation type="list" allowBlank="1" showInputMessage="1" showErrorMessage="1" sqref="F2" xr:uid="{27BEED24-C184-4B63-A297-00A28A777C7B}">
      <formula1>"1, 2, 3, 4, 5, 6, 7, 8, 9, 10, 11, 12, 13, 14, 15, 16, 17"</formula1>
    </dataValidation>
    <dataValidation type="list" allowBlank="1" showInputMessage="1" showErrorMessage="1" sqref="B7:B82" xr:uid="{96AC3046-B98C-4CFD-9310-152735AFEEFE}">
      <formula1>"v"</formula1>
    </dataValidation>
    <dataValidation type="list" allowBlank="1" showInputMessage="1" showErrorMessage="1" sqref="BP7:BP82 AV7:AV82 BL7:BL82 BT7:BT82 BH7:BH82 BD7:BD82 AZ7:AZ82" xr:uid="{EA4103FF-2D81-4C96-A28F-EEBFD2499EAD}">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21D4CE8-32D3-4662-9AD2-E8B30DEAD1E2}">
          <x14:formula1>
            <xm:f>Sheet3!$J$153:$J$168</xm:f>
          </x14:formula1>
          <xm:sqref>H7:H82 N7:N82 R7:R82 V7:V82 Z7:Z82 AD7:AD82 AH7:AH82 AL7:AL82 AP7:AP82 AT7:AT82</xm:sqref>
        </x14:dataValidation>
        <x14:dataValidation type="list" allowBlank="1" showInputMessage="1" showErrorMessage="1" xr:uid="{A0633531-EB29-4595-864A-3A105299ACF6}">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FC4E7-9183-4F6B-ABFF-3D62A94FC28D}">
  <sheetPr codeName="Sheet6">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685</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951" priority="188">
      <formula>$F$1=1</formula>
    </cfRule>
    <cfRule type="expression" priority="189">
      <formula>$F$1</formula>
    </cfRule>
  </conditionalFormatting>
  <conditionalFormatting sqref="J4">
    <cfRule type="expression" dxfId="1950" priority="190">
      <formula>$F$1=1</formula>
    </cfRule>
  </conditionalFormatting>
  <conditionalFormatting sqref="C7:G82">
    <cfRule type="expression" dxfId="1949" priority="102">
      <formula>$B7="v"</formula>
    </cfRule>
  </conditionalFormatting>
  <conditionalFormatting sqref="H7:H82">
    <cfRule type="expression" dxfId="1948" priority="186">
      <formula>$B7="v"</formula>
    </cfRule>
  </conditionalFormatting>
  <conditionalFormatting sqref="N7:N82">
    <cfRule type="expression" dxfId="1947" priority="185">
      <formula>$B7="v"</formula>
    </cfRule>
  </conditionalFormatting>
  <conditionalFormatting sqref="M7:M82">
    <cfRule type="expression" dxfId="1946" priority="184">
      <formula>$B7="v"</formula>
    </cfRule>
  </conditionalFormatting>
  <conditionalFormatting sqref="L7:L82">
    <cfRule type="expression" dxfId="1945" priority="192">
      <formula>$B7="v"</formula>
    </cfRule>
  </conditionalFormatting>
  <conditionalFormatting sqref="P7:Q82">
    <cfRule type="expression" dxfId="1944" priority="195">
      <formula>$B7="v"</formula>
    </cfRule>
  </conditionalFormatting>
  <conditionalFormatting sqref="R7:R82">
    <cfRule type="expression" dxfId="1943" priority="182">
      <formula>$B7="v"</formula>
    </cfRule>
  </conditionalFormatting>
  <conditionalFormatting sqref="Z7:Z82 V7:V82 AL7:AL82 AH7:AH82 AD7:AD82 AX7:AX82 AT7:AT82 AP7:AP82 BJ7:BJ82 BF7:BF82 BB7:BB82 BV7:BV82 BR7:BR82 BN7:BN82">
    <cfRule type="expression" dxfId="1942" priority="234">
      <formula>$B7="v"</formula>
    </cfRule>
  </conditionalFormatting>
  <conditionalFormatting sqref="X7:Y82 T7:U82 AJ7:AK82 AF7:AG82 AB7:AC82 AR7:AS82 AN7:AO82 BH7:BI82 BD7:BE82 AZ7:BA82 BT7:BU82 BP7:BQ82 BL7:BM82">
    <cfRule type="expression" dxfId="1941" priority="237">
      <formula>$B7="v"</formula>
    </cfRule>
  </conditionalFormatting>
  <conditionalFormatting sqref="AV7:AW82">
    <cfRule type="expression" dxfId="1940" priority="225">
      <formula>$B7="v"</formula>
    </cfRule>
  </conditionalFormatting>
  <conditionalFormatting sqref="F25">
    <cfRule type="expression" dxfId="1939" priority="177">
      <formula>$E$25="n/a"</formula>
    </cfRule>
  </conditionalFormatting>
  <conditionalFormatting sqref="F7">
    <cfRule type="expression" dxfId="1938" priority="176">
      <formula>$E$7="n/a"</formula>
    </cfRule>
  </conditionalFormatting>
  <conditionalFormatting sqref="F8">
    <cfRule type="expression" dxfId="1937" priority="187">
      <formula>$E$8="n/a"</formula>
    </cfRule>
  </conditionalFormatting>
  <conditionalFormatting sqref="F9">
    <cfRule type="expression" dxfId="1936" priority="175">
      <formula>$E$9="n/a"</formula>
    </cfRule>
  </conditionalFormatting>
  <conditionalFormatting sqref="F10">
    <cfRule type="expression" dxfId="1935" priority="174">
      <formula>$E$10="n/a"</formula>
    </cfRule>
  </conditionalFormatting>
  <conditionalFormatting sqref="F11">
    <cfRule type="expression" dxfId="1934" priority="173">
      <formula>$E$11="n/a"</formula>
    </cfRule>
  </conditionalFormatting>
  <conditionalFormatting sqref="F12">
    <cfRule type="expression" dxfId="1933" priority="172">
      <formula>$E$12="n/a"</formula>
    </cfRule>
  </conditionalFormatting>
  <conditionalFormatting sqref="F13">
    <cfRule type="expression" dxfId="1932" priority="171">
      <formula>$E$13="n/a"</formula>
    </cfRule>
  </conditionalFormatting>
  <conditionalFormatting sqref="F14">
    <cfRule type="expression" dxfId="1931" priority="170">
      <formula>$E$14="n/a"</formula>
    </cfRule>
  </conditionalFormatting>
  <conditionalFormatting sqref="F15">
    <cfRule type="expression" dxfId="1930" priority="169">
      <formula>$E$15="n/a"</formula>
    </cfRule>
  </conditionalFormatting>
  <conditionalFormatting sqref="F16">
    <cfRule type="expression" dxfId="1929" priority="168">
      <formula>$E$16="n/a"</formula>
    </cfRule>
  </conditionalFormatting>
  <conditionalFormatting sqref="F17">
    <cfRule type="expression" dxfId="1928" priority="167">
      <formula>$E$17="n/a"</formula>
    </cfRule>
  </conditionalFormatting>
  <conditionalFormatting sqref="F18">
    <cfRule type="expression" dxfId="1927" priority="166">
      <formula>$E$18="n/a"</formula>
    </cfRule>
  </conditionalFormatting>
  <conditionalFormatting sqref="F19">
    <cfRule type="expression" dxfId="1926" priority="165">
      <formula>$E$19="n/a"</formula>
    </cfRule>
  </conditionalFormatting>
  <conditionalFormatting sqref="F20">
    <cfRule type="expression" dxfId="1925" priority="164">
      <formula>$E$20="n/a"</formula>
    </cfRule>
  </conditionalFormatting>
  <conditionalFormatting sqref="F21">
    <cfRule type="expression" dxfId="1924" priority="163">
      <formula>$E$21="n/a"</formula>
    </cfRule>
  </conditionalFormatting>
  <conditionalFormatting sqref="F22">
    <cfRule type="expression" dxfId="1923" priority="162">
      <formula>$E$22="n/a"</formula>
    </cfRule>
  </conditionalFormatting>
  <conditionalFormatting sqref="F23">
    <cfRule type="expression" dxfId="1922" priority="161">
      <formula>$E$23="n/a"</formula>
    </cfRule>
  </conditionalFormatting>
  <conditionalFormatting sqref="F24">
    <cfRule type="expression" dxfId="1921" priority="160">
      <formula>$E$24="n/a"</formula>
    </cfRule>
  </conditionalFormatting>
  <conditionalFormatting sqref="F26">
    <cfRule type="expression" dxfId="1920" priority="159">
      <formula>$E$26="n/a"</formula>
    </cfRule>
  </conditionalFormatting>
  <conditionalFormatting sqref="F27">
    <cfRule type="expression" dxfId="1919" priority="158">
      <formula>$E$27="n/a"</formula>
    </cfRule>
  </conditionalFormatting>
  <conditionalFormatting sqref="F28">
    <cfRule type="expression" dxfId="1918" priority="157">
      <formula>$E$28="n/a"</formula>
    </cfRule>
  </conditionalFormatting>
  <conditionalFormatting sqref="F29">
    <cfRule type="expression" dxfId="1917" priority="156">
      <formula>$E$29="n/a"</formula>
    </cfRule>
  </conditionalFormatting>
  <conditionalFormatting sqref="F30">
    <cfRule type="expression" dxfId="1916" priority="155">
      <formula>$E$30="n/a"</formula>
    </cfRule>
  </conditionalFormatting>
  <conditionalFormatting sqref="F31">
    <cfRule type="expression" dxfId="1915" priority="154">
      <formula>$E$31="n/a"</formula>
    </cfRule>
  </conditionalFormatting>
  <conditionalFormatting sqref="F32">
    <cfRule type="expression" dxfId="1914" priority="153">
      <formula>$E$32="n/a"</formula>
    </cfRule>
  </conditionalFormatting>
  <conditionalFormatting sqref="F33">
    <cfRule type="expression" dxfId="1913" priority="152">
      <formula>$E$33="n/a"</formula>
    </cfRule>
  </conditionalFormatting>
  <conditionalFormatting sqref="F34">
    <cfRule type="expression" dxfId="1912" priority="151">
      <formula>$E$34="n/a"</formula>
    </cfRule>
  </conditionalFormatting>
  <conditionalFormatting sqref="F35">
    <cfRule type="expression" dxfId="1911" priority="150">
      <formula>$E$35="n/a"</formula>
    </cfRule>
  </conditionalFormatting>
  <conditionalFormatting sqref="F36">
    <cfRule type="expression" dxfId="1910" priority="149">
      <formula>$E$36="n/a"</formula>
    </cfRule>
  </conditionalFormatting>
  <conditionalFormatting sqref="F37">
    <cfRule type="expression" dxfId="1909" priority="148">
      <formula>$E$37="n/a"</formula>
    </cfRule>
  </conditionalFormatting>
  <conditionalFormatting sqref="F38">
    <cfRule type="expression" dxfId="1908" priority="147">
      <formula>$E$38="n/a"</formula>
    </cfRule>
  </conditionalFormatting>
  <conditionalFormatting sqref="F39">
    <cfRule type="expression" dxfId="1907" priority="146">
      <formula>$E$39="n/a"</formula>
    </cfRule>
  </conditionalFormatting>
  <conditionalFormatting sqref="F40">
    <cfRule type="expression" dxfId="1906" priority="145">
      <formula>$E$40="n/a"</formula>
    </cfRule>
  </conditionalFormatting>
  <conditionalFormatting sqref="F41">
    <cfRule type="expression" dxfId="1905" priority="144">
      <formula>$E$41="n/a"</formula>
    </cfRule>
  </conditionalFormatting>
  <conditionalFormatting sqref="F42">
    <cfRule type="expression" dxfId="1904" priority="143">
      <formula>$E$42="n/a"</formula>
    </cfRule>
  </conditionalFormatting>
  <conditionalFormatting sqref="F43">
    <cfRule type="expression" dxfId="1903" priority="142">
      <formula>$E$43="n/a"</formula>
    </cfRule>
  </conditionalFormatting>
  <conditionalFormatting sqref="F44">
    <cfRule type="expression" dxfId="1902" priority="141">
      <formula>$E$44="n/a"</formula>
    </cfRule>
  </conditionalFormatting>
  <conditionalFormatting sqref="F45">
    <cfRule type="expression" dxfId="1901" priority="140">
      <formula>$E$45="n/a"</formula>
    </cfRule>
  </conditionalFormatting>
  <conditionalFormatting sqref="F46">
    <cfRule type="expression" dxfId="1900" priority="139">
      <formula>$E$46="n/a"</formula>
    </cfRule>
  </conditionalFormatting>
  <conditionalFormatting sqref="F82">
    <cfRule type="expression" dxfId="1899" priority="137">
      <formula>$E$82="n/a"</formula>
    </cfRule>
  </conditionalFormatting>
  <conditionalFormatting sqref="F81">
    <cfRule type="expression" dxfId="1898" priority="136">
      <formula>$E$81="n/a"</formula>
    </cfRule>
  </conditionalFormatting>
  <conditionalFormatting sqref="F80">
    <cfRule type="expression" dxfId="1897" priority="135">
      <formula>$E$80="n/a"</formula>
    </cfRule>
  </conditionalFormatting>
  <conditionalFormatting sqref="F79">
    <cfRule type="expression" dxfId="1896" priority="134">
      <formula>$E$79="n/a"</formula>
    </cfRule>
  </conditionalFormatting>
  <conditionalFormatting sqref="F78">
    <cfRule type="expression" dxfId="1895" priority="133">
      <formula>$E$78="n/a"</formula>
    </cfRule>
  </conditionalFormatting>
  <conditionalFormatting sqref="F77">
    <cfRule type="expression" dxfId="1894" priority="132">
      <formula>$E$77="n/a"</formula>
    </cfRule>
  </conditionalFormatting>
  <conditionalFormatting sqref="F76">
    <cfRule type="expression" dxfId="1893" priority="131">
      <formula>$E$76="n/a"</formula>
    </cfRule>
  </conditionalFormatting>
  <conditionalFormatting sqref="F75">
    <cfRule type="expression" dxfId="1892" priority="130">
      <formula>$E$75="n/a"</formula>
    </cfRule>
  </conditionalFormatting>
  <conditionalFormatting sqref="F74">
    <cfRule type="expression" dxfId="1891" priority="129">
      <formula>$E$74="n/a"</formula>
    </cfRule>
  </conditionalFormatting>
  <conditionalFormatting sqref="F73">
    <cfRule type="expression" dxfId="1890" priority="127">
      <formula>$E$73="n/a"</formula>
    </cfRule>
  </conditionalFormatting>
  <conditionalFormatting sqref="F72">
    <cfRule type="expression" dxfId="1889" priority="103">
      <formula>$E$72="n/a"</formula>
    </cfRule>
  </conditionalFormatting>
  <conditionalFormatting sqref="F47">
    <cfRule type="expression" dxfId="1888" priority="138">
      <formula>$E$47="n/a"</formula>
    </cfRule>
  </conditionalFormatting>
  <conditionalFormatting sqref="F48">
    <cfRule type="expression" dxfId="1887" priority="128">
      <formula>$E$48="n/a"</formula>
    </cfRule>
  </conditionalFormatting>
  <conditionalFormatting sqref="F49">
    <cfRule type="expression" dxfId="1886" priority="126">
      <formula>$E$49="n/a"</formula>
    </cfRule>
  </conditionalFormatting>
  <conditionalFormatting sqref="F50">
    <cfRule type="expression" dxfId="1885" priority="125">
      <formula>$E$50="n/a"</formula>
    </cfRule>
  </conditionalFormatting>
  <conditionalFormatting sqref="F51">
    <cfRule type="expression" dxfId="1884" priority="124">
      <formula>$E$51="n/a"</formula>
    </cfRule>
  </conditionalFormatting>
  <conditionalFormatting sqref="F52">
    <cfRule type="expression" dxfId="1883" priority="123">
      <formula>$E$52="n/a"</formula>
    </cfRule>
  </conditionalFormatting>
  <conditionalFormatting sqref="F53">
    <cfRule type="expression" dxfId="1882" priority="122">
      <formula>$E$53="n/a"</formula>
    </cfRule>
  </conditionalFormatting>
  <conditionalFormatting sqref="F54">
    <cfRule type="expression" dxfId="1881" priority="121">
      <formula>$E$54="n/a"</formula>
    </cfRule>
  </conditionalFormatting>
  <conditionalFormatting sqref="F55">
    <cfRule type="expression" dxfId="1880" priority="120">
      <formula>$E$55="n/a"</formula>
    </cfRule>
  </conditionalFormatting>
  <conditionalFormatting sqref="F56">
    <cfRule type="expression" dxfId="1879" priority="119">
      <formula>$E$56="n/a"</formula>
    </cfRule>
  </conditionalFormatting>
  <conditionalFormatting sqref="F57">
    <cfRule type="expression" dxfId="1878" priority="118">
      <formula>$E$57="n/a"</formula>
    </cfRule>
  </conditionalFormatting>
  <conditionalFormatting sqref="F58">
    <cfRule type="expression" dxfId="1877" priority="117">
      <formula>$E$58="n/a"</formula>
    </cfRule>
  </conditionalFormatting>
  <conditionalFormatting sqref="F59">
    <cfRule type="expression" dxfId="1876" priority="116">
      <formula>$E$59="n/a"</formula>
    </cfRule>
  </conditionalFormatting>
  <conditionalFormatting sqref="F60">
    <cfRule type="expression" dxfId="1875" priority="115">
      <formula>$E$60="n/a"</formula>
    </cfRule>
  </conditionalFormatting>
  <conditionalFormatting sqref="F61">
    <cfRule type="expression" dxfId="1874" priority="114">
      <formula>$E$61="n/a"</formula>
    </cfRule>
  </conditionalFormatting>
  <conditionalFormatting sqref="F62">
    <cfRule type="expression" dxfId="1873" priority="113">
      <formula>$E$62="n/a"</formula>
    </cfRule>
  </conditionalFormatting>
  <conditionalFormatting sqref="F63">
    <cfRule type="expression" dxfId="1872" priority="112">
      <formula>$E$63="n/a"</formula>
    </cfRule>
  </conditionalFormatting>
  <conditionalFormatting sqref="F64">
    <cfRule type="expression" dxfId="1871" priority="111">
      <formula>$E$64="n/a"</formula>
    </cfRule>
  </conditionalFormatting>
  <conditionalFormatting sqref="F65">
    <cfRule type="expression" dxfId="1870" priority="110">
      <formula>$E$65="n/a"</formula>
    </cfRule>
  </conditionalFormatting>
  <conditionalFormatting sqref="F66">
    <cfRule type="expression" dxfId="1869" priority="109">
      <formula>$E$66="n/a"</formula>
    </cfRule>
  </conditionalFormatting>
  <conditionalFormatting sqref="F67">
    <cfRule type="expression" dxfId="1868" priority="108">
      <formula>$E$67="n/a"</formula>
    </cfRule>
  </conditionalFormatting>
  <conditionalFormatting sqref="F68">
    <cfRule type="expression" dxfId="1867" priority="107">
      <formula>$E$68="n/a"</formula>
    </cfRule>
  </conditionalFormatting>
  <conditionalFormatting sqref="F69">
    <cfRule type="expression" dxfId="1866" priority="106">
      <formula>$E$69="n/a"</formula>
    </cfRule>
  </conditionalFormatting>
  <conditionalFormatting sqref="F70">
    <cfRule type="expression" dxfId="1865" priority="105">
      <formula>$E$70="n/a"</formula>
    </cfRule>
  </conditionalFormatting>
  <conditionalFormatting sqref="F71">
    <cfRule type="expression" dxfId="1864" priority="104">
      <formula>$E$71="n/a"</formula>
    </cfRule>
  </conditionalFormatting>
  <conditionalFormatting sqref="I7">
    <cfRule type="expression" dxfId="1863" priority="101">
      <formula>$B$7="v"</formula>
    </cfRule>
  </conditionalFormatting>
  <conditionalFormatting sqref="I8">
    <cfRule type="expression" dxfId="1862" priority="100">
      <formula>$B$8="v"</formula>
    </cfRule>
  </conditionalFormatting>
  <conditionalFormatting sqref="I9">
    <cfRule type="expression" dxfId="1861" priority="99">
      <formula>$B$9="v"</formula>
    </cfRule>
  </conditionalFormatting>
  <conditionalFormatting sqref="I10">
    <cfRule type="expression" dxfId="1860" priority="98">
      <formula>$B$10="v"</formula>
    </cfRule>
  </conditionalFormatting>
  <conditionalFormatting sqref="I11">
    <cfRule type="expression" dxfId="1859" priority="97">
      <formula>$B$11="v"</formula>
    </cfRule>
  </conditionalFormatting>
  <conditionalFormatting sqref="I12">
    <cfRule type="expression" dxfId="1858" priority="96">
      <formula>$B$12="v"</formula>
    </cfRule>
  </conditionalFormatting>
  <conditionalFormatting sqref="I13">
    <cfRule type="expression" dxfId="1857" priority="95">
      <formula>$B$13="v"</formula>
    </cfRule>
  </conditionalFormatting>
  <conditionalFormatting sqref="I14">
    <cfRule type="expression" dxfId="1856" priority="94">
      <formula>$B$14="v"</formula>
    </cfRule>
  </conditionalFormatting>
  <conditionalFormatting sqref="I15">
    <cfRule type="expression" dxfId="1855" priority="93">
      <formula>$B$15="v"</formula>
    </cfRule>
  </conditionalFormatting>
  <conditionalFormatting sqref="I16">
    <cfRule type="expression" dxfId="1854" priority="92">
      <formula>$B$16="v"</formula>
    </cfRule>
  </conditionalFormatting>
  <conditionalFormatting sqref="I17">
    <cfRule type="expression" dxfId="1853" priority="91">
      <formula>$B$17="v"</formula>
    </cfRule>
  </conditionalFormatting>
  <conditionalFormatting sqref="I18">
    <cfRule type="expression" dxfId="1852" priority="90">
      <formula>$B$18="v"</formula>
    </cfRule>
  </conditionalFormatting>
  <conditionalFormatting sqref="I19">
    <cfRule type="expression" dxfId="1851" priority="89">
      <formula>$B$19="v"</formula>
    </cfRule>
  </conditionalFormatting>
  <conditionalFormatting sqref="I20">
    <cfRule type="expression" dxfId="1850" priority="88">
      <formula>$B$20="v"</formula>
    </cfRule>
  </conditionalFormatting>
  <conditionalFormatting sqref="I21">
    <cfRule type="expression" dxfId="1849" priority="87">
      <formula>$B$21="v"</formula>
    </cfRule>
  </conditionalFormatting>
  <conditionalFormatting sqref="I22">
    <cfRule type="expression" dxfId="1848" priority="86">
      <formula>$B$22="v"</formula>
    </cfRule>
  </conditionalFormatting>
  <conditionalFormatting sqref="I23">
    <cfRule type="expression" dxfId="1847" priority="85">
      <formula>$B$23="v"</formula>
    </cfRule>
  </conditionalFormatting>
  <conditionalFormatting sqref="I24">
    <cfRule type="expression" dxfId="1846" priority="84">
      <formula>$B$24="v"</formula>
    </cfRule>
  </conditionalFormatting>
  <conditionalFormatting sqref="I25">
    <cfRule type="expression" dxfId="1845" priority="83">
      <formula>$B$25="v"</formula>
    </cfRule>
  </conditionalFormatting>
  <conditionalFormatting sqref="I26">
    <cfRule type="expression" dxfId="1844" priority="82">
      <formula>$B$26="v"</formula>
    </cfRule>
  </conditionalFormatting>
  <conditionalFormatting sqref="I27">
    <cfRule type="expression" dxfId="1843" priority="81">
      <formula>$B$27="v"</formula>
    </cfRule>
  </conditionalFormatting>
  <conditionalFormatting sqref="I28">
    <cfRule type="expression" dxfId="1842" priority="80">
      <formula>$B$28="v"</formula>
    </cfRule>
  </conditionalFormatting>
  <conditionalFormatting sqref="I29">
    <cfRule type="expression" dxfId="1841" priority="79">
      <formula>$B$29="v"</formula>
    </cfRule>
  </conditionalFormatting>
  <conditionalFormatting sqref="I30">
    <cfRule type="expression" dxfId="1840" priority="78">
      <formula>$B$30="v"</formula>
    </cfRule>
  </conditionalFormatting>
  <conditionalFormatting sqref="I31">
    <cfRule type="expression" dxfId="1839" priority="77">
      <formula>$B$31="v"</formula>
    </cfRule>
  </conditionalFormatting>
  <conditionalFormatting sqref="I32">
    <cfRule type="expression" dxfId="1838" priority="76">
      <formula>$B$32="v"</formula>
    </cfRule>
  </conditionalFormatting>
  <conditionalFormatting sqref="I33">
    <cfRule type="expression" dxfId="1837" priority="75">
      <formula>$B$33="v"</formula>
    </cfRule>
  </conditionalFormatting>
  <conditionalFormatting sqref="I34">
    <cfRule type="expression" dxfId="1836" priority="74">
      <formula>$B$34="v"</formula>
    </cfRule>
  </conditionalFormatting>
  <conditionalFormatting sqref="I35">
    <cfRule type="expression" dxfId="1835" priority="73">
      <formula>$B$35="v"</formula>
    </cfRule>
  </conditionalFormatting>
  <conditionalFormatting sqref="I36">
    <cfRule type="expression" dxfId="1834" priority="72">
      <formula>$B$36="v"</formula>
    </cfRule>
  </conditionalFormatting>
  <conditionalFormatting sqref="I37">
    <cfRule type="expression" dxfId="1833" priority="71">
      <formula>$B$37="v"</formula>
    </cfRule>
  </conditionalFormatting>
  <conditionalFormatting sqref="I38">
    <cfRule type="expression" dxfId="1832" priority="70">
      <formula>$B$38="v"</formula>
    </cfRule>
  </conditionalFormatting>
  <conditionalFormatting sqref="I39">
    <cfRule type="expression" dxfId="1831" priority="69">
      <formula>$B$39="v"</formula>
    </cfRule>
  </conditionalFormatting>
  <conditionalFormatting sqref="I40">
    <cfRule type="expression" dxfId="1830" priority="68">
      <formula>$B$40="v"</formula>
    </cfRule>
  </conditionalFormatting>
  <conditionalFormatting sqref="I41">
    <cfRule type="expression" dxfId="1829" priority="67">
      <formula>$B$41="v"</formula>
    </cfRule>
  </conditionalFormatting>
  <conditionalFormatting sqref="I42">
    <cfRule type="expression" dxfId="1828" priority="66">
      <formula>$B$42="v"</formula>
    </cfRule>
  </conditionalFormatting>
  <conditionalFormatting sqref="I43">
    <cfRule type="expression" dxfId="1827" priority="65">
      <formula>$B$43="v"</formula>
    </cfRule>
  </conditionalFormatting>
  <conditionalFormatting sqref="I44">
    <cfRule type="expression" dxfId="1826" priority="64">
      <formula>$B$44="v"</formula>
    </cfRule>
  </conditionalFormatting>
  <conditionalFormatting sqref="I45">
    <cfRule type="expression" dxfId="1825" priority="63">
      <formula>$B$45="v"</formula>
    </cfRule>
  </conditionalFormatting>
  <conditionalFormatting sqref="I46">
    <cfRule type="expression" dxfId="1824" priority="62">
      <formula>$B$46="v"</formula>
    </cfRule>
  </conditionalFormatting>
  <conditionalFormatting sqref="I47">
    <cfRule type="expression" dxfId="1823" priority="61">
      <formula>$B$47="v"</formula>
    </cfRule>
  </conditionalFormatting>
  <conditionalFormatting sqref="I48">
    <cfRule type="expression" dxfId="1822" priority="60">
      <formula>$B$48="v"</formula>
    </cfRule>
  </conditionalFormatting>
  <conditionalFormatting sqref="I49">
    <cfRule type="expression" dxfId="1821" priority="59">
      <formula>$B$49="v"</formula>
    </cfRule>
  </conditionalFormatting>
  <conditionalFormatting sqref="I50">
    <cfRule type="expression" dxfId="1820" priority="58">
      <formula>$B$50="v"</formula>
    </cfRule>
  </conditionalFormatting>
  <conditionalFormatting sqref="I51">
    <cfRule type="expression" dxfId="1819" priority="57">
      <formula>$B$51="v"</formula>
    </cfRule>
  </conditionalFormatting>
  <conditionalFormatting sqref="I52">
    <cfRule type="expression" dxfId="1818" priority="56">
      <formula>$B$52="v"</formula>
    </cfRule>
  </conditionalFormatting>
  <conditionalFormatting sqref="I53">
    <cfRule type="expression" dxfId="1817" priority="55">
      <formula>$B$53="v"</formula>
    </cfRule>
  </conditionalFormatting>
  <conditionalFormatting sqref="I54">
    <cfRule type="expression" dxfId="1816" priority="54">
      <formula>$B$54="v"</formula>
    </cfRule>
  </conditionalFormatting>
  <conditionalFormatting sqref="I55">
    <cfRule type="expression" dxfId="1815" priority="53">
      <formula>$B$55="v"</formula>
    </cfRule>
  </conditionalFormatting>
  <conditionalFormatting sqref="I56">
    <cfRule type="expression" dxfId="1814" priority="52">
      <formula>$B$56="v"</formula>
    </cfRule>
  </conditionalFormatting>
  <conditionalFormatting sqref="I57">
    <cfRule type="expression" dxfId="1813" priority="51">
      <formula>$B$57="v"</formula>
    </cfRule>
  </conditionalFormatting>
  <conditionalFormatting sqref="I58">
    <cfRule type="expression" dxfId="1812" priority="50">
      <formula>$B$58="v"</formula>
    </cfRule>
  </conditionalFormatting>
  <conditionalFormatting sqref="I59">
    <cfRule type="expression" dxfId="1811" priority="49">
      <formula>$B$59="v"</formula>
    </cfRule>
  </conditionalFormatting>
  <conditionalFormatting sqref="I60">
    <cfRule type="expression" dxfId="1810" priority="48">
      <formula>$B$60="v"</formula>
    </cfRule>
  </conditionalFormatting>
  <conditionalFormatting sqref="I61">
    <cfRule type="expression" dxfId="1809" priority="47">
      <formula>$B$61="v"</formula>
    </cfRule>
  </conditionalFormatting>
  <conditionalFormatting sqref="I62">
    <cfRule type="expression" dxfId="1808" priority="46">
      <formula>$B$62="v"</formula>
    </cfRule>
  </conditionalFormatting>
  <conditionalFormatting sqref="I63">
    <cfRule type="expression" dxfId="1807" priority="45">
      <formula>$B$63="v"</formula>
    </cfRule>
  </conditionalFormatting>
  <conditionalFormatting sqref="I64">
    <cfRule type="expression" dxfId="1806" priority="44">
      <formula>$B$64="v"</formula>
    </cfRule>
  </conditionalFormatting>
  <conditionalFormatting sqref="I65">
    <cfRule type="expression" dxfId="1805" priority="43">
      <formula>$B$65="v"</formula>
    </cfRule>
  </conditionalFormatting>
  <conditionalFormatting sqref="I66">
    <cfRule type="expression" dxfId="1804" priority="42">
      <formula>$B$66="v"</formula>
    </cfRule>
  </conditionalFormatting>
  <conditionalFormatting sqref="I67">
    <cfRule type="expression" dxfId="1803" priority="41">
      <formula>$B$67="v"</formula>
    </cfRule>
  </conditionalFormatting>
  <conditionalFormatting sqref="I68">
    <cfRule type="expression" dxfId="1802" priority="40">
      <formula>$B$68="v"</formula>
    </cfRule>
  </conditionalFormatting>
  <conditionalFormatting sqref="I69">
    <cfRule type="expression" dxfId="1801" priority="39">
      <formula>$B$69="v"</formula>
    </cfRule>
  </conditionalFormatting>
  <conditionalFormatting sqref="I70">
    <cfRule type="expression" dxfId="1800" priority="38">
      <formula>$B$70="v"</formula>
    </cfRule>
  </conditionalFormatting>
  <conditionalFormatting sqref="I71">
    <cfRule type="expression" dxfId="1799" priority="37">
      <formula>$B$71="v"</formula>
    </cfRule>
  </conditionalFormatting>
  <conditionalFormatting sqref="I72">
    <cfRule type="expression" dxfId="1798" priority="36">
      <formula>$B$72="v"</formula>
    </cfRule>
  </conditionalFormatting>
  <conditionalFormatting sqref="I73">
    <cfRule type="expression" dxfId="1797" priority="35">
      <formula>$B$73="v"</formula>
    </cfRule>
  </conditionalFormatting>
  <conditionalFormatting sqref="I74">
    <cfRule type="expression" dxfId="1796" priority="34">
      <formula>$B$74="v"</formula>
    </cfRule>
  </conditionalFormatting>
  <conditionalFormatting sqref="I75">
    <cfRule type="expression" dxfId="1795" priority="33">
      <formula>$B$75="v"</formula>
    </cfRule>
  </conditionalFormatting>
  <conditionalFormatting sqref="I76">
    <cfRule type="expression" dxfId="1794" priority="32">
      <formula>$B$76="v"</formula>
    </cfRule>
  </conditionalFormatting>
  <conditionalFormatting sqref="I77">
    <cfRule type="expression" dxfId="1793" priority="31">
      <formula>$B$77="v"</formula>
    </cfRule>
  </conditionalFormatting>
  <conditionalFormatting sqref="I78">
    <cfRule type="expression" dxfId="1792" priority="30">
      <formula>$B$78="v"</formula>
    </cfRule>
  </conditionalFormatting>
  <conditionalFormatting sqref="I79">
    <cfRule type="expression" dxfId="1791" priority="29">
      <formula>$B$79="v"</formula>
    </cfRule>
  </conditionalFormatting>
  <conditionalFormatting sqref="I80">
    <cfRule type="expression" dxfId="1790" priority="28">
      <formula>$B$80="v"</formula>
    </cfRule>
  </conditionalFormatting>
  <conditionalFormatting sqref="I81">
    <cfRule type="expression" dxfId="1789" priority="27">
      <formula>$B$81="v"</formula>
    </cfRule>
  </conditionalFormatting>
  <conditionalFormatting sqref="I82">
    <cfRule type="expression" dxfId="1788" priority="26">
      <formula>$B$82="v"</formula>
    </cfRule>
  </conditionalFormatting>
  <conditionalFormatting sqref="L5:N6">
    <cfRule type="expression" dxfId="1787" priority="191">
      <formula>$K$4=1</formula>
    </cfRule>
  </conditionalFormatting>
  <conditionalFormatting sqref="L7:N82">
    <cfRule type="expression" dxfId="1786" priority="193">
      <formula>$K$4=1</formula>
    </cfRule>
  </conditionalFormatting>
  <conditionalFormatting sqref="M4:N4">
    <cfRule type="expression" dxfId="1785" priority="17" stopIfTrue="1">
      <formula>$K$4=1</formula>
    </cfRule>
  </conditionalFormatting>
  <conditionalFormatting sqref="L7:N82">
    <cfRule type="expression" dxfId="1784" priority="183">
      <formula>$K$4=""</formula>
    </cfRule>
  </conditionalFormatting>
  <conditionalFormatting sqref="P5:R6">
    <cfRule type="expression" dxfId="1783" priority="194">
      <formula>$O$4=1</formula>
    </cfRule>
  </conditionalFormatting>
  <conditionalFormatting sqref="P7:R82">
    <cfRule type="expression" dxfId="1782" priority="197">
      <formula>$O$4=1</formula>
    </cfRule>
  </conditionalFormatting>
  <conditionalFormatting sqref="Q4:R4">
    <cfRule type="expression" dxfId="1781" priority="196">
      <formula>$O$4=1</formula>
    </cfRule>
  </conditionalFormatting>
  <conditionalFormatting sqref="P7:R82">
    <cfRule type="expression" dxfId="1780" priority="181">
      <formula>$O$4=""</formula>
    </cfRule>
  </conditionalFormatting>
  <conditionalFormatting sqref="T5:V6">
    <cfRule type="expression" dxfId="1779" priority="198">
      <formula>$S$4=1</formula>
    </cfRule>
  </conditionalFormatting>
  <conditionalFormatting sqref="T7:V82">
    <cfRule type="expression" dxfId="1778" priority="243">
      <formula>$S$4=1</formula>
    </cfRule>
  </conditionalFormatting>
  <conditionalFormatting sqref="U4:V4">
    <cfRule type="expression" dxfId="1777" priority="200">
      <formula>$S$4=1</formula>
    </cfRule>
  </conditionalFormatting>
  <conditionalFormatting sqref="T7:V82">
    <cfRule type="expression" dxfId="1776" priority="179">
      <formula>$S$4=""</formula>
    </cfRule>
  </conditionalFormatting>
  <conditionalFormatting sqref="X5:Z6">
    <cfRule type="expression" dxfId="1775" priority="202">
      <formula>$W$4=1</formula>
    </cfRule>
  </conditionalFormatting>
  <conditionalFormatting sqref="X7:Z82">
    <cfRule type="expression" dxfId="1774" priority="240">
      <formula>$W$4=1</formula>
    </cfRule>
  </conditionalFormatting>
  <conditionalFormatting sqref="Y4:Z4">
    <cfRule type="expression" dxfId="1773" priority="204">
      <formula>$W$4=1</formula>
    </cfRule>
  </conditionalFormatting>
  <conditionalFormatting sqref="X7:Z82">
    <cfRule type="expression" dxfId="1772" priority="180">
      <formula>$W$4=""</formula>
    </cfRule>
  </conditionalFormatting>
  <conditionalFormatting sqref="AB5:AD6">
    <cfRule type="expression" dxfId="1771" priority="206">
      <formula>$AA$4=1</formula>
    </cfRule>
  </conditionalFormatting>
  <conditionalFormatting sqref="AB7:AD82">
    <cfRule type="expression" dxfId="1770" priority="209">
      <formula>$AA$4=1</formula>
    </cfRule>
  </conditionalFormatting>
  <conditionalFormatting sqref="AC4:AD4">
    <cfRule type="expression" dxfId="1769" priority="208">
      <formula>$AA$4=1</formula>
    </cfRule>
  </conditionalFormatting>
  <conditionalFormatting sqref="AB7:AD82">
    <cfRule type="expression" dxfId="1768" priority="199">
      <formula>$AA$4=""</formula>
    </cfRule>
  </conditionalFormatting>
  <conditionalFormatting sqref="AF5:AH6">
    <cfRule type="expression" dxfId="1767" priority="210">
      <formula>$AE$4=1</formula>
    </cfRule>
  </conditionalFormatting>
  <conditionalFormatting sqref="AF7:AH82">
    <cfRule type="expression" dxfId="1766" priority="213">
      <formula>$AE$4=1</formula>
    </cfRule>
  </conditionalFormatting>
  <conditionalFormatting sqref="AG4:AH4">
    <cfRule type="expression" dxfId="1765" priority="212">
      <formula>$AE$4=1</formula>
    </cfRule>
  </conditionalFormatting>
  <conditionalFormatting sqref="AF7:AH82">
    <cfRule type="expression" dxfId="1764" priority="201">
      <formula>$AE$4=""</formula>
    </cfRule>
  </conditionalFormatting>
  <conditionalFormatting sqref="AJ7:AL82">
    <cfRule type="expression" dxfId="1763" priority="217">
      <formula>$AI$4=1</formula>
    </cfRule>
  </conditionalFormatting>
  <conditionalFormatting sqref="AK4:AL4">
    <cfRule type="expression" dxfId="1762" priority="215">
      <formula>$AI$4=1</formula>
    </cfRule>
  </conditionalFormatting>
  <conditionalFormatting sqref="AJ5:AL6">
    <cfRule type="expression" dxfId="1761" priority="216">
      <formula>$AI$4=1</formula>
    </cfRule>
  </conditionalFormatting>
  <conditionalFormatting sqref="AJ7:AL82">
    <cfRule type="expression" dxfId="1760" priority="203">
      <formula>$AI$4=""</formula>
    </cfRule>
  </conditionalFormatting>
  <conditionalFormatting sqref="AN7:AP82">
    <cfRule type="expression" dxfId="1759" priority="221">
      <formula>$AM$4=1</formula>
    </cfRule>
  </conditionalFormatting>
  <conditionalFormatting sqref="AO4:AP4 AS4:AT4">
    <cfRule type="expression" dxfId="1758" priority="219">
      <formula>AQ$4=1</formula>
    </cfRule>
  </conditionalFormatting>
  <conditionalFormatting sqref="AN5:AP6">
    <cfRule type="expression" dxfId="1757" priority="220">
      <formula>$AM$4=1</formula>
    </cfRule>
  </conditionalFormatting>
  <conditionalFormatting sqref="AN7:AP82">
    <cfRule type="expression" dxfId="1756" priority="205">
      <formula>$AM$4=""</formula>
    </cfRule>
  </conditionalFormatting>
  <conditionalFormatting sqref="AR7:AT82">
    <cfRule type="expression" dxfId="1755" priority="224">
      <formula>$AQ$4=1</formula>
    </cfRule>
  </conditionalFormatting>
  <conditionalFormatting sqref="AR5:AT6">
    <cfRule type="expression" dxfId="1754" priority="223">
      <formula>$AQ$4=1</formula>
    </cfRule>
  </conditionalFormatting>
  <conditionalFormatting sqref="AR7:AT82">
    <cfRule type="expression" dxfId="1753" priority="207">
      <formula>$AQ$4=""</formula>
    </cfRule>
  </conditionalFormatting>
  <conditionalFormatting sqref="AV7:AX82">
    <cfRule type="expression" dxfId="1752" priority="227">
      <formula>$AU$4=1</formula>
    </cfRule>
  </conditionalFormatting>
  <conditionalFormatting sqref="AV5:AX6">
    <cfRule type="expression" dxfId="1751" priority="226">
      <formula>$AU$4=1</formula>
    </cfRule>
  </conditionalFormatting>
  <conditionalFormatting sqref="AV7:AX82">
    <cfRule type="expression" dxfId="1750" priority="178">
      <formula>$AU$4=""</formula>
    </cfRule>
  </conditionalFormatting>
  <conditionalFormatting sqref="AZ7:BB82">
    <cfRule type="expression" dxfId="1749" priority="230">
      <formula>$AY$4=1</formula>
    </cfRule>
  </conditionalFormatting>
  <conditionalFormatting sqref="AZ5:BB6">
    <cfRule type="expression" dxfId="1748" priority="229">
      <formula>$AY$4=1</formula>
    </cfRule>
  </conditionalFormatting>
  <conditionalFormatting sqref="AZ7:BB82">
    <cfRule type="expression" dxfId="1747" priority="211">
      <formula>$AY$4=""</formula>
    </cfRule>
  </conditionalFormatting>
  <conditionalFormatting sqref="BD7:BF82">
    <cfRule type="expression" dxfId="1746" priority="233">
      <formula>$BC$4=1</formula>
    </cfRule>
  </conditionalFormatting>
  <conditionalFormatting sqref="BD5:BF6">
    <cfRule type="expression" dxfId="1745" priority="232">
      <formula>$BC$4=1</formula>
    </cfRule>
  </conditionalFormatting>
  <conditionalFormatting sqref="BD7:BF82">
    <cfRule type="expression" dxfId="1744" priority="214">
      <formula>$BC$4=""</formula>
    </cfRule>
  </conditionalFormatting>
  <conditionalFormatting sqref="BH7:BJ82">
    <cfRule type="expression" dxfId="1743" priority="236">
      <formula>$BG$4=1</formula>
    </cfRule>
  </conditionalFormatting>
  <conditionalFormatting sqref="BH5:BJ6">
    <cfRule type="expression" dxfId="1742" priority="235">
      <formula>$BG$4=1</formula>
    </cfRule>
  </conditionalFormatting>
  <conditionalFormatting sqref="BH7:BJ82">
    <cfRule type="expression" dxfId="1741" priority="218">
      <formula>$BG$4=""</formula>
    </cfRule>
  </conditionalFormatting>
  <conditionalFormatting sqref="BL7:BN82">
    <cfRule type="expression" dxfId="1740" priority="239">
      <formula>$BK$4=1</formula>
    </cfRule>
  </conditionalFormatting>
  <conditionalFormatting sqref="BL5:BN6">
    <cfRule type="expression" dxfId="1739" priority="238">
      <formula>$BK$4=1</formula>
    </cfRule>
  </conditionalFormatting>
  <conditionalFormatting sqref="BL7:BN82">
    <cfRule type="expression" dxfId="1738" priority="222">
      <formula>$BK$4=""</formula>
    </cfRule>
  </conditionalFormatting>
  <conditionalFormatting sqref="BP7:BR82">
    <cfRule type="expression" dxfId="1737" priority="242">
      <formula>$BO$4=1</formula>
    </cfRule>
  </conditionalFormatting>
  <conditionalFormatting sqref="BP5:BR6">
    <cfRule type="expression" dxfId="1736" priority="241">
      <formula>$BO$4=1</formula>
    </cfRule>
  </conditionalFormatting>
  <conditionalFormatting sqref="BP7:BR82">
    <cfRule type="expression" dxfId="1735" priority="228">
      <formula>$BO$4=""</formula>
    </cfRule>
  </conditionalFormatting>
  <conditionalFormatting sqref="BT7:BV82">
    <cfRule type="expression" dxfId="1734" priority="245">
      <formula>$BS$4=1</formula>
    </cfRule>
  </conditionalFormatting>
  <conditionalFormatting sqref="BT5:BV6">
    <cfRule type="expression" dxfId="1733" priority="244">
      <formula>$BS$4=1</formula>
    </cfRule>
  </conditionalFormatting>
  <conditionalFormatting sqref="BT7:BV82">
    <cfRule type="expression" dxfId="1732" priority="231">
      <formula>$BS$4=""</formula>
    </cfRule>
  </conditionalFormatting>
  <conditionalFormatting sqref="AW4:AX4">
    <cfRule type="expression" dxfId="1731" priority="25">
      <formula>AU$4=1</formula>
    </cfRule>
  </conditionalFormatting>
  <conditionalFormatting sqref="BA4:BB4">
    <cfRule type="expression" dxfId="1730" priority="24">
      <formula>AY$4=1</formula>
    </cfRule>
  </conditionalFormatting>
  <conditionalFormatting sqref="BE4:BF4">
    <cfRule type="expression" dxfId="1729" priority="23">
      <formula>BC$4=1</formula>
    </cfRule>
  </conditionalFormatting>
  <conditionalFormatting sqref="BI4:BJ4">
    <cfRule type="expression" dxfId="1728" priority="22">
      <formula>BG$4=1</formula>
    </cfRule>
  </conditionalFormatting>
  <conditionalFormatting sqref="BM4:BN4">
    <cfRule type="expression" dxfId="1727" priority="21">
      <formula>BK$4=1</formula>
    </cfRule>
  </conditionalFormatting>
  <conditionalFormatting sqref="BQ4:BR4">
    <cfRule type="expression" dxfId="1726" priority="20">
      <formula>BO$4=1</formula>
    </cfRule>
  </conditionalFormatting>
  <conditionalFormatting sqref="BU4:BV4">
    <cfRule type="expression" dxfId="1725" priority="19">
      <formula>BS$4=1</formula>
    </cfRule>
  </conditionalFormatting>
  <conditionalFormatting sqref="E4">
    <cfRule type="expression" dxfId="1724" priority="18">
      <formula>$F$4=""</formula>
    </cfRule>
  </conditionalFormatting>
  <conditionalFormatting sqref="L4">
    <cfRule type="expression" dxfId="1723" priority="16">
      <formula>$K$4=1</formula>
    </cfRule>
  </conditionalFormatting>
  <conditionalFormatting sqref="P4">
    <cfRule type="expression" dxfId="1722" priority="15">
      <formula>$O$4=1</formula>
    </cfRule>
  </conditionalFormatting>
  <conditionalFormatting sqref="T4">
    <cfRule type="expression" dxfId="1721" priority="14">
      <formula>$S$4=1</formula>
    </cfRule>
  </conditionalFormatting>
  <conditionalFormatting sqref="X4">
    <cfRule type="expression" dxfId="1720" priority="13">
      <formula>W4=1</formula>
    </cfRule>
  </conditionalFormatting>
  <conditionalFormatting sqref="AB4">
    <cfRule type="expression" dxfId="1719" priority="12">
      <formula>AA4=1</formula>
    </cfRule>
  </conditionalFormatting>
  <conditionalFormatting sqref="AF4">
    <cfRule type="expression" dxfId="1718" priority="11">
      <formula>AE4=1</formula>
    </cfRule>
  </conditionalFormatting>
  <conditionalFormatting sqref="AJ4">
    <cfRule type="expression" dxfId="1717" priority="10">
      <formula>AI4=1</formula>
    </cfRule>
  </conditionalFormatting>
  <conditionalFormatting sqref="AN4">
    <cfRule type="expression" dxfId="1716" priority="9">
      <formula>AM4=1</formula>
    </cfRule>
  </conditionalFormatting>
  <conditionalFormatting sqref="AR4">
    <cfRule type="expression" dxfId="1715" priority="8">
      <formula>AQ4=1</formula>
    </cfRule>
  </conditionalFormatting>
  <conditionalFormatting sqref="AV4">
    <cfRule type="expression" dxfId="1714" priority="7">
      <formula>AU4=1</formula>
    </cfRule>
  </conditionalFormatting>
  <conditionalFormatting sqref="AZ4">
    <cfRule type="expression" dxfId="1713" priority="6">
      <formula>AY4=1</formula>
    </cfRule>
  </conditionalFormatting>
  <conditionalFormatting sqref="BD4">
    <cfRule type="expression" dxfId="1712" priority="5">
      <formula>BC4=1</formula>
    </cfRule>
  </conditionalFormatting>
  <conditionalFormatting sqref="BH4">
    <cfRule type="expression" dxfId="1711" priority="4">
      <formula>BG4=1</formula>
    </cfRule>
  </conditionalFormatting>
  <conditionalFormatting sqref="BL4">
    <cfRule type="expression" dxfId="1710" priority="3">
      <formula>BK4=1</formula>
    </cfRule>
  </conditionalFormatting>
  <conditionalFormatting sqref="BP4">
    <cfRule type="expression" dxfId="1709" priority="2">
      <formula>BO4=1</formula>
    </cfRule>
  </conditionalFormatting>
  <conditionalFormatting sqref="BT4">
    <cfRule type="expression" dxfId="1708" priority="1">
      <formula>BS4=1</formula>
    </cfRule>
  </conditionalFormatting>
  <dataValidations count="3">
    <dataValidation type="list" allowBlank="1" showInputMessage="1" showErrorMessage="1" sqref="BP7:BP82 AV7:AV82 BL7:BL82 BT7:BT82 BH7:BH82 BD7:BD82 AZ7:AZ82" xr:uid="{0EEF0600-F438-43F5-B71C-E03DB94973EB}">
      <formula1>"&lt;, &lt;=, &gt;, &gt;=, ="</formula1>
    </dataValidation>
    <dataValidation type="list" allowBlank="1" showInputMessage="1" showErrorMessage="1" sqref="B7:B82" xr:uid="{BE2F5C79-2B2D-4694-8968-2B1681E115A3}">
      <formula1>"v"</formula1>
    </dataValidation>
    <dataValidation type="list" allowBlank="1" showInputMessage="1" showErrorMessage="1" sqref="F2" xr:uid="{75F338A7-C982-42E5-A2C0-97436915FDE6}">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6CA8878-E67D-4386-9AB8-0F13369F433C}">
          <x14:formula1>
            <xm:f>Sheet3!$A$2:$A$49</xm:f>
          </x14:formula1>
          <xm:sqref>F3</xm:sqref>
        </x14:dataValidation>
        <x14:dataValidation type="list" allowBlank="1" showInputMessage="1" xr:uid="{08BF3C00-BC5B-4933-B338-A837B6E5AB75}">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C4258-D746-4F3E-8378-036004D17DD1}">
  <sheetPr codeName="Sheet7">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686</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707" priority="188">
      <formula>$F$1=1</formula>
    </cfRule>
    <cfRule type="expression" priority="189">
      <formula>$F$1</formula>
    </cfRule>
  </conditionalFormatting>
  <conditionalFormatting sqref="J4">
    <cfRule type="expression" dxfId="1706" priority="190">
      <formula>$F$1=1</formula>
    </cfRule>
  </conditionalFormatting>
  <conditionalFormatting sqref="C7:G82">
    <cfRule type="expression" dxfId="1705" priority="102">
      <formula>$B7="v"</formula>
    </cfRule>
  </conditionalFormatting>
  <conditionalFormatting sqref="H7:H82">
    <cfRule type="expression" dxfId="1704" priority="186">
      <formula>$B7="v"</formula>
    </cfRule>
  </conditionalFormatting>
  <conditionalFormatting sqref="N7:N82">
    <cfRule type="expression" dxfId="1703" priority="185">
      <formula>$B7="v"</formula>
    </cfRule>
  </conditionalFormatting>
  <conditionalFormatting sqref="M7:M82">
    <cfRule type="expression" dxfId="1702" priority="184">
      <formula>$B7="v"</formula>
    </cfRule>
  </conditionalFormatting>
  <conditionalFormatting sqref="L7:L82">
    <cfRule type="expression" dxfId="1701" priority="192">
      <formula>$B7="v"</formula>
    </cfRule>
  </conditionalFormatting>
  <conditionalFormatting sqref="P7:Q82">
    <cfRule type="expression" dxfId="1700" priority="195">
      <formula>$B7="v"</formula>
    </cfRule>
  </conditionalFormatting>
  <conditionalFormatting sqref="R7:R82">
    <cfRule type="expression" dxfId="1699" priority="182">
      <formula>$B7="v"</formula>
    </cfRule>
  </conditionalFormatting>
  <conditionalFormatting sqref="Z7:Z82 V7:V82 AL7:AL82 AH7:AH82 AD7:AD82 AX7:AX82 AT7:AT82 AP7:AP82 BJ7:BJ82 BF7:BF82 BB7:BB82 BV7:BV82 BR7:BR82 BN7:BN82">
    <cfRule type="expression" dxfId="1698" priority="234">
      <formula>$B7="v"</formula>
    </cfRule>
  </conditionalFormatting>
  <conditionalFormatting sqref="X7:Y82 T7:U82 AJ7:AK82 AF7:AG82 AB7:AC82 AR7:AS82 AN7:AO82 BH7:BI82 BD7:BE82 AZ7:BA82 BT7:BU82 BP7:BQ82 BL7:BM82">
    <cfRule type="expression" dxfId="1697" priority="237">
      <formula>$B7="v"</formula>
    </cfRule>
  </conditionalFormatting>
  <conditionalFormatting sqref="AV7:AW82">
    <cfRule type="expression" dxfId="1696" priority="225">
      <formula>$B7="v"</formula>
    </cfRule>
  </conditionalFormatting>
  <conditionalFormatting sqref="F25">
    <cfRule type="expression" dxfId="1695" priority="177">
      <formula>$E$25="n/a"</formula>
    </cfRule>
  </conditionalFormatting>
  <conditionalFormatting sqref="F7">
    <cfRule type="expression" dxfId="1694" priority="176">
      <formula>$E$7="n/a"</formula>
    </cfRule>
  </conditionalFormatting>
  <conditionalFormatting sqref="F8">
    <cfRule type="expression" dxfId="1693" priority="187">
      <formula>$E$8="n/a"</formula>
    </cfRule>
  </conditionalFormatting>
  <conditionalFormatting sqref="F9">
    <cfRule type="expression" dxfId="1692" priority="175">
      <formula>$E$9="n/a"</formula>
    </cfRule>
  </conditionalFormatting>
  <conditionalFormatting sqref="F10">
    <cfRule type="expression" dxfId="1691" priority="174">
      <formula>$E$10="n/a"</formula>
    </cfRule>
  </conditionalFormatting>
  <conditionalFormatting sqref="F11">
    <cfRule type="expression" dxfId="1690" priority="173">
      <formula>$E$11="n/a"</formula>
    </cfRule>
  </conditionalFormatting>
  <conditionalFormatting sqref="F12">
    <cfRule type="expression" dxfId="1689" priority="172">
      <formula>$E$12="n/a"</formula>
    </cfRule>
  </conditionalFormatting>
  <conditionalFormatting sqref="F13">
    <cfRule type="expression" dxfId="1688" priority="171">
      <formula>$E$13="n/a"</formula>
    </cfRule>
  </conditionalFormatting>
  <conditionalFormatting sqref="F14">
    <cfRule type="expression" dxfId="1687" priority="170">
      <formula>$E$14="n/a"</formula>
    </cfRule>
  </conditionalFormatting>
  <conditionalFormatting sqref="F15">
    <cfRule type="expression" dxfId="1686" priority="169">
      <formula>$E$15="n/a"</formula>
    </cfRule>
  </conditionalFormatting>
  <conditionalFormatting sqref="F16">
    <cfRule type="expression" dxfId="1685" priority="168">
      <formula>$E$16="n/a"</formula>
    </cfRule>
  </conditionalFormatting>
  <conditionalFormatting sqref="F17">
    <cfRule type="expression" dxfId="1684" priority="167">
      <formula>$E$17="n/a"</formula>
    </cfRule>
  </conditionalFormatting>
  <conditionalFormatting sqref="F18">
    <cfRule type="expression" dxfId="1683" priority="166">
      <formula>$E$18="n/a"</formula>
    </cfRule>
  </conditionalFormatting>
  <conditionalFormatting sqref="F19">
    <cfRule type="expression" dxfId="1682" priority="165">
      <formula>$E$19="n/a"</formula>
    </cfRule>
  </conditionalFormatting>
  <conditionalFormatting sqref="F20">
    <cfRule type="expression" dxfId="1681" priority="164">
      <formula>$E$20="n/a"</formula>
    </cfRule>
  </conditionalFormatting>
  <conditionalFormatting sqref="F21">
    <cfRule type="expression" dxfId="1680" priority="163">
      <formula>$E$21="n/a"</formula>
    </cfRule>
  </conditionalFormatting>
  <conditionalFormatting sqref="F22">
    <cfRule type="expression" dxfId="1679" priority="162">
      <formula>$E$22="n/a"</formula>
    </cfRule>
  </conditionalFormatting>
  <conditionalFormatting sqref="F23">
    <cfRule type="expression" dxfId="1678" priority="161">
      <formula>$E$23="n/a"</formula>
    </cfRule>
  </conditionalFormatting>
  <conditionalFormatting sqref="F24">
    <cfRule type="expression" dxfId="1677" priority="160">
      <formula>$E$24="n/a"</formula>
    </cfRule>
  </conditionalFormatting>
  <conditionalFormatting sqref="F26">
    <cfRule type="expression" dxfId="1676" priority="159">
      <formula>$E$26="n/a"</formula>
    </cfRule>
  </conditionalFormatting>
  <conditionalFormatting sqref="F27">
    <cfRule type="expression" dxfId="1675" priority="158">
      <formula>$E$27="n/a"</formula>
    </cfRule>
  </conditionalFormatting>
  <conditionalFormatting sqref="F28">
    <cfRule type="expression" dxfId="1674" priority="157">
      <formula>$E$28="n/a"</formula>
    </cfRule>
  </conditionalFormatting>
  <conditionalFormatting sqref="F29">
    <cfRule type="expression" dxfId="1673" priority="156">
      <formula>$E$29="n/a"</formula>
    </cfRule>
  </conditionalFormatting>
  <conditionalFormatting sqref="F30">
    <cfRule type="expression" dxfId="1672" priority="155">
      <formula>$E$30="n/a"</formula>
    </cfRule>
  </conditionalFormatting>
  <conditionalFormatting sqref="F31">
    <cfRule type="expression" dxfId="1671" priority="154">
      <formula>$E$31="n/a"</formula>
    </cfRule>
  </conditionalFormatting>
  <conditionalFormatting sqref="F32">
    <cfRule type="expression" dxfId="1670" priority="153">
      <formula>$E$32="n/a"</formula>
    </cfRule>
  </conditionalFormatting>
  <conditionalFormatting sqref="F33">
    <cfRule type="expression" dxfId="1669" priority="152">
      <formula>$E$33="n/a"</formula>
    </cfRule>
  </conditionalFormatting>
  <conditionalFormatting sqref="F34">
    <cfRule type="expression" dxfId="1668" priority="151">
      <formula>$E$34="n/a"</formula>
    </cfRule>
  </conditionalFormatting>
  <conditionalFormatting sqref="F35">
    <cfRule type="expression" dxfId="1667" priority="150">
      <formula>$E$35="n/a"</formula>
    </cfRule>
  </conditionalFormatting>
  <conditionalFormatting sqref="F36">
    <cfRule type="expression" dxfId="1666" priority="149">
      <formula>$E$36="n/a"</formula>
    </cfRule>
  </conditionalFormatting>
  <conditionalFormatting sqref="F37">
    <cfRule type="expression" dxfId="1665" priority="148">
      <formula>$E$37="n/a"</formula>
    </cfRule>
  </conditionalFormatting>
  <conditionalFormatting sqref="F38">
    <cfRule type="expression" dxfId="1664" priority="147">
      <formula>$E$38="n/a"</formula>
    </cfRule>
  </conditionalFormatting>
  <conditionalFormatting sqref="F39">
    <cfRule type="expression" dxfId="1663" priority="146">
      <formula>$E$39="n/a"</formula>
    </cfRule>
  </conditionalFormatting>
  <conditionalFormatting sqref="F40">
    <cfRule type="expression" dxfId="1662" priority="145">
      <formula>$E$40="n/a"</formula>
    </cfRule>
  </conditionalFormatting>
  <conditionalFormatting sqref="F41">
    <cfRule type="expression" dxfId="1661" priority="144">
      <formula>$E$41="n/a"</formula>
    </cfRule>
  </conditionalFormatting>
  <conditionalFormatting sqref="F42">
    <cfRule type="expression" dxfId="1660" priority="143">
      <formula>$E$42="n/a"</formula>
    </cfRule>
  </conditionalFormatting>
  <conditionalFormatting sqref="F43">
    <cfRule type="expression" dxfId="1659" priority="142">
      <formula>$E$43="n/a"</formula>
    </cfRule>
  </conditionalFormatting>
  <conditionalFormatting sqref="F44">
    <cfRule type="expression" dxfId="1658" priority="141">
      <formula>$E$44="n/a"</formula>
    </cfRule>
  </conditionalFormatting>
  <conditionalFormatting sqref="F45">
    <cfRule type="expression" dxfId="1657" priority="140">
      <formula>$E$45="n/a"</formula>
    </cfRule>
  </conditionalFormatting>
  <conditionalFormatting sqref="F46">
    <cfRule type="expression" dxfId="1656" priority="139">
      <formula>$E$46="n/a"</formula>
    </cfRule>
  </conditionalFormatting>
  <conditionalFormatting sqref="F82">
    <cfRule type="expression" dxfId="1655" priority="137">
      <formula>$E$82="n/a"</formula>
    </cfRule>
  </conditionalFormatting>
  <conditionalFormatting sqref="F81">
    <cfRule type="expression" dxfId="1654" priority="136">
      <formula>$E$81="n/a"</formula>
    </cfRule>
  </conditionalFormatting>
  <conditionalFormatting sqref="F80">
    <cfRule type="expression" dxfId="1653" priority="135">
      <formula>$E$80="n/a"</formula>
    </cfRule>
  </conditionalFormatting>
  <conditionalFormatting sqref="F79">
    <cfRule type="expression" dxfId="1652" priority="134">
      <formula>$E$79="n/a"</formula>
    </cfRule>
  </conditionalFormatting>
  <conditionalFormatting sqref="F78">
    <cfRule type="expression" dxfId="1651" priority="133">
      <formula>$E$78="n/a"</formula>
    </cfRule>
  </conditionalFormatting>
  <conditionalFormatting sqref="F77">
    <cfRule type="expression" dxfId="1650" priority="132">
      <formula>$E$77="n/a"</formula>
    </cfRule>
  </conditionalFormatting>
  <conditionalFormatting sqref="F76">
    <cfRule type="expression" dxfId="1649" priority="131">
      <formula>$E$76="n/a"</formula>
    </cfRule>
  </conditionalFormatting>
  <conditionalFormatting sqref="F75">
    <cfRule type="expression" dxfId="1648" priority="130">
      <formula>$E$75="n/a"</formula>
    </cfRule>
  </conditionalFormatting>
  <conditionalFormatting sqref="F74">
    <cfRule type="expression" dxfId="1647" priority="129">
      <formula>$E$74="n/a"</formula>
    </cfRule>
  </conditionalFormatting>
  <conditionalFormatting sqref="F73">
    <cfRule type="expression" dxfId="1646" priority="127">
      <formula>$E$73="n/a"</formula>
    </cfRule>
  </conditionalFormatting>
  <conditionalFormatting sqref="F72">
    <cfRule type="expression" dxfId="1645" priority="103">
      <formula>$E$72="n/a"</formula>
    </cfRule>
  </conditionalFormatting>
  <conditionalFormatting sqref="F47">
    <cfRule type="expression" dxfId="1644" priority="138">
      <formula>$E$47="n/a"</formula>
    </cfRule>
  </conditionalFormatting>
  <conditionalFormatting sqref="F48">
    <cfRule type="expression" dxfId="1643" priority="128">
      <formula>$E$48="n/a"</formula>
    </cfRule>
  </conditionalFormatting>
  <conditionalFormatting sqref="F49">
    <cfRule type="expression" dxfId="1642" priority="126">
      <formula>$E$49="n/a"</formula>
    </cfRule>
  </conditionalFormatting>
  <conditionalFormatting sqref="F50">
    <cfRule type="expression" dxfId="1641" priority="125">
      <formula>$E$50="n/a"</formula>
    </cfRule>
  </conditionalFormatting>
  <conditionalFormatting sqref="F51">
    <cfRule type="expression" dxfId="1640" priority="124">
      <formula>$E$51="n/a"</formula>
    </cfRule>
  </conditionalFormatting>
  <conditionalFormatting sqref="F52">
    <cfRule type="expression" dxfId="1639" priority="123">
      <formula>$E$52="n/a"</formula>
    </cfRule>
  </conditionalFormatting>
  <conditionalFormatting sqref="F53">
    <cfRule type="expression" dxfId="1638" priority="122">
      <formula>$E$53="n/a"</formula>
    </cfRule>
  </conditionalFormatting>
  <conditionalFormatting sqref="F54">
    <cfRule type="expression" dxfId="1637" priority="121">
      <formula>$E$54="n/a"</formula>
    </cfRule>
  </conditionalFormatting>
  <conditionalFormatting sqref="F55">
    <cfRule type="expression" dxfId="1636" priority="120">
      <formula>$E$55="n/a"</formula>
    </cfRule>
  </conditionalFormatting>
  <conditionalFormatting sqref="F56">
    <cfRule type="expression" dxfId="1635" priority="119">
      <formula>$E$56="n/a"</formula>
    </cfRule>
  </conditionalFormatting>
  <conditionalFormatting sqref="F57">
    <cfRule type="expression" dxfId="1634" priority="118">
      <formula>$E$57="n/a"</formula>
    </cfRule>
  </conditionalFormatting>
  <conditionalFormatting sqref="F58">
    <cfRule type="expression" dxfId="1633" priority="117">
      <formula>$E$58="n/a"</formula>
    </cfRule>
  </conditionalFormatting>
  <conditionalFormatting sqref="F59">
    <cfRule type="expression" dxfId="1632" priority="116">
      <formula>$E$59="n/a"</formula>
    </cfRule>
  </conditionalFormatting>
  <conditionalFormatting sqref="F60">
    <cfRule type="expression" dxfId="1631" priority="115">
      <formula>$E$60="n/a"</formula>
    </cfRule>
  </conditionalFormatting>
  <conditionalFormatting sqref="F61">
    <cfRule type="expression" dxfId="1630" priority="114">
      <formula>$E$61="n/a"</formula>
    </cfRule>
  </conditionalFormatting>
  <conditionalFormatting sqref="F62">
    <cfRule type="expression" dxfId="1629" priority="113">
      <formula>$E$62="n/a"</formula>
    </cfRule>
  </conditionalFormatting>
  <conditionalFormatting sqref="F63">
    <cfRule type="expression" dxfId="1628" priority="112">
      <formula>$E$63="n/a"</formula>
    </cfRule>
  </conditionalFormatting>
  <conditionalFormatting sqref="F64">
    <cfRule type="expression" dxfId="1627" priority="111">
      <formula>$E$64="n/a"</formula>
    </cfRule>
  </conditionalFormatting>
  <conditionalFormatting sqref="F65">
    <cfRule type="expression" dxfId="1626" priority="110">
      <formula>$E$65="n/a"</formula>
    </cfRule>
  </conditionalFormatting>
  <conditionalFormatting sqref="F66">
    <cfRule type="expression" dxfId="1625" priority="109">
      <formula>$E$66="n/a"</formula>
    </cfRule>
  </conditionalFormatting>
  <conditionalFormatting sqref="F67">
    <cfRule type="expression" dxfId="1624" priority="108">
      <formula>$E$67="n/a"</formula>
    </cfRule>
  </conditionalFormatting>
  <conditionalFormatting sqref="F68">
    <cfRule type="expression" dxfId="1623" priority="107">
      <formula>$E$68="n/a"</formula>
    </cfRule>
  </conditionalFormatting>
  <conditionalFormatting sqref="F69">
    <cfRule type="expression" dxfId="1622" priority="106">
      <formula>$E$69="n/a"</formula>
    </cfRule>
  </conditionalFormatting>
  <conditionalFormatting sqref="F70">
    <cfRule type="expression" dxfId="1621" priority="105">
      <formula>$E$70="n/a"</formula>
    </cfRule>
  </conditionalFormatting>
  <conditionalFormatting sqref="F71">
    <cfRule type="expression" dxfId="1620" priority="104">
      <formula>$E$71="n/a"</formula>
    </cfRule>
  </conditionalFormatting>
  <conditionalFormatting sqref="I7">
    <cfRule type="expression" dxfId="1619" priority="101">
      <formula>$B$7="v"</formula>
    </cfRule>
  </conditionalFormatting>
  <conditionalFormatting sqref="I8">
    <cfRule type="expression" dxfId="1618" priority="100">
      <formula>$B$8="v"</formula>
    </cfRule>
  </conditionalFormatting>
  <conditionalFormatting sqref="I9">
    <cfRule type="expression" dxfId="1617" priority="99">
      <formula>$B$9="v"</formula>
    </cfRule>
  </conditionalFormatting>
  <conditionalFormatting sqref="I10">
    <cfRule type="expression" dxfId="1616" priority="98">
      <formula>$B$10="v"</formula>
    </cfRule>
  </conditionalFormatting>
  <conditionalFormatting sqref="I11">
    <cfRule type="expression" dxfId="1615" priority="97">
      <formula>$B$11="v"</formula>
    </cfRule>
  </conditionalFormatting>
  <conditionalFormatting sqref="I12">
    <cfRule type="expression" dxfId="1614" priority="96">
      <formula>$B$12="v"</formula>
    </cfRule>
  </conditionalFormatting>
  <conditionalFormatting sqref="I13">
    <cfRule type="expression" dxfId="1613" priority="95">
      <formula>$B$13="v"</formula>
    </cfRule>
  </conditionalFormatting>
  <conditionalFormatting sqref="I14">
    <cfRule type="expression" dxfId="1612" priority="94">
      <formula>$B$14="v"</formula>
    </cfRule>
  </conditionalFormatting>
  <conditionalFormatting sqref="I15">
    <cfRule type="expression" dxfId="1611" priority="93">
      <formula>$B$15="v"</formula>
    </cfRule>
  </conditionalFormatting>
  <conditionalFormatting sqref="I16">
    <cfRule type="expression" dxfId="1610" priority="92">
      <formula>$B$16="v"</formula>
    </cfRule>
  </conditionalFormatting>
  <conditionalFormatting sqref="I17">
    <cfRule type="expression" dxfId="1609" priority="91">
      <formula>$B$17="v"</formula>
    </cfRule>
  </conditionalFormatting>
  <conditionalFormatting sqref="I18">
    <cfRule type="expression" dxfId="1608" priority="90">
      <formula>$B$18="v"</formula>
    </cfRule>
  </conditionalFormatting>
  <conditionalFormatting sqref="I19">
    <cfRule type="expression" dxfId="1607" priority="89">
      <formula>$B$19="v"</formula>
    </cfRule>
  </conditionalFormatting>
  <conditionalFormatting sqref="I20">
    <cfRule type="expression" dxfId="1606" priority="88">
      <formula>$B$20="v"</formula>
    </cfRule>
  </conditionalFormatting>
  <conditionalFormatting sqref="I21">
    <cfRule type="expression" dxfId="1605" priority="87">
      <formula>$B$21="v"</formula>
    </cfRule>
  </conditionalFormatting>
  <conditionalFormatting sqref="I22">
    <cfRule type="expression" dxfId="1604" priority="86">
      <formula>$B$22="v"</formula>
    </cfRule>
  </conditionalFormatting>
  <conditionalFormatting sqref="I23">
    <cfRule type="expression" dxfId="1603" priority="85">
      <formula>$B$23="v"</formula>
    </cfRule>
  </conditionalFormatting>
  <conditionalFormatting sqref="I24">
    <cfRule type="expression" dxfId="1602" priority="84">
      <formula>$B$24="v"</formula>
    </cfRule>
  </conditionalFormatting>
  <conditionalFormatting sqref="I25">
    <cfRule type="expression" dxfId="1601" priority="83">
      <formula>$B$25="v"</formula>
    </cfRule>
  </conditionalFormatting>
  <conditionalFormatting sqref="I26">
    <cfRule type="expression" dxfId="1600" priority="82">
      <formula>$B$26="v"</formula>
    </cfRule>
  </conditionalFormatting>
  <conditionalFormatting sqref="I27">
    <cfRule type="expression" dxfId="1599" priority="81">
      <formula>$B$27="v"</formula>
    </cfRule>
  </conditionalFormatting>
  <conditionalFormatting sqref="I28">
    <cfRule type="expression" dxfId="1598" priority="80">
      <formula>$B$28="v"</formula>
    </cfRule>
  </conditionalFormatting>
  <conditionalFormatting sqref="I29">
    <cfRule type="expression" dxfId="1597" priority="79">
      <formula>$B$29="v"</formula>
    </cfRule>
  </conditionalFormatting>
  <conditionalFormatting sqref="I30">
    <cfRule type="expression" dxfId="1596" priority="78">
      <formula>$B$30="v"</formula>
    </cfRule>
  </conditionalFormatting>
  <conditionalFormatting sqref="I31">
    <cfRule type="expression" dxfId="1595" priority="77">
      <formula>$B$31="v"</formula>
    </cfRule>
  </conditionalFormatting>
  <conditionalFormatting sqref="I32">
    <cfRule type="expression" dxfId="1594" priority="76">
      <formula>$B$32="v"</formula>
    </cfRule>
  </conditionalFormatting>
  <conditionalFormatting sqref="I33">
    <cfRule type="expression" dxfId="1593" priority="75">
      <formula>$B$33="v"</formula>
    </cfRule>
  </conditionalFormatting>
  <conditionalFormatting sqref="I34">
    <cfRule type="expression" dxfId="1592" priority="74">
      <formula>$B$34="v"</formula>
    </cfRule>
  </conditionalFormatting>
  <conditionalFormatting sqref="I35">
    <cfRule type="expression" dxfId="1591" priority="73">
      <formula>$B$35="v"</formula>
    </cfRule>
  </conditionalFormatting>
  <conditionalFormatting sqref="I36">
    <cfRule type="expression" dxfId="1590" priority="72">
      <formula>$B$36="v"</formula>
    </cfRule>
  </conditionalFormatting>
  <conditionalFormatting sqref="I37">
    <cfRule type="expression" dxfId="1589" priority="71">
      <formula>$B$37="v"</formula>
    </cfRule>
  </conditionalFormatting>
  <conditionalFormatting sqref="I38">
    <cfRule type="expression" dxfId="1588" priority="70">
      <formula>$B$38="v"</formula>
    </cfRule>
  </conditionalFormatting>
  <conditionalFormatting sqref="I39">
    <cfRule type="expression" dxfId="1587" priority="69">
      <formula>$B$39="v"</formula>
    </cfRule>
  </conditionalFormatting>
  <conditionalFormatting sqref="I40">
    <cfRule type="expression" dxfId="1586" priority="68">
      <formula>$B$40="v"</formula>
    </cfRule>
  </conditionalFormatting>
  <conditionalFormatting sqref="I41">
    <cfRule type="expression" dxfId="1585" priority="67">
      <formula>$B$41="v"</formula>
    </cfRule>
  </conditionalFormatting>
  <conditionalFormatting sqref="I42">
    <cfRule type="expression" dxfId="1584" priority="66">
      <formula>$B$42="v"</formula>
    </cfRule>
  </conditionalFormatting>
  <conditionalFormatting sqref="I43">
    <cfRule type="expression" dxfId="1583" priority="65">
      <formula>$B$43="v"</formula>
    </cfRule>
  </conditionalFormatting>
  <conditionalFormatting sqref="I44">
    <cfRule type="expression" dxfId="1582" priority="64">
      <formula>$B$44="v"</formula>
    </cfRule>
  </conditionalFormatting>
  <conditionalFormatting sqref="I45">
    <cfRule type="expression" dxfId="1581" priority="63">
      <formula>$B$45="v"</formula>
    </cfRule>
  </conditionalFormatting>
  <conditionalFormatting sqref="I46">
    <cfRule type="expression" dxfId="1580" priority="62">
      <formula>$B$46="v"</formula>
    </cfRule>
  </conditionalFormatting>
  <conditionalFormatting sqref="I47">
    <cfRule type="expression" dxfId="1579" priority="61">
      <formula>$B$47="v"</formula>
    </cfRule>
  </conditionalFormatting>
  <conditionalFormatting sqref="I48">
    <cfRule type="expression" dxfId="1578" priority="60">
      <formula>$B$48="v"</formula>
    </cfRule>
  </conditionalFormatting>
  <conditionalFormatting sqref="I49">
    <cfRule type="expression" dxfId="1577" priority="59">
      <formula>$B$49="v"</formula>
    </cfRule>
  </conditionalFormatting>
  <conditionalFormatting sqref="I50">
    <cfRule type="expression" dxfId="1576" priority="58">
      <formula>$B$50="v"</formula>
    </cfRule>
  </conditionalFormatting>
  <conditionalFormatting sqref="I51">
    <cfRule type="expression" dxfId="1575" priority="57">
      <formula>$B$51="v"</formula>
    </cfRule>
  </conditionalFormatting>
  <conditionalFormatting sqref="I52">
    <cfRule type="expression" dxfId="1574" priority="56">
      <formula>$B$52="v"</formula>
    </cfRule>
  </conditionalFormatting>
  <conditionalFormatting sqref="I53">
    <cfRule type="expression" dxfId="1573" priority="55">
      <formula>$B$53="v"</formula>
    </cfRule>
  </conditionalFormatting>
  <conditionalFormatting sqref="I54">
    <cfRule type="expression" dxfId="1572" priority="54">
      <formula>$B$54="v"</formula>
    </cfRule>
  </conditionalFormatting>
  <conditionalFormatting sqref="I55">
    <cfRule type="expression" dxfId="1571" priority="53">
      <formula>$B$55="v"</formula>
    </cfRule>
  </conditionalFormatting>
  <conditionalFormatting sqref="I56">
    <cfRule type="expression" dxfId="1570" priority="52">
      <formula>$B$56="v"</formula>
    </cfRule>
  </conditionalFormatting>
  <conditionalFormatting sqref="I57">
    <cfRule type="expression" dxfId="1569" priority="51">
      <formula>$B$57="v"</formula>
    </cfRule>
  </conditionalFormatting>
  <conditionalFormatting sqref="I58">
    <cfRule type="expression" dxfId="1568" priority="50">
      <formula>$B$58="v"</formula>
    </cfRule>
  </conditionalFormatting>
  <conditionalFormatting sqref="I59">
    <cfRule type="expression" dxfId="1567" priority="49">
      <formula>$B$59="v"</formula>
    </cfRule>
  </conditionalFormatting>
  <conditionalFormatting sqref="I60">
    <cfRule type="expression" dxfId="1566" priority="48">
      <formula>$B$60="v"</formula>
    </cfRule>
  </conditionalFormatting>
  <conditionalFormatting sqref="I61">
    <cfRule type="expression" dxfId="1565" priority="47">
      <formula>$B$61="v"</formula>
    </cfRule>
  </conditionalFormatting>
  <conditionalFormatting sqref="I62">
    <cfRule type="expression" dxfId="1564" priority="46">
      <formula>$B$62="v"</formula>
    </cfRule>
  </conditionalFormatting>
  <conditionalFormatting sqref="I63">
    <cfRule type="expression" dxfId="1563" priority="45">
      <formula>$B$63="v"</formula>
    </cfRule>
  </conditionalFormatting>
  <conditionalFormatting sqref="I64">
    <cfRule type="expression" dxfId="1562" priority="44">
      <formula>$B$64="v"</formula>
    </cfRule>
  </conditionalFormatting>
  <conditionalFormatting sqref="I65">
    <cfRule type="expression" dxfId="1561" priority="43">
      <formula>$B$65="v"</formula>
    </cfRule>
  </conditionalFormatting>
  <conditionalFormatting sqref="I66">
    <cfRule type="expression" dxfId="1560" priority="42">
      <formula>$B$66="v"</formula>
    </cfRule>
  </conditionalFormatting>
  <conditionalFormatting sqref="I67">
    <cfRule type="expression" dxfId="1559" priority="41">
      <formula>$B$67="v"</formula>
    </cfRule>
  </conditionalFormatting>
  <conditionalFormatting sqref="I68">
    <cfRule type="expression" dxfId="1558" priority="40">
      <formula>$B$68="v"</formula>
    </cfRule>
  </conditionalFormatting>
  <conditionalFormatting sqref="I69">
    <cfRule type="expression" dxfId="1557" priority="39">
      <formula>$B$69="v"</formula>
    </cfRule>
  </conditionalFormatting>
  <conditionalFormatting sqref="I70">
    <cfRule type="expression" dxfId="1556" priority="38">
      <formula>$B$70="v"</formula>
    </cfRule>
  </conditionalFormatting>
  <conditionalFormatting sqref="I71">
    <cfRule type="expression" dxfId="1555" priority="37">
      <formula>$B$71="v"</formula>
    </cfRule>
  </conditionalFormatting>
  <conditionalFormatting sqref="I72">
    <cfRule type="expression" dxfId="1554" priority="36">
      <formula>$B$72="v"</formula>
    </cfRule>
  </conditionalFormatting>
  <conditionalFormatting sqref="I73">
    <cfRule type="expression" dxfId="1553" priority="35">
      <formula>$B$73="v"</formula>
    </cfRule>
  </conditionalFormatting>
  <conditionalFormatting sqref="I74">
    <cfRule type="expression" dxfId="1552" priority="34">
      <formula>$B$74="v"</formula>
    </cfRule>
  </conditionalFormatting>
  <conditionalFormatting sqref="I75">
    <cfRule type="expression" dxfId="1551" priority="33">
      <formula>$B$75="v"</formula>
    </cfRule>
  </conditionalFormatting>
  <conditionalFormatting sqref="I76">
    <cfRule type="expression" dxfId="1550" priority="32">
      <formula>$B$76="v"</formula>
    </cfRule>
  </conditionalFormatting>
  <conditionalFormatting sqref="I77">
    <cfRule type="expression" dxfId="1549" priority="31">
      <formula>$B$77="v"</formula>
    </cfRule>
  </conditionalFormatting>
  <conditionalFormatting sqref="I78">
    <cfRule type="expression" dxfId="1548" priority="30">
      <formula>$B$78="v"</formula>
    </cfRule>
  </conditionalFormatting>
  <conditionalFormatting sqref="I79">
    <cfRule type="expression" dxfId="1547" priority="29">
      <formula>$B$79="v"</formula>
    </cfRule>
  </conditionalFormatting>
  <conditionalFormatting sqref="I80">
    <cfRule type="expression" dxfId="1546" priority="28">
      <formula>$B$80="v"</formula>
    </cfRule>
  </conditionalFormatting>
  <conditionalFormatting sqref="I81">
    <cfRule type="expression" dxfId="1545" priority="27">
      <formula>$B$81="v"</formula>
    </cfRule>
  </conditionalFormatting>
  <conditionalFormatting sqref="I82">
    <cfRule type="expression" dxfId="1544" priority="26">
      <formula>$B$82="v"</formula>
    </cfRule>
  </conditionalFormatting>
  <conditionalFormatting sqref="L5:N6">
    <cfRule type="expression" dxfId="1543" priority="191">
      <formula>$K$4=1</formula>
    </cfRule>
  </conditionalFormatting>
  <conditionalFormatting sqref="L7:N82">
    <cfRule type="expression" dxfId="1542" priority="193">
      <formula>$K$4=1</formula>
    </cfRule>
  </conditionalFormatting>
  <conditionalFormatting sqref="M4:N4">
    <cfRule type="expression" dxfId="1541" priority="17" stopIfTrue="1">
      <formula>$K$4=1</formula>
    </cfRule>
  </conditionalFormatting>
  <conditionalFormatting sqref="L7:N82">
    <cfRule type="expression" dxfId="1540" priority="183">
      <formula>$K$4=""</formula>
    </cfRule>
  </conditionalFormatting>
  <conditionalFormatting sqref="P5:R6">
    <cfRule type="expression" dxfId="1539" priority="194">
      <formula>$O$4=1</formula>
    </cfRule>
  </conditionalFormatting>
  <conditionalFormatting sqref="P7:R82">
    <cfRule type="expression" dxfId="1538" priority="197">
      <formula>$O$4=1</formula>
    </cfRule>
  </conditionalFormatting>
  <conditionalFormatting sqref="Q4:R4">
    <cfRule type="expression" dxfId="1537" priority="196">
      <formula>$O$4=1</formula>
    </cfRule>
  </conditionalFormatting>
  <conditionalFormatting sqref="P7:R82">
    <cfRule type="expression" dxfId="1536" priority="181">
      <formula>$O$4=""</formula>
    </cfRule>
  </conditionalFormatting>
  <conditionalFormatting sqref="T5:V6">
    <cfRule type="expression" dxfId="1535" priority="198">
      <formula>$S$4=1</formula>
    </cfRule>
  </conditionalFormatting>
  <conditionalFormatting sqref="T7:V82">
    <cfRule type="expression" dxfId="1534" priority="243">
      <formula>$S$4=1</formula>
    </cfRule>
  </conditionalFormatting>
  <conditionalFormatting sqref="U4:V4">
    <cfRule type="expression" dxfId="1533" priority="200">
      <formula>$S$4=1</formula>
    </cfRule>
  </conditionalFormatting>
  <conditionalFormatting sqref="T7:V82">
    <cfRule type="expression" dxfId="1532" priority="179">
      <formula>$S$4=""</formula>
    </cfRule>
  </conditionalFormatting>
  <conditionalFormatting sqref="X5:Z6">
    <cfRule type="expression" dxfId="1531" priority="202">
      <formula>$W$4=1</formula>
    </cfRule>
  </conditionalFormatting>
  <conditionalFormatting sqref="X7:Z82">
    <cfRule type="expression" dxfId="1530" priority="240">
      <formula>$W$4=1</formula>
    </cfRule>
  </conditionalFormatting>
  <conditionalFormatting sqref="Y4:Z4">
    <cfRule type="expression" dxfId="1529" priority="204">
      <formula>$W$4=1</formula>
    </cfRule>
  </conditionalFormatting>
  <conditionalFormatting sqref="X7:Z82">
    <cfRule type="expression" dxfId="1528" priority="180">
      <formula>$W$4=""</formula>
    </cfRule>
  </conditionalFormatting>
  <conditionalFormatting sqref="AB5:AD6">
    <cfRule type="expression" dxfId="1527" priority="206">
      <formula>$AA$4=1</formula>
    </cfRule>
  </conditionalFormatting>
  <conditionalFormatting sqref="AB7:AD82">
    <cfRule type="expression" dxfId="1526" priority="209">
      <formula>$AA$4=1</formula>
    </cfRule>
  </conditionalFormatting>
  <conditionalFormatting sqref="AC4:AD4">
    <cfRule type="expression" dxfId="1525" priority="208">
      <formula>$AA$4=1</formula>
    </cfRule>
  </conditionalFormatting>
  <conditionalFormatting sqref="AB7:AD82">
    <cfRule type="expression" dxfId="1524" priority="199">
      <formula>$AA$4=""</formula>
    </cfRule>
  </conditionalFormatting>
  <conditionalFormatting sqref="AF5:AH6">
    <cfRule type="expression" dxfId="1523" priority="210">
      <formula>$AE$4=1</formula>
    </cfRule>
  </conditionalFormatting>
  <conditionalFormatting sqref="AF7:AH82">
    <cfRule type="expression" dxfId="1522" priority="213">
      <formula>$AE$4=1</formula>
    </cfRule>
  </conditionalFormatting>
  <conditionalFormatting sqref="AG4:AH4">
    <cfRule type="expression" dxfId="1521" priority="212">
      <formula>$AE$4=1</formula>
    </cfRule>
  </conditionalFormatting>
  <conditionalFormatting sqref="AF7:AH82">
    <cfRule type="expression" dxfId="1520" priority="201">
      <formula>$AE$4=""</formula>
    </cfRule>
  </conditionalFormatting>
  <conditionalFormatting sqref="AJ7:AL82">
    <cfRule type="expression" dxfId="1519" priority="217">
      <formula>$AI$4=1</formula>
    </cfRule>
  </conditionalFormatting>
  <conditionalFormatting sqref="AK4:AL4">
    <cfRule type="expression" dxfId="1518" priority="215">
      <formula>$AI$4=1</formula>
    </cfRule>
  </conditionalFormatting>
  <conditionalFormatting sqref="AJ5:AL6">
    <cfRule type="expression" dxfId="1517" priority="216">
      <formula>$AI$4=1</formula>
    </cfRule>
  </conditionalFormatting>
  <conditionalFormatting sqref="AJ7:AL82">
    <cfRule type="expression" dxfId="1516" priority="203">
      <formula>$AI$4=""</formula>
    </cfRule>
  </conditionalFormatting>
  <conditionalFormatting sqref="AN7:AP82">
    <cfRule type="expression" dxfId="1515" priority="221">
      <formula>$AM$4=1</formula>
    </cfRule>
  </conditionalFormatting>
  <conditionalFormatting sqref="AO4:AP4 AS4:AT4">
    <cfRule type="expression" dxfId="1514" priority="219">
      <formula>AQ$4=1</formula>
    </cfRule>
  </conditionalFormatting>
  <conditionalFormatting sqref="AN5:AP6">
    <cfRule type="expression" dxfId="1513" priority="220">
      <formula>$AM$4=1</formula>
    </cfRule>
  </conditionalFormatting>
  <conditionalFormatting sqref="AN7:AP82">
    <cfRule type="expression" dxfId="1512" priority="205">
      <formula>$AM$4=""</formula>
    </cfRule>
  </conditionalFormatting>
  <conditionalFormatting sqref="AR7:AT82">
    <cfRule type="expression" dxfId="1511" priority="224">
      <formula>$AQ$4=1</formula>
    </cfRule>
  </conditionalFormatting>
  <conditionalFormatting sqref="AR5:AT6">
    <cfRule type="expression" dxfId="1510" priority="223">
      <formula>$AQ$4=1</formula>
    </cfRule>
  </conditionalFormatting>
  <conditionalFormatting sqref="AR7:AT82">
    <cfRule type="expression" dxfId="1509" priority="207">
      <formula>$AQ$4=""</formula>
    </cfRule>
  </conditionalFormatting>
  <conditionalFormatting sqref="AV7:AX82">
    <cfRule type="expression" dxfId="1508" priority="227">
      <formula>$AU$4=1</formula>
    </cfRule>
  </conditionalFormatting>
  <conditionalFormatting sqref="AV5:AX6">
    <cfRule type="expression" dxfId="1507" priority="226">
      <formula>$AU$4=1</formula>
    </cfRule>
  </conditionalFormatting>
  <conditionalFormatting sqref="AV7:AX82">
    <cfRule type="expression" dxfId="1506" priority="178">
      <formula>$AU$4=""</formula>
    </cfRule>
  </conditionalFormatting>
  <conditionalFormatting sqref="AZ7:BB82">
    <cfRule type="expression" dxfId="1505" priority="230">
      <formula>$AY$4=1</formula>
    </cfRule>
  </conditionalFormatting>
  <conditionalFormatting sqref="AZ5:BB6">
    <cfRule type="expression" dxfId="1504" priority="229">
      <formula>$AY$4=1</formula>
    </cfRule>
  </conditionalFormatting>
  <conditionalFormatting sqref="AZ7:BB82">
    <cfRule type="expression" dxfId="1503" priority="211">
      <formula>$AY$4=""</formula>
    </cfRule>
  </conditionalFormatting>
  <conditionalFormatting sqref="BD7:BF82">
    <cfRule type="expression" dxfId="1502" priority="233">
      <formula>$BC$4=1</formula>
    </cfRule>
  </conditionalFormatting>
  <conditionalFormatting sqref="BD5:BF6">
    <cfRule type="expression" dxfId="1501" priority="232">
      <formula>$BC$4=1</formula>
    </cfRule>
  </conditionalFormatting>
  <conditionalFormatting sqref="BD7:BF82">
    <cfRule type="expression" dxfId="1500" priority="214">
      <formula>$BC$4=""</formula>
    </cfRule>
  </conditionalFormatting>
  <conditionalFormatting sqref="BH7:BJ82">
    <cfRule type="expression" dxfId="1499" priority="236">
      <formula>$BG$4=1</formula>
    </cfRule>
  </conditionalFormatting>
  <conditionalFormatting sqref="BH5:BJ6">
    <cfRule type="expression" dxfId="1498" priority="235">
      <formula>$BG$4=1</formula>
    </cfRule>
  </conditionalFormatting>
  <conditionalFormatting sqref="BH7:BJ82">
    <cfRule type="expression" dxfId="1497" priority="218">
      <formula>$BG$4=""</formula>
    </cfRule>
  </conditionalFormatting>
  <conditionalFormatting sqref="BL7:BN82">
    <cfRule type="expression" dxfId="1496" priority="239">
      <formula>$BK$4=1</formula>
    </cfRule>
  </conditionalFormatting>
  <conditionalFormatting sqref="BL5:BN6">
    <cfRule type="expression" dxfId="1495" priority="238">
      <formula>$BK$4=1</formula>
    </cfRule>
  </conditionalFormatting>
  <conditionalFormatting sqref="BL7:BN82">
    <cfRule type="expression" dxfId="1494" priority="222">
      <formula>$BK$4=""</formula>
    </cfRule>
  </conditionalFormatting>
  <conditionalFormatting sqref="BP7:BR82">
    <cfRule type="expression" dxfId="1493" priority="242">
      <formula>$BO$4=1</formula>
    </cfRule>
  </conditionalFormatting>
  <conditionalFormatting sqref="BP5:BR6">
    <cfRule type="expression" dxfId="1492" priority="241">
      <formula>$BO$4=1</formula>
    </cfRule>
  </conditionalFormatting>
  <conditionalFormatting sqref="BP7:BR82">
    <cfRule type="expression" dxfId="1491" priority="228">
      <formula>$BO$4=""</formula>
    </cfRule>
  </conditionalFormatting>
  <conditionalFormatting sqref="BT7:BV82">
    <cfRule type="expression" dxfId="1490" priority="245">
      <formula>$BS$4=1</formula>
    </cfRule>
  </conditionalFormatting>
  <conditionalFormatting sqref="BT5:BV6">
    <cfRule type="expression" dxfId="1489" priority="244">
      <formula>$BS$4=1</formula>
    </cfRule>
  </conditionalFormatting>
  <conditionalFormatting sqref="BT7:BV82">
    <cfRule type="expression" dxfId="1488" priority="231">
      <formula>$BS$4=""</formula>
    </cfRule>
  </conditionalFormatting>
  <conditionalFormatting sqref="AW4:AX4">
    <cfRule type="expression" dxfId="1487" priority="25">
      <formula>AU$4=1</formula>
    </cfRule>
  </conditionalFormatting>
  <conditionalFormatting sqref="BA4:BB4">
    <cfRule type="expression" dxfId="1486" priority="24">
      <formula>AY$4=1</formula>
    </cfRule>
  </conditionalFormatting>
  <conditionalFormatting sqref="BE4:BF4">
    <cfRule type="expression" dxfId="1485" priority="23">
      <formula>BC$4=1</formula>
    </cfRule>
  </conditionalFormatting>
  <conditionalFormatting sqref="BI4:BJ4">
    <cfRule type="expression" dxfId="1484" priority="22">
      <formula>BG$4=1</formula>
    </cfRule>
  </conditionalFormatting>
  <conditionalFormatting sqref="BM4:BN4">
    <cfRule type="expression" dxfId="1483" priority="21">
      <formula>BK$4=1</formula>
    </cfRule>
  </conditionalFormatting>
  <conditionalFormatting sqref="BQ4:BR4">
    <cfRule type="expression" dxfId="1482" priority="20">
      <formula>BO$4=1</formula>
    </cfRule>
  </conditionalFormatting>
  <conditionalFormatting sqref="BU4:BV4">
    <cfRule type="expression" dxfId="1481" priority="19">
      <formula>BS$4=1</formula>
    </cfRule>
  </conditionalFormatting>
  <conditionalFormatting sqref="E4">
    <cfRule type="expression" dxfId="1480" priority="18">
      <formula>$F$4=""</formula>
    </cfRule>
  </conditionalFormatting>
  <conditionalFormatting sqref="L4">
    <cfRule type="expression" dxfId="1479" priority="16">
      <formula>$K$4=1</formula>
    </cfRule>
  </conditionalFormatting>
  <conditionalFormatting sqref="P4">
    <cfRule type="expression" dxfId="1478" priority="15">
      <formula>$O$4=1</formula>
    </cfRule>
  </conditionalFormatting>
  <conditionalFormatting sqref="T4">
    <cfRule type="expression" dxfId="1477" priority="14">
      <formula>$S$4=1</formula>
    </cfRule>
  </conditionalFormatting>
  <conditionalFormatting sqref="X4">
    <cfRule type="expression" dxfId="1476" priority="13">
      <formula>W4=1</formula>
    </cfRule>
  </conditionalFormatting>
  <conditionalFormatting sqref="AB4">
    <cfRule type="expression" dxfId="1475" priority="12">
      <formula>AA4=1</formula>
    </cfRule>
  </conditionalFormatting>
  <conditionalFormatting sqref="AF4">
    <cfRule type="expression" dxfId="1474" priority="11">
      <formula>AE4=1</formula>
    </cfRule>
  </conditionalFormatting>
  <conditionalFormatting sqref="AJ4">
    <cfRule type="expression" dxfId="1473" priority="10">
      <formula>AI4=1</formula>
    </cfRule>
  </conditionalFormatting>
  <conditionalFormatting sqref="AN4">
    <cfRule type="expression" dxfId="1472" priority="9">
      <formula>AM4=1</formula>
    </cfRule>
  </conditionalFormatting>
  <conditionalFormatting sqref="AR4">
    <cfRule type="expression" dxfId="1471" priority="8">
      <formula>AQ4=1</formula>
    </cfRule>
  </conditionalFormatting>
  <conditionalFormatting sqref="AV4">
    <cfRule type="expression" dxfId="1470" priority="7">
      <formula>AU4=1</formula>
    </cfRule>
  </conditionalFormatting>
  <conditionalFormatting sqref="AZ4">
    <cfRule type="expression" dxfId="1469" priority="6">
      <formula>AY4=1</formula>
    </cfRule>
  </conditionalFormatting>
  <conditionalFormatting sqref="BD4">
    <cfRule type="expression" dxfId="1468" priority="5">
      <formula>BC4=1</formula>
    </cfRule>
  </conditionalFormatting>
  <conditionalFormatting sqref="BH4">
    <cfRule type="expression" dxfId="1467" priority="4">
      <formula>BG4=1</formula>
    </cfRule>
  </conditionalFormatting>
  <conditionalFormatting sqref="BL4">
    <cfRule type="expression" dxfId="1466" priority="3">
      <formula>BK4=1</formula>
    </cfRule>
  </conditionalFormatting>
  <conditionalFormatting sqref="BP4">
    <cfRule type="expression" dxfId="1465" priority="2">
      <formula>BO4=1</formula>
    </cfRule>
  </conditionalFormatting>
  <conditionalFormatting sqref="BT4">
    <cfRule type="expression" dxfId="1464" priority="1">
      <formula>BS4=1</formula>
    </cfRule>
  </conditionalFormatting>
  <dataValidations count="3">
    <dataValidation type="list" allowBlank="1" showInputMessage="1" showErrorMessage="1" sqref="F2" xr:uid="{3FCB6EAF-64FE-4744-9DB2-1B0C8914F610}">
      <formula1>"1, 2, 3, 4, 5, 6, 7, 8, 9, 10, 11, 12, 13, 14, 15, 16, 17"</formula1>
    </dataValidation>
    <dataValidation type="list" allowBlank="1" showInputMessage="1" showErrorMessage="1" sqref="B7:B82" xr:uid="{5791D04C-F807-4BB6-B7B0-E6ECD1830AA9}">
      <formula1>"v"</formula1>
    </dataValidation>
    <dataValidation type="list" allowBlank="1" showInputMessage="1" showErrorMessage="1" sqref="BP7:BP82 AV7:AV82 BL7:BL82 BT7:BT82 BH7:BH82 BD7:BD82 AZ7:AZ82" xr:uid="{6000B173-3660-46BC-A035-07F435843EA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D484D40-32BC-421F-9149-C352C900D001}">
          <x14:formula1>
            <xm:f>Sheet3!$J$153:$J$168</xm:f>
          </x14:formula1>
          <xm:sqref>H7:H82 N7:N82 R7:R82 V7:V82 Z7:Z82 AD7:AD82 AH7:AH82 AL7:AL82 AP7:AP82 AT7:AT82</xm:sqref>
        </x14:dataValidation>
        <x14:dataValidation type="list" allowBlank="1" showInputMessage="1" showErrorMessage="1" xr:uid="{55B65921-D511-4E39-85A8-0774505190F3}">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F47CF-FA5A-45D6-8694-6550BBFF111E}">
  <sheetPr codeName="Sheet8">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687</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463" priority="188">
      <formula>$F$1=1</formula>
    </cfRule>
    <cfRule type="expression" priority="189">
      <formula>$F$1</formula>
    </cfRule>
  </conditionalFormatting>
  <conditionalFormatting sqref="J4">
    <cfRule type="expression" dxfId="1462" priority="190">
      <formula>$F$1=1</formula>
    </cfRule>
  </conditionalFormatting>
  <conditionalFormatting sqref="C7:G82">
    <cfRule type="expression" dxfId="1461" priority="102">
      <formula>$B7="v"</formula>
    </cfRule>
  </conditionalFormatting>
  <conditionalFormatting sqref="H7:H82">
    <cfRule type="expression" dxfId="1460" priority="186">
      <formula>$B7="v"</formula>
    </cfRule>
  </conditionalFormatting>
  <conditionalFormatting sqref="N7:N82">
    <cfRule type="expression" dxfId="1459" priority="185">
      <formula>$B7="v"</formula>
    </cfRule>
  </conditionalFormatting>
  <conditionalFormatting sqref="M7:M82">
    <cfRule type="expression" dxfId="1458" priority="184">
      <formula>$B7="v"</formula>
    </cfRule>
  </conditionalFormatting>
  <conditionalFormatting sqref="L7:L82">
    <cfRule type="expression" dxfId="1457" priority="192">
      <formula>$B7="v"</formula>
    </cfRule>
  </conditionalFormatting>
  <conditionalFormatting sqref="P7:Q82">
    <cfRule type="expression" dxfId="1456" priority="195">
      <formula>$B7="v"</formula>
    </cfRule>
  </conditionalFormatting>
  <conditionalFormatting sqref="R7:R82">
    <cfRule type="expression" dxfId="1455" priority="182">
      <formula>$B7="v"</formula>
    </cfRule>
  </conditionalFormatting>
  <conditionalFormatting sqref="Z7:Z82 V7:V82 AL7:AL82 AH7:AH82 AD7:AD82 AX7:AX82 AT7:AT82 AP7:AP82 BJ7:BJ82 BF7:BF82 BB7:BB82 BV7:BV82 BR7:BR82 BN7:BN82">
    <cfRule type="expression" dxfId="1454" priority="234">
      <formula>$B7="v"</formula>
    </cfRule>
  </conditionalFormatting>
  <conditionalFormatting sqref="X7:Y82 T7:U82 AJ7:AK82 AF7:AG82 AB7:AC82 AR7:AS82 AN7:AO82 BH7:BI82 BD7:BE82 AZ7:BA82 BT7:BU82 BP7:BQ82 BL7:BM82">
    <cfRule type="expression" dxfId="1453" priority="237">
      <formula>$B7="v"</formula>
    </cfRule>
  </conditionalFormatting>
  <conditionalFormatting sqref="AV7:AW82">
    <cfRule type="expression" dxfId="1452" priority="225">
      <formula>$B7="v"</formula>
    </cfRule>
  </conditionalFormatting>
  <conditionalFormatting sqref="F25">
    <cfRule type="expression" dxfId="1451" priority="177">
      <formula>$E$25="n/a"</formula>
    </cfRule>
  </conditionalFormatting>
  <conditionalFormatting sqref="F7">
    <cfRule type="expression" dxfId="1450" priority="176">
      <formula>$E$7="n/a"</formula>
    </cfRule>
  </conditionalFormatting>
  <conditionalFormatting sqref="F8">
    <cfRule type="expression" dxfId="1449" priority="187">
      <formula>$E$8="n/a"</formula>
    </cfRule>
  </conditionalFormatting>
  <conditionalFormatting sqref="F9">
    <cfRule type="expression" dxfId="1448" priority="175">
      <formula>$E$9="n/a"</formula>
    </cfRule>
  </conditionalFormatting>
  <conditionalFormatting sqref="F10">
    <cfRule type="expression" dxfId="1447" priority="174">
      <formula>$E$10="n/a"</formula>
    </cfRule>
  </conditionalFormatting>
  <conditionalFormatting sqref="F11">
    <cfRule type="expression" dxfId="1446" priority="173">
      <formula>$E$11="n/a"</formula>
    </cfRule>
  </conditionalFormatting>
  <conditionalFormatting sqref="F12">
    <cfRule type="expression" dxfId="1445" priority="172">
      <formula>$E$12="n/a"</formula>
    </cfRule>
  </conditionalFormatting>
  <conditionalFormatting sqref="F13">
    <cfRule type="expression" dxfId="1444" priority="171">
      <formula>$E$13="n/a"</formula>
    </cfRule>
  </conditionalFormatting>
  <conditionalFormatting sqref="F14">
    <cfRule type="expression" dxfId="1443" priority="170">
      <formula>$E$14="n/a"</formula>
    </cfRule>
  </conditionalFormatting>
  <conditionalFormatting sqref="F15">
    <cfRule type="expression" dxfId="1442" priority="169">
      <formula>$E$15="n/a"</formula>
    </cfRule>
  </conditionalFormatting>
  <conditionalFormatting sqref="F16">
    <cfRule type="expression" dxfId="1441" priority="168">
      <formula>$E$16="n/a"</formula>
    </cfRule>
  </conditionalFormatting>
  <conditionalFormatting sqref="F17">
    <cfRule type="expression" dxfId="1440" priority="167">
      <formula>$E$17="n/a"</formula>
    </cfRule>
  </conditionalFormatting>
  <conditionalFormatting sqref="F18">
    <cfRule type="expression" dxfId="1439" priority="166">
      <formula>$E$18="n/a"</formula>
    </cfRule>
  </conditionalFormatting>
  <conditionalFormatting sqref="F19">
    <cfRule type="expression" dxfId="1438" priority="165">
      <formula>$E$19="n/a"</formula>
    </cfRule>
  </conditionalFormatting>
  <conditionalFormatting sqref="F20">
    <cfRule type="expression" dxfId="1437" priority="164">
      <formula>$E$20="n/a"</formula>
    </cfRule>
  </conditionalFormatting>
  <conditionalFormatting sqref="F21">
    <cfRule type="expression" dxfId="1436" priority="163">
      <formula>$E$21="n/a"</formula>
    </cfRule>
  </conditionalFormatting>
  <conditionalFormatting sqref="F22">
    <cfRule type="expression" dxfId="1435" priority="162">
      <formula>$E$22="n/a"</formula>
    </cfRule>
  </conditionalFormatting>
  <conditionalFormatting sqref="F23">
    <cfRule type="expression" dxfId="1434" priority="161">
      <formula>$E$23="n/a"</formula>
    </cfRule>
  </conditionalFormatting>
  <conditionalFormatting sqref="F24">
    <cfRule type="expression" dxfId="1433" priority="160">
      <formula>$E$24="n/a"</formula>
    </cfRule>
  </conditionalFormatting>
  <conditionalFormatting sqref="F26">
    <cfRule type="expression" dxfId="1432" priority="159">
      <formula>$E$26="n/a"</formula>
    </cfRule>
  </conditionalFormatting>
  <conditionalFormatting sqref="F27">
    <cfRule type="expression" dxfId="1431" priority="158">
      <formula>$E$27="n/a"</formula>
    </cfRule>
  </conditionalFormatting>
  <conditionalFormatting sqref="F28">
    <cfRule type="expression" dxfId="1430" priority="157">
      <formula>$E$28="n/a"</formula>
    </cfRule>
  </conditionalFormatting>
  <conditionalFormatting sqref="F29">
    <cfRule type="expression" dxfId="1429" priority="156">
      <formula>$E$29="n/a"</formula>
    </cfRule>
  </conditionalFormatting>
  <conditionalFormatting sqref="F30">
    <cfRule type="expression" dxfId="1428" priority="155">
      <formula>$E$30="n/a"</formula>
    </cfRule>
  </conditionalFormatting>
  <conditionalFormatting sqref="F31">
    <cfRule type="expression" dxfId="1427" priority="154">
      <formula>$E$31="n/a"</formula>
    </cfRule>
  </conditionalFormatting>
  <conditionalFormatting sqref="F32">
    <cfRule type="expression" dxfId="1426" priority="153">
      <formula>$E$32="n/a"</formula>
    </cfRule>
  </conditionalFormatting>
  <conditionalFormatting sqref="F33">
    <cfRule type="expression" dxfId="1425" priority="152">
      <formula>$E$33="n/a"</formula>
    </cfRule>
  </conditionalFormatting>
  <conditionalFormatting sqref="F34">
    <cfRule type="expression" dxfId="1424" priority="151">
      <formula>$E$34="n/a"</formula>
    </cfRule>
  </conditionalFormatting>
  <conditionalFormatting sqref="F35">
    <cfRule type="expression" dxfId="1423" priority="150">
      <formula>$E$35="n/a"</formula>
    </cfRule>
  </conditionalFormatting>
  <conditionalFormatting sqref="F36">
    <cfRule type="expression" dxfId="1422" priority="149">
      <formula>$E$36="n/a"</formula>
    </cfRule>
  </conditionalFormatting>
  <conditionalFormatting sqref="F37">
    <cfRule type="expression" dxfId="1421" priority="148">
      <formula>$E$37="n/a"</formula>
    </cfRule>
  </conditionalFormatting>
  <conditionalFormatting sqref="F38">
    <cfRule type="expression" dxfId="1420" priority="147">
      <formula>$E$38="n/a"</formula>
    </cfRule>
  </conditionalFormatting>
  <conditionalFormatting sqref="F39">
    <cfRule type="expression" dxfId="1419" priority="146">
      <formula>$E$39="n/a"</formula>
    </cfRule>
  </conditionalFormatting>
  <conditionalFormatting sqref="F40">
    <cfRule type="expression" dxfId="1418" priority="145">
      <formula>$E$40="n/a"</formula>
    </cfRule>
  </conditionalFormatting>
  <conditionalFormatting sqref="F41">
    <cfRule type="expression" dxfId="1417" priority="144">
      <formula>$E$41="n/a"</formula>
    </cfRule>
  </conditionalFormatting>
  <conditionalFormatting sqref="F42">
    <cfRule type="expression" dxfId="1416" priority="143">
      <formula>$E$42="n/a"</formula>
    </cfRule>
  </conditionalFormatting>
  <conditionalFormatting sqref="F43">
    <cfRule type="expression" dxfId="1415" priority="142">
      <formula>$E$43="n/a"</formula>
    </cfRule>
  </conditionalFormatting>
  <conditionalFormatting sqref="F44">
    <cfRule type="expression" dxfId="1414" priority="141">
      <formula>$E$44="n/a"</formula>
    </cfRule>
  </conditionalFormatting>
  <conditionalFormatting sqref="F45">
    <cfRule type="expression" dxfId="1413" priority="140">
      <formula>$E$45="n/a"</formula>
    </cfRule>
  </conditionalFormatting>
  <conditionalFormatting sqref="F46">
    <cfRule type="expression" dxfId="1412" priority="139">
      <formula>$E$46="n/a"</formula>
    </cfRule>
  </conditionalFormatting>
  <conditionalFormatting sqref="F82">
    <cfRule type="expression" dxfId="1411" priority="137">
      <formula>$E$82="n/a"</formula>
    </cfRule>
  </conditionalFormatting>
  <conditionalFormatting sqref="F81">
    <cfRule type="expression" dxfId="1410" priority="136">
      <formula>$E$81="n/a"</formula>
    </cfRule>
  </conditionalFormatting>
  <conditionalFormatting sqref="F80">
    <cfRule type="expression" dxfId="1409" priority="135">
      <formula>$E$80="n/a"</formula>
    </cfRule>
  </conditionalFormatting>
  <conditionalFormatting sqref="F79">
    <cfRule type="expression" dxfId="1408" priority="134">
      <formula>$E$79="n/a"</formula>
    </cfRule>
  </conditionalFormatting>
  <conditionalFormatting sqref="F78">
    <cfRule type="expression" dxfId="1407" priority="133">
      <formula>$E$78="n/a"</formula>
    </cfRule>
  </conditionalFormatting>
  <conditionalFormatting sqref="F77">
    <cfRule type="expression" dxfId="1406" priority="132">
      <formula>$E$77="n/a"</formula>
    </cfRule>
  </conditionalFormatting>
  <conditionalFormatting sqref="F76">
    <cfRule type="expression" dxfId="1405" priority="131">
      <formula>$E$76="n/a"</formula>
    </cfRule>
  </conditionalFormatting>
  <conditionalFormatting sqref="F75">
    <cfRule type="expression" dxfId="1404" priority="130">
      <formula>$E$75="n/a"</formula>
    </cfRule>
  </conditionalFormatting>
  <conditionalFormatting sqref="F74">
    <cfRule type="expression" dxfId="1403" priority="129">
      <formula>$E$74="n/a"</formula>
    </cfRule>
  </conditionalFormatting>
  <conditionalFormatting sqref="F73">
    <cfRule type="expression" dxfId="1402" priority="127">
      <formula>$E$73="n/a"</formula>
    </cfRule>
  </conditionalFormatting>
  <conditionalFormatting sqref="F72">
    <cfRule type="expression" dxfId="1401" priority="103">
      <formula>$E$72="n/a"</formula>
    </cfRule>
  </conditionalFormatting>
  <conditionalFormatting sqref="F47">
    <cfRule type="expression" dxfId="1400" priority="138">
      <formula>$E$47="n/a"</formula>
    </cfRule>
  </conditionalFormatting>
  <conditionalFormatting sqref="F48">
    <cfRule type="expression" dxfId="1399" priority="128">
      <formula>$E$48="n/a"</formula>
    </cfRule>
  </conditionalFormatting>
  <conditionalFormatting sqref="F49">
    <cfRule type="expression" dxfId="1398" priority="126">
      <formula>$E$49="n/a"</formula>
    </cfRule>
  </conditionalFormatting>
  <conditionalFormatting sqref="F50">
    <cfRule type="expression" dxfId="1397" priority="125">
      <formula>$E$50="n/a"</formula>
    </cfRule>
  </conditionalFormatting>
  <conditionalFormatting sqref="F51">
    <cfRule type="expression" dxfId="1396" priority="124">
      <formula>$E$51="n/a"</formula>
    </cfRule>
  </conditionalFormatting>
  <conditionalFormatting sqref="F52">
    <cfRule type="expression" dxfId="1395" priority="123">
      <formula>$E$52="n/a"</formula>
    </cfRule>
  </conditionalFormatting>
  <conditionalFormatting sqref="F53">
    <cfRule type="expression" dxfId="1394" priority="122">
      <formula>$E$53="n/a"</formula>
    </cfRule>
  </conditionalFormatting>
  <conditionalFormatting sqref="F54">
    <cfRule type="expression" dxfId="1393" priority="121">
      <formula>$E$54="n/a"</formula>
    </cfRule>
  </conditionalFormatting>
  <conditionalFormatting sqref="F55">
    <cfRule type="expression" dxfId="1392" priority="120">
      <formula>$E$55="n/a"</formula>
    </cfRule>
  </conditionalFormatting>
  <conditionalFormatting sqref="F56">
    <cfRule type="expression" dxfId="1391" priority="119">
      <formula>$E$56="n/a"</formula>
    </cfRule>
  </conditionalFormatting>
  <conditionalFormatting sqref="F57">
    <cfRule type="expression" dxfId="1390" priority="118">
      <formula>$E$57="n/a"</formula>
    </cfRule>
  </conditionalFormatting>
  <conditionalFormatting sqref="F58">
    <cfRule type="expression" dxfId="1389" priority="117">
      <formula>$E$58="n/a"</formula>
    </cfRule>
  </conditionalFormatting>
  <conditionalFormatting sqref="F59">
    <cfRule type="expression" dxfId="1388" priority="116">
      <formula>$E$59="n/a"</formula>
    </cfRule>
  </conditionalFormatting>
  <conditionalFormatting sqref="F60">
    <cfRule type="expression" dxfId="1387" priority="115">
      <formula>$E$60="n/a"</formula>
    </cfRule>
  </conditionalFormatting>
  <conditionalFormatting sqref="F61">
    <cfRule type="expression" dxfId="1386" priority="114">
      <formula>$E$61="n/a"</formula>
    </cfRule>
  </conditionalFormatting>
  <conditionalFormatting sqref="F62">
    <cfRule type="expression" dxfId="1385" priority="113">
      <formula>$E$62="n/a"</formula>
    </cfRule>
  </conditionalFormatting>
  <conditionalFormatting sqref="F63">
    <cfRule type="expression" dxfId="1384" priority="112">
      <formula>$E$63="n/a"</formula>
    </cfRule>
  </conditionalFormatting>
  <conditionalFormatting sqref="F64">
    <cfRule type="expression" dxfId="1383" priority="111">
      <formula>$E$64="n/a"</formula>
    </cfRule>
  </conditionalFormatting>
  <conditionalFormatting sqref="F65">
    <cfRule type="expression" dxfId="1382" priority="110">
      <formula>$E$65="n/a"</formula>
    </cfRule>
  </conditionalFormatting>
  <conditionalFormatting sqref="F66">
    <cfRule type="expression" dxfId="1381" priority="109">
      <formula>$E$66="n/a"</formula>
    </cfRule>
  </conditionalFormatting>
  <conditionalFormatting sqref="F67">
    <cfRule type="expression" dxfId="1380" priority="108">
      <formula>$E$67="n/a"</formula>
    </cfRule>
  </conditionalFormatting>
  <conditionalFormatting sqref="F68">
    <cfRule type="expression" dxfId="1379" priority="107">
      <formula>$E$68="n/a"</formula>
    </cfRule>
  </conditionalFormatting>
  <conditionalFormatting sqref="F69">
    <cfRule type="expression" dxfId="1378" priority="106">
      <formula>$E$69="n/a"</formula>
    </cfRule>
  </conditionalFormatting>
  <conditionalFormatting sqref="F70">
    <cfRule type="expression" dxfId="1377" priority="105">
      <formula>$E$70="n/a"</formula>
    </cfRule>
  </conditionalFormatting>
  <conditionalFormatting sqref="F71">
    <cfRule type="expression" dxfId="1376" priority="104">
      <formula>$E$71="n/a"</formula>
    </cfRule>
  </conditionalFormatting>
  <conditionalFormatting sqref="I7">
    <cfRule type="expression" dxfId="1375" priority="101">
      <formula>$B$7="v"</formula>
    </cfRule>
  </conditionalFormatting>
  <conditionalFormatting sqref="I8">
    <cfRule type="expression" dxfId="1374" priority="100">
      <formula>$B$8="v"</formula>
    </cfRule>
  </conditionalFormatting>
  <conditionalFormatting sqref="I9">
    <cfRule type="expression" dxfId="1373" priority="99">
      <formula>$B$9="v"</formula>
    </cfRule>
  </conditionalFormatting>
  <conditionalFormatting sqref="I10">
    <cfRule type="expression" dxfId="1372" priority="98">
      <formula>$B$10="v"</formula>
    </cfRule>
  </conditionalFormatting>
  <conditionalFormatting sqref="I11">
    <cfRule type="expression" dxfId="1371" priority="97">
      <formula>$B$11="v"</formula>
    </cfRule>
  </conditionalFormatting>
  <conditionalFormatting sqref="I12">
    <cfRule type="expression" dxfId="1370" priority="96">
      <formula>$B$12="v"</formula>
    </cfRule>
  </conditionalFormatting>
  <conditionalFormatting sqref="I13">
    <cfRule type="expression" dxfId="1369" priority="95">
      <formula>$B$13="v"</formula>
    </cfRule>
  </conditionalFormatting>
  <conditionalFormatting sqref="I14">
    <cfRule type="expression" dxfId="1368" priority="94">
      <formula>$B$14="v"</formula>
    </cfRule>
  </conditionalFormatting>
  <conditionalFormatting sqref="I15">
    <cfRule type="expression" dxfId="1367" priority="93">
      <formula>$B$15="v"</formula>
    </cfRule>
  </conditionalFormatting>
  <conditionalFormatting sqref="I16">
    <cfRule type="expression" dxfId="1366" priority="92">
      <formula>$B$16="v"</formula>
    </cfRule>
  </conditionalFormatting>
  <conditionalFormatting sqref="I17">
    <cfRule type="expression" dxfId="1365" priority="91">
      <formula>$B$17="v"</formula>
    </cfRule>
  </conditionalFormatting>
  <conditionalFormatting sqref="I18">
    <cfRule type="expression" dxfId="1364" priority="90">
      <formula>$B$18="v"</formula>
    </cfRule>
  </conditionalFormatting>
  <conditionalFormatting sqref="I19">
    <cfRule type="expression" dxfId="1363" priority="89">
      <formula>$B$19="v"</formula>
    </cfRule>
  </conditionalFormatting>
  <conditionalFormatting sqref="I20">
    <cfRule type="expression" dxfId="1362" priority="88">
      <formula>$B$20="v"</formula>
    </cfRule>
  </conditionalFormatting>
  <conditionalFormatting sqref="I21">
    <cfRule type="expression" dxfId="1361" priority="87">
      <formula>$B$21="v"</formula>
    </cfRule>
  </conditionalFormatting>
  <conditionalFormatting sqref="I22">
    <cfRule type="expression" dxfId="1360" priority="86">
      <formula>$B$22="v"</formula>
    </cfRule>
  </conditionalFormatting>
  <conditionalFormatting sqref="I23">
    <cfRule type="expression" dxfId="1359" priority="85">
      <formula>$B$23="v"</formula>
    </cfRule>
  </conditionalFormatting>
  <conditionalFormatting sqref="I24">
    <cfRule type="expression" dxfId="1358" priority="84">
      <formula>$B$24="v"</formula>
    </cfRule>
  </conditionalFormatting>
  <conditionalFormatting sqref="I25">
    <cfRule type="expression" dxfId="1357" priority="83">
      <formula>$B$25="v"</formula>
    </cfRule>
  </conditionalFormatting>
  <conditionalFormatting sqref="I26">
    <cfRule type="expression" dxfId="1356" priority="82">
      <formula>$B$26="v"</formula>
    </cfRule>
  </conditionalFormatting>
  <conditionalFormatting sqref="I27">
    <cfRule type="expression" dxfId="1355" priority="81">
      <formula>$B$27="v"</formula>
    </cfRule>
  </conditionalFormatting>
  <conditionalFormatting sqref="I28">
    <cfRule type="expression" dxfId="1354" priority="80">
      <formula>$B$28="v"</formula>
    </cfRule>
  </conditionalFormatting>
  <conditionalFormatting sqref="I29">
    <cfRule type="expression" dxfId="1353" priority="79">
      <formula>$B$29="v"</formula>
    </cfRule>
  </conditionalFormatting>
  <conditionalFormatting sqref="I30">
    <cfRule type="expression" dxfId="1352" priority="78">
      <formula>$B$30="v"</formula>
    </cfRule>
  </conditionalFormatting>
  <conditionalFormatting sqref="I31">
    <cfRule type="expression" dxfId="1351" priority="77">
      <formula>$B$31="v"</formula>
    </cfRule>
  </conditionalFormatting>
  <conditionalFormatting sqref="I32">
    <cfRule type="expression" dxfId="1350" priority="76">
      <formula>$B$32="v"</formula>
    </cfRule>
  </conditionalFormatting>
  <conditionalFormatting sqref="I33">
    <cfRule type="expression" dxfId="1349" priority="75">
      <formula>$B$33="v"</formula>
    </cfRule>
  </conditionalFormatting>
  <conditionalFormatting sqref="I34">
    <cfRule type="expression" dxfId="1348" priority="74">
      <formula>$B$34="v"</formula>
    </cfRule>
  </conditionalFormatting>
  <conditionalFormatting sqref="I35">
    <cfRule type="expression" dxfId="1347" priority="73">
      <formula>$B$35="v"</formula>
    </cfRule>
  </conditionalFormatting>
  <conditionalFormatting sqref="I36">
    <cfRule type="expression" dxfId="1346" priority="72">
      <formula>$B$36="v"</formula>
    </cfRule>
  </conditionalFormatting>
  <conditionalFormatting sqref="I37">
    <cfRule type="expression" dxfId="1345" priority="71">
      <formula>$B$37="v"</formula>
    </cfRule>
  </conditionalFormatting>
  <conditionalFormatting sqref="I38">
    <cfRule type="expression" dxfId="1344" priority="70">
      <formula>$B$38="v"</formula>
    </cfRule>
  </conditionalFormatting>
  <conditionalFormatting sqref="I39">
    <cfRule type="expression" dxfId="1343" priority="69">
      <formula>$B$39="v"</formula>
    </cfRule>
  </conditionalFormatting>
  <conditionalFormatting sqref="I40">
    <cfRule type="expression" dxfId="1342" priority="68">
      <formula>$B$40="v"</formula>
    </cfRule>
  </conditionalFormatting>
  <conditionalFormatting sqref="I41">
    <cfRule type="expression" dxfId="1341" priority="67">
      <formula>$B$41="v"</formula>
    </cfRule>
  </conditionalFormatting>
  <conditionalFormatting sqref="I42">
    <cfRule type="expression" dxfId="1340" priority="66">
      <formula>$B$42="v"</formula>
    </cfRule>
  </conditionalFormatting>
  <conditionalFormatting sqref="I43">
    <cfRule type="expression" dxfId="1339" priority="65">
      <formula>$B$43="v"</formula>
    </cfRule>
  </conditionalFormatting>
  <conditionalFormatting sqref="I44">
    <cfRule type="expression" dxfId="1338" priority="64">
      <formula>$B$44="v"</formula>
    </cfRule>
  </conditionalFormatting>
  <conditionalFormatting sqref="I45">
    <cfRule type="expression" dxfId="1337" priority="63">
      <formula>$B$45="v"</formula>
    </cfRule>
  </conditionalFormatting>
  <conditionalFormatting sqref="I46">
    <cfRule type="expression" dxfId="1336" priority="62">
      <formula>$B$46="v"</formula>
    </cfRule>
  </conditionalFormatting>
  <conditionalFormatting sqref="I47">
    <cfRule type="expression" dxfId="1335" priority="61">
      <formula>$B$47="v"</formula>
    </cfRule>
  </conditionalFormatting>
  <conditionalFormatting sqref="I48">
    <cfRule type="expression" dxfId="1334" priority="60">
      <formula>$B$48="v"</formula>
    </cfRule>
  </conditionalFormatting>
  <conditionalFormatting sqref="I49">
    <cfRule type="expression" dxfId="1333" priority="59">
      <formula>$B$49="v"</formula>
    </cfRule>
  </conditionalFormatting>
  <conditionalFormatting sqref="I50">
    <cfRule type="expression" dxfId="1332" priority="58">
      <formula>$B$50="v"</formula>
    </cfRule>
  </conditionalFormatting>
  <conditionalFormatting sqref="I51">
    <cfRule type="expression" dxfId="1331" priority="57">
      <formula>$B$51="v"</formula>
    </cfRule>
  </conditionalFormatting>
  <conditionalFormatting sqref="I52">
    <cfRule type="expression" dxfId="1330" priority="56">
      <formula>$B$52="v"</formula>
    </cfRule>
  </conditionalFormatting>
  <conditionalFormatting sqref="I53">
    <cfRule type="expression" dxfId="1329" priority="55">
      <formula>$B$53="v"</formula>
    </cfRule>
  </conditionalFormatting>
  <conditionalFormatting sqref="I54">
    <cfRule type="expression" dxfId="1328" priority="54">
      <formula>$B$54="v"</formula>
    </cfRule>
  </conditionalFormatting>
  <conditionalFormatting sqref="I55">
    <cfRule type="expression" dxfId="1327" priority="53">
      <formula>$B$55="v"</formula>
    </cfRule>
  </conditionalFormatting>
  <conditionalFormatting sqref="I56">
    <cfRule type="expression" dxfId="1326" priority="52">
      <formula>$B$56="v"</formula>
    </cfRule>
  </conditionalFormatting>
  <conditionalFormatting sqref="I57">
    <cfRule type="expression" dxfId="1325" priority="51">
      <formula>$B$57="v"</formula>
    </cfRule>
  </conditionalFormatting>
  <conditionalFormatting sqref="I58">
    <cfRule type="expression" dxfId="1324" priority="50">
      <formula>$B$58="v"</formula>
    </cfRule>
  </conditionalFormatting>
  <conditionalFormatting sqref="I59">
    <cfRule type="expression" dxfId="1323" priority="49">
      <formula>$B$59="v"</formula>
    </cfRule>
  </conditionalFormatting>
  <conditionalFormatting sqref="I60">
    <cfRule type="expression" dxfId="1322" priority="48">
      <formula>$B$60="v"</formula>
    </cfRule>
  </conditionalFormatting>
  <conditionalFormatting sqref="I61">
    <cfRule type="expression" dxfId="1321" priority="47">
      <formula>$B$61="v"</formula>
    </cfRule>
  </conditionalFormatting>
  <conditionalFormatting sqref="I62">
    <cfRule type="expression" dxfId="1320" priority="46">
      <formula>$B$62="v"</formula>
    </cfRule>
  </conditionalFormatting>
  <conditionalFormatting sqref="I63">
    <cfRule type="expression" dxfId="1319" priority="45">
      <formula>$B$63="v"</formula>
    </cfRule>
  </conditionalFormatting>
  <conditionalFormatting sqref="I64">
    <cfRule type="expression" dxfId="1318" priority="44">
      <formula>$B$64="v"</formula>
    </cfRule>
  </conditionalFormatting>
  <conditionalFormatting sqref="I65">
    <cfRule type="expression" dxfId="1317" priority="43">
      <formula>$B$65="v"</formula>
    </cfRule>
  </conditionalFormatting>
  <conditionalFormatting sqref="I66">
    <cfRule type="expression" dxfId="1316" priority="42">
      <formula>$B$66="v"</formula>
    </cfRule>
  </conditionalFormatting>
  <conditionalFormatting sqref="I67">
    <cfRule type="expression" dxfId="1315" priority="41">
      <formula>$B$67="v"</formula>
    </cfRule>
  </conditionalFormatting>
  <conditionalFormatting sqref="I68">
    <cfRule type="expression" dxfId="1314" priority="40">
      <formula>$B$68="v"</formula>
    </cfRule>
  </conditionalFormatting>
  <conditionalFormatting sqref="I69">
    <cfRule type="expression" dxfId="1313" priority="39">
      <formula>$B$69="v"</formula>
    </cfRule>
  </conditionalFormatting>
  <conditionalFormatting sqref="I70">
    <cfRule type="expression" dxfId="1312" priority="38">
      <formula>$B$70="v"</formula>
    </cfRule>
  </conditionalFormatting>
  <conditionalFormatting sqref="I71">
    <cfRule type="expression" dxfId="1311" priority="37">
      <formula>$B$71="v"</formula>
    </cfRule>
  </conditionalFormatting>
  <conditionalFormatting sqref="I72">
    <cfRule type="expression" dxfId="1310" priority="36">
      <formula>$B$72="v"</formula>
    </cfRule>
  </conditionalFormatting>
  <conditionalFormatting sqref="I73">
    <cfRule type="expression" dxfId="1309" priority="35">
      <formula>$B$73="v"</formula>
    </cfRule>
  </conditionalFormatting>
  <conditionalFormatting sqref="I74">
    <cfRule type="expression" dxfId="1308" priority="34">
      <formula>$B$74="v"</formula>
    </cfRule>
  </conditionalFormatting>
  <conditionalFormatting sqref="I75">
    <cfRule type="expression" dxfId="1307" priority="33">
      <formula>$B$75="v"</formula>
    </cfRule>
  </conditionalFormatting>
  <conditionalFormatting sqref="I76">
    <cfRule type="expression" dxfId="1306" priority="32">
      <formula>$B$76="v"</formula>
    </cfRule>
  </conditionalFormatting>
  <conditionalFormatting sqref="I77">
    <cfRule type="expression" dxfId="1305" priority="31">
      <formula>$B$77="v"</formula>
    </cfRule>
  </conditionalFormatting>
  <conditionalFormatting sqref="I78">
    <cfRule type="expression" dxfId="1304" priority="30">
      <formula>$B$78="v"</formula>
    </cfRule>
  </conditionalFormatting>
  <conditionalFormatting sqref="I79">
    <cfRule type="expression" dxfId="1303" priority="29">
      <formula>$B$79="v"</formula>
    </cfRule>
  </conditionalFormatting>
  <conditionalFormatting sqref="I80">
    <cfRule type="expression" dxfId="1302" priority="28">
      <formula>$B$80="v"</formula>
    </cfRule>
  </conditionalFormatting>
  <conditionalFormatting sqref="I81">
    <cfRule type="expression" dxfId="1301" priority="27">
      <formula>$B$81="v"</formula>
    </cfRule>
  </conditionalFormatting>
  <conditionalFormatting sqref="I82">
    <cfRule type="expression" dxfId="1300" priority="26">
      <formula>$B$82="v"</formula>
    </cfRule>
  </conditionalFormatting>
  <conditionalFormatting sqref="L5:N6">
    <cfRule type="expression" dxfId="1299" priority="191">
      <formula>$K$4=1</formula>
    </cfRule>
  </conditionalFormatting>
  <conditionalFormatting sqref="L7:N82">
    <cfRule type="expression" dxfId="1298" priority="193">
      <formula>$K$4=1</formula>
    </cfRule>
  </conditionalFormatting>
  <conditionalFormatting sqref="M4:N4">
    <cfRule type="expression" dxfId="1297" priority="17" stopIfTrue="1">
      <formula>$K$4=1</formula>
    </cfRule>
  </conditionalFormatting>
  <conditionalFormatting sqref="L7:N82">
    <cfRule type="expression" dxfId="1296" priority="183">
      <formula>$K$4=""</formula>
    </cfRule>
  </conditionalFormatting>
  <conditionalFormatting sqref="P5:R6">
    <cfRule type="expression" dxfId="1295" priority="194">
      <formula>$O$4=1</formula>
    </cfRule>
  </conditionalFormatting>
  <conditionalFormatting sqref="P7:R82">
    <cfRule type="expression" dxfId="1294" priority="197">
      <formula>$O$4=1</formula>
    </cfRule>
  </conditionalFormatting>
  <conditionalFormatting sqref="Q4:R4">
    <cfRule type="expression" dxfId="1293" priority="196">
      <formula>$O$4=1</formula>
    </cfRule>
  </conditionalFormatting>
  <conditionalFormatting sqref="P7:R82">
    <cfRule type="expression" dxfId="1292" priority="181">
      <formula>$O$4=""</formula>
    </cfRule>
  </conditionalFormatting>
  <conditionalFormatting sqref="T5:V6">
    <cfRule type="expression" dxfId="1291" priority="198">
      <formula>$S$4=1</formula>
    </cfRule>
  </conditionalFormatting>
  <conditionalFormatting sqref="T7:V82">
    <cfRule type="expression" dxfId="1290" priority="243">
      <formula>$S$4=1</formula>
    </cfRule>
  </conditionalFormatting>
  <conditionalFormatting sqref="U4:V4">
    <cfRule type="expression" dxfId="1289" priority="200">
      <formula>$S$4=1</formula>
    </cfRule>
  </conditionalFormatting>
  <conditionalFormatting sqref="T7:V82">
    <cfRule type="expression" dxfId="1288" priority="179">
      <formula>$S$4=""</formula>
    </cfRule>
  </conditionalFormatting>
  <conditionalFormatting sqref="X5:Z6">
    <cfRule type="expression" dxfId="1287" priority="202">
      <formula>$W$4=1</formula>
    </cfRule>
  </conditionalFormatting>
  <conditionalFormatting sqref="X7:Z82">
    <cfRule type="expression" dxfId="1286" priority="240">
      <formula>$W$4=1</formula>
    </cfRule>
  </conditionalFormatting>
  <conditionalFormatting sqref="Y4:Z4">
    <cfRule type="expression" dxfId="1285" priority="204">
      <formula>$W$4=1</formula>
    </cfRule>
  </conditionalFormatting>
  <conditionalFormatting sqref="X7:Z82">
    <cfRule type="expression" dxfId="1284" priority="180">
      <formula>$W$4=""</formula>
    </cfRule>
  </conditionalFormatting>
  <conditionalFormatting sqref="AB5:AD6">
    <cfRule type="expression" dxfId="1283" priority="206">
      <formula>$AA$4=1</formula>
    </cfRule>
  </conditionalFormatting>
  <conditionalFormatting sqref="AB7:AD82">
    <cfRule type="expression" dxfId="1282" priority="209">
      <formula>$AA$4=1</formula>
    </cfRule>
  </conditionalFormatting>
  <conditionalFormatting sqref="AC4:AD4">
    <cfRule type="expression" dxfId="1281" priority="208">
      <formula>$AA$4=1</formula>
    </cfRule>
  </conditionalFormatting>
  <conditionalFormatting sqref="AB7:AD82">
    <cfRule type="expression" dxfId="1280" priority="199">
      <formula>$AA$4=""</formula>
    </cfRule>
  </conditionalFormatting>
  <conditionalFormatting sqref="AF5:AH6">
    <cfRule type="expression" dxfId="1279" priority="210">
      <formula>$AE$4=1</formula>
    </cfRule>
  </conditionalFormatting>
  <conditionalFormatting sqref="AF7:AH82">
    <cfRule type="expression" dxfId="1278" priority="213">
      <formula>$AE$4=1</formula>
    </cfRule>
  </conditionalFormatting>
  <conditionalFormatting sqref="AG4:AH4">
    <cfRule type="expression" dxfId="1277" priority="212">
      <formula>$AE$4=1</formula>
    </cfRule>
  </conditionalFormatting>
  <conditionalFormatting sqref="AF7:AH82">
    <cfRule type="expression" dxfId="1276" priority="201">
      <formula>$AE$4=""</formula>
    </cfRule>
  </conditionalFormatting>
  <conditionalFormatting sqref="AJ7:AL82">
    <cfRule type="expression" dxfId="1275" priority="217">
      <formula>$AI$4=1</formula>
    </cfRule>
  </conditionalFormatting>
  <conditionalFormatting sqref="AK4:AL4">
    <cfRule type="expression" dxfId="1274" priority="215">
      <formula>$AI$4=1</formula>
    </cfRule>
  </conditionalFormatting>
  <conditionalFormatting sqref="AJ5:AL6">
    <cfRule type="expression" dxfId="1273" priority="216">
      <formula>$AI$4=1</formula>
    </cfRule>
  </conditionalFormatting>
  <conditionalFormatting sqref="AJ7:AL82">
    <cfRule type="expression" dxfId="1272" priority="203">
      <formula>$AI$4=""</formula>
    </cfRule>
  </conditionalFormatting>
  <conditionalFormatting sqref="AN7:AP82">
    <cfRule type="expression" dxfId="1271" priority="221">
      <formula>$AM$4=1</formula>
    </cfRule>
  </conditionalFormatting>
  <conditionalFormatting sqref="AO4:AP4 AS4:AT4">
    <cfRule type="expression" dxfId="1270" priority="219">
      <formula>AQ$4=1</formula>
    </cfRule>
  </conditionalFormatting>
  <conditionalFormatting sqref="AN5:AP6">
    <cfRule type="expression" dxfId="1269" priority="220">
      <formula>$AM$4=1</formula>
    </cfRule>
  </conditionalFormatting>
  <conditionalFormatting sqref="AN7:AP82">
    <cfRule type="expression" dxfId="1268" priority="205">
      <formula>$AM$4=""</formula>
    </cfRule>
  </conditionalFormatting>
  <conditionalFormatting sqref="AR7:AT82">
    <cfRule type="expression" dxfId="1267" priority="224">
      <formula>$AQ$4=1</formula>
    </cfRule>
  </conditionalFormatting>
  <conditionalFormatting sqref="AR5:AT6">
    <cfRule type="expression" dxfId="1266" priority="223">
      <formula>$AQ$4=1</formula>
    </cfRule>
  </conditionalFormatting>
  <conditionalFormatting sqref="AR7:AT82">
    <cfRule type="expression" dxfId="1265" priority="207">
      <formula>$AQ$4=""</formula>
    </cfRule>
  </conditionalFormatting>
  <conditionalFormatting sqref="AV7:AX82">
    <cfRule type="expression" dxfId="1264" priority="227">
      <formula>$AU$4=1</formula>
    </cfRule>
  </conditionalFormatting>
  <conditionalFormatting sqref="AV5:AX6">
    <cfRule type="expression" dxfId="1263" priority="226">
      <formula>$AU$4=1</formula>
    </cfRule>
  </conditionalFormatting>
  <conditionalFormatting sqref="AV7:AX82">
    <cfRule type="expression" dxfId="1262" priority="178">
      <formula>$AU$4=""</formula>
    </cfRule>
  </conditionalFormatting>
  <conditionalFormatting sqref="AZ7:BB82">
    <cfRule type="expression" dxfId="1261" priority="230">
      <formula>$AY$4=1</formula>
    </cfRule>
  </conditionalFormatting>
  <conditionalFormatting sqref="AZ5:BB6">
    <cfRule type="expression" dxfId="1260" priority="229">
      <formula>$AY$4=1</formula>
    </cfRule>
  </conditionalFormatting>
  <conditionalFormatting sqref="AZ7:BB82">
    <cfRule type="expression" dxfId="1259" priority="211">
      <formula>$AY$4=""</formula>
    </cfRule>
  </conditionalFormatting>
  <conditionalFormatting sqref="BD7:BF82">
    <cfRule type="expression" dxfId="1258" priority="233">
      <formula>$BC$4=1</formula>
    </cfRule>
  </conditionalFormatting>
  <conditionalFormatting sqref="BD5:BF6">
    <cfRule type="expression" dxfId="1257" priority="232">
      <formula>$BC$4=1</formula>
    </cfRule>
  </conditionalFormatting>
  <conditionalFormatting sqref="BD7:BF82">
    <cfRule type="expression" dxfId="1256" priority="214">
      <formula>$BC$4=""</formula>
    </cfRule>
  </conditionalFormatting>
  <conditionalFormatting sqref="BH7:BJ82">
    <cfRule type="expression" dxfId="1255" priority="236">
      <formula>$BG$4=1</formula>
    </cfRule>
  </conditionalFormatting>
  <conditionalFormatting sqref="BH5:BJ6">
    <cfRule type="expression" dxfId="1254" priority="235">
      <formula>$BG$4=1</formula>
    </cfRule>
  </conditionalFormatting>
  <conditionalFormatting sqref="BH7:BJ82">
    <cfRule type="expression" dxfId="1253" priority="218">
      <formula>$BG$4=""</formula>
    </cfRule>
  </conditionalFormatting>
  <conditionalFormatting sqref="BL7:BN82">
    <cfRule type="expression" dxfId="1252" priority="239">
      <formula>$BK$4=1</formula>
    </cfRule>
  </conditionalFormatting>
  <conditionalFormatting sqref="BL5:BN6">
    <cfRule type="expression" dxfId="1251" priority="238">
      <formula>$BK$4=1</formula>
    </cfRule>
  </conditionalFormatting>
  <conditionalFormatting sqref="BL7:BN82">
    <cfRule type="expression" dxfId="1250" priority="222">
      <formula>$BK$4=""</formula>
    </cfRule>
  </conditionalFormatting>
  <conditionalFormatting sqref="BP7:BR82">
    <cfRule type="expression" dxfId="1249" priority="242">
      <formula>$BO$4=1</formula>
    </cfRule>
  </conditionalFormatting>
  <conditionalFormatting sqref="BP5:BR6">
    <cfRule type="expression" dxfId="1248" priority="241">
      <formula>$BO$4=1</formula>
    </cfRule>
  </conditionalFormatting>
  <conditionalFormatting sqref="BP7:BR82">
    <cfRule type="expression" dxfId="1247" priority="228">
      <formula>$BO$4=""</formula>
    </cfRule>
  </conditionalFormatting>
  <conditionalFormatting sqref="BT7:BV82">
    <cfRule type="expression" dxfId="1246" priority="245">
      <formula>$BS$4=1</formula>
    </cfRule>
  </conditionalFormatting>
  <conditionalFormatting sqref="BT5:BV6">
    <cfRule type="expression" dxfId="1245" priority="244">
      <formula>$BS$4=1</formula>
    </cfRule>
  </conditionalFormatting>
  <conditionalFormatting sqref="BT7:BV82">
    <cfRule type="expression" dxfId="1244" priority="231">
      <formula>$BS$4=""</formula>
    </cfRule>
  </conditionalFormatting>
  <conditionalFormatting sqref="AW4:AX4">
    <cfRule type="expression" dxfId="1243" priority="25">
      <formula>AU$4=1</formula>
    </cfRule>
  </conditionalFormatting>
  <conditionalFormatting sqref="BA4:BB4">
    <cfRule type="expression" dxfId="1242" priority="24">
      <formula>AY$4=1</formula>
    </cfRule>
  </conditionalFormatting>
  <conditionalFormatting sqref="BE4:BF4">
    <cfRule type="expression" dxfId="1241" priority="23">
      <formula>BC$4=1</formula>
    </cfRule>
  </conditionalFormatting>
  <conditionalFormatting sqref="BI4:BJ4">
    <cfRule type="expression" dxfId="1240" priority="22">
      <formula>BG$4=1</formula>
    </cfRule>
  </conditionalFormatting>
  <conditionalFormatting sqref="BM4:BN4">
    <cfRule type="expression" dxfId="1239" priority="21">
      <formula>BK$4=1</formula>
    </cfRule>
  </conditionalFormatting>
  <conditionalFormatting sqref="BQ4:BR4">
    <cfRule type="expression" dxfId="1238" priority="20">
      <formula>BO$4=1</formula>
    </cfRule>
  </conditionalFormatting>
  <conditionalFormatting sqref="BU4:BV4">
    <cfRule type="expression" dxfId="1237" priority="19">
      <formula>BS$4=1</formula>
    </cfRule>
  </conditionalFormatting>
  <conditionalFormatting sqref="E4">
    <cfRule type="expression" dxfId="1236" priority="18">
      <formula>$F$4=""</formula>
    </cfRule>
  </conditionalFormatting>
  <conditionalFormatting sqref="L4">
    <cfRule type="expression" dxfId="1235" priority="16">
      <formula>$K$4=1</formula>
    </cfRule>
  </conditionalFormatting>
  <conditionalFormatting sqref="P4">
    <cfRule type="expression" dxfId="1234" priority="15">
      <formula>$O$4=1</formula>
    </cfRule>
  </conditionalFormatting>
  <conditionalFormatting sqref="T4">
    <cfRule type="expression" dxfId="1233" priority="14">
      <formula>$S$4=1</formula>
    </cfRule>
  </conditionalFormatting>
  <conditionalFormatting sqref="X4">
    <cfRule type="expression" dxfId="1232" priority="13">
      <formula>W4=1</formula>
    </cfRule>
  </conditionalFormatting>
  <conditionalFormatting sqref="AB4">
    <cfRule type="expression" dxfId="1231" priority="12">
      <formula>AA4=1</formula>
    </cfRule>
  </conditionalFormatting>
  <conditionalFormatting sqref="AF4">
    <cfRule type="expression" dxfId="1230" priority="11">
      <formula>AE4=1</formula>
    </cfRule>
  </conditionalFormatting>
  <conditionalFormatting sqref="AJ4">
    <cfRule type="expression" dxfId="1229" priority="10">
      <formula>AI4=1</formula>
    </cfRule>
  </conditionalFormatting>
  <conditionalFormatting sqref="AN4">
    <cfRule type="expression" dxfId="1228" priority="9">
      <formula>AM4=1</formula>
    </cfRule>
  </conditionalFormatting>
  <conditionalFormatting sqref="AR4">
    <cfRule type="expression" dxfId="1227" priority="8">
      <formula>AQ4=1</formula>
    </cfRule>
  </conditionalFormatting>
  <conditionalFormatting sqref="AV4">
    <cfRule type="expression" dxfId="1226" priority="7">
      <formula>AU4=1</formula>
    </cfRule>
  </conditionalFormatting>
  <conditionalFormatting sqref="AZ4">
    <cfRule type="expression" dxfId="1225" priority="6">
      <formula>AY4=1</formula>
    </cfRule>
  </conditionalFormatting>
  <conditionalFormatting sqref="BD4">
    <cfRule type="expression" dxfId="1224" priority="5">
      <formula>BC4=1</formula>
    </cfRule>
  </conditionalFormatting>
  <conditionalFormatting sqref="BH4">
    <cfRule type="expression" dxfId="1223" priority="4">
      <formula>BG4=1</formula>
    </cfRule>
  </conditionalFormatting>
  <conditionalFormatting sqref="BL4">
    <cfRule type="expression" dxfId="1222" priority="3">
      <formula>BK4=1</formula>
    </cfRule>
  </conditionalFormatting>
  <conditionalFormatting sqref="BP4">
    <cfRule type="expression" dxfId="1221" priority="2">
      <formula>BO4=1</formula>
    </cfRule>
  </conditionalFormatting>
  <conditionalFormatting sqref="BT4">
    <cfRule type="expression" dxfId="1220" priority="1">
      <formula>BS4=1</formula>
    </cfRule>
  </conditionalFormatting>
  <dataValidations count="3">
    <dataValidation type="list" allowBlank="1" showInputMessage="1" showErrorMessage="1" sqref="BP7:BP82 AV7:AV82 BL7:BL82 BT7:BT82 BH7:BH82 BD7:BD82 AZ7:AZ82" xr:uid="{F43406DA-1C67-481D-8286-466CF896F92E}">
      <formula1>"&lt;, &lt;=, &gt;, &gt;=, ="</formula1>
    </dataValidation>
    <dataValidation type="list" allowBlank="1" showInputMessage="1" showErrorMessage="1" sqref="B7:B82" xr:uid="{B2995A10-3D3B-4860-AED0-1CCBC30C7500}">
      <formula1>"v"</formula1>
    </dataValidation>
    <dataValidation type="list" allowBlank="1" showInputMessage="1" showErrorMessage="1" sqref="F2" xr:uid="{5BD0D5B6-6134-4432-B3E9-2627C94C422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B78B49A-2358-4DB8-9E69-A1A325FE2723}">
          <x14:formula1>
            <xm:f>Sheet3!$A$2:$A$49</xm:f>
          </x14:formula1>
          <xm:sqref>F3</xm:sqref>
        </x14:dataValidation>
        <x14:dataValidation type="list" allowBlank="1" showInputMessage="1" xr:uid="{1F0B6234-95F2-41F8-B153-0932476BB578}">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7A23C-1A2D-4066-8080-D4FA6D34EEEA}">
  <sheetPr codeName="Sheet9">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688</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219" priority="188">
      <formula>$F$1=1</formula>
    </cfRule>
    <cfRule type="expression" priority="189">
      <formula>$F$1</formula>
    </cfRule>
  </conditionalFormatting>
  <conditionalFormatting sqref="J4">
    <cfRule type="expression" dxfId="1218" priority="190">
      <formula>$F$1=1</formula>
    </cfRule>
  </conditionalFormatting>
  <conditionalFormatting sqref="C7:G82">
    <cfRule type="expression" dxfId="1217" priority="102">
      <formula>$B7="v"</formula>
    </cfRule>
  </conditionalFormatting>
  <conditionalFormatting sqref="H7:H82">
    <cfRule type="expression" dxfId="1216" priority="186">
      <formula>$B7="v"</formula>
    </cfRule>
  </conditionalFormatting>
  <conditionalFormatting sqref="N7:N82">
    <cfRule type="expression" dxfId="1215" priority="185">
      <formula>$B7="v"</formula>
    </cfRule>
  </conditionalFormatting>
  <conditionalFormatting sqref="M7:M82">
    <cfRule type="expression" dxfId="1214" priority="184">
      <formula>$B7="v"</formula>
    </cfRule>
  </conditionalFormatting>
  <conditionalFormatting sqref="L7:L82">
    <cfRule type="expression" dxfId="1213" priority="192">
      <formula>$B7="v"</formula>
    </cfRule>
  </conditionalFormatting>
  <conditionalFormatting sqref="P7:Q82">
    <cfRule type="expression" dxfId="1212" priority="195">
      <formula>$B7="v"</formula>
    </cfRule>
  </conditionalFormatting>
  <conditionalFormatting sqref="R7:R82">
    <cfRule type="expression" dxfId="1211" priority="182">
      <formula>$B7="v"</formula>
    </cfRule>
  </conditionalFormatting>
  <conditionalFormatting sqref="Z7:Z82 V7:V82 AL7:AL82 AH7:AH82 AD7:AD82 AX7:AX82 AT7:AT82 AP7:AP82 BJ7:BJ82 BF7:BF82 BB7:BB82 BV7:BV82 BR7:BR82 BN7:BN82">
    <cfRule type="expression" dxfId="1210" priority="234">
      <formula>$B7="v"</formula>
    </cfRule>
  </conditionalFormatting>
  <conditionalFormatting sqref="X7:Y82 T7:U82 AJ7:AK82 AF7:AG82 AB7:AC82 AR7:AS82 AN7:AO82 BH7:BI82 BD7:BE82 AZ7:BA82 BT7:BU82 BP7:BQ82 BL7:BM82">
    <cfRule type="expression" dxfId="1209" priority="237">
      <formula>$B7="v"</formula>
    </cfRule>
  </conditionalFormatting>
  <conditionalFormatting sqref="AV7:AW82">
    <cfRule type="expression" dxfId="1208" priority="225">
      <formula>$B7="v"</formula>
    </cfRule>
  </conditionalFormatting>
  <conditionalFormatting sqref="F25">
    <cfRule type="expression" dxfId="1207" priority="177">
      <formula>$E$25="n/a"</formula>
    </cfRule>
  </conditionalFormatting>
  <conditionalFormatting sqref="F7">
    <cfRule type="expression" dxfId="1206" priority="176">
      <formula>$E$7="n/a"</formula>
    </cfRule>
  </conditionalFormatting>
  <conditionalFormatting sqref="F8">
    <cfRule type="expression" dxfId="1205" priority="187">
      <formula>$E$8="n/a"</formula>
    </cfRule>
  </conditionalFormatting>
  <conditionalFormatting sqref="F9">
    <cfRule type="expression" dxfId="1204" priority="175">
      <formula>$E$9="n/a"</formula>
    </cfRule>
  </conditionalFormatting>
  <conditionalFormatting sqref="F10">
    <cfRule type="expression" dxfId="1203" priority="174">
      <formula>$E$10="n/a"</formula>
    </cfRule>
  </conditionalFormatting>
  <conditionalFormatting sqref="F11">
    <cfRule type="expression" dxfId="1202" priority="173">
      <formula>$E$11="n/a"</formula>
    </cfRule>
  </conditionalFormatting>
  <conditionalFormatting sqref="F12">
    <cfRule type="expression" dxfId="1201" priority="172">
      <formula>$E$12="n/a"</formula>
    </cfRule>
  </conditionalFormatting>
  <conditionalFormatting sqref="F13">
    <cfRule type="expression" dxfId="1200" priority="171">
      <formula>$E$13="n/a"</formula>
    </cfRule>
  </conditionalFormatting>
  <conditionalFormatting sqref="F14">
    <cfRule type="expression" dxfId="1199" priority="170">
      <formula>$E$14="n/a"</formula>
    </cfRule>
  </conditionalFormatting>
  <conditionalFormatting sqref="F15">
    <cfRule type="expression" dxfId="1198" priority="169">
      <formula>$E$15="n/a"</formula>
    </cfRule>
  </conditionalFormatting>
  <conditionalFormatting sqref="F16">
    <cfRule type="expression" dxfId="1197" priority="168">
      <formula>$E$16="n/a"</formula>
    </cfRule>
  </conditionalFormatting>
  <conditionalFormatting sqref="F17">
    <cfRule type="expression" dxfId="1196" priority="167">
      <formula>$E$17="n/a"</formula>
    </cfRule>
  </conditionalFormatting>
  <conditionalFormatting sqref="F18">
    <cfRule type="expression" dxfId="1195" priority="166">
      <formula>$E$18="n/a"</formula>
    </cfRule>
  </conditionalFormatting>
  <conditionalFormatting sqref="F19">
    <cfRule type="expression" dxfId="1194" priority="165">
      <formula>$E$19="n/a"</formula>
    </cfRule>
  </conditionalFormatting>
  <conditionalFormatting sqref="F20">
    <cfRule type="expression" dxfId="1193" priority="164">
      <formula>$E$20="n/a"</formula>
    </cfRule>
  </conditionalFormatting>
  <conditionalFormatting sqref="F21">
    <cfRule type="expression" dxfId="1192" priority="163">
      <formula>$E$21="n/a"</formula>
    </cfRule>
  </conditionalFormatting>
  <conditionalFormatting sqref="F22">
    <cfRule type="expression" dxfId="1191" priority="162">
      <formula>$E$22="n/a"</formula>
    </cfRule>
  </conditionalFormatting>
  <conditionalFormatting sqref="F23">
    <cfRule type="expression" dxfId="1190" priority="161">
      <formula>$E$23="n/a"</formula>
    </cfRule>
  </conditionalFormatting>
  <conditionalFormatting sqref="F24">
    <cfRule type="expression" dxfId="1189" priority="160">
      <formula>$E$24="n/a"</formula>
    </cfRule>
  </conditionalFormatting>
  <conditionalFormatting sqref="F26">
    <cfRule type="expression" dxfId="1188" priority="159">
      <formula>$E$26="n/a"</formula>
    </cfRule>
  </conditionalFormatting>
  <conditionalFormatting sqref="F27">
    <cfRule type="expression" dxfId="1187" priority="158">
      <formula>$E$27="n/a"</formula>
    </cfRule>
  </conditionalFormatting>
  <conditionalFormatting sqref="F28">
    <cfRule type="expression" dxfId="1186" priority="157">
      <formula>$E$28="n/a"</formula>
    </cfRule>
  </conditionalFormatting>
  <conditionalFormatting sqref="F29">
    <cfRule type="expression" dxfId="1185" priority="156">
      <formula>$E$29="n/a"</formula>
    </cfRule>
  </conditionalFormatting>
  <conditionalFormatting sqref="F30">
    <cfRule type="expression" dxfId="1184" priority="155">
      <formula>$E$30="n/a"</formula>
    </cfRule>
  </conditionalFormatting>
  <conditionalFormatting sqref="F31">
    <cfRule type="expression" dxfId="1183" priority="154">
      <formula>$E$31="n/a"</formula>
    </cfRule>
  </conditionalFormatting>
  <conditionalFormatting sqref="F32">
    <cfRule type="expression" dxfId="1182" priority="153">
      <formula>$E$32="n/a"</formula>
    </cfRule>
  </conditionalFormatting>
  <conditionalFormatting sqref="F33">
    <cfRule type="expression" dxfId="1181" priority="152">
      <formula>$E$33="n/a"</formula>
    </cfRule>
  </conditionalFormatting>
  <conditionalFormatting sqref="F34">
    <cfRule type="expression" dxfId="1180" priority="151">
      <formula>$E$34="n/a"</formula>
    </cfRule>
  </conditionalFormatting>
  <conditionalFormatting sqref="F35">
    <cfRule type="expression" dxfId="1179" priority="150">
      <formula>$E$35="n/a"</formula>
    </cfRule>
  </conditionalFormatting>
  <conditionalFormatting sqref="F36">
    <cfRule type="expression" dxfId="1178" priority="149">
      <formula>$E$36="n/a"</formula>
    </cfRule>
  </conditionalFormatting>
  <conditionalFormatting sqref="F37">
    <cfRule type="expression" dxfId="1177" priority="148">
      <formula>$E$37="n/a"</formula>
    </cfRule>
  </conditionalFormatting>
  <conditionalFormatting sqref="F38">
    <cfRule type="expression" dxfId="1176" priority="147">
      <formula>$E$38="n/a"</formula>
    </cfRule>
  </conditionalFormatting>
  <conditionalFormatting sqref="F39">
    <cfRule type="expression" dxfId="1175" priority="146">
      <formula>$E$39="n/a"</formula>
    </cfRule>
  </conditionalFormatting>
  <conditionalFormatting sqref="F40">
    <cfRule type="expression" dxfId="1174" priority="145">
      <formula>$E$40="n/a"</formula>
    </cfRule>
  </conditionalFormatting>
  <conditionalFormatting sqref="F41">
    <cfRule type="expression" dxfId="1173" priority="144">
      <formula>$E$41="n/a"</formula>
    </cfRule>
  </conditionalFormatting>
  <conditionalFormatting sqref="F42">
    <cfRule type="expression" dxfId="1172" priority="143">
      <formula>$E$42="n/a"</formula>
    </cfRule>
  </conditionalFormatting>
  <conditionalFormatting sqref="F43">
    <cfRule type="expression" dxfId="1171" priority="142">
      <formula>$E$43="n/a"</formula>
    </cfRule>
  </conditionalFormatting>
  <conditionalFormatting sqref="F44">
    <cfRule type="expression" dxfId="1170" priority="141">
      <formula>$E$44="n/a"</formula>
    </cfRule>
  </conditionalFormatting>
  <conditionalFormatting sqref="F45">
    <cfRule type="expression" dxfId="1169" priority="140">
      <formula>$E$45="n/a"</formula>
    </cfRule>
  </conditionalFormatting>
  <conditionalFormatting sqref="F46">
    <cfRule type="expression" dxfId="1168" priority="139">
      <formula>$E$46="n/a"</formula>
    </cfRule>
  </conditionalFormatting>
  <conditionalFormatting sqref="F82">
    <cfRule type="expression" dxfId="1167" priority="137">
      <formula>$E$82="n/a"</formula>
    </cfRule>
  </conditionalFormatting>
  <conditionalFormatting sqref="F81">
    <cfRule type="expression" dxfId="1166" priority="136">
      <formula>$E$81="n/a"</formula>
    </cfRule>
  </conditionalFormatting>
  <conditionalFormatting sqref="F80">
    <cfRule type="expression" dxfId="1165" priority="135">
      <formula>$E$80="n/a"</formula>
    </cfRule>
  </conditionalFormatting>
  <conditionalFormatting sqref="F79">
    <cfRule type="expression" dxfId="1164" priority="134">
      <formula>$E$79="n/a"</formula>
    </cfRule>
  </conditionalFormatting>
  <conditionalFormatting sqref="F78">
    <cfRule type="expression" dxfId="1163" priority="133">
      <formula>$E$78="n/a"</formula>
    </cfRule>
  </conditionalFormatting>
  <conditionalFormatting sqref="F77">
    <cfRule type="expression" dxfId="1162" priority="132">
      <formula>$E$77="n/a"</formula>
    </cfRule>
  </conditionalFormatting>
  <conditionalFormatting sqref="F76">
    <cfRule type="expression" dxfId="1161" priority="131">
      <formula>$E$76="n/a"</formula>
    </cfRule>
  </conditionalFormatting>
  <conditionalFormatting sqref="F75">
    <cfRule type="expression" dxfId="1160" priority="130">
      <formula>$E$75="n/a"</formula>
    </cfRule>
  </conditionalFormatting>
  <conditionalFormatting sqref="F74">
    <cfRule type="expression" dxfId="1159" priority="129">
      <formula>$E$74="n/a"</formula>
    </cfRule>
  </conditionalFormatting>
  <conditionalFormatting sqref="F73">
    <cfRule type="expression" dxfId="1158" priority="127">
      <formula>$E$73="n/a"</formula>
    </cfRule>
  </conditionalFormatting>
  <conditionalFormatting sqref="F72">
    <cfRule type="expression" dxfId="1157" priority="103">
      <formula>$E$72="n/a"</formula>
    </cfRule>
  </conditionalFormatting>
  <conditionalFormatting sqref="F47">
    <cfRule type="expression" dxfId="1156" priority="138">
      <formula>$E$47="n/a"</formula>
    </cfRule>
  </conditionalFormatting>
  <conditionalFormatting sqref="F48">
    <cfRule type="expression" dxfId="1155" priority="128">
      <formula>$E$48="n/a"</formula>
    </cfRule>
  </conditionalFormatting>
  <conditionalFormatting sqref="F49">
    <cfRule type="expression" dxfId="1154" priority="126">
      <formula>$E$49="n/a"</formula>
    </cfRule>
  </conditionalFormatting>
  <conditionalFormatting sqref="F50">
    <cfRule type="expression" dxfId="1153" priority="125">
      <formula>$E$50="n/a"</formula>
    </cfRule>
  </conditionalFormatting>
  <conditionalFormatting sqref="F51">
    <cfRule type="expression" dxfId="1152" priority="124">
      <formula>$E$51="n/a"</formula>
    </cfRule>
  </conditionalFormatting>
  <conditionalFormatting sqref="F52">
    <cfRule type="expression" dxfId="1151" priority="123">
      <formula>$E$52="n/a"</formula>
    </cfRule>
  </conditionalFormatting>
  <conditionalFormatting sqref="F53">
    <cfRule type="expression" dxfId="1150" priority="122">
      <formula>$E$53="n/a"</formula>
    </cfRule>
  </conditionalFormatting>
  <conditionalFormatting sqref="F54">
    <cfRule type="expression" dxfId="1149" priority="121">
      <formula>$E$54="n/a"</formula>
    </cfRule>
  </conditionalFormatting>
  <conditionalFormatting sqref="F55">
    <cfRule type="expression" dxfId="1148" priority="120">
      <formula>$E$55="n/a"</formula>
    </cfRule>
  </conditionalFormatting>
  <conditionalFormatting sqref="F56">
    <cfRule type="expression" dxfId="1147" priority="119">
      <formula>$E$56="n/a"</formula>
    </cfRule>
  </conditionalFormatting>
  <conditionalFormatting sqref="F57">
    <cfRule type="expression" dxfId="1146" priority="118">
      <formula>$E$57="n/a"</formula>
    </cfRule>
  </conditionalFormatting>
  <conditionalFormatting sqref="F58">
    <cfRule type="expression" dxfId="1145" priority="117">
      <formula>$E$58="n/a"</formula>
    </cfRule>
  </conditionalFormatting>
  <conditionalFormatting sqref="F59">
    <cfRule type="expression" dxfId="1144" priority="116">
      <formula>$E$59="n/a"</formula>
    </cfRule>
  </conditionalFormatting>
  <conditionalFormatting sqref="F60">
    <cfRule type="expression" dxfId="1143" priority="115">
      <formula>$E$60="n/a"</formula>
    </cfRule>
  </conditionalFormatting>
  <conditionalFormatting sqref="F61">
    <cfRule type="expression" dxfId="1142" priority="114">
      <formula>$E$61="n/a"</formula>
    </cfRule>
  </conditionalFormatting>
  <conditionalFormatting sqref="F62">
    <cfRule type="expression" dxfId="1141" priority="113">
      <formula>$E$62="n/a"</formula>
    </cfRule>
  </conditionalFormatting>
  <conditionalFormatting sqref="F63">
    <cfRule type="expression" dxfId="1140" priority="112">
      <formula>$E$63="n/a"</formula>
    </cfRule>
  </conditionalFormatting>
  <conditionalFormatting sqref="F64">
    <cfRule type="expression" dxfId="1139" priority="111">
      <formula>$E$64="n/a"</formula>
    </cfRule>
  </conditionalFormatting>
  <conditionalFormatting sqref="F65">
    <cfRule type="expression" dxfId="1138" priority="110">
      <formula>$E$65="n/a"</formula>
    </cfRule>
  </conditionalFormatting>
  <conditionalFormatting sqref="F66">
    <cfRule type="expression" dxfId="1137" priority="109">
      <formula>$E$66="n/a"</formula>
    </cfRule>
  </conditionalFormatting>
  <conditionalFormatting sqref="F67">
    <cfRule type="expression" dxfId="1136" priority="108">
      <formula>$E$67="n/a"</formula>
    </cfRule>
  </conditionalFormatting>
  <conditionalFormatting sqref="F68">
    <cfRule type="expression" dxfId="1135" priority="107">
      <formula>$E$68="n/a"</formula>
    </cfRule>
  </conditionalFormatting>
  <conditionalFormatting sqref="F69">
    <cfRule type="expression" dxfId="1134" priority="106">
      <formula>$E$69="n/a"</formula>
    </cfRule>
  </conditionalFormatting>
  <conditionalFormatting sqref="F70">
    <cfRule type="expression" dxfId="1133" priority="105">
      <formula>$E$70="n/a"</formula>
    </cfRule>
  </conditionalFormatting>
  <conditionalFormatting sqref="F71">
    <cfRule type="expression" dxfId="1132" priority="104">
      <formula>$E$71="n/a"</formula>
    </cfRule>
  </conditionalFormatting>
  <conditionalFormatting sqref="I7">
    <cfRule type="expression" dxfId="1131" priority="101">
      <formula>$B$7="v"</formula>
    </cfRule>
  </conditionalFormatting>
  <conditionalFormatting sqref="I8">
    <cfRule type="expression" dxfId="1130" priority="100">
      <formula>$B$8="v"</formula>
    </cfRule>
  </conditionalFormatting>
  <conditionalFormatting sqref="I9">
    <cfRule type="expression" dxfId="1129" priority="99">
      <formula>$B$9="v"</formula>
    </cfRule>
  </conditionalFormatting>
  <conditionalFormatting sqref="I10">
    <cfRule type="expression" dxfId="1128" priority="98">
      <formula>$B$10="v"</formula>
    </cfRule>
  </conditionalFormatting>
  <conditionalFormatting sqref="I11">
    <cfRule type="expression" dxfId="1127" priority="97">
      <formula>$B$11="v"</formula>
    </cfRule>
  </conditionalFormatting>
  <conditionalFormatting sqref="I12">
    <cfRule type="expression" dxfId="1126" priority="96">
      <formula>$B$12="v"</formula>
    </cfRule>
  </conditionalFormatting>
  <conditionalFormatting sqref="I13">
    <cfRule type="expression" dxfId="1125" priority="95">
      <formula>$B$13="v"</formula>
    </cfRule>
  </conditionalFormatting>
  <conditionalFormatting sqref="I14">
    <cfRule type="expression" dxfId="1124" priority="94">
      <formula>$B$14="v"</formula>
    </cfRule>
  </conditionalFormatting>
  <conditionalFormatting sqref="I15">
    <cfRule type="expression" dxfId="1123" priority="93">
      <formula>$B$15="v"</formula>
    </cfRule>
  </conditionalFormatting>
  <conditionalFormatting sqref="I16">
    <cfRule type="expression" dxfId="1122" priority="92">
      <formula>$B$16="v"</formula>
    </cfRule>
  </conditionalFormatting>
  <conditionalFormatting sqref="I17">
    <cfRule type="expression" dxfId="1121" priority="91">
      <formula>$B$17="v"</formula>
    </cfRule>
  </conditionalFormatting>
  <conditionalFormatting sqref="I18">
    <cfRule type="expression" dxfId="1120" priority="90">
      <formula>$B$18="v"</formula>
    </cfRule>
  </conditionalFormatting>
  <conditionalFormatting sqref="I19">
    <cfRule type="expression" dxfId="1119" priority="89">
      <formula>$B$19="v"</formula>
    </cfRule>
  </conditionalFormatting>
  <conditionalFormatting sqref="I20">
    <cfRule type="expression" dxfId="1118" priority="88">
      <formula>$B$20="v"</formula>
    </cfRule>
  </conditionalFormatting>
  <conditionalFormatting sqref="I21">
    <cfRule type="expression" dxfId="1117" priority="87">
      <formula>$B$21="v"</formula>
    </cfRule>
  </conditionalFormatting>
  <conditionalFormatting sqref="I22">
    <cfRule type="expression" dxfId="1116" priority="86">
      <formula>$B$22="v"</formula>
    </cfRule>
  </conditionalFormatting>
  <conditionalFormatting sqref="I23">
    <cfRule type="expression" dxfId="1115" priority="85">
      <formula>$B$23="v"</formula>
    </cfRule>
  </conditionalFormatting>
  <conditionalFormatting sqref="I24">
    <cfRule type="expression" dxfId="1114" priority="84">
      <formula>$B$24="v"</formula>
    </cfRule>
  </conditionalFormatting>
  <conditionalFormatting sqref="I25">
    <cfRule type="expression" dxfId="1113" priority="83">
      <formula>$B$25="v"</formula>
    </cfRule>
  </conditionalFormatting>
  <conditionalFormatting sqref="I26">
    <cfRule type="expression" dxfId="1112" priority="82">
      <formula>$B$26="v"</formula>
    </cfRule>
  </conditionalFormatting>
  <conditionalFormatting sqref="I27">
    <cfRule type="expression" dxfId="1111" priority="81">
      <formula>$B$27="v"</formula>
    </cfRule>
  </conditionalFormatting>
  <conditionalFormatting sqref="I28">
    <cfRule type="expression" dxfId="1110" priority="80">
      <formula>$B$28="v"</formula>
    </cfRule>
  </conditionalFormatting>
  <conditionalFormatting sqref="I29">
    <cfRule type="expression" dxfId="1109" priority="79">
      <formula>$B$29="v"</formula>
    </cfRule>
  </conditionalFormatting>
  <conditionalFormatting sqref="I30">
    <cfRule type="expression" dxfId="1108" priority="78">
      <formula>$B$30="v"</formula>
    </cfRule>
  </conditionalFormatting>
  <conditionalFormatting sqref="I31">
    <cfRule type="expression" dxfId="1107" priority="77">
      <formula>$B$31="v"</formula>
    </cfRule>
  </conditionalFormatting>
  <conditionalFormatting sqref="I32">
    <cfRule type="expression" dxfId="1106" priority="76">
      <formula>$B$32="v"</formula>
    </cfRule>
  </conditionalFormatting>
  <conditionalFormatting sqref="I33">
    <cfRule type="expression" dxfId="1105" priority="75">
      <formula>$B$33="v"</formula>
    </cfRule>
  </conditionalFormatting>
  <conditionalFormatting sqref="I34">
    <cfRule type="expression" dxfId="1104" priority="74">
      <formula>$B$34="v"</formula>
    </cfRule>
  </conditionalFormatting>
  <conditionalFormatting sqref="I35">
    <cfRule type="expression" dxfId="1103" priority="73">
      <formula>$B$35="v"</formula>
    </cfRule>
  </conditionalFormatting>
  <conditionalFormatting sqref="I36">
    <cfRule type="expression" dxfId="1102" priority="72">
      <formula>$B$36="v"</formula>
    </cfRule>
  </conditionalFormatting>
  <conditionalFormatting sqref="I37">
    <cfRule type="expression" dxfId="1101" priority="71">
      <formula>$B$37="v"</formula>
    </cfRule>
  </conditionalFormatting>
  <conditionalFormatting sqref="I38">
    <cfRule type="expression" dxfId="1100" priority="70">
      <formula>$B$38="v"</formula>
    </cfRule>
  </conditionalFormatting>
  <conditionalFormatting sqref="I39">
    <cfRule type="expression" dxfId="1099" priority="69">
      <formula>$B$39="v"</formula>
    </cfRule>
  </conditionalFormatting>
  <conditionalFormatting sqref="I40">
    <cfRule type="expression" dxfId="1098" priority="68">
      <formula>$B$40="v"</formula>
    </cfRule>
  </conditionalFormatting>
  <conditionalFormatting sqref="I41">
    <cfRule type="expression" dxfId="1097" priority="67">
      <formula>$B$41="v"</formula>
    </cfRule>
  </conditionalFormatting>
  <conditionalFormatting sqref="I42">
    <cfRule type="expression" dxfId="1096" priority="66">
      <formula>$B$42="v"</formula>
    </cfRule>
  </conditionalFormatting>
  <conditionalFormatting sqref="I43">
    <cfRule type="expression" dxfId="1095" priority="65">
      <formula>$B$43="v"</formula>
    </cfRule>
  </conditionalFormatting>
  <conditionalFormatting sqref="I44">
    <cfRule type="expression" dxfId="1094" priority="64">
      <formula>$B$44="v"</formula>
    </cfRule>
  </conditionalFormatting>
  <conditionalFormatting sqref="I45">
    <cfRule type="expression" dxfId="1093" priority="63">
      <formula>$B$45="v"</formula>
    </cfRule>
  </conditionalFormatting>
  <conditionalFormatting sqref="I46">
    <cfRule type="expression" dxfId="1092" priority="62">
      <formula>$B$46="v"</formula>
    </cfRule>
  </conditionalFormatting>
  <conditionalFormatting sqref="I47">
    <cfRule type="expression" dxfId="1091" priority="61">
      <formula>$B$47="v"</formula>
    </cfRule>
  </conditionalFormatting>
  <conditionalFormatting sqref="I48">
    <cfRule type="expression" dxfId="1090" priority="60">
      <formula>$B$48="v"</formula>
    </cfRule>
  </conditionalFormatting>
  <conditionalFormatting sqref="I49">
    <cfRule type="expression" dxfId="1089" priority="59">
      <formula>$B$49="v"</formula>
    </cfRule>
  </conditionalFormatting>
  <conditionalFormatting sqref="I50">
    <cfRule type="expression" dxfId="1088" priority="58">
      <formula>$B$50="v"</formula>
    </cfRule>
  </conditionalFormatting>
  <conditionalFormatting sqref="I51">
    <cfRule type="expression" dxfId="1087" priority="57">
      <formula>$B$51="v"</formula>
    </cfRule>
  </conditionalFormatting>
  <conditionalFormatting sqref="I52">
    <cfRule type="expression" dxfId="1086" priority="56">
      <formula>$B$52="v"</formula>
    </cfRule>
  </conditionalFormatting>
  <conditionalFormatting sqref="I53">
    <cfRule type="expression" dxfId="1085" priority="55">
      <formula>$B$53="v"</formula>
    </cfRule>
  </conditionalFormatting>
  <conditionalFormatting sqref="I54">
    <cfRule type="expression" dxfId="1084" priority="54">
      <formula>$B$54="v"</formula>
    </cfRule>
  </conditionalFormatting>
  <conditionalFormatting sqref="I55">
    <cfRule type="expression" dxfId="1083" priority="53">
      <formula>$B$55="v"</formula>
    </cfRule>
  </conditionalFormatting>
  <conditionalFormatting sqref="I56">
    <cfRule type="expression" dxfId="1082" priority="52">
      <formula>$B$56="v"</formula>
    </cfRule>
  </conditionalFormatting>
  <conditionalFormatting sqref="I57">
    <cfRule type="expression" dxfId="1081" priority="51">
      <formula>$B$57="v"</formula>
    </cfRule>
  </conditionalFormatting>
  <conditionalFormatting sqref="I58">
    <cfRule type="expression" dxfId="1080" priority="50">
      <formula>$B$58="v"</formula>
    </cfRule>
  </conditionalFormatting>
  <conditionalFormatting sqref="I59">
    <cfRule type="expression" dxfId="1079" priority="49">
      <formula>$B$59="v"</formula>
    </cfRule>
  </conditionalFormatting>
  <conditionalFormatting sqref="I60">
    <cfRule type="expression" dxfId="1078" priority="48">
      <formula>$B$60="v"</formula>
    </cfRule>
  </conditionalFormatting>
  <conditionalFormatting sqref="I61">
    <cfRule type="expression" dxfId="1077" priority="47">
      <formula>$B$61="v"</formula>
    </cfRule>
  </conditionalFormatting>
  <conditionalFormatting sqref="I62">
    <cfRule type="expression" dxfId="1076" priority="46">
      <formula>$B$62="v"</formula>
    </cfRule>
  </conditionalFormatting>
  <conditionalFormatting sqref="I63">
    <cfRule type="expression" dxfId="1075" priority="45">
      <formula>$B$63="v"</formula>
    </cfRule>
  </conditionalFormatting>
  <conditionalFormatting sqref="I64">
    <cfRule type="expression" dxfId="1074" priority="44">
      <formula>$B$64="v"</formula>
    </cfRule>
  </conditionalFormatting>
  <conditionalFormatting sqref="I65">
    <cfRule type="expression" dxfId="1073" priority="43">
      <formula>$B$65="v"</formula>
    </cfRule>
  </conditionalFormatting>
  <conditionalFormatting sqref="I66">
    <cfRule type="expression" dxfId="1072" priority="42">
      <formula>$B$66="v"</formula>
    </cfRule>
  </conditionalFormatting>
  <conditionalFormatting sqref="I67">
    <cfRule type="expression" dxfId="1071" priority="41">
      <formula>$B$67="v"</formula>
    </cfRule>
  </conditionalFormatting>
  <conditionalFormatting sqref="I68">
    <cfRule type="expression" dxfId="1070" priority="40">
      <formula>$B$68="v"</formula>
    </cfRule>
  </conditionalFormatting>
  <conditionalFormatting sqref="I69">
    <cfRule type="expression" dxfId="1069" priority="39">
      <formula>$B$69="v"</formula>
    </cfRule>
  </conditionalFormatting>
  <conditionalFormatting sqref="I70">
    <cfRule type="expression" dxfId="1068" priority="38">
      <formula>$B$70="v"</formula>
    </cfRule>
  </conditionalFormatting>
  <conditionalFormatting sqref="I71">
    <cfRule type="expression" dxfId="1067" priority="37">
      <formula>$B$71="v"</formula>
    </cfRule>
  </conditionalFormatting>
  <conditionalFormatting sqref="I72">
    <cfRule type="expression" dxfId="1066" priority="36">
      <formula>$B$72="v"</formula>
    </cfRule>
  </conditionalFormatting>
  <conditionalFormatting sqref="I73">
    <cfRule type="expression" dxfId="1065" priority="35">
      <formula>$B$73="v"</formula>
    </cfRule>
  </conditionalFormatting>
  <conditionalFormatting sqref="I74">
    <cfRule type="expression" dxfId="1064" priority="34">
      <formula>$B$74="v"</formula>
    </cfRule>
  </conditionalFormatting>
  <conditionalFormatting sqref="I75">
    <cfRule type="expression" dxfId="1063" priority="33">
      <formula>$B$75="v"</formula>
    </cfRule>
  </conditionalFormatting>
  <conditionalFormatting sqref="I76">
    <cfRule type="expression" dxfId="1062" priority="32">
      <formula>$B$76="v"</formula>
    </cfRule>
  </conditionalFormatting>
  <conditionalFormatting sqref="I77">
    <cfRule type="expression" dxfId="1061" priority="31">
      <formula>$B$77="v"</formula>
    </cfRule>
  </conditionalFormatting>
  <conditionalFormatting sqref="I78">
    <cfRule type="expression" dxfId="1060" priority="30">
      <formula>$B$78="v"</formula>
    </cfRule>
  </conditionalFormatting>
  <conditionalFormatting sqref="I79">
    <cfRule type="expression" dxfId="1059" priority="29">
      <formula>$B$79="v"</formula>
    </cfRule>
  </conditionalFormatting>
  <conditionalFormatting sqref="I80">
    <cfRule type="expression" dxfId="1058" priority="28">
      <formula>$B$80="v"</formula>
    </cfRule>
  </conditionalFormatting>
  <conditionalFormatting sqref="I81">
    <cfRule type="expression" dxfId="1057" priority="27">
      <formula>$B$81="v"</formula>
    </cfRule>
  </conditionalFormatting>
  <conditionalFormatting sqref="I82">
    <cfRule type="expression" dxfId="1056" priority="26">
      <formula>$B$82="v"</formula>
    </cfRule>
  </conditionalFormatting>
  <conditionalFormatting sqref="L5:N6">
    <cfRule type="expression" dxfId="1055" priority="191">
      <formula>$K$4=1</formula>
    </cfRule>
  </conditionalFormatting>
  <conditionalFormatting sqref="L7:N82">
    <cfRule type="expression" dxfId="1054" priority="193">
      <formula>$K$4=1</formula>
    </cfRule>
  </conditionalFormatting>
  <conditionalFormatting sqref="M4:N4">
    <cfRule type="expression" dxfId="1053" priority="17" stopIfTrue="1">
      <formula>$K$4=1</formula>
    </cfRule>
  </conditionalFormatting>
  <conditionalFormatting sqref="L7:N82">
    <cfRule type="expression" dxfId="1052" priority="183">
      <formula>$K$4=""</formula>
    </cfRule>
  </conditionalFormatting>
  <conditionalFormatting sqref="P5:R6">
    <cfRule type="expression" dxfId="1051" priority="194">
      <formula>$O$4=1</formula>
    </cfRule>
  </conditionalFormatting>
  <conditionalFormatting sqref="P7:R82">
    <cfRule type="expression" dxfId="1050" priority="197">
      <formula>$O$4=1</formula>
    </cfRule>
  </conditionalFormatting>
  <conditionalFormatting sqref="Q4:R4">
    <cfRule type="expression" dxfId="1049" priority="196">
      <formula>$O$4=1</formula>
    </cfRule>
  </conditionalFormatting>
  <conditionalFormatting sqref="P7:R82">
    <cfRule type="expression" dxfId="1048" priority="181">
      <formula>$O$4=""</formula>
    </cfRule>
  </conditionalFormatting>
  <conditionalFormatting sqref="T5:V6">
    <cfRule type="expression" dxfId="1047" priority="198">
      <formula>$S$4=1</formula>
    </cfRule>
  </conditionalFormatting>
  <conditionalFormatting sqref="T7:V82">
    <cfRule type="expression" dxfId="1046" priority="243">
      <formula>$S$4=1</formula>
    </cfRule>
  </conditionalFormatting>
  <conditionalFormatting sqref="U4:V4">
    <cfRule type="expression" dxfId="1045" priority="200">
      <formula>$S$4=1</formula>
    </cfRule>
  </conditionalFormatting>
  <conditionalFormatting sqref="T7:V82">
    <cfRule type="expression" dxfId="1044" priority="179">
      <formula>$S$4=""</formula>
    </cfRule>
  </conditionalFormatting>
  <conditionalFormatting sqref="X5:Z6">
    <cfRule type="expression" dxfId="1043" priority="202">
      <formula>$W$4=1</formula>
    </cfRule>
  </conditionalFormatting>
  <conditionalFormatting sqref="X7:Z82">
    <cfRule type="expression" dxfId="1042" priority="240">
      <formula>$W$4=1</formula>
    </cfRule>
  </conditionalFormatting>
  <conditionalFormatting sqref="Y4:Z4">
    <cfRule type="expression" dxfId="1041" priority="204">
      <formula>$W$4=1</formula>
    </cfRule>
  </conditionalFormatting>
  <conditionalFormatting sqref="X7:Z82">
    <cfRule type="expression" dxfId="1040" priority="180">
      <formula>$W$4=""</formula>
    </cfRule>
  </conditionalFormatting>
  <conditionalFormatting sqref="AB5:AD6">
    <cfRule type="expression" dxfId="1039" priority="206">
      <formula>$AA$4=1</formula>
    </cfRule>
  </conditionalFormatting>
  <conditionalFormatting sqref="AB7:AD82">
    <cfRule type="expression" dxfId="1038" priority="209">
      <formula>$AA$4=1</formula>
    </cfRule>
  </conditionalFormatting>
  <conditionalFormatting sqref="AC4:AD4">
    <cfRule type="expression" dxfId="1037" priority="208">
      <formula>$AA$4=1</formula>
    </cfRule>
  </conditionalFormatting>
  <conditionalFormatting sqref="AB7:AD82">
    <cfRule type="expression" dxfId="1036" priority="199">
      <formula>$AA$4=""</formula>
    </cfRule>
  </conditionalFormatting>
  <conditionalFormatting sqref="AF5:AH6">
    <cfRule type="expression" dxfId="1035" priority="210">
      <formula>$AE$4=1</formula>
    </cfRule>
  </conditionalFormatting>
  <conditionalFormatting sqref="AF7:AH82">
    <cfRule type="expression" dxfId="1034" priority="213">
      <formula>$AE$4=1</formula>
    </cfRule>
  </conditionalFormatting>
  <conditionalFormatting sqref="AG4:AH4">
    <cfRule type="expression" dxfId="1033" priority="212">
      <formula>$AE$4=1</formula>
    </cfRule>
  </conditionalFormatting>
  <conditionalFormatting sqref="AF7:AH82">
    <cfRule type="expression" dxfId="1032" priority="201">
      <formula>$AE$4=""</formula>
    </cfRule>
  </conditionalFormatting>
  <conditionalFormatting sqref="AJ7:AL82">
    <cfRule type="expression" dxfId="1031" priority="217">
      <formula>$AI$4=1</formula>
    </cfRule>
  </conditionalFormatting>
  <conditionalFormatting sqref="AK4:AL4">
    <cfRule type="expression" dxfId="1030" priority="215">
      <formula>$AI$4=1</formula>
    </cfRule>
  </conditionalFormatting>
  <conditionalFormatting sqref="AJ5:AL6">
    <cfRule type="expression" dxfId="1029" priority="216">
      <formula>$AI$4=1</formula>
    </cfRule>
  </conditionalFormatting>
  <conditionalFormatting sqref="AJ7:AL82">
    <cfRule type="expression" dxfId="1028" priority="203">
      <formula>$AI$4=""</formula>
    </cfRule>
  </conditionalFormatting>
  <conditionalFormatting sqref="AN7:AP82">
    <cfRule type="expression" dxfId="1027" priority="221">
      <formula>$AM$4=1</formula>
    </cfRule>
  </conditionalFormatting>
  <conditionalFormatting sqref="AO4:AP4 AS4:AT4">
    <cfRule type="expression" dxfId="1026" priority="219">
      <formula>AQ$4=1</formula>
    </cfRule>
  </conditionalFormatting>
  <conditionalFormatting sqref="AN5:AP6">
    <cfRule type="expression" dxfId="1025" priority="220">
      <formula>$AM$4=1</formula>
    </cfRule>
  </conditionalFormatting>
  <conditionalFormatting sqref="AN7:AP82">
    <cfRule type="expression" dxfId="1024" priority="205">
      <formula>$AM$4=""</formula>
    </cfRule>
  </conditionalFormatting>
  <conditionalFormatting sqref="AR7:AT82">
    <cfRule type="expression" dxfId="1023" priority="224">
      <formula>$AQ$4=1</formula>
    </cfRule>
  </conditionalFormatting>
  <conditionalFormatting sqref="AR5:AT6">
    <cfRule type="expression" dxfId="1022" priority="223">
      <formula>$AQ$4=1</formula>
    </cfRule>
  </conditionalFormatting>
  <conditionalFormatting sqref="AR7:AT82">
    <cfRule type="expression" dxfId="1021" priority="207">
      <formula>$AQ$4=""</formula>
    </cfRule>
  </conditionalFormatting>
  <conditionalFormatting sqref="AV7:AX82">
    <cfRule type="expression" dxfId="1020" priority="227">
      <formula>$AU$4=1</formula>
    </cfRule>
  </conditionalFormatting>
  <conditionalFormatting sqref="AV5:AX6">
    <cfRule type="expression" dxfId="1019" priority="226">
      <formula>$AU$4=1</formula>
    </cfRule>
  </conditionalFormatting>
  <conditionalFormatting sqref="AV7:AX82">
    <cfRule type="expression" dxfId="1018" priority="178">
      <formula>$AU$4=""</formula>
    </cfRule>
  </conditionalFormatting>
  <conditionalFormatting sqref="AZ7:BB82">
    <cfRule type="expression" dxfId="1017" priority="230">
      <formula>$AY$4=1</formula>
    </cfRule>
  </conditionalFormatting>
  <conditionalFormatting sqref="AZ5:BB6">
    <cfRule type="expression" dxfId="1016" priority="229">
      <formula>$AY$4=1</formula>
    </cfRule>
  </conditionalFormatting>
  <conditionalFormatting sqref="AZ7:BB82">
    <cfRule type="expression" dxfId="1015" priority="211">
      <formula>$AY$4=""</formula>
    </cfRule>
  </conditionalFormatting>
  <conditionalFormatting sqref="BD7:BF82">
    <cfRule type="expression" dxfId="1014" priority="233">
      <formula>$BC$4=1</formula>
    </cfRule>
  </conditionalFormatting>
  <conditionalFormatting sqref="BD5:BF6">
    <cfRule type="expression" dxfId="1013" priority="232">
      <formula>$BC$4=1</formula>
    </cfRule>
  </conditionalFormatting>
  <conditionalFormatting sqref="BD7:BF82">
    <cfRule type="expression" dxfId="1012" priority="214">
      <formula>$BC$4=""</formula>
    </cfRule>
  </conditionalFormatting>
  <conditionalFormatting sqref="BH7:BJ82">
    <cfRule type="expression" dxfId="1011" priority="236">
      <formula>$BG$4=1</formula>
    </cfRule>
  </conditionalFormatting>
  <conditionalFormatting sqref="BH5:BJ6">
    <cfRule type="expression" dxfId="1010" priority="235">
      <formula>$BG$4=1</formula>
    </cfRule>
  </conditionalFormatting>
  <conditionalFormatting sqref="BH7:BJ82">
    <cfRule type="expression" dxfId="1009" priority="218">
      <formula>$BG$4=""</formula>
    </cfRule>
  </conditionalFormatting>
  <conditionalFormatting sqref="BL7:BN82">
    <cfRule type="expression" dxfId="1008" priority="239">
      <formula>$BK$4=1</formula>
    </cfRule>
  </conditionalFormatting>
  <conditionalFormatting sqref="BL5:BN6">
    <cfRule type="expression" dxfId="1007" priority="238">
      <formula>$BK$4=1</formula>
    </cfRule>
  </conditionalFormatting>
  <conditionalFormatting sqref="BL7:BN82">
    <cfRule type="expression" dxfId="1006" priority="222">
      <formula>$BK$4=""</formula>
    </cfRule>
  </conditionalFormatting>
  <conditionalFormatting sqref="BP7:BR82">
    <cfRule type="expression" dxfId="1005" priority="242">
      <formula>$BO$4=1</formula>
    </cfRule>
  </conditionalFormatting>
  <conditionalFormatting sqref="BP5:BR6">
    <cfRule type="expression" dxfId="1004" priority="241">
      <formula>$BO$4=1</formula>
    </cfRule>
  </conditionalFormatting>
  <conditionalFormatting sqref="BP7:BR82">
    <cfRule type="expression" dxfId="1003" priority="228">
      <formula>$BO$4=""</formula>
    </cfRule>
  </conditionalFormatting>
  <conditionalFormatting sqref="BT7:BV82">
    <cfRule type="expression" dxfId="1002" priority="245">
      <formula>$BS$4=1</formula>
    </cfRule>
  </conditionalFormatting>
  <conditionalFormatting sqref="BT5:BV6">
    <cfRule type="expression" dxfId="1001" priority="244">
      <formula>$BS$4=1</formula>
    </cfRule>
  </conditionalFormatting>
  <conditionalFormatting sqref="BT7:BV82">
    <cfRule type="expression" dxfId="1000" priority="231">
      <formula>$BS$4=""</formula>
    </cfRule>
  </conditionalFormatting>
  <conditionalFormatting sqref="AW4:AX4">
    <cfRule type="expression" dxfId="999" priority="25">
      <formula>AU$4=1</formula>
    </cfRule>
  </conditionalFormatting>
  <conditionalFormatting sqref="BA4:BB4">
    <cfRule type="expression" dxfId="998" priority="24">
      <formula>AY$4=1</formula>
    </cfRule>
  </conditionalFormatting>
  <conditionalFormatting sqref="BE4:BF4">
    <cfRule type="expression" dxfId="997" priority="23">
      <formula>BC$4=1</formula>
    </cfRule>
  </conditionalFormatting>
  <conditionalFormatting sqref="BI4:BJ4">
    <cfRule type="expression" dxfId="996" priority="22">
      <formula>BG$4=1</formula>
    </cfRule>
  </conditionalFormatting>
  <conditionalFormatting sqref="BM4:BN4">
    <cfRule type="expression" dxfId="995" priority="21">
      <formula>BK$4=1</formula>
    </cfRule>
  </conditionalFormatting>
  <conditionalFormatting sqref="BQ4:BR4">
    <cfRule type="expression" dxfId="994" priority="20">
      <formula>BO$4=1</formula>
    </cfRule>
  </conditionalFormatting>
  <conditionalFormatting sqref="BU4:BV4">
    <cfRule type="expression" dxfId="993" priority="19">
      <formula>BS$4=1</formula>
    </cfRule>
  </conditionalFormatting>
  <conditionalFormatting sqref="E4">
    <cfRule type="expression" dxfId="992" priority="18">
      <formula>$F$4=""</formula>
    </cfRule>
  </conditionalFormatting>
  <conditionalFormatting sqref="L4">
    <cfRule type="expression" dxfId="991" priority="16">
      <formula>$K$4=1</formula>
    </cfRule>
  </conditionalFormatting>
  <conditionalFormatting sqref="P4">
    <cfRule type="expression" dxfId="990" priority="15">
      <formula>$O$4=1</formula>
    </cfRule>
  </conditionalFormatting>
  <conditionalFormatting sqref="T4">
    <cfRule type="expression" dxfId="989" priority="14">
      <formula>$S$4=1</formula>
    </cfRule>
  </conditionalFormatting>
  <conditionalFormatting sqref="X4">
    <cfRule type="expression" dxfId="988" priority="13">
      <formula>W4=1</formula>
    </cfRule>
  </conditionalFormatting>
  <conditionalFormatting sqref="AB4">
    <cfRule type="expression" dxfId="987" priority="12">
      <formula>AA4=1</formula>
    </cfRule>
  </conditionalFormatting>
  <conditionalFormatting sqref="AF4">
    <cfRule type="expression" dxfId="986" priority="11">
      <formula>AE4=1</formula>
    </cfRule>
  </conditionalFormatting>
  <conditionalFormatting sqref="AJ4">
    <cfRule type="expression" dxfId="985" priority="10">
      <formula>AI4=1</formula>
    </cfRule>
  </conditionalFormatting>
  <conditionalFormatting sqref="AN4">
    <cfRule type="expression" dxfId="984" priority="9">
      <formula>AM4=1</formula>
    </cfRule>
  </conditionalFormatting>
  <conditionalFormatting sqref="AR4">
    <cfRule type="expression" dxfId="983" priority="8">
      <formula>AQ4=1</formula>
    </cfRule>
  </conditionalFormatting>
  <conditionalFormatting sqref="AV4">
    <cfRule type="expression" dxfId="982" priority="7">
      <formula>AU4=1</formula>
    </cfRule>
  </conditionalFormatting>
  <conditionalFormatting sqref="AZ4">
    <cfRule type="expression" dxfId="981" priority="6">
      <formula>AY4=1</formula>
    </cfRule>
  </conditionalFormatting>
  <conditionalFormatting sqref="BD4">
    <cfRule type="expression" dxfId="980" priority="5">
      <formula>BC4=1</formula>
    </cfRule>
  </conditionalFormatting>
  <conditionalFormatting sqref="BH4">
    <cfRule type="expression" dxfId="979" priority="4">
      <formula>BG4=1</formula>
    </cfRule>
  </conditionalFormatting>
  <conditionalFormatting sqref="BL4">
    <cfRule type="expression" dxfId="978" priority="3">
      <formula>BK4=1</formula>
    </cfRule>
  </conditionalFormatting>
  <conditionalFormatting sqref="BP4">
    <cfRule type="expression" dxfId="977" priority="2">
      <formula>BO4=1</formula>
    </cfRule>
  </conditionalFormatting>
  <conditionalFormatting sqref="BT4">
    <cfRule type="expression" dxfId="976" priority="1">
      <formula>BS4=1</formula>
    </cfRule>
  </conditionalFormatting>
  <dataValidations count="3">
    <dataValidation type="list" allowBlank="1" showInputMessage="1" showErrorMessage="1" sqref="F2" xr:uid="{7F3CAD82-37CD-4441-8E95-0384C324CFBB}">
      <formula1>"1, 2, 3, 4, 5, 6, 7, 8, 9, 10, 11, 12, 13, 14, 15, 16, 17"</formula1>
    </dataValidation>
    <dataValidation type="list" allowBlank="1" showInputMessage="1" showErrorMessage="1" sqref="B7:B82" xr:uid="{C9E1232F-9CE8-4C1D-991D-899EFBB15D6A}">
      <formula1>"v"</formula1>
    </dataValidation>
    <dataValidation type="list" allowBlank="1" showInputMessage="1" showErrorMessage="1" sqref="BP7:BP82 AV7:AV82 BL7:BL82 BT7:BT82 BH7:BH82 BD7:BD82 AZ7:AZ82" xr:uid="{7741F48A-3129-494B-88A5-1420C20246D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A027B116-0371-4F5F-AA83-F32EEFC01D31}">
          <x14:formula1>
            <xm:f>Sheet3!$J$153:$J$168</xm:f>
          </x14:formula1>
          <xm:sqref>H7:H82 N7:N82 R7:R82 V7:V82 Z7:Z82 AD7:AD82 AH7:AH82 AL7:AL82 AP7:AP82 AT7:AT82</xm:sqref>
        </x14:dataValidation>
        <x14:dataValidation type="list" allowBlank="1" showInputMessage="1" showErrorMessage="1" xr:uid="{49F08DB6-DDB3-4AA8-9AE8-1E86F8265CF3}">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291F9-7C3D-4A81-A266-1BA2C304E36C}">
  <sheetPr codeName="Sheet10">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689</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75" priority="188">
      <formula>$F$1=1</formula>
    </cfRule>
    <cfRule type="expression" priority="189">
      <formula>$F$1</formula>
    </cfRule>
  </conditionalFormatting>
  <conditionalFormatting sqref="J4">
    <cfRule type="expression" dxfId="974" priority="190">
      <formula>$F$1=1</formula>
    </cfRule>
  </conditionalFormatting>
  <conditionalFormatting sqref="C7:G82">
    <cfRule type="expression" dxfId="973" priority="102">
      <formula>$B7="v"</formula>
    </cfRule>
  </conditionalFormatting>
  <conditionalFormatting sqref="H7:H82">
    <cfRule type="expression" dxfId="972" priority="186">
      <formula>$B7="v"</formula>
    </cfRule>
  </conditionalFormatting>
  <conditionalFormatting sqref="N7:N82">
    <cfRule type="expression" dxfId="971" priority="185">
      <formula>$B7="v"</formula>
    </cfRule>
  </conditionalFormatting>
  <conditionalFormatting sqref="M7:M82">
    <cfRule type="expression" dxfId="970" priority="184">
      <formula>$B7="v"</formula>
    </cfRule>
  </conditionalFormatting>
  <conditionalFormatting sqref="L7:L82">
    <cfRule type="expression" dxfId="969" priority="192">
      <formula>$B7="v"</formula>
    </cfRule>
  </conditionalFormatting>
  <conditionalFormatting sqref="P7:Q82">
    <cfRule type="expression" dxfId="968" priority="195">
      <formula>$B7="v"</formula>
    </cfRule>
  </conditionalFormatting>
  <conditionalFormatting sqref="R7:R82">
    <cfRule type="expression" dxfId="967" priority="182">
      <formula>$B7="v"</formula>
    </cfRule>
  </conditionalFormatting>
  <conditionalFormatting sqref="Z7:Z82 V7:V82 AL7:AL82 AH7:AH82 AD7:AD82 AX7:AX82 AT7:AT82 AP7:AP82 BJ7:BJ82 BF7:BF82 BB7:BB82 BV7:BV82 BR7:BR82 BN7:BN82">
    <cfRule type="expression" dxfId="966" priority="234">
      <formula>$B7="v"</formula>
    </cfRule>
  </conditionalFormatting>
  <conditionalFormatting sqref="X7:Y82 T7:U82 AJ7:AK82 AF7:AG82 AB7:AC82 AR7:AS82 AN7:AO82 BH7:BI82 BD7:BE82 AZ7:BA82 BT7:BU82 BP7:BQ82 BL7:BM82">
    <cfRule type="expression" dxfId="965" priority="237">
      <formula>$B7="v"</formula>
    </cfRule>
  </conditionalFormatting>
  <conditionalFormatting sqref="AV7:AW82">
    <cfRule type="expression" dxfId="964" priority="225">
      <formula>$B7="v"</formula>
    </cfRule>
  </conditionalFormatting>
  <conditionalFormatting sqref="F25">
    <cfRule type="expression" dxfId="963" priority="177">
      <formula>$E$25="n/a"</formula>
    </cfRule>
  </conditionalFormatting>
  <conditionalFormatting sqref="F7">
    <cfRule type="expression" dxfId="962" priority="176">
      <formula>$E$7="n/a"</formula>
    </cfRule>
  </conditionalFormatting>
  <conditionalFormatting sqref="F8">
    <cfRule type="expression" dxfId="961" priority="187">
      <formula>$E$8="n/a"</formula>
    </cfRule>
  </conditionalFormatting>
  <conditionalFormatting sqref="F9">
    <cfRule type="expression" dxfId="960" priority="175">
      <formula>$E$9="n/a"</formula>
    </cfRule>
  </conditionalFormatting>
  <conditionalFormatting sqref="F10">
    <cfRule type="expression" dxfId="959" priority="174">
      <formula>$E$10="n/a"</formula>
    </cfRule>
  </conditionalFormatting>
  <conditionalFormatting sqref="F11">
    <cfRule type="expression" dxfId="958" priority="173">
      <formula>$E$11="n/a"</formula>
    </cfRule>
  </conditionalFormatting>
  <conditionalFormatting sqref="F12">
    <cfRule type="expression" dxfId="957" priority="172">
      <formula>$E$12="n/a"</formula>
    </cfRule>
  </conditionalFormatting>
  <conditionalFormatting sqref="F13">
    <cfRule type="expression" dxfId="956" priority="171">
      <formula>$E$13="n/a"</formula>
    </cfRule>
  </conditionalFormatting>
  <conditionalFormatting sqref="F14">
    <cfRule type="expression" dxfId="955" priority="170">
      <formula>$E$14="n/a"</formula>
    </cfRule>
  </conditionalFormatting>
  <conditionalFormatting sqref="F15">
    <cfRule type="expression" dxfId="954" priority="169">
      <formula>$E$15="n/a"</formula>
    </cfRule>
  </conditionalFormatting>
  <conditionalFormatting sqref="F16">
    <cfRule type="expression" dxfId="953" priority="168">
      <formula>$E$16="n/a"</formula>
    </cfRule>
  </conditionalFormatting>
  <conditionalFormatting sqref="F17">
    <cfRule type="expression" dxfId="952" priority="167">
      <formula>$E$17="n/a"</formula>
    </cfRule>
  </conditionalFormatting>
  <conditionalFormatting sqref="F18">
    <cfRule type="expression" dxfId="951" priority="166">
      <formula>$E$18="n/a"</formula>
    </cfRule>
  </conditionalFormatting>
  <conditionalFormatting sqref="F19">
    <cfRule type="expression" dxfId="950" priority="165">
      <formula>$E$19="n/a"</formula>
    </cfRule>
  </conditionalFormatting>
  <conditionalFormatting sqref="F20">
    <cfRule type="expression" dxfId="949" priority="164">
      <formula>$E$20="n/a"</formula>
    </cfRule>
  </conditionalFormatting>
  <conditionalFormatting sqref="F21">
    <cfRule type="expression" dxfId="948" priority="163">
      <formula>$E$21="n/a"</formula>
    </cfRule>
  </conditionalFormatting>
  <conditionalFormatting sqref="F22">
    <cfRule type="expression" dxfId="947" priority="162">
      <formula>$E$22="n/a"</formula>
    </cfRule>
  </conditionalFormatting>
  <conditionalFormatting sqref="F23">
    <cfRule type="expression" dxfId="946" priority="161">
      <formula>$E$23="n/a"</formula>
    </cfRule>
  </conditionalFormatting>
  <conditionalFormatting sqref="F24">
    <cfRule type="expression" dxfId="945" priority="160">
      <formula>$E$24="n/a"</formula>
    </cfRule>
  </conditionalFormatting>
  <conditionalFormatting sqref="F26">
    <cfRule type="expression" dxfId="944" priority="159">
      <formula>$E$26="n/a"</formula>
    </cfRule>
  </conditionalFormatting>
  <conditionalFormatting sqref="F27">
    <cfRule type="expression" dxfId="943" priority="158">
      <formula>$E$27="n/a"</formula>
    </cfRule>
  </conditionalFormatting>
  <conditionalFormatting sqref="F28">
    <cfRule type="expression" dxfId="942" priority="157">
      <formula>$E$28="n/a"</formula>
    </cfRule>
  </conditionalFormatting>
  <conditionalFormatting sqref="F29">
    <cfRule type="expression" dxfId="941" priority="156">
      <formula>$E$29="n/a"</formula>
    </cfRule>
  </conditionalFormatting>
  <conditionalFormatting sqref="F30">
    <cfRule type="expression" dxfId="940" priority="155">
      <formula>$E$30="n/a"</formula>
    </cfRule>
  </conditionalFormatting>
  <conditionalFormatting sqref="F31">
    <cfRule type="expression" dxfId="939" priority="154">
      <formula>$E$31="n/a"</formula>
    </cfRule>
  </conditionalFormatting>
  <conditionalFormatting sqref="F32">
    <cfRule type="expression" dxfId="938" priority="153">
      <formula>$E$32="n/a"</formula>
    </cfRule>
  </conditionalFormatting>
  <conditionalFormatting sqref="F33">
    <cfRule type="expression" dxfId="937" priority="152">
      <formula>$E$33="n/a"</formula>
    </cfRule>
  </conditionalFormatting>
  <conditionalFormatting sqref="F34">
    <cfRule type="expression" dxfId="936" priority="151">
      <formula>$E$34="n/a"</formula>
    </cfRule>
  </conditionalFormatting>
  <conditionalFormatting sqref="F35">
    <cfRule type="expression" dxfId="935" priority="150">
      <formula>$E$35="n/a"</formula>
    </cfRule>
  </conditionalFormatting>
  <conditionalFormatting sqref="F36">
    <cfRule type="expression" dxfId="934" priority="149">
      <formula>$E$36="n/a"</formula>
    </cfRule>
  </conditionalFormatting>
  <conditionalFormatting sqref="F37">
    <cfRule type="expression" dxfId="933" priority="148">
      <formula>$E$37="n/a"</formula>
    </cfRule>
  </conditionalFormatting>
  <conditionalFormatting sqref="F38">
    <cfRule type="expression" dxfId="932" priority="147">
      <formula>$E$38="n/a"</formula>
    </cfRule>
  </conditionalFormatting>
  <conditionalFormatting sqref="F39">
    <cfRule type="expression" dxfId="931" priority="146">
      <formula>$E$39="n/a"</formula>
    </cfRule>
  </conditionalFormatting>
  <conditionalFormatting sqref="F40">
    <cfRule type="expression" dxfId="930" priority="145">
      <formula>$E$40="n/a"</formula>
    </cfRule>
  </conditionalFormatting>
  <conditionalFormatting sqref="F41">
    <cfRule type="expression" dxfId="929" priority="144">
      <formula>$E$41="n/a"</formula>
    </cfRule>
  </conditionalFormatting>
  <conditionalFormatting sqref="F42">
    <cfRule type="expression" dxfId="928" priority="143">
      <formula>$E$42="n/a"</formula>
    </cfRule>
  </conditionalFormatting>
  <conditionalFormatting sqref="F43">
    <cfRule type="expression" dxfId="927" priority="142">
      <formula>$E$43="n/a"</formula>
    </cfRule>
  </conditionalFormatting>
  <conditionalFormatting sqref="F44">
    <cfRule type="expression" dxfId="926" priority="141">
      <formula>$E$44="n/a"</formula>
    </cfRule>
  </conditionalFormatting>
  <conditionalFormatting sqref="F45">
    <cfRule type="expression" dxfId="925" priority="140">
      <formula>$E$45="n/a"</formula>
    </cfRule>
  </conditionalFormatting>
  <conditionalFormatting sqref="F46">
    <cfRule type="expression" dxfId="924" priority="139">
      <formula>$E$46="n/a"</formula>
    </cfRule>
  </conditionalFormatting>
  <conditionalFormatting sqref="F82">
    <cfRule type="expression" dxfId="923" priority="137">
      <formula>$E$82="n/a"</formula>
    </cfRule>
  </conditionalFormatting>
  <conditionalFormatting sqref="F81">
    <cfRule type="expression" dxfId="922" priority="136">
      <formula>$E$81="n/a"</formula>
    </cfRule>
  </conditionalFormatting>
  <conditionalFormatting sqref="F80">
    <cfRule type="expression" dxfId="921" priority="135">
      <formula>$E$80="n/a"</formula>
    </cfRule>
  </conditionalFormatting>
  <conditionalFormatting sqref="F79">
    <cfRule type="expression" dxfId="920" priority="134">
      <formula>$E$79="n/a"</formula>
    </cfRule>
  </conditionalFormatting>
  <conditionalFormatting sqref="F78">
    <cfRule type="expression" dxfId="919" priority="133">
      <formula>$E$78="n/a"</formula>
    </cfRule>
  </conditionalFormatting>
  <conditionalFormatting sqref="F77">
    <cfRule type="expression" dxfId="918" priority="132">
      <formula>$E$77="n/a"</formula>
    </cfRule>
  </conditionalFormatting>
  <conditionalFormatting sqref="F76">
    <cfRule type="expression" dxfId="917" priority="131">
      <formula>$E$76="n/a"</formula>
    </cfRule>
  </conditionalFormatting>
  <conditionalFormatting sqref="F75">
    <cfRule type="expression" dxfId="916" priority="130">
      <formula>$E$75="n/a"</formula>
    </cfRule>
  </conditionalFormatting>
  <conditionalFormatting sqref="F74">
    <cfRule type="expression" dxfId="915" priority="129">
      <formula>$E$74="n/a"</formula>
    </cfRule>
  </conditionalFormatting>
  <conditionalFormatting sqref="F73">
    <cfRule type="expression" dxfId="914" priority="127">
      <formula>$E$73="n/a"</formula>
    </cfRule>
  </conditionalFormatting>
  <conditionalFormatting sqref="F72">
    <cfRule type="expression" dxfId="913" priority="103">
      <formula>$E$72="n/a"</formula>
    </cfRule>
  </conditionalFormatting>
  <conditionalFormatting sqref="F47">
    <cfRule type="expression" dxfId="912" priority="138">
      <formula>$E$47="n/a"</formula>
    </cfRule>
  </conditionalFormatting>
  <conditionalFormatting sqref="F48">
    <cfRule type="expression" dxfId="911" priority="128">
      <formula>$E$48="n/a"</formula>
    </cfRule>
  </conditionalFormatting>
  <conditionalFormatting sqref="F49">
    <cfRule type="expression" dxfId="910" priority="126">
      <formula>$E$49="n/a"</formula>
    </cfRule>
  </conditionalFormatting>
  <conditionalFormatting sqref="F50">
    <cfRule type="expression" dxfId="909" priority="125">
      <formula>$E$50="n/a"</formula>
    </cfRule>
  </conditionalFormatting>
  <conditionalFormatting sqref="F51">
    <cfRule type="expression" dxfId="908" priority="124">
      <formula>$E$51="n/a"</formula>
    </cfRule>
  </conditionalFormatting>
  <conditionalFormatting sqref="F52">
    <cfRule type="expression" dxfId="907" priority="123">
      <formula>$E$52="n/a"</formula>
    </cfRule>
  </conditionalFormatting>
  <conditionalFormatting sqref="F53">
    <cfRule type="expression" dxfId="906" priority="122">
      <formula>$E$53="n/a"</formula>
    </cfRule>
  </conditionalFormatting>
  <conditionalFormatting sqref="F54">
    <cfRule type="expression" dxfId="905" priority="121">
      <formula>$E$54="n/a"</formula>
    </cfRule>
  </conditionalFormatting>
  <conditionalFormatting sqref="F55">
    <cfRule type="expression" dxfId="904" priority="120">
      <formula>$E$55="n/a"</formula>
    </cfRule>
  </conditionalFormatting>
  <conditionalFormatting sqref="F56">
    <cfRule type="expression" dxfId="903" priority="119">
      <formula>$E$56="n/a"</formula>
    </cfRule>
  </conditionalFormatting>
  <conditionalFormatting sqref="F57">
    <cfRule type="expression" dxfId="902" priority="118">
      <formula>$E$57="n/a"</formula>
    </cfRule>
  </conditionalFormatting>
  <conditionalFormatting sqref="F58">
    <cfRule type="expression" dxfId="901" priority="117">
      <formula>$E$58="n/a"</formula>
    </cfRule>
  </conditionalFormatting>
  <conditionalFormatting sqref="F59">
    <cfRule type="expression" dxfId="900" priority="116">
      <formula>$E$59="n/a"</formula>
    </cfRule>
  </conditionalFormatting>
  <conditionalFormatting sqref="F60">
    <cfRule type="expression" dxfId="899" priority="115">
      <formula>$E$60="n/a"</formula>
    </cfRule>
  </conditionalFormatting>
  <conditionalFormatting sqref="F61">
    <cfRule type="expression" dxfId="898" priority="114">
      <formula>$E$61="n/a"</formula>
    </cfRule>
  </conditionalFormatting>
  <conditionalFormatting sqref="F62">
    <cfRule type="expression" dxfId="897" priority="113">
      <formula>$E$62="n/a"</formula>
    </cfRule>
  </conditionalFormatting>
  <conditionalFormatting sqref="F63">
    <cfRule type="expression" dxfId="896" priority="112">
      <formula>$E$63="n/a"</formula>
    </cfRule>
  </conditionalFormatting>
  <conditionalFormatting sqref="F64">
    <cfRule type="expression" dxfId="895" priority="111">
      <formula>$E$64="n/a"</formula>
    </cfRule>
  </conditionalFormatting>
  <conditionalFormatting sqref="F65">
    <cfRule type="expression" dxfId="894" priority="110">
      <formula>$E$65="n/a"</formula>
    </cfRule>
  </conditionalFormatting>
  <conditionalFormatting sqref="F66">
    <cfRule type="expression" dxfId="893" priority="109">
      <formula>$E$66="n/a"</formula>
    </cfRule>
  </conditionalFormatting>
  <conditionalFormatting sqref="F67">
    <cfRule type="expression" dxfId="892" priority="108">
      <formula>$E$67="n/a"</formula>
    </cfRule>
  </conditionalFormatting>
  <conditionalFormatting sqref="F68">
    <cfRule type="expression" dxfId="891" priority="107">
      <formula>$E$68="n/a"</formula>
    </cfRule>
  </conditionalFormatting>
  <conditionalFormatting sqref="F69">
    <cfRule type="expression" dxfId="890" priority="106">
      <formula>$E$69="n/a"</formula>
    </cfRule>
  </conditionalFormatting>
  <conditionalFormatting sqref="F70">
    <cfRule type="expression" dxfId="889" priority="105">
      <formula>$E$70="n/a"</formula>
    </cfRule>
  </conditionalFormatting>
  <conditionalFormatting sqref="F71">
    <cfRule type="expression" dxfId="888" priority="104">
      <formula>$E$71="n/a"</formula>
    </cfRule>
  </conditionalFormatting>
  <conditionalFormatting sqref="I7">
    <cfRule type="expression" dxfId="887" priority="101">
      <formula>$B$7="v"</formula>
    </cfRule>
  </conditionalFormatting>
  <conditionalFormatting sqref="I8">
    <cfRule type="expression" dxfId="886" priority="100">
      <formula>$B$8="v"</formula>
    </cfRule>
  </conditionalFormatting>
  <conditionalFormatting sqref="I9">
    <cfRule type="expression" dxfId="885" priority="99">
      <formula>$B$9="v"</formula>
    </cfRule>
  </conditionalFormatting>
  <conditionalFormatting sqref="I10">
    <cfRule type="expression" dxfId="884" priority="98">
      <formula>$B$10="v"</formula>
    </cfRule>
  </conditionalFormatting>
  <conditionalFormatting sqref="I11">
    <cfRule type="expression" dxfId="883" priority="97">
      <formula>$B$11="v"</formula>
    </cfRule>
  </conditionalFormatting>
  <conditionalFormatting sqref="I12">
    <cfRule type="expression" dxfId="882" priority="96">
      <formula>$B$12="v"</formula>
    </cfRule>
  </conditionalFormatting>
  <conditionalFormatting sqref="I13">
    <cfRule type="expression" dxfId="881" priority="95">
      <formula>$B$13="v"</formula>
    </cfRule>
  </conditionalFormatting>
  <conditionalFormatting sqref="I14">
    <cfRule type="expression" dxfId="880" priority="94">
      <formula>$B$14="v"</formula>
    </cfRule>
  </conditionalFormatting>
  <conditionalFormatting sqref="I15">
    <cfRule type="expression" dxfId="879" priority="93">
      <formula>$B$15="v"</formula>
    </cfRule>
  </conditionalFormatting>
  <conditionalFormatting sqref="I16">
    <cfRule type="expression" dxfId="878" priority="92">
      <formula>$B$16="v"</formula>
    </cfRule>
  </conditionalFormatting>
  <conditionalFormatting sqref="I17">
    <cfRule type="expression" dxfId="877" priority="91">
      <formula>$B$17="v"</formula>
    </cfRule>
  </conditionalFormatting>
  <conditionalFormatting sqref="I18">
    <cfRule type="expression" dxfId="876" priority="90">
      <formula>$B$18="v"</formula>
    </cfRule>
  </conditionalFormatting>
  <conditionalFormatting sqref="I19">
    <cfRule type="expression" dxfId="875" priority="89">
      <formula>$B$19="v"</formula>
    </cfRule>
  </conditionalFormatting>
  <conditionalFormatting sqref="I20">
    <cfRule type="expression" dxfId="874" priority="88">
      <formula>$B$20="v"</formula>
    </cfRule>
  </conditionalFormatting>
  <conditionalFormatting sqref="I21">
    <cfRule type="expression" dxfId="873" priority="87">
      <formula>$B$21="v"</formula>
    </cfRule>
  </conditionalFormatting>
  <conditionalFormatting sqref="I22">
    <cfRule type="expression" dxfId="872" priority="86">
      <formula>$B$22="v"</formula>
    </cfRule>
  </conditionalFormatting>
  <conditionalFormatting sqref="I23">
    <cfRule type="expression" dxfId="871" priority="85">
      <formula>$B$23="v"</formula>
    </cfRule>
  </conditionalFormatting>
  <conditionalFormatting sqref="I24">
    <cfRule type="expression" dxfId="870" priority="84">
      <formula>$B$24="v"</formula>
    </cfRule>
  </conditionalFormatting>
  <conditionalFormatting sqref="I25">
    <cfRule type="expression" dxfId="869" priority="83">
      <formula>$B$25="v"</formula>
    </cfRule>
  </conditionalFormatting>
  <conditionalFormatting sqref="I26">
    <cfRule type="expression" dxfId="868" priority="82">
      <formula>$B$26="v"</formula>
    </cfRule>
  </conditionalFormatting>
  <conditionalFormatting sqref="I27">
    <cfRule type="expression" dxfId="867" priority="81">
      <formula>$B$27="v"</formula>
    </cfRule>
  </conditionalFormatting>
  <conditionalFormatting sqref="I28">
    <cfRule type="expression" dxfId="866" priority="80">
      <formula>$B$28="v"</formula>
    </cfRule>
  </conditionalFormatting>
  <conditionalFormatting sqref="I29">
    <cfRule type="expression" dxfId="865" priority="79">
      <formula>$B$29="v"</formula>
    </cfRule>
  </conditionalFormatting>
  <conditionalFormatting sqref="I30">
    <cfRule type="expression" dxfId="864" priority="78">
      <formula>$B$30="v"</formula>
    </cfRule>
  </conditionalFormatting>
  <conditionalFormatting sqref="I31">
    <cfRule type="expression" dxfId="863" priority="77">
      <formula>$B$31="v"</formula>
    </cfRule>
  </conditionalFormatting>
  <conditionalFormatting sqref="I32">
    <cfRule type="expression" dxfId="862" priority="76">
      <formula>$B$32="v"</formula>
    </cfRule>
  </conditionalFormatting>
  <conditionalFormatting sqref="I33">
    <cfRule type="expression" dxfId="861" priority="75">
      <formula>$B$33="v"</formula>
    </cfRule>
  </conditionalFormatting>
  <conditionalFormatting sqref="I34">
    <cfRule type="expression" dxfId="860" priority="74">
      <formula>$B$34="v"</formula>
    </cfRule>
  </conditionalFormatting>
  <conditionalFormatting sqref="I35">
    <cfRule type="expression" dxfId="859" priority="73">
      <formula>$B$35="v"</formula>
    </cfRule>
  </conditionalFormatting>
  <conditionalFormatting sqref="I36">
    <cfRule type="expression" dxfId="858" priority="72">
      <formula>$B$36="v"</formula>
    </cfRule>
  </conditionalFormatting>
  <conditionalFormatting sqref="I37">
    <cfRule type="expression" dxfId="857" priority="71">
      <formula>$B$37="v"</formula>
    </cfRule>
  </conditionalFormatting>
  <conditionalFormatting sqref="I38">
    <cfRule type="expression" dxfId="856" priority="70">
      <formula>$B$38="v"</formula>
    </cfRule>
  </conditionalFormatting>
  <conditionalFormatting sqref="I39">
    <cfRule type="expression" dxfId="855" priority="69">
      <formula>$B$39="v"</formula>
    </cfRule>
  </conditionalFormatting>
  <conditionalFormatting sqref="I40">
    <cfRule type="expression" dxfId="854" priority="68">
      <formula>$B$40="v"</formula>
    </cfRule>
  </conditionalFormatting>
  <conditionalFormatting sqref="I41">
    <cfRule type="expression" dxfId="853" priority="67">
      <formula>$B$41="v"</formula>
    </cfRule>
  </conditionalFormatting>
  <conditionalFormatting sqref="I42">
    <cfRule type="expression" dxfId="852" priority="66">
      <formula>$B$42="v"</formula>
    </cfRule>
  </conditionalFormatting>
  <conditionalFormatting sqref="I43">
    <cfRule type="expression" dxfId="851" priority="65">
      <formula>$B$43="v"</formula>
    </cfRule>
  </conditionalFormatting>
  <conditionalFormatting sqref="I44">
    <cfRule type="expression" dxfId="850" priority="64">
      <formula>$B$44="v"</formula>
    </cfRule>
  </conditionalFormatting>
  <conditionalFormatting sqref="I45">
    <cfRule type="expression" dxfId="849" priority="63">
      <formula>$B$45="v"</formula>
    </cfRule>
  </conditionalFormatting>
  <conditionalFormatting sqref="I46">
    <cfRule type="expression" dxfId="848" priority="62">
      <formula>$B$46="v"</formula>
    </cfRule>
  </conditionalFormatting>
  <conditionalFormatting sqref="I47">
    <cfRule type="expression" dxfId="847" priority="61">
      <formula>$B$47="v"</formula>
    </cfRule>
  </conditionalFormatting>
  <conditionalFormatting sqref="I48">
    <cfRule type="expression" dxfId="846" priority="60">
      <formula>$B$48="v"</formula>
    </cfRule>
  </conditionalFormatting>
  <conditionalFormatting sqref="I49">
    <cfRule type="expression" dxfId="845" priority="59">
      <formula>$B$49="v"</formula>
    </cfRule>
  </conditionalFormatting>
  <conditionalFormatting sqref="I50">
    <cfRule type="expression" dxfId="844" priority="58">
      <formula>$B$50="v"</formula>
    </cfRule>
  </conditionalFormatting>
  <conditionalFormatting sqref="I51">
    <cfRule type="expression" dxfId="843" priority="57">
      <formula>$B$51="v"</formula>
    </cfRule>
  </conditionalFormatting>
  <conditionalFormatting sqref="I52">
    <cfRule type="expression" dxfId="842" priority="56">
      <formula>$B$52="v"</formula>
    </cfRule>
  </conditionalFormatting>
  <conditionalFormatting sqref="I53">
    <cfRule type="expression" dxfId="841" priority="55">
      <formula>$B$53="v"</formula>
    </cfRule>
  </conditionalFormatting>
  <conditionalFormatting sqref="I54">
    <cfRule type="expression" dxfId="840" priority="54">
      <formula>$B$54="v"</formula>
    </cfRule>
  </conditionalFormatting>
  <conditionalFormatting sqref="I55">
    <cfRule type="expression" dxfId="839" priority="53">
      <formula>$B$55="v"</formula>
    </cfRule>
  </conditionalFormatting>
  <conditionalFormatting sqref="I56">
    <cfRule type="expression" dxfId="838" priority="52">
      <formula>$B$56="v"</formula>
    </cfRule>
  </conditionalFormatting>
  <conditionalFormatting sqref="I57">
    <cfRule type="expression" dxfId="837" priority="51">
      <formula>$B$57="v"</formula>
    </cfRule>
  </conditionalFormatting>
  <conditionalFormatting sqref="I58">
    <cfRule type="expression" dxfId="836" priority="50">
      <formula>$B$58="v"</formula>
    </cfRule>
  </conditionalFormatting>
  <conditionalFormatting sqref="I59">
    <cfRule type="expression" dxfId="835" priority="49">
      <formula>$B$59="v"</formula>
    </cfRule>
  </conditionalFormatting>
  <conditionalFormatting sqref="I60">
    <cfRule type="expression" dxfId="834" priority="48">
      <formula>$B$60="v"</formula>
    </cfRule>
  </conditionalFormatting>
  <conditionalFormatting sqref="I61">
    <cfRule type="expression" dxfId="833" priority="47">
      <formula>$B$61="v"</formula>
    </cfRule>
  </conditionalFormatting>
  <conditionalFormatting sqref="I62">
    <cfRule type="expression" dxfId="832" priority="46">
      <formula>$B$62="v"</formula>
    </cfRule>
  </conditionalFormatting>
  <conditionalFormatting sqref="I63">
    <cfRule type="expression" dxfId="831" priority="45">
      <formula>$B$63="v"</formula>
    </cfRule>
  </conditionalFormatting>
  <conditionalFormatting sqref="I64">
    <cfRule type="expression" dxfId="830" priority="44">
      <formula>$B$64="v"</formula>
    </cfRule>
  </conditionalFormatting>
  <conditionalFormatting sqref="I65">
    <cfRule type="expression" dxfId="829" priority="43">
      <formula>$B$65="v"</formula>
    </cfRule>
  </conditionalFormatting>
  <conditionalFormatting sqref="I66">
    <cfRule type="expression" dxfId="828" priority="42">
      <formula>$B$66="v"</formula>
    </cfRule>
  </conditionalFormatting>
  <conditionalFormatting sqref="I67">
    <cfRule type="expression" dxfId="827" priority="41">
      <formula>$B$67="v"</formula>
    </cfRule>
  </conditionalFormatting>
  <conditionalFormatting sqref="I68">
    <cfRule type="expression" dxfId="826" priority="40">
      <formula>$B$68="v"</formula>
    </cfRule>
  </conditionalFormatting>
  <conditionalFormatting sqref="I69">
    <cfRule type="expression" dxfId="825" priority="39">
      <formula>$B$69="v"</formula>
    </cfRule>
  </conditionalFormatting>
  <conditionalFormatting sqref="I70">
    <cfRule type="expression" dxfId="824" priority="38">
      <formula>$B$70="v"</formula>
    </cfRule>
  </conditionalFormatting>
  <conditionalFormatting sqref="I71">
    <cfRule type="expression" dxfId="823" priority="37">
      <formula>$B$71="v"</formula>
    </cfRule>
  </conditionalFormatting>
  <conditionalFormatting sqref="I72">
    <cfRule type="expression" dxfId="822" priority="36">
      <formula>$B$72="v"</formula>
    </cfRule>
  </conditionalFormatting>
  <conditionalFormatting sqref="I73">
    <cfRule type="expression" dxfId="821" priority="35">
      <formula>$B$73="v"</formula>
    </cfRule>
  </conditionalFormatting>
  <conditionalFormatting sqref="I74">
    <cfRule type="expression" dxfId="820" priority="34">
      <formula>$B$74="v"</formula>
    </cfRule>
  </conditionalFormatting>
  <conditionalFormatting sqref="I75">
    <cfRule type="expression" dxfId="819" priority="33">
      <formula>$B$75="v"</formula>
    </cfRule>
  </conditionalFormatting>
  <conditionalFormatting sqref="I76">
    <cfRule type="expression" dxfId="818" priority="32">
      <formula>$B$76="v"</formula>
    </cfRule>
  </conditionalFormatting>
  <conditionalFormatting sqref="I77">
    <cfRule type="expression" dxfId="817" priority="31">
      <formula>$B$77="v"</formula>
    </cfRule>
  </conditionalFormatting>
  <conditionalFormatting sqref="I78">
    <cfRule type="expression" dxfId="816" priority="30">
      <formula>$B$78="v"</formula>
    </cfRule>
  </conditionalFormatting>
  <conditionalFormatting sqref="I79">
    <cfRule type="expression" dxfId="815" priority="29">
      <formula>$B$79="v"</formula>
    </cfRule>
  </conditionalFormatting>
  <conditionalFormatting sqref="I80">
    <cfRule type="expression" dxfId="814" priority="28">
      <formula>$B$80="v"</formula>
    </cfRule>
  </conditionalFormatting>
  <conditionalFormatting sqref="I81">
    <cfRule type="expression" dxfId="813" priority="27">
      <formula>$B$81="v"</formula>
    </cfRule>
  </conditionalFormatting>
  <conditionalFormatting sqref="I82">
    <cfRule type="expression" dxfId="812" priority="26">
      <formula>$B$82="v"</formula>
    </cfRule>
  </conditionalFormatting>
  <conditionalFormatting sqref="L5:N6">
    <cfRule type="expression" dxfId="811" priority="191">
      <formula>$K$4=1</formula>
    </cfRule>
  </conditionalFormatting>
  <conditionalFormatting sqref="L7:N82">
    <cfRule type="expression" dxfId="810" priority="193">
      <formula>$K$4=1</formula>
    </cfRule>
  </conditionalFormatting>
  <conditionalFormatting sqref="M4:N4">
    <cfRule type="expression" dxfId="809" priority="17" stopIfTrue="1">
      <formula>$K$4=1</formula>
    </cfRule>
  </conditionalFormatting>
  <conditionalFormatting sqref="L7:N82">
    <cfRule type="expression" dxfId="808" priority="183">
      <formula>$K$4=""</formula>
    </cfRule>
  </conditionalFormatting>
  <conditionalFormatting sqref="P5:R6">
    <cfRule type="expression" dxfId="807" priority="194">
      <formula>$O$4=1</formula>
    </cfRule>
  </conditionalFormatting>
  <conditionalFormatting sqref="P7:R82">
    <cfRule type="expression" dxfId="806" priority="197">
      <formula>$O$4=1</formula>
    </cfRule>
  </conditionalFormatting>
  <conditionalFormatting sqref="Q4:R4">
    <cfRule type="expression" dxfId="805" priority="196">
      <formula>$O$4=1</formula>
    </cfRule>
  </conditionalFormatting>
  <conditionalFormatting sqref="P7:R82">
    <cfRule type="expression" dxfId="804" priority="181">
      <formula>$O$4=""</formula>
    </cfRule>
  </conditionalFormatting>
  <conditionalFormatting sqref="T5:V6">
    <cfRule type="expression" dxfId="803" priority="198">
      <formula>$S$4=1</formula>
    </cfRule>
  </conditionalFormatting>
  <conditionalFormatting sqref="T7:V82">
    <cfRule type="expression" dxfId="802" priority="243">
      <formula>$S$4=1</formula>
    </cfRule>
  </conditionalFormatting>
  <conditionalFormatting sqref="U4:V4">
    <cfRule type="expression" dxfId="801" priority="200">
      <formula>$S$4=1</formula>
    </cfRule>
  </conditionalFormatting>
  <conditionalFormatting sqref="T7:V82">
    <cfRule type="expression" dxfId="800" priority="179">
      <formula>$S$4=""</formula>
    </cfRule>
  </conditionalFormatting>
  <conditionalFormatting sqref="X5:Z6">
    <cfRule type="expression" dxfId="799" priority="202">
      <formula>$W$4=1</formula>
    </cfRule>
  </conditionalFormatting>
  <conditionalFormatting sqref="X7:Z82">
    <cfRule type="expression" dxfId="798" priority="240">
      <formula>$W$4=1</formula>
    </cfRule>
  </conditionalFormatting>
  <conditionalFormatting sqref="Y4:Z4">
    <cfRule type="expression" dxfId="797" priority="204">
      <formula>$W$4=1</formula>
    </cfRule>
  </conditionalFormatting>
  <conditionalFormatting sqref="X7:Z82">
    <cfRule type="expression" dxfId="796" priority="180">
      <formula>$W$4=""</formula>
    </cfRule>
  </conditionalFormatting>
  <conditionalFormatting sqref="AB5:AD6">
    <cfRule type="expression" dxfId="795" priority="206">
      <formula>$AA$4=1</formula>
    </cfRule>
  </conditionalFormatting>
  <conditionalFormatting sqref="AB7:AD82">
    <cfRule type="expression" dxfId="794" priority="209">
      <formula>$AA$4=1</formula>
    </cfRule>
  </conditionalFormatting>
  <conditionalFormatting sqref="AC4:AD4">
    <cfRule type="expression" dxfId="793" priority="208">
      <formula>$AA$4=1</formula>
    </cfRule>
  </conditionalFormatting>
  <conditionalFormatting sqref="AB7:AD82">
    <cfRule type="expression" dxfId="792" priority="199">
      <formula>$AA$4=""</formula>
    </cfRule>
  </conditionalFormatting>
  <conditionalFormatting sqref="AF5:AH6">
    <cfRule type="expression" dxfId="791" priority="210">
      <formula>$AE$4=1</formula>
    </cfRule>
  </conditionalFormatting>
  <conditionalFormatting sqref="AF7:AH82">
    <cfRule type="expression" dxfId="790" priority="213">
      <formula>$AE$4=1</formula>
    </cfRule>
  </conditionalFormatting>
  <conditionalFormatting sqref="AG4:AH4">
    <cfRule type="expression" dxfId="789" priority="212">
      <formula>$AE$4=1</formula>
    </cfRule>
  </conditionalFormatting>
  <conditionalFormatting sqref="AF7:AH82">
    <cfRule type="expression" dxfId="788" priority="201">
      <formula>$AE$4=""</formula>
    </cfRule>
  </conditionalFormatting>
  <conditionalFormatting sqref="AJ7:AL82">
    <cfRule type="expression" dxfId="787" priority="217">
      <formula>$AI$4=1</formula>
    </cfRule>
  </conditionalFormatting>
  <conditionalFormatting sqref="AK4:AL4">
    <cfRule type="expression" dxfId="786" priority="215">
      <formula>$AI$4=1</formula>
    </cfRule>
  </conditionalFormatting>
  <conditionalFormatting sqref="AJ5:AL6">
    <cfRule type="expression" dxfId="785" priority="216">
      <formula>$AI$4=1</formula>
    </cfRule>
  </conditionalFormatting>
  <conditionalFormatting sqref="AJ7:AL82">
    <cfRule type="expression" dxfId="784" priority="203">
      <formula>$AI$4=""</formula>
    </cfRule>
  </conditionalFormatting>
  <conditionalFormatting sqref="AN7:AP82">
    <cfRule type="expression" dxfId="783" priority="221">
      <formula>$AM$4=1</formula>
    </cfRule>
  </conditionalFormatting>
  <conditionalFormatting sqref="AO4:AP4 AS4:AT4">
    <cfRule type="expression" dxfId="782" priority="219">
      <formula>AQ$4=1</formula>
    </cfRule>
  </conditionalFormatting>
  <conditionalFormatting sqref="AN5:AP6">
    <cfRule type="expression" dxfId="781" priority="220">
      <formula>$AM$4=1</formula>
    </cfRule>
  </conditionalFormatting>
  <conditionalFormatting sqref="AN7:AP82">
    <cfRule type="expression" dxfId="780" priority="205">
      <formula>$AM$4=""</formula>
    </cfRule>
  </conditionalFormatting>
  <conditionalFormatting sqref="AR7:AT82">
    <cfRule type="expression" dxfId="779" priority="224">
      <formula>$AQ$4=1</formula>
    </cfRule>
  </conditionalFormatting>
  <conditionalFormatting sqref="AR5:AT6">
    <cfRule type="expression" dxfId="778" priority="223">
      <formula>$AQ$4=1</formula>
    </cfRule>
  </conditionalFormatting>
  <conditionalFormatting sqref="AR7:AT82">
    <cfRule type="expression" dxfId="777" priority="207">
      <formula>$AQ$4=""</formula>
    </cfRule>
  </conditionalFormatting>
  <conditionalFormatting sqref="AV7:AX82">
    <cfRule type="expression" dxfId="776" priority="227">
      <formula>$AU$4=1</formula>
    </cfRule>
  </conditionalFormatting>
  <conditionalFormatting sqref="AV5:AX6">
    <cfRule type="expression" dxfId="775" priority="226">
      <formula>$AU$4=1</formula>
    </cfRule>
  </conditionalFormatting>
  <conditionalFormatting sqref="AV7:AX82">
    <cfRule type="expression" dxfId="774" priority="178">
      <formula>$AU$4=""</formula>
    </cfRule>
  </conditionalFormatting>
  <conditionalFormatting sqref="AZ7:BB82">
    <cfRule type="expression" dxfId="773" priority="230">
      <formula>$AY$4=1</formula>
    </cfRule>
  </conditionalFormatting>
  <conditionalFormatting sqref="AZ5:BB6">
    <cfRule type="expression" dxfId="772" priority="229">
      <formula>$AY$4=1</formula>
    </cfRule>
  </conditionalFormatting>
  <conditionalFormatting sqref="AZ7:BB82">
    <cfRule type="expression" dxfId="771" priority="211">
      <formula>$AY$4=""</formula>
    </cfRule>
  </conditionalFormatting>
  <conditionalFormatting sqref="BD7:BF82">
    <cfRule type="expression" dxfId="770" priority="233">
      <formula>$BC$4=1</formula>
    </cfRule>
  </conditionalFormatting>
  <conditionalFormatting sqref="BD5:BF6">
    <cfRule type="expression" dxfId="769" priority="232">
      <formula>$BC$4=1</formula>
    </cfRule>
  </conditionalFormatting>
  <conditionalFormatting sqref="BD7:BF82">
    <cfRule type="expression" dxfId="768" priority="214">
      <formula>$BC$4=""</formula>
    </cfRule>
  </conditionalFormatting>
  <conditionalFormatting sqref="BH7:BJ82">
    <cfRule type="expression" dxfId="767" priority="236">
      <formula>$BG$4=1</formula>
    </cfRule>
  </conditionalFormatting>
  <conditionalFormatting sqref="BH5:BJ6">
    <cfRule type="expression" dxfId="766" priority="235">
      <formula>$BG$4=1</formula>
    </cfRule>
  </conditionalFormatting>
  <conditionalFormatting sqref="BH7:BJ82">
    <cfRule type="expression" dxfId="765" priority="218">
      <formula>$BG$4=""</formula>
    </cfRule>
  </conditionalFormatting>
  <conditionalFormatting sqref="BL7:BN82">
    <cfRule type="expression" dxfId="764" priority="239">
      <formula>$BK$4=1</formula>
    </cfRule>
  </conditionalFormatting>
  <conditionalFormatting sqref="BL5:BN6">
    <cfRule type="expression" dxfId="763" priority="238">
      <formula>$BK$4=1</formula>
    </cfRule>
  </conditionalFormatting>
  <conditionalFormatting sqref="BL7:BN82">
    <cfRule type="expression" dxfId="762" priority="222">
      <formula>$BK$4=""</formula>
    </cfRule>
  </conditionalFormatting>
  <conditionalFormatting sqref="BP7:BR82">
    <cfRule type="expression" dxfId="761" priority="242">
      <formula>$BO$4=1</formula>
    </cfRule>
  </conditionalFormatting>
  <conditionalFormatting sqref="BP5:BR6">
    <cfRule type="expression" dxfId="760" priority="241">
      <formula>$BO$4=1</formula>
    </cfRule>
  </conditionalFormatting>
  <conditionalFormatting sqref="BP7:BR82">
    <cfRule type="expression" dxfId="759" priority="228">
      <formula>$BO$4=""</formula>
    </cfRule>
  </conditionalFormatting>
  <conditionalFormatting sqref="BT7:BV82">
    <cfRule type="expression" dxfId="758" priority="245">
      <formula>$BS$4=1</formula>
    </cfRule>
  </conditionalFormatting>
  <conditionalFormatting sqref="BT5:BV6">
    <cfRule type="expression" dxfId="757" priority="244">
      <formula>$BS$4=1</formula>
    </cfRule>
  </conditionalFormatting>
  <conditionalFormatting sqref="BT7:BV82">
    <cfRule type="expression" dxfId="756" priority="231">
      <formula>$BS$4=""</formula>
    </cfRule>
  </conditionalFormatting>
  <conditionalFormatting sqref="AW4:AX4">
    <cfRule type="expression" dxfId="755" priority="25">
      <formula>AU$4=1</formula>
    </cfRule>
  </conditionalFormatting>
  <conditionalFormatting sqref="BA4:BB4">
    <cfRule type="expression" dxfId="754" priority="24">
      <formula>AY$4=1</formula>
    </cfRule>
  </conditionalFormatting>
  <conditionalFormatting sqref="BE4:BF4">
    <cfRule type="expression" dxfId="753" priority="23">
      <formula>BC$4=1</formula>
    </cfRule>
  </conditionalFormatting>
  <conditionalFormatting sqref="BI4:BJ4">
    <cfRule type="expression" dxfId="752" priority="22">
      <formula>BG$4=1</formula>
    </cfRule>
  </conditionalFormatting>
  <conditionalFormatting sqref="BM4:BN4">
    <cfRule type="expression" dxfId="751" priority="21">
      <formula>BK$4=1</formula>
    </cfRule>
  </conditionalFormatting>
  <conditionalFormatting sqref="BQ4:BR4">
    <cfRule type="expression" dxfId="750" priority="20">
      <formula>BO$4=1</formula>
    </cfRule>
  </conditionalFormatting>
  <conditionalFormatting sqref="BU4:BV4">
    <cfRule type="expression" dxfId="749" priority="19">
      <formula>BS$4=1</formula>
    </cfRule>
  </conditionalFormatting>
  <conditionalFormatting sqref="E4">
    <cfRule type="expression" dxfId="748" priority="18">
      <formula>$F$4=""</formula>
    </cfRule>
  </conditionalFormatting>
  <conditionalFormatting sqref="L4">
    <cfRule type="expression" dxfId="747" priority="16">
      <formula>$K$4=1</formula>
    </cfRule>
  </conditionalFormatting>
  <conditionalFormatting sqref="P4">
    <cfRule type="expression" dxfId="746" priority="15">
      <formula>$O$4=1</formula>
    </cfRule>
  </conditionalFormatting>
  <conditionalFormatting sqref="T4">
    <cfRule type="expression" dxfId="745" priority="14">
      <formula>$S$4=1</formula>
    </cfRule>
  </conditionalFormatting>
  <conditionalFormatting sqref="X4">
    <cfRule type="expression" dxfId="744" priority="13">
      <formula>W4=1</formula>
    </cfRule>
  </conditionalFormatting>
  <conditionalFormatting sqref="AB4">
    <cfRule type="expression" dxfId="743" priority="12">
      <formula>AA4=1</formula>
    </cfRule>
  </conditionalFormatting>
  <conditionalFormatting sqref="AF4">
    <cfRule type="expression" dxfId="742" priority="11">
      <formula>AE4=1</formula>
    </cfRule>
  </conditionalFormatting>
  <conditionalFormatting sqref="AJ4">
    <cfRule type="expression" dxfId="741" priority="10">
      <formula>AI4=1</formula>
    </cfRule>
  </conditionalFormatting>
  <conditionalFormatting sqref="AN4">
    <cfRule type="expression" dxfId="740" priority="9">
      <formula>AM4=1</formula>
    </cfRule>
  </conditionalFormatting>
  <conditionalFormatting sqref="AR4">
    <cfRule type="expression" dxfId="739" priority="8">
      <formula>AQ4=1</formula>
    </cfRule>
  </conditionalFormatting>
  <conditionalFormatting sqref="AV4">
    <cfRule type="expression" dxfId="738" priority="7">
      <formula>AU4=1</formula>
    </cfRule>
  </conditionalFormatting>
  <conditionalFormatting sqref="AZ4">
    <cfRule type="expression" dxfId="737" priority="6">
      <formula>AY4=1</formula>
    </cfRule>
  </conditionalFormatting>
  <conditionalFormatting sqref="BD4">
    <cfRule type="expression" dxfId="736" priority="5">
      <formula>BC4=1</formula>
    </cfRule>
  </conditionalFormatting>
  <conditionalFormatting sqref="BH4">
    <cfRule type="expression" dxfId="735" priority="4">
      <formula>BG4=1</formula>
    </cfRule>
  </conditionalFormatting>
  <conditionalFormatting sqref="BL4">
    <cfRule type="expression" dxfId="734" priority="3">
      <formula>BK4=1</formula>
    </cfRule>
  </conditionalFormatting>
  <conditionalFormatting sqref="BP4">
    <cfRule type="expression" dxfId="733" priority="2">
      <formula>BO4=1</formula>
    </cfRule>
  </conditionalFormatting>
  <conditionalFormatting sqref="BT4">
    <cfRule type="expression" dxfId="732" priority="1">
      <formula>BS4=1</formula>
    </cfRule>
  </conditionalFormatting>
  <dataValidations count="3">
    <dataValidation type="list" allowBlank="1" showInputMessage="1" showErrorMessage="1" sqref="BP7:BP82 AV7:AV82 BL7:BL82 BT7:BT82 BH7:BH82 BD7:BD82 AZ7:AZ82" xr:uid="{259449DE-C269-4CE1-8A50-D25497914EE2}">
      <formula1>"&lt;, &lt;=, &gt;, &gt;=, ="</formula1>
    </dataValidation>
    <dataValidation type="list" allowBlank="1" showInputMessage="1" showErrorMessage="1" sqref="B7:B82" xr:uid="{563F7858-122B-46F2-A29C-FC48070F00B0}">
      <formula1>"v"</formula1>
    </dataValidation>
    <dataValidation type="list" allowBlank="1" showInputMessage="1" showErrorMessage="1" sqref="F2" xr:uid="{78CAF8A2-69BD-4BD8-8E5D-B6EF672BFD3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A595884-7099-4FDA-8C09-5ACD649498B4}">
          <x14:formula1>
            <xm:f>Sheet3!$A$2:$A$49</xm:f>
          </x14:formula1>
          <xm:sqref>F3</xm:sqref>
        </x14:dataValidation>
        <x14:dataValidation type="list" allowBlank="1" showInputMessage="1" xr:uid="{98464E1F-4B53-435E-82C3-244F407862FE}">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6BA05-910B-4BAE-9D33-E64CB3126C8E}">
  <sheetPr codeName="Sheet11">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690</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731" priority="188">
      <formula>$F$1=1</formula>
    </cfRule>
    <cfRule type="expression" priority="189">
      <formula>$F$1</formula>
    </cfRule>
  </conditionalFormatting>
  <conditionalFormatting sqref="J4">
    <cfRule type="expression" dxfId="730" priority="190">
      <formula>$F$1=1</formula>
    </cfRule>
  </conditionalFormatting>
  <conditionalFormatting sqref="C7:G82">
    <cfRule type="expression" dxfId="729" priority="102">
      <formula>$B7="v"</formula>
    </cfRule>
  </conditionalFormatting>
  <conditionalFormatting sqref="H7:H82">
    <cfRule type="expression" dxfId="728" priority="186">
      <formula>$B7="v"</formula>
    </cfRule>
  </conditionalFormatting>
  <conditionalFormatting sqref="N7:N82">
    <cfRule type="expression" dxfId="727" priority="185">
      <formula>$B7="v"</formula>
    </cfRule>
  </conditionalFormatting>
  <conditionalFormatting sqref="M7:M82">
    <cfRule type="expression" dxfId="726" priority="184">
      <formula>$B7="v"</formula>
    </cfRule>
  </conditionalFormatting>
  <conditionalFormatting sqref="L7:L82">
    <cfRule type="expression" dxfId="725" priority="192">
      <formula>$B7="v"</formula>
    </cfRule>
  </conditionalFormatting>
  <conditionalFormatting sqref="P7:Q82">
    <cfRule type="expression" dxfId="724" priority="195">
      <formula>$B7="v"</formula>
    </cfRule>
  </conditionalFormatting>
  <conditionalFormatting sqref="R7:R82">
    <cfRule type="expression" dxfId="723" priority="182">
      <formula>$B7="v"</formula>
    </cfRule>
  </conditionalFormatting>
  <conditionalFormatting sqref="Z7:Z82 V7:V82 AL7:AL82 AH7:AH82 AD7:AD82 AX7:AX82 AT7:AT82 AP7:AP82 BJ7:BJ82 BF7:BF82 BB7:BB82 BV7:BV82 BR7:BR82 BN7:BN82">
    <cfRule type="expression" dxfId="722" priority="234">
      <formula>$B7="v"</formula>
    </cfRule>
  </conditionalFormatting>
  <conditionalFormatting sqref="X7:Y82 T7:U82 AJ7:AK82 AF7:AG82 AB7:AC82 AR7:AS82 AN7:AO82 BH7:BI82 BD7:BE82 AZ7:BA82 BT7:BU82 BP7:BQ82 BL7:BM82">
    <cfRule type="expression" dxfId="721" priority="237">
      <formula>$B7="v"</formula>
    </cfRule>
  </conditionalFormatting>
  <conditionalFormatting sqref="AV7:AW82">
    <cfRule type="expression" dxfId="720" priority="225">
      <formula>$B7="v"</formula>
    </cfRule>
  </conditionalFormatting>
  <conditionalFormatting sqref="F25">
    <cfRule type="expression" dxfId="719" priority="177">
      <formula>$E$25="n/a"</formula>
    </cfRule>
  </conditionalFormatting>
  <conditionalFormatting sqref="F7">
    <cfRule type="expression" dxfId="718" priority="176">
      <formula>$E$7="n/a"</formula>
    </cfRule>
  </conditionalFormatting>
  <conditionalFormatting sqref="F8">
    <cfRule type="expression" dxfId="717" priority="187">
      <formula>$E$8="n/a"</formula>
    </cfRule>
  </conditionalFormatting>
  <conditionalFormatting sqref="F9">
    <cfRule type="expression" dxfId="716" priority="175">
      <formula>$E$9="n/a"</formula>
    </cfRule>
  </conditionalFormatting>
  <conditionalFormatting sqref="F10">
    <cfRule type="expression" dxfId="715" priority="174">
      <formula>$E$10="n/a"</formula>
    </cfRule>
  </conditionalFormatting>
  <conditionalFormatting sqref="F11">
    <cfRule type="expression" dxfId="714" priority="173">
      <formula>$E$11="n/a"</formula>
    </cfRule>
  </conditionalFormatting>
  <conditionalFormatting sqref="F12">
    <cfRule type="expression" dxfId="713" priority="172">
      <formula>$E$12="n/a"</formula>
    </cfRule>
  </conditionalFormatting>
  <conditionalFormatting sqref="F13">
    <cfRule type="expression" dxfId="712" priority="171">
      <formula>$E$13="n/a"</formula>
    </cfRule>
  </conditionalFormatting>
  <conditionalFormatting sqref="F14">
    <cfRule type="expression" dxfId="711" priority="170">
      <formula>$E$14="n/a"</formula>
    </cfRule>
  </conditionalFormatting>
  <conditionalFormatting sqref="F15">
    <cfRule type="expression" dxfId="710" priority="169">
      <formula>$E$15="n/a"</formula>
    </cfRule>
  </conditionalFormatting>
  <conditionalFormatting sqref="F16">
    <cfRule type="expression" dxfId="709" priority="168">
      <formula>$E$16="n/a"</formula>
    </cfRule>
  </conditionalFormatting>
  <conditionalFormatting sqref="F17">
    <cfRule type="expression" dxfId="708" priority="167">
      <formula>$E$17="n/a"</formula>
    </cfRule>
  </conditionalFormatting>
  <conditionalFormatting sqref="F18">
    <cfRule type="expression" dxfId="707" priority="166">
      <formula>$E$18="n/a"</formula>
    </cfRule>
  </conditionalFormatting>
  <conditionalFormatting sqref="F19">
    <cfRule type="expression" dxfId="706" priority="165">
      <formula>$E$19="n/a"</formula>
    </cfRule>
  </conditionalFormatting>
  <conditionalFormatting sqref="F20">
    <cfRule type="expression" dxfId="705" priority="164">
      <formula>$E$20="n/a"</formula>
    </cfRule>
  </conditionalFormatting>
  <conditionalFormatting sqref="F21">
    <cfRule type="expression" dxfId="704" priority="163">
      <formula>$E$21="n/a"</formula>
    </cfRule>
  </conditionalFormatting>
  <conditionalFormatting sqref="F22">
    <cfRule type="expression" dxfId="703" priority="162">
      <formula>$E$22="n/a"</formula>
    </cfRule>
  </conditionalFormatting>
  <conditionalFormatting sqref="F23">
    <cfRule type="expression" dxfId="702" priority="161">
      <formula>$E$23="n/a"</formula>
    </cfRule>
  </conditionalFormatting>
  <conditionalFormatting sqref="F24">
    <cfRule type="expression" dxfId="701" priority="160">
      <formula>$E$24="n/a"</formula>
    </cfRule>
  </conditionalFormatting>
  <conditionalFormatting sqref="F26">
    <cfRule type="expression" dxfId="700" priority="159">
      <formula>$E$26="n/a"</formula>
    </cfRule>
  </conditionalFormatting>
  <conditionalFormatting sqref="F27">
    <cfRule type="expression" dxfId="699" priority="158">
      <formula>$E$27="n/a"</formula>
    </cfRule>
  </conditionalFormatting>
  <conditionalFormatting sqref="F28">
    <cfRule type="expression" dxfId="698" priority="157">
      <formula>$E$28="n/a"</formula>
    </cfRule>
  </conditionalFormatting>
  <conditionalFormatting sqref="F29">
    <cfRule type="expression" dxfId="697" priority="156">
      <formula>$E$29="n/a"</formula>
    </cfRule>
  </conditionalFormatting>
  <conditionalFormatting sqref="F30">
    <cfRule type="expression" dxfId="696" priority="155">
      <formula>$E$30="n/a"</formula>
    </cfRule>
  </conditionalFormatting>
  <conditionalFormatting sqref="F31">
    <cfRule type="expression" dxfId="695" priority="154">
      <formula>$E$31="n/a"</formula>
    </cfRule>
  </conditionalFormatting>
  <conditionalFormatting sqref="F32">
    <cfRule type="expression" dxfId="694" priority="153">
      <formula>$E$32="n/a"</formula>
    </cfRule>
  </conditionalFormatting>
  <conditionalFormatting sqref="F33">
    <cfRule type="expression" dxfId="693" priority="152">
      <formula>$E$33="n/a"</formula>
    </cfRule>
  </conditionalFormatting>
  <conditionalFormatting sqref="F34">
    <cfRule type="expression" dxfId="692" priority="151">
      <formula>$E$34="n/a"</formula>
    </cfRule>
  </conditionalFormatting>
  <conditionalFormatting sqref="F35">
    <cfRule type="expression" dxfId="691" priority="150">
      <formula>$E$35="n/a"</formula>
    </cfRule>
  </conditionalFormatting>
  <conditionalFormatting sqref="F36">
    <cfRule type="expression" dxfId="690" priority="149">
      <formula>$E$36="n/a"</formula>
    </cfRule>
  </conditionalFormatting>
  <conditionalFormatting sqref="F37">
    <cfRule type="expression" dxfId="689" priority="148">
      <formula>$E$37="n/a"</formula>
    </cfRule>
  </conditionalFormatting>
  <conditionalFormatting sqref="F38">
    <cfRule type="expression" dxfId="688" priority="147">
      <formula>$E$38="n/a"</formula>
    </cfRule>
  </conditionalFormatting>
  <conditionalFormatting sqref="F39">
    <cfRule type="expression" dxfId="687" priority="146">
      <formula>$E$39="n/a"</formula>
    </cfRule>
  </conditionalFormatting>
  <conditionalFormatting sqref="F40">
    <cfRule type="expression" dxfId="686" priority="145">
      <formula>$E$40="n/a"</formula>
    </cfRule>
  </conditionalFormatting>
  <conditionalFormatting sqref="F41">
    <cfRule type="expression" dxfId="685" priority="144">
      <formula>$E$41="n/a"</formula>
    </cfRule>
  </conditionalFormatting>
  <conditionalFormatting sqref="F42">
    <cfRule type="expression" dxfId="684" priority="143">
      <formula>$E$42="n/a"</formula>
    </cfRule>
  </conditionalFormatting>
  <conditionalFormatting sqref="F43">
    <cfRule type="expression" dxfId="683" priority="142">
      <formula>$E$43="n/a"</formula>
    </cfRule>
  </conditionalFormatting>
  <conditionalFormatting sqref="F44">
    <cfRule type="expression" dxfId="682" priority="141">
      <formula>$E$44="n/a"</formula>
    </cfRule>
  </conditionalFormatting>
  <conditionalFormatting sqref="F45">
    <cfRule type="expression" dxfId="681" priority="140">
      <formula>$E$45="n/a"</formula>
    </cfRule>
  </conditionalFormatting>
  <conditionalFormatting sqref="F46">
    <cfRule type="expression" dxfId="680" priority="139">
      <formula>$E$46="n/a"</formula>
    </cfRule>
  </conditionalFormatting>
  <conditionalFormatting sqref="F82">
    <cfRule type="expression" dxfId="679" priority="137">
      <formula>$E$82="n/a"</formula>
    </cfRule>
  </conditionalFormatting>
  <conditionalFormatting sqref="F81">
    <cfRule type="expression" dxfId="678" priority="136">
      <formula>$E$81="n/a"</formula>
    </cfRule>
  </conditionalFormatting>
  <conditionalFormatting sqref="F80">
    <cfRule type="expression" dxfId="677" priority="135">
      <formula>$E$80="n/a"</formula>
    </cfRule>
  </conditionalFormatting>
  <conditionalFormatting sqref="F79">
    <cfRule type="expression" dxfId="676" priority="134">
      <formula>$E$79="n/a"</formula>
    </cfRule>
  </conditionalFormatting>
  <conditionalFormatting sqref="F78">
    <cfRule type="expression" dxfId="675" priority="133">
      <formula>$E$78="n/a"</formula>
    </cfRule>
  </conditionalFormatting>
  <conditionalFormatting sqref="F77">
    <cfRule type="expression" dxfId="674" priority="132">
      <formula>$E$77="n/a"</formula>
    </cfRule>
  </conditionalFormatting>
  <conditionalFormatting sqref="F76">
    <cfRule type="expression" dxfId="673" priority="131">
      <formula>$E$76="n/a"</formula>
    </cfRule>
  </conditionalFormatting>
  <conditionalFormatting sqref="F75">
    <cfRule type="expression" dxfId="672" priority="130">
      <formula>$E$75="n/a"</formula>
    </cfRule>
  </conditionalFormatting>
  <conditionalFormatting sqref="F74">
    <cfRule type="expression" dxfId="671" priority="129">
      <formula>$E$74="n/a"</formula>
    </cfRule>
  </conditionalFormatting>
  <conditionalFormatting sqref="F73">
    <cfRule type="expression" dxfId="670" priority="127">
      <formula>$E$73="n/a"</formula>
    </cfRule>
  </conditionalFormatting>
  <conditionalFormatting sqref="F72">
    <cfRule type="expression" dxfId="669" priority="103">
      <formula>$E$72="n/a"</formula>
    </cfRule>
  </conditionalFormatting>
  <conditionalFormatting sqref="F47">
    <cfRule type="expression" dxfId="668" priority="138">
      <formula>$E$47="n/a"</formula>
    </cfRule>
  </conditionalFormatting>
  <conditionalFormatting sqref="F48">
    <cfRule type="expression" dxfId="667" priority="128">
      <formula>$E$48="n/a"</formula>
    </cfRule>
  </conditionalFormatting>
  <conditionalFormatting sqref="F49">
    <cfRule type="expression" dxfId="666" priority="126">
      <formula>$E$49="n/a"</formula>
    </cfRule>
  </conditionalFormatting>
  <conditionalFormatting sqref="F50">
    <cfRule type="expression" dxfId="665" priority="125">
      <formula>$E$50="n/a"</formula>
    </cfRule>
  </conditionalFormatting>
  <conditionalFormatting sqref="F51">
    <cfRule type="expression" dxfId="664" priority="124">
      <formula>$E$51="n/a"</formula>
    </cfRule>
  </conditionalFormatting>
  <conditionalFormatting sqref="F52">
    <cfRule type="expression" dxfId="663" priority="123">
      <formula>$E$52="n/a"</formula>
    </cfRule>
  </conditionalFormatting>
  <conditionalFormatting sqref="F53">
    <cfRule type="expression" dxfId="662" priority="122">
      <formula>$E$53="n/a"</formula>
    </cfRule>
  </conditionalFormatting>
  <conditionalFormatting sqref="F54">
    <cfRule type="expression" dxfId="661" priority="121">
      <formula>$E$54="n/a"</formula>
    </cfRule>
  </conditionalFormatting>
  <conditionalFormatting sqref="F55">
    <cfRule type="expression" dxfId="660" priority="120">
      <formula>$E$55="n/a"</formula>
    </cfRule>
  </conditionalFormatting>
  <conditionalFormatting sqref="F56">
    <cfRule type="expression" dxfId="659" priority="119">
      <formula>$E$56="n/a"</formula>
    </cfRule>
  </conditionalFormatting>
  <conditionalFormatting sqref="F57">
    <cfRule type="expression" dxfId="658" priority="118">
      <formula>$E$57="n/a"</formula>
    </cfRule>
  </conditionalFormatting>
  <conditionalFormatting sqref="F58">
    <cfRule type="expression" dxfId="657" priority="117">
      <formula>$E$58="n/a"</formula>
    </cfRule>
  </conditionalFormatting>
  <conditionalFormatting sqref="F59">
    <cfRule type="expression" dxfId="656" priority="116">
      <formula>$E$59="n/a"</formula>
    </cfRule>
  </conditionalFormatting>
  <conditionalFormatting sqref="F60">
    <cfRule type="expression" dxfId="655" priority="115">
      <formula>$E$60="n/a"</formula>
    </cfRule>
  </conditionalFormatting>
  <conditionalFormatting sqref="F61">
    <cfRule type="expression" dxfId="654" priority="114">
      <formula>$E$61="n/a"</formula>
    </cfRule>
  </conditionalFormatting>
  <conditionalFormatting sqref="F62">
    <cfRule type="expression" dxfId="653" priority="113">
      <formula>$E$62="n/a"</formula>
    </cfRule>
  </conditionalFormatting>
  <conditionalFormatting sqref="F63">
    <cfRule type="expression" dxfId="652" priority="112">
      <formula>$E$63="n/a"</formula>
    </cfRule>
  </conditionalFormatting>
  <conditionalFormatting sqref="F64">
    <cfRule type="expression" dxfId="651" priority="111">
      <formula>$E$64="n/a"</formula>
    </cfRule>
  </conditionalFormatting>
  <conditionalFormatting sqref="F65">
    <cfRule type="expression" dxfId="650" priority="110">
      <formula>$E$65="n/a"</formula>
    </cfRule>
  </conditionalFormatting>
  <conditionalFormatting sqref="F66">
    <cfRule type="expression" dxfId="649" priority="109">
      <formula>$E$66="n/a"</formula>
    </cfRule>
  </conditionalFormatting>
  <conditionalFormatting sqref="F67">
    <cfRule type="expression" dxfId="648" priority="108">
      <formula>$E$67="n/a"</formula>
    </cfRule>
  </conditionalFormatting>
  <conditionalFormatting sqref="F68">
    <cfRule type="expression" dxfId="647" priority="107">
      <formula>$E$68="n/a"</formula>
    </cfRule>
  </conditionalFormatting>
  <conditionalFormatting sqref="F69">
    <cfRule type="expression" dxfId="646" priority="106">
      <formula>$E$69="n/a"</formula>
    </cfRule>
  </conditionalFormatting>
  <conditionalFormatting sqref="F70">
    <cfRule type="expression" dxfId="645" priority="105">
      <formula>$E$70="n/a"</formula>
    </cfRule>
  </conditionalFormatting>
  <conditionalFormatting sqref="F71">
    <cfRule type="expression" dxfId="644" priority="104">
      <formula>$E$71="n/a"</formula>
    </cfRule>
  </conditionalFormatting>
  <conditionalFormatting sqref="I7">
    <cfRule type="expression" dxfId="643" priority="101">
      <formula>$B$7="v"</formula>
    </cfRule>
  </conditionalFormatting>
  <conditionalFormatting sqref="I8">
    <cfRule type="expression" dxfId="642" priority="100">
      <formula>$B$8="v"</formula>
    </cfRule>
  </conditionalFormatting>
  <conditionalFormatting sqref="I9">
    <cfRule type="expression" dxfId="641" priority="99">
      <formula>$B$9="v"</formula>
    </cfRule>
  </conditionalFormatting>
  <conditionalFormatting sqref="I10">
    <cfRule type="expression" dxfId="640" priority="98">
      <formula>$B$10="v"</formula>
    </cfRule>
  </conditionalFormatting>
  <conditionalFormatting sqref="I11">
    <cfRule type="expression" dxfId="639" priority="97">
      <formula>$B$11="v"</formula>
    </cfRule>
  </conditionalFormatting>
  <conditionalFormatting sqref="I12">
    <cfRule type="expression" dxfId="638" priority="96">
      <formula>$B$12="v"</formula>
    </cfRule>
  </conditionalFormatting>
  <conditionalFormatting sqref="I13">
    <cfRule type="expression" dxfId="637" priority="95">
      <formula>$B$13="v"</formula>
    </cfRule>
  </conditionalFormatting>
  <conditionalFormatting sqref="I14">
    <cfRule type="expression" dxfId="636" priority="94">
      <formula>$B$14="v"</formula>
    </cfRule>
  </conditionalFormatting>
  <conditionalFormatting sqref="I15">
    <cfRule type="expression" dxfId="635" priority="93">
      <formula>$B$15="v"</formula>
    </cfRule>
  </conditionalFormatting>
  <conditionalFormatting sqref="I16">
    <cfRule type="expression" dxfId="634" priority="92">
      <formula>$B$16="v"</formula>
    </cfRule>
  </conditionalFormatting>
  <conditionalFormatting sqref="I17">
    <cfRule type="expression" dxfId="633" priority="91">
      <formula>$B$17="v"</formula>
    </cfRule>
  </conditionalFormatting>
  <conditionalFormatting sqref="I18">
    <cfRule type="expression" dxfId="632" priority="90">
      <formula>$B$18="v"</formula>
    </cfRule>
  </conditionalFormatting>
  <conditionalFormatting sqref="I19">
    <cfRule type="expression" dxfId="631" priority="89">
      <formula>$B$19="v"</formula>
    </cfRule>
  </conditionalFormatting>
  <conditionalFormatting sqref="I20">
    <cfRule type="expression" dxfId="630" priority="88">
      <formula>$B$20="v"</formula>
    </cfRule>
  </conditionalFormatting>
  <conditionalFormatting sqref="I21">
    <cfRule type="expression" dxfId="629" priority="87">
      <formula>$B$21="v"</formula>
    </cfRule>
  </conditionalFormatting>
  <conditionalFormatting sqref="I22">
    <cfRule type="expression" dxfId="628" priority="86">
      <formula>$B$22="v"</formula>
    </cfRule>
  </conditionalFormatting>
  <conditionalFormatting sqref="I23">
    <cfRule type="expression" dxfId="627" priority="85">
      <formula>$B$23="v"</formula>
    </cfRule>
  </conditionalFormatting>
  <conditionalFormatting sqref="I24">
    <cfRule type="expression" dxfId="626" priority="84">
      <formula>$B$24="v"</formula>
    </cfRule>
  </conditionalFormatting>
  <conditionalFormatting sqref="I25">
    <cfRule type="expression" dxfId="625" priority="83">
      <formula>$B$25="v"</formula>
    </cfRule>
  </conditionalFormatting>
  <conditionalFormatting sqref="I26">
    <cfRule type="expression" dxfId="624" priority="82">
      <formula>$B$26="v"</formula>
    </cfRule>
  </conditionalFormatting>
  <conditionalFormatting sqref="I27">
    <cfRule type="expression" dxfId="623" priority="81">
      <formula>$B$27="v"</formula>
    </cfRule>
  </conditionalFormatting>
  <conditionalFormatting sqref="I28">
    <cfRule type="expression" dxfId="622" priority="80">
      <formula>$B$28="v"</formula>
    </cfRule>
  </conditionalFormatting>
  <conditionalFormatting sqref="I29">
    <cfRule type="expression" dxfId="621" priority="79">
      <formula>$B$29="v"</formula>
    </cfRule>
  </conditionalFormatting>
  <conditionalFormatting sqref="I30">
    <cfRule type="expression" dxfId="620" priority="78">
      <formula>$B$30="v"</formula>
    </cfRule>
  </conditionalFormatting>
  <conditionalFormatting sqref="I31">
    <cfRule type="expression" dxfId="619" priority="77">
      <formula>$B$31="v"</formula>
    </cfRule>
  </conditionalFormatting>
  <conditionalFormatting sqref="I32">
    <cfRule type="expression" dxfId="618" priority="76">
      <formula>$B$32="v"</formula>
    </cfRule>
  </conditionalFormatting>
  <conditionalFormatting sqref="I33">
    <cfRule type="expression" dxfId="617" priority="75">
      <formula>$B$33="v"</formula>
    </cfRule>
  </conditionalFormatting>
  <conditionalFormatting sqref="I34">
    <cfRule type="expression" dxfId="616" priority="74">
      <formula>$B$34="v"</formula>
    </cfRule>
  </conditionalFormatting>
  <conditionalFormatting sqref="I35">
    <cfRule type="expression" dxfId="615" priority="73">
      <formula>$B$35="v"</formula>
    </cfRule>
  </conditionalFormatting>
  <conditionalFormatting sqref="I36">
    <cfRule type="expression" dxfId="614" priority="72">
      <formula>$B$36="v"</formula>
    </cfRule>
  </conditionalFormatting>
  <conditionalFormatting sqref="I37">
    <cfRule type="expression" dxfId="613" priority="71">
      <formula>$B$37="v"</formula>
    </cfRule>
  </conditionalFormatting>
  <conditionalFormatting sqref="I38">
    <cfRule type="expression" dxfId="612" priority="70">
      <formula>$B$38="v"</formula>
    </cfRule>
  </conditionalFormatting>
  <conditionalFormatting sqref="I39">
    <cfRule type="expression" dxfId="611" priority="69">
      <formula>$B$39="v"</formula>
    </cfRule>
  </conditionalFormatting>
  <conditionalFormatting sqref="I40">
    <cfRule type="expression" dxfId="610" priority="68">
      <formula>$B$40="v"</formula>
    </cfRule>
  </conditionalFormatting>
  <conditionalFormatting sqref="I41">
    <cfRule type="expression" dxfId="609" priority="67">
      <formula>$B$41="v"</formula>
    </cfRule>
  </conditionalFormatting>
  <conditionalFormatting sqref="I42">
    <cfRule type="expression" dxfId="608" priority="66">
      <formula>$B$42="v"</formula>
    </cfRule>
  </conditionalFormatting>
  <conditionalFormatting sqref="I43">
    <cfRule type="expression" dxfId="607" priority="65">
      <formula>$B$43="v"</formula>
    </cfRule>
  </conditionalFormatting>
  <conditionalFormatting sqref="I44">
    <cfRule type="expression" dxfId="606" priority="64">
      <formula>$B$44="v"</formula>
    </cfRule>
  </conditionalFormatting>
  <conditionalFormatting sqref="I45">
    <cfRule type="expression" dxfId="605" priority="63">
      <formula>$B$45="v"</formula>
    </cfRule>
  </conditionalFormatting>
  <conditionalFormatting sqref="I46">
    <cfRule type="expression" dxfId="604" priority="62">
      <formula>$B$46="v"</formula>
    </cfRule>
  </conditionalFormatting>
  <conditionalFormatting sqref="I47">
    <cfRule type="expression" dxfId="603" priority="61">
      <formula>$B$47="v"</formula>
    </cfRule>
  </conditionalFormatting>
  <conditionalFormatting sqref="I48">
    <cfRule type="expression" dxfId="602" priority="60">
      <formula>$B$48="v"</formula>
    </cfRule>
  </conditionalFormatting>
  <conditionalFormatting sqref="I49">
    <cfRule type="expression" dxfId="601" priority="59">
      <formula>$B$49="v"</formula>
    </cfRule>
  </conditionalFormatting>
  <conditionalFormatting sqref="I50">
    <cfRule type="expression" dxfId="600" priority="58">
      <formula>$B$50="v"</formula>
    </cfRule>
  </conditionalFormatting>
  <conditionalFormatting sqref="I51">
    <cfRule type="expression" dxfId="599" priority="57">
      <formula>$B$51="v"</formula>
    </cfRule>
  </conditionalFormatting>
  <conditionalFormatting sqref="I52">
    <cfRule type="expression" dxfId="598" priority="56">
      <formula>$B$52="v"</formula>
    </cfRule>
  </conditionalFormatting>
  <conditionalFormatting sqref="I53">
    <cfRule type="expression" dxfId="597" priority="55">
      <formula>$B$53="v"</formula>
    </cfRule>
  </conditionalFormatting>
  <conditionalFormatting sqref="I54">
    <cfRule type="expression" dxfId="596" priority="54">
      <formula>$B$54="v"</formula>
    </cfRule>
  </conditionalFormatting>
  <conditionalFormatting sqref="I55">
    <cfRule type="expression" dxfId="595" priority="53">
      <formula>$B$55="v"</formula>
    </cfRule>
  </conditionalFormatting>
  <conditionalFormatting sqref="I56">
    <cfRule type="expression" dxfId="594" priority="52">
      <formula>$B$56="v"</formula>
    </cfRule>
  </conditionalFormatting>
  <conditionalFormatting sqref="I57">
    <cfRule type="expression" dxfId="593" priority="51">
      <formula>$B$57="v"</formula>
    </cfRule>
  </conditionalFormatting>
  <conditionalFormatting sqref="I58">
    <cfRule type="expression" dxfId="592" priority="50">
      <formula>$B$58="v"</formula>
    </cfRule>
  </conditionalFormatting>
  <conditionalFormatting sqref="I59">
    <cfRule type="expression" dxfId="591" priority="49">
      <formula>$B$59="v"</formula>
    </cfRule>
  </conditionalFormatting>
  <conditionalFormatting sqref="I60">
    <cfRule type="expression" dxfId="590" priority="48">
      <formula>$B$60="v"</formula>
    </cfRule>
  </conditionalFormatting>
  <conditionalFormatting sqref="I61">
    <cfRule type="expression" dxfId="589" priority="47">
      <formula>$B$61="v"</formula>
    </cfRule>
  </conditionalFormatting>
  <conditionalFormatting sqref="I62">
    <cfRule type="expression" dxfId="588" priority="46">
      <formula>$B$62="v"</formula>
    </cfRule>
  </conditionalFormatting>
  <conditionalFormatting sqref="I63">
    <cfRule type="expression" dxfId="587" priority="45">
      <formula>$B$63="v"</formula>
    </cfRule>
  </conditionalFormatting>
  <conditionalFormatting sqref="I64">
    <cfRule type="expression" dxfId="586" priority="44">
      <formula>$B$64="v"</formula>
    </cfRule>
  </conditionalFormatting>
  <conditionalFormatting sqref="I65">
    <cfRule type="expression" dxfId="585" priority="43">
      <formula>$B$65="v"</formula>
    </cfRule>
  </conditionalFormatting>
  <conditionalFormatting sqref="I66">
    <cfRule type="expression" dxfId="584" priority="42">
      <formula>$B$66="v"</formula>
    </cfRule>
  </conditionalFormatting>
  <conditionalFormatting sqref="I67">
    <cfRule type="expression" dxfId="583" priority="41">
      <formula>$B$67="v"</formula>
    </cfRule>
  </conditionalFormatting>
  <conditionalFormatting sqref="I68">
    <cfRule type="expression" dxfId="582" priority="40">
      <formula>$B$68="v"</formula>
    </cfRule>
  </conditionalFormatting>
  <conditionalFormatting sqref="I69">
    <cfRule type="expression" dxfId="581" priority="39">
      <formula>$B$69="v"</formula>
    </cfRule>
  </conditionalFormatting>
  <conditionalFormatting sqref="I70">
    <cfRule type="expression" dxfId="580" priority="38">
      <formula>$B$70="v"</formula>
    </cfRule>
  </conditionalFormatting>
  <conditionalFormatting sqref="I71">
    <cfRule type="expression" dxfId="579" priority="37">
      <formula>$B$71="v"</formula>
    </cfRule>
  </conditionalFormatting>
  <conditionalFormatting sqref="I72">
    <cfRule type="expression" dxfId="578" priority="36">
      <formula>$B$72="v"</formula>
    </cfRule>
  </conditionalFormatting>
  <conditionalFormatting sqref="I73">
    <cfRule type="expression" dxfId="577" priority="35">
      <formula>$B$73="v"</formula>
    </cfRule>
  </conditionalFormatting>
  <conditionalFormatting sqref="I74">
    <cfRule type="expression" dxfId="576" priority="34">
      <formula>$B$74="v"</formula>
    </cfRule>
  </conditionalFormatting>
  <conditionalFormatting sqref="I75">
    <cfRule type="expression" dxfId="575" priority="33">
      <formula>$B$75="v"</formula>
    </cfRule>
  </conditionalFormatting>
  <conditionalFormatting sqref="I76">
    <cfRule type="expression" dxfId="574" priority="32">
      <formula>$B$76="v"</formula>
    </cfRule>
  </conditionalFormatting>
  <conditionalFormatting sqref="I77">
    <cfRule type="expression" dxfId="573" priority="31">
      <formula>$B$77="v"</formula>
    </cfRule>
  </conditionalFormatting>
  <conditionalFormatting sqref="I78">
    <cfRule type="expression" dxfId="572" priority="30">
      <formula>$B$78="v"</formula>
    </cfRule>
  </conditionalFormatting>
  <conditionalFormatting sqref="I79">
    <cfRule type="expression" dxfId="571" priority="29">
      <formula>$B$79="v"</formula>
    </cfRule>
  </conditionalFormatting>
  <conditionalFormatting sqref="I80">
    <cfRule type="expression" dxfId="570" priority="28">
      <formula>$B$80="v"</formula>
    </cfRule>
  </conditionalFormatting>
  <conditionalFormatting sqref="I81">
    <cfRule type="expression" dxfId="569" priority="27">
      <formula>$B$81="v"</formula>
    </cfRule>
  </conditionalFormatting>
  <conditionalFormatting sqref="I82">
    <cfRule type="expression" dxfId="568" priority="26">
      <formula>$B$82="v"</formula>
    </cfRule>
  </conditionalFormatting>
  <conditionalFormatting sqref="L5:N6">
    <cfRule type="expression" dxfId="567" priority="191">
      <formula>$K$4=1</formula>
    </cfRule>
  </conditionalFormatting>
  <conditionalFormatting sqref="L7:N82">
    <cfRule type="expression" dxfId="566" priority="193">
      <formula>$K$4=1</formula>
    </cfRule>
  </conditionalFormatting>
  <conditionalFormatting sqref="M4:N4">
    <cfRule type="expression" dxfId="565" priority="17" stopIfTrue="1">
      <formula>$K$4=1</formula>
    </cfRule>
  </conditionalFormatting>
  <conditionalFormatting sqref="L7:N82">
    <cfRule type="expression" dxfId="564" priority="183">
      <formula>$K$4=""</formula>
    </cfRule>
  </conditionalFormatting>
  <conditionalFormatting sqref="P5:R6">
    <cfRule type="expression" dxfId="563" priority="194">
      <formula>$O$4=1</formula>
    </cfRule>
  </conditionalFormatting>
  <conditionalFormatting sqref="P7:R82">
    <cfRule type="expression" dxfId="562" priority="197">
      <formula>$O$4=1</formula>
    </cfRule>
  </conditionalFormatting>
  <conditionalFormatting sqref="Q4:R4">
    <cfRule type="expression" dxfId="561" priority="196">
      <formula>$O$4=1</formula>
    </cfRule>
  </conditionalFormatting>
  <conditionalFormatting sqref="P7:R82">
    <cfRule type="expression" dxfId="560" priority="181">
      <formula>$O$4=""</formula>
    </cfRule>
  </conditionalFormatting>
  <conditionalFormatting sqref="T5:V6">
    <cfRule type="expression" dxfId="559" priority="198">
      <formula>$S$4=1</formula>
    </cfRule>
  </conditionalFormatting>
  <conditionalFormatting sqref="T7:V82">
    <cfRule type="expression" dxfId="558" priority="243">
      <formula>$S$4=1</formula>
    </cfRule>
  </conditionalFormatting>
  <conditionalFormatting sqref="U4:V4">
    <cfRule type="expression" dxfId="557" priority="200">
      <formula>$S$4=1</formula>
    </cfRule>
  </conditionalFormatting>
  <conditionalFormatting sqref="T7:V82">
    <cfRule type="expression" dxfId="556" priority="179">
      <formula>$S$4=""</formula>
    </cfRule>
  </conditionalFormatting>
  <conditionalFormatting sqref="X5:Z6">
    <cfRule type="expression" dxfId="555" priority="202">
      <formula>$W$4=1</formula>
    </cfRule>
  </conditionalFormatting>
  <conditionalFormatting sqref="X7:Z82">
    <cfRule type="expression" dxfId="554" priority="240">
      <formula>$W$4=1</formula>
    </cfRule>
  </conditionalFormatting>
  <conditionalFormatting sqref="Y4:Z4">
    <cfRule type="expression" dxfId="553" priority="204">
      <formula>$W$4=1</formula>
    </cfRule>
  </conditionalFormatting>
  <conditionalFormatting sqref="X7:Z82">
    <cfRule type="expression" dxfId="552" priority="180">
      <formula>$W$4=""</formula>
    </cfRule>
  </conditionalFormatting>
  <conditionalFormatting sqref="AB5:AD6">
    <cfRule type="expression" dxfId="551" priority="206">
      <formula>$AA$4=1</formula>
    </cfRule>
  </conditionalFormatting>
  <conditionalFormatting sqref="AB7:AD82">
    <cfRule type="expression" dxfId="550" priority="209">
      <formula>$AA$4=1</formula>
    </cfRule>
  </conditionalFormatting>
  <conditionalFormatting sqref="AC4:AD4">
    <cfRule type="expression" dxfId="549" priority="208">
      <formula>$AA$4=1</formula>
    </cfRule>
  </conditionalFormatting>
  <conditionalFormatting sqref="AB7:AD82">
    <cfRule type="expression" dxfId="548" priority="199">
      <formula>$AA$4=""</formula>
    </cfRule>
  </conditionalFormatting>
  <conditionalFormatting sqref="AF5:AH6">
    <cfRule type="expression" dxfId="547" priority="210">
      <formula>$AE$4=1</formula>
    </cfRule>
  </conditionalFormatting>
  <conditionalFormatting sqref="AF7:AH82">
    <cfRule type="expression" dxfId="546" priority="213">
      <formula>$AE$4=1</formula>
    </cfRule>
  </conditionalFormatting>
  <conditionalFormatting sqref="AG4:AH4">
    <cfRule type="expression" dxfId="545" priority="212">
      <formula>$AE$4=1</formula>
    </cfRule>
  </conditionalFormatting>
  <conditionalFormatting sqref="AF7:AH82">
    <cfRule type="expression" dxfId="544" priority="201">
      <formula>$AE$4=""</formula>
    </cfRule>
  </conditionalFormatting>
  <conditionalFormatting sqref="AJ7:AL82">
    <cfRule type="expression" dxfId="543" priority="217">
      <formula>$AI$4=1</formula>
    </cfRule>
  </conditionalFormatting>
  <conditionalFormatting sqref="AK4:AL4">
    <cfRule type="expression" dxfId="542" priority="215">
      <formula>$AI$4=1</formula>
    </cfRule>
  </conditionalFormatting>
  <conditionalFormatting sqref="AJ5:AL6">
    <cfRule type="expression" dxfId="541" priority="216">
      <formula>$AI$4=1</formula>
    </cfRule>
  </conditionalFormatting>
  <conditionalFormatting sqref="AJ7:AL82">
    <cfRule type="expression" dxfId="540" priority="203">
      <formula>$AI$4=""</formula>
    </cfRule>
  </conditionalFormatting>
  <conditionalFormatting sqref="AN7:AP82">
    <cfRule type="expression" dxfId="539" priority="221">
      <formula>$AM$4=1</formula>
    </cfRule>
  </conditionalFormatting>
  <conditionalFormatting sqref="AO4:AP4 AS4:AT4">
    <cfRule type="expression" dxfId="538" priority="219">
      <formula>AQ$4=1</formula>
    </cfRule>
  </conditionalFormatting>
  <conditionalFormatting sqref="AN5:AP6">
    <cfRule type="expression" dxfId="537" priority="220">
      <formula>$AM$4=1</formula>
    </cfRule>
  </conditionalFormatting>
  <conditionalFormatting sqref="AN7:AP82">
    <cfRule type="expression" dxfId="536" priority="205">
      <formula>$AM$4=""</formula>
    </cfRule>
  </conditionalFormatting>
  <conditionalFormatting sqref="AR7:AT82">
    <cfRule type="expression" dxfId="535" priority="224">
      <formula>$AQ$4=1</formula>
    </cfRule>
  </conditionalFormatting>
  <conditionalFormatting sqref="AR5:AT6">
    <cfRule type="expression" dxfId="534" priority="223">
      <formula>$AQ$4=1</formula>
    </cfRule>
  </conditionalFormatting>
  <conditionalFormatting sqref="AR7:AT82">
    <cfRule type="expression" dxfId="533" priority="207">
      <formula>$AQ$4=""</formula>
    </cfRule>
  </conditionalFormatting>
  <conditionalFormatting sqref="AV7:AX82">
    <cfRule type="expression" dxfId="532" priority="227">
      <formula>$AU$4=1</formula>
    </cfRule>
  </conditionalFormatting>
  <conditionalFormatting sqref="AV5:AX6">
    <cfRule type="expression" dxfId="531" priority="226">
      <formula>$AU$4=1</formula>
    </cfRule>
  </conditionalFormatting>
  <conditionalFormatting sqref="AV7:AX82">
    <cfRule type="expression" dxfId="530" priority="178">
      <formula>$AU$4=""</formula>
    </cfRule>
  </conditionalFormatting>
  <conditionalFormatting sqref="AZ7:BB82">
    <cfRule type="expression" dxfId="529" priority="230">
      <formula>$AY$4=1</formula>
    </cfRule>
  </conditionalFormatting>
  <conditionalFormatting sqref="AZ5:BB6">
    <cfRule type="expression" dxfId="528" priority="229">
      <formula>$AY$4=1</formula>
    </cfRule>
  </conditionalFormatting>
  <conditionalFormatting sqref="AZ7:BB82">
    <cfRule type="expression" dxfId="527" priority="211">
      <formula>$AY$4=""</formula>
    </cfRule>
  </conditionalFormatting>
  <conditionalFormatting sqref="BD7:BF82">
    <cfRule type="expression" dxfId="526" priority="233">
      <formula>$BC$4=1</formula>
    </cfRule>
  </conditionalFormatting>
  <conditionalFormatting sqref="BD5:BF6">
    <cfRule type="expression" dxfId="525" priority="232">
      <formula>$BC$4=1</formula>
    </cfRule>
  </conditionalFormatting>
  <conditionalFormatting sqref="BD7:BF82">
    <cfRule type="expression" dxfId="524" priority="214">
      <formula>$BC$4=""</formula>
    </cfRule>
  </conditionalFormatting>
  <conditionalFormatting sqref="BH7:BJ82">
    <cfRule type="expression" dxfId="523" priority="236">
      <formula>$BG$4=1</formula>
    </cfRule>
  </conditionalFormatting>
  <conditionalFormatting sqref="BH5:BJ6">
    <cfRule type="expression" dxfId="522" priority="235">
      <formula>$BG$4=1</formula>
    </cfRule>
  </conditionalFormatting>
  <conditionalFormatting sqref="BH7:BJ82">
    <cfRule type="expression" dxfId="521" priority="218">
      <formula>$BG$4=""</formula>
    </cfRule>
  </conditionalFormatting>
  <conditionalFormatting sqref="BL7:BN82">
    <cfRule type="expression" dxfId="520" priority="239">
      <formula>$BK$4=1</formula>
    </cfRule>
  </conditionalFormatting>
  <conditionalFormatting sqref="BL5:BN6">
    <cfRule type="expression" dxfId="519" priority="238">
      <formula>$BK$4=1</formula>
    </cfRule>
  </conditionalFormatting>
  <conditionalFormatting sqref="BL7:BN82">
    <cfRule type="expression" dxfId="518" priority="222">
      <formula>$BK$4=""</formula>
    </cfRule>
  </conditionalFormatting>
  <conditionalFormatting sqref="BP7:BR82">
    <cfRule type="expression" dxfId="517" priority="242">
      <formula>$BO$4=1</formula>
    </cfRule>
  </conditionalFormatting>
  <conditionalFormatting sqref="BP5:BR6">
    <cfRule type="expression" dxfId="516" priority="241">
      <formula>$BO$4=1</formula>
    </cfRule>
  </conditionalFormatting>
  <conditionalFormatting sqref="BP7:BR82">
    <cfRule type="expression" dxfId="515" priority="228">
      <formula>$BO$4=""</formula>
    </cfRule>
  </conditionalFormatting>
  <conditionalFormatting sqref="BT7:BV82">
    <cfRule type="expression" dxfId="514" priority="245">
      <formula>$BS$4=1</formula>
    </cfRule>
  </conditionalFormatting>
  <conditionalFormatting sqref="BT5:BV6">
    <cfRule type="expression" dxfId="513" priority="244">
      <formula>$BS$4=1</formula>
    </cfRule>
  </conditionalFormatting>
  <conditionalFormatting sqref="BT7:BV82">
    <cfRule type="expression" dxfId="512" priority="231">
      <formula>$BS$4=""</formula>
    </cfRule>
  </conditionalFormatting>
  <conditionalFormatting sqref="AW4:AX4">
    <cfRule type="expression" dxfId="511" priority="25">
      <formula>AU$4=1</formula>
    </cfRule>
  </conditionalFormatting>
  <conditionalFormatting sqref="BA4:BB4">
    <cfRule type="expression" dxfId="510" priority="24">
      <formula>AY$4=1</formula>
    </cfRule>
  </conditionalFormatting>
  <conditionalFormatting sqref="BE4:BF4">
    <cfRule type="expression" dxfId="509" priority="23">
      <formula>BC$4=1</formula>
    </cfRule>
  </conditionalFormatting>
  <conditionalFormatting sqref="BI4:BJ4">
    <cfRule type="expression" dxfId="508" priority="22">
      <formula>BG$4=1</formula>
    </cfRule>
  </conditionalFormatting>
  <conditionalFormatting sqref="BM4:BN4">
    <cfRule type="expression" dxfId="507" priority="21">
      <formula>BK$4=1</formula>
    </cfRule>
  </conditionalFormatting>
  <conditionalFormatting sqref="BQ4:BR4">
    <cfRule type="expression" dxfId="506" priority="20">
      <formula>BO$4=1</formula>
    </cfRule>
  </conditionalFormatting>
  <conditionalFormatting sqref="BU4:BV4">
    <cfRule type="expression" dxfId="505" priority="19">
      <formula>BS$4=1</formula>
    </cfRule>
  </conditionalFormatting>
  <conditionalFormatting sqref="E4">
    <cfRule type="expression" dxfId="504" priority="18">
      <formula>$F$4=""</formula>
    </cfRule>
  </conditionalFormatting>
  <conditionalFormatting sqref="L4">
    <cfRule type="expression" dxfId="503" priority="16">
      <formula>$K$4=1</formula>
    </cfRule>
  </conditionalFormatting>
  <conditionalFormatting sqref="P4">
    <cfRule type="expression" dxfId="502" priority="15">
      <formula>$O$4=1</formula>
    </cfRule>
  </conditionalFormatting>
  <conditionalFormatting sqref="T4">
    <cfRule type="expression" dxfId="501" priority="14">
      <formula>$S$4=1</formula>
    </cfRule>
  </conditionalFormatting>
  <conditionalFormatting sqref="X4">
    <cfRule type="expression" dxfId="500" priority="13">
      <formula>W4=1</formula>
    </cfRule>
  </conditionalFormatting>
  <conditionalFormatting sqref="AB4">
    <cfRule type="expression" dxfId="499" priority="12">
      <formula>AA4=1</formula>
    </cfRule>
  </conditionalFormatting>
  <conditionalFormatting sqref="AF4">
    <cfRule type="expression" dxfId="498" priority="11">
      <formula>AE4=1</formula>
    </cfRule>
  </conditionalFormatting>
  <conditionalFormatting sqref="AJ4">
    <cfRule type="expression" dxfId="497" priority="10">
      <formula>AI4=1</formula>
    </cfRule>
  </conditionalFormatting>
  <conditionalFormatting sqref="AN4">
    <cfRule type="expression" dxfId="496" priority="9">
      <formula>AM4=1</formula>
    </cfRule>
  </conditionalFormatting>
  <conditionalFormatting sqref="AR4">
    <cfRule type="expression" dxfId="495" priority="8">
      <formula>AQ4=1</formula>
    </cfRule>
  </conditionalFormatting>
  <conditionalFormatting sqref="AV4">
    <cfRule type="expression" dxfId="494" priority="7">
      <formula>AU4=1</formula>
    </cfRule>
  </conditionalFormatting>
  <conditionalFormatting sqref="AZ4">
    <cfRule type="expression" dxfId="493" priority="6">
      <formula>AY4=1</formula>
    </cfRule>
  </conditionalFormatting>
  <conditionalFormatting sqref="BD4">
    <cfRule type="expression" dxfId="492" priority="5">
      <formula>BC4=1</formula>
    </cfRule>
  </conditionalFormatting>
  <conditionalFormatting sqref="BH4">
    <cfRule type="expression" dxfId="491" priority="4">
      <formula>BG4=1</formula>
    </cfRule>
  </conditionalFormatting>
  <conditionalFormatting sqref="BL4">
    <cfRule type="expression" dxfId="490" priority="3">
      <formula>BK4=1</formula>
    </cfRule>
  </conditionalFormatting>
  <conditionalFormatting sqref="BP4">
    <cfRule type="expression" dxfId="489" priority="2">
      <formula>BO4=1</formula>
    </cfRule>
  </conditionalFormatting>
  <conditionalFormatting sqref="BT4">
    <cfRule type="expression" dxfId="488" priority="1">
      <formula>BS4=1</formula>
    </cfRule>
  </conditionalFormatting>
  <dataValidations count="3">
    <dataValidation type="list" allowBlank="1" showInputMessage="1" showErrorMessage="1" sqref="F2" xr:uid="{CE38757C-E6ED-4641-8B44-5119641148DB}">
      <formula1>"1, 2, 3, 4, 5, 6, 7, 8, 9, 10, 11, 12, 13, 14, 15, 16, 17"</formula1>
    </dataValidation>
    <dataValidation type="list" allowBlank="1" showInputMessage="1" showErrorMessage="1" sqref="B7:B82" xr:uid="{4AB6F015-AD04-401D-BD31-896458D21691}">
      <formula1>"v"</formula1>
    </dataValidation>
    <dataValidation type="list" allowBlank="1" showInputMessage="1" showErrorMessage="1" sqref="BP7:BP82 AV7:AV82 BL7:BL82 BT7:BT82 BH7:BH82 BD7:BD82 AZ7:AZ82" xr:uid="{B7043D10-DFF3-407C-9DBC-C0F82C48FAF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42F4BAD-23D2-440E-AF52-D952B158E361}">
          <x14:formula1>
            <xm:f>Sheet3!$J$153:$J$168</xm:f>
          </x14:formula1>
          <xm:sqref>H7:H82 N7:N82 R7:R82 V7:V82 Z7:Z82 AD7:AD82 AH7:AH82 AL7:AL82 AP7:AP82 AT7:AT82</xm:sqref>
        </x14:dataValidation>
        <x14:dataValidation type="list" allowBlank="1" showInputMessage="1" showErrorMessage="1" xr:uid="{46AD7F5B-07D2-4ACE-9E95-10C082F5AB8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DC1FE-E220-47BC-88E1-14E77FF9C94A}">
  <sheetPr codeName="Sheet12">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691</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87" priority="188">
      <formula>$F$1=1</formula>
    </cfRule>
    <cfRule type="expression" priority="189">
      <formula>$F$1</formula>
    </cfRule>
  </conditionalFormatting>
  <conditionalFormatting sqref="J4">
    <cfRule type="expression" dxfId="486" priority="190">
      <formula>$F$1=1</formula>
    </cfRule>
  </conditionalFormatting>
  <conditionalFormatting sqref="C7:G82">
    <cfRule type="expression" dxfId="485" priority="102">
      <formula>$B7="v"</formula>
    </cfRule>
  </conditionalFormatting>
  <conditionalFormatting sqref="H7:H82">
    <cfRule type="expression" dxfId="484" priority="186">
      <formula>$B7="v"</formula>
    </cfRule>
  </conditionalFormatting>
  <conditionalFormatting sqref="N7:N82">
    <cfRule type="expression" dxfId="483" priority="185">
      <formula>$B7="v"</formula>
    </cfRule>
  </conditionalFormatting>
  <conditionalFormatting sqref="M7:M82">
    <cfRule type="expression" dxfId="482" priority="184">
      <formula>$B7="v"</formula>
    </cfRule>
  </conditionalFormatting>
  <conditionalFormatting sqref="L7:L82">
    <cfRule type="expression" dxfId="481" priority="192">
      <formula>$B7="v"</formula>
    </cfRule>
  </conditionalFormatting>
  <conditionalFormatting sqref="P7:Q82">
    <cfRule type="expression" dxfId="480" priority="195">
      <formula>$B7="v"</formula>
    </cfRule>
  </conditionalFormatting>
  <conditionalFormatting sqref="R7:R82">
    <cfRule type="expression" dxfId="479" priority="182">
      <formula>$B7="v"</formula>
    </cfRule>
  </conditionalFormatting>
  <conditionalFormatting sqref="Z7:Z82 V7:V82 AL7:AL82 AH7:AH82 AD7:AD82 AX7:AX82 AT7:AT82 AP7:AP82 BJ7:BJ82 BF7:BF82 BB7:BB82 BV7:BV82 BR7:BR82 BN7:BN82">
    <cfRule type="expression" dxfId="478" priority="234">
      <formula>$B7="v"</formula>
    </cfRule>
  </conditionalFormatting>
  <conditionalFormatting sqref="X7:Y82 T7:U82 AJ7:AK82 AF7:AG82 AB7:AC82 AR7:AS82 AN7:AO82 BH7:BI82 BD7:BE82 AZ7:BA82 BT7:BU82 BP7:BQ82 BL7:BM82">
    <cfRule type="expression" dxfId="477" priority="237">
      <formula>$B7="v"</formula>
    </cfRule>
  </conditionalFormatting>
  <conditionalFormatting sqref="AV7:AW82">
    <cfRule type="expression" dxfId="476" priority="225">
      <formula>$B7="v"</formula>
    </cfRule>
  </conditionalFormatting>
  <conditionalFormatting sqref="F25">
    <cfRule type="expression" dxfId="475" priority="177">
      <formula>$E$25="n/a"</formula>
    </cfRule>
  </conditionalFormatting>
  <conditionalFormatting sqref="F7">
    <cfRule type="expression" dxfId="474" priority="176">
      <formula>$E$7="n/a"</formula>
    </cfRule>
  </conditionalFormatting>
  <conditionalFormatting sqref="F8">
    <cfRule type="expression" dxfId="473" priority="187">
      <formula>$E$8="n/a"</formula>
    </cfRule>
  </conditionalFormatting>
  <conditionalFormatting sqref="F9">
    <cfRule type="expression" dxfId="472" priority="175">
      <formula>$E$9="n/a"</formula>
    </cfRule>
  </conditionalFormatting>
  <conditionalFormatting sqref="F10">
    <cfRule type="expression" dxfId="471" priority="174">
      <formula>$E$10="n/a"</formula>
    </cfRule>
  </conditionalFormatting>
  <conditionalFormatting sqref="F11">
    <cfRule type="expression" dxfId="470" priority="173">
      <formula>$E$11="n/a"</formula>
    </cfRule>
  </conditionalFormatting>
  <conditionalFormatting sqref="F12">
    <cfRule type="expression" dxfId="469" priority="172">
      <formula>$E$12="n/a"</formula>
    </cfRule>
  </conditionalFormatting>
  <conditionalFormatting sqref="F13">
    <cfRule type="expression" dxfId="468" priority="171">
      <formula>$E$13="n/a"</formula>
    </cfRule>
  </conditionalFormatting>
  <conditionalFormatting sqref="F14">
    <cfRule type="expression" dxfId="467" priority="170">
      <formula>$E$14="n/a"</formula>
    </cfRule>
  </conditionalFormatting>
  <conditionalFormatting sqref="F15">
    <cfRule type="expression" dxfId="466" priority="169">
      <formula>$E$15="n/a"</formula>
    </cfRule>
  </conditionalFormatting>
  <conditionalFormatting sqref="F16">
    <cfRule type="expression" dxfId="465" priority="168">
      <formula>$E$16="n/a"</formula>
    </cfRule>
  </conditionalFormatting>
  <conditionalFormatting sqref="F17">
    <cfRule type="expression" dxfId="464" priority="167">
      <formula>$E$17="n/a"</formula>
    </cfRule>
  </conditionalFormatting>
  <conditionalFormatting sqref="F18">
    <cfRule type="expression" dxfId="463" priority="166">
      <formula>$E$18="n/a"</formula>
    </cfRule>
  </conditionalFormatting>
  <conditionalFormatting sqref="F19">
    <cfRule type="expression" dxfId="462" priority="165">
      <formula>$E$19="n/a"</formula>
    </cfRule>
  </conditionalFormatting>
  <conditionalFormatting sqref="F20">
    <cfRule type="expression" dxfId="461" priority="164">
      <formula>$E$20="n/a"</formula>
    </cfRule>
  </conditionalFormatting>
  <conditionalFormatting sqref="F21">
    <cfRule type="expression" dxfId="460" priority="163">
      <formula>$E$21="n/a"</formula>
    </cfRule>
  </conditionalFormatting>
  <conditionalFormatting sqref="F22">
    <cfRule type="expression" dxfId="459" priority="162">
      <formula>$E$22="n/a"</formula>
    </cfRule>
  </conditionalFormatting>
  <conditionalFormatting sqref="F23">
    <cfRule type="expression" dxfId="458" priority="161">
      <formula>$E$23="n/a"</formula>
    </cfRule>
  </conditionalFormatting>
  <conditionalFormatting sqref="F24">
    <cfRule type="expression" dxfId="457" priority="160">
      <formula>$E$24="n/a"</formula>
    </cfRule>
  </conditionalFormatting>
  <conditionalFormatting sqref="F26">
    <cfRule type="expression" dxfId="456" priority="159">
      <formula>$E$26="n/a"</formula>
    </cfRule>
  </conditionalFormatting>
  <conditionalFormatting sqref="F27">
    <cfRule type="expression" dxfId="455" priority="158">
      <formula>$E$27="n/a"</formula>
    </cfRule>
  </conditionalFormatting>
  <conditionalFormatting sqref="F28">
    <cfRule type="expression" dxfId="454" priority="157">
      <formula>$E$28="n/a"</formula>
    </cfRule>
  </conditionalFormatting>
  <conditionalFormatting sqref="F29">
    <cfRule type="expression" dxfId="453" priority="156">
      <formula>$E$29="n/a"</formula>
    </cfRule>
  </conditionalFormatting>
  <conditionalFormatting sqref="F30">
    <cfRule type="expression" dxfId="452" priority="155">
      <formula>$E$30="n/a"</formula>
    </cfRule>
  </conditionalFormatting>
  <conditionalFormatting sqref="F31">
    <cfRule type="expression" dxfId="451" priority="154">
      <formula>$E$31="n/a"</formula>
    </cfRule>
  </conditionalFormatting>
  <conditionalFormatting sqref="F32">
    <cfRule type="expression" dxfId="450" priority="153">
      <formula>$E$32="n/a"</formula>
    </cfRule>
  </conditionalFormatting>
  <conditionalFormatting sqref="F33">
    <cfRule type="expression" dxfId="449" priority="152">
      <formula>$E$33="n/a"</formula>
    </cfRule>
  </conditionalFormatting>
  <conditionalFormatting sqref="F34">
    <cfRule type="expression" dxfId="448" priority="151">
      <formula>$E$34="n/a"</formula>
    </cfRule>
  </conditionalFormatting>
  <conditionalFormatting sqref="F35">
    <cfRule type="expression" dxfId="447" priority="150">
      <formula>$E$35="n/a"</formula>
    </cfRule>
  </conditionalFormatting>
  <conditionalFormatting sqref="F36">
    <cfRule type="expression" dxfId="446" priority="149">
      <formula>$E$36="n/a"</formula>
    </cfRule>
  </conditionalFormatting>
  <conditionalFormatting sqref="F37">
    <cfRule type="expression" dxfId="445" priority="148">
      <formula>$E$37="n/a"</formula>
    </cfRule>
  </conditionalFormatting>
  <conditionalFormatting sqref="F38">
    <cfRule type="expression" dxfId="444" priority="147">
      <formula>$E$38="n/a"</formula>
    </cfRule>
  </conditionalFormatting>
  <conditionalFormatting sqref="F39">
    <cfRule type="expression" dxfId="443" priority="146">
      <formula>$E$39="n/a"</formula>
    </cfRule>
  </conditionalFormatting>
  <conditionalFormatting sqref="F40">
    <cfRule type="expression" dxfId="442" priority="145">
      <formula>$E$40="n/a"</formula>
    </cfRule>
  </conditionalFormatting>
  <conditionalFormatting sqref="F41">
    <cfRule type="expression" dxfId="441" priority="144">
      <formula>$E$41="n/a"</formula>
    </cfRule>
  </conditionalFormatting>
  <conditionalFormatting sqref="F42">
    <cfRule type="expression" dxfId="440" priority="143">
      <formula>$E$42="n/a"</formula>
    </cfRule>
  </conditionalFormatting>
  <conditionalFormatting sqref="F43">
    <cfRule type="expression" dxfId="439" priority="142">
      <formula>$E$43="n/a"</formula>
    </cfRule>
  </conditionalFormatting>
  <conditionalFormatting sqref="F44">
    <cfRule type="expression" dxfId="438" priority="141">
      <formula>$E$44="n/a"</formula>
    </cfRule>
  </conditionalFormatting>
  <conditionalFormatting sqref="F45">
    <cfRule type="expression" dxfId="437" priority="140">
      <formula>$E$45="n/a"</formula>
    </cfRule>
  </conditionalFormatting>
  <conditionalFormatting sqref="F46">
    <cfRule type="expression" dxfId="436" priority="139">
      <formula>$E$46="n/a"</formula>
    </cfRule>
  </conditionalFormatting>
  <conditionalFormatting sqref="F82">
    <cfRule type="expression" dxfId="435" priority="137">
      <formula>$E$82="n/a"</formula>
    </cfRule>
  </conditionalFormatting>
  <conditionalFormatting sqref="F81">
    <cfRule type="expression" dxfId="434" priority="136">
      <formula>$E$81="n/a"</formula>
    </cfRule>
  </conditionalFormatting>
  <conditionalFormatting sqref="F80">
    <cfRule type="expression" dxfId="433" priority="135">
      <formula>$E$80="n/a"</formula>
    </cfRule>
  </conditionalFormatting>
  <conditionalFormatting sqref="F79">
    <cfRule type="expression" dxfId="432" priority="134">
      <formula>$E$79="n/a"</formula>
    </cfRule>
  </conditionalFormatting>
  <conditionalFormatting sqref="F78">
    <cfRule type="expression" dxfId="431" priority="133">
      <formula>$E$78="n/a"</formula>
    </cfRule>
  </conditionalFormatting>
  <conditionalFormatting sqref="F77">
    <cfRule type="expression" dxfId="430" priority="132">
      <formula>$E$77="n/a"</formula>
    </cfRule>
  </conditionalFormatting>
  <conditionalFormatting sqref="F76">
    <cfRule type="expression" dxfId="429" priority="131">
      <formula>$E$76="n/a"</formula>
    </cfRule>
  </conditionalFormatting>
  <conditionalFormatting sqref="F75">
    <cfRule type="expression" dxfId="428" priority="130">
      <formula>$E$75="n/a"</formula>
    </cfRule>
  </conditionalFormatting>
  <conditionalFormatting sqref="F74">
    <cfRule type="expression" dxfId="427" priority="129">
      <formula>$E$74="n/a"</formula>
    </cfRule>
  </conditionalFormatting>
  <conditionalFormatting sqref="F73">
    <cfRule type="expression" dxfId="426" priority="127">
      <formula>$E$73="n/a"</formula>
    </cfRule>
  </conditionalFormatting>
  <conditionalFormatting sqref="F72">
    <cfRule type="expression" dxfId="425" priority="103">
      <formula>$E$72="n/a"</formula>
    </cfRule>
  </conditionalFormatting>
  <conditionalFormatting sqref="F47">
    <cfRule type="expression" dxfId="424" priority="138">
      <formula>$E$47="n/a"</formula>
    </cfRule>
  </conditionalFormatting>
  <conditionalFormatting sqref="F48">
    <cfRule type="expression" dxfId="423" priority="128">
      <formula>$E$48="n/a"</formula>
    </cfRule>
  </conditionalFormatting>
  <conditionalFormatting sqref="F49">
    <cfRule type="expression" dxfId="422" priority="126">
      <formula>$E$49="n/a"</formula>
    </cfRule>
  </conditionalFormatting>
  <conditionalFormatting sqref="F50">
    <cfRule type="expression" dxfId="421" priority="125">
      <formula>$E$50="n/a"</formula>
    </cfRule>
  </conditionalFormatting>
  <conditionalFormatting sqref="F51">
    <cfRule type="expression" dxfId="420" priority="124">
      <formula>$E$51="n/a"</formula>
    </cfRule>
  </conditionalFormatting>
  <conditionalFormatting sqref="F52">
    <cfRule type="expression" dxfId="419" priority="123">
      <formula>$E$52="n/a"</formula>
    </cfRule>
  </conditionalFormatting>
  <conditionalFormatting sqref="F53">
    <cfRule type="expression" dxfId="418" priority="122">
      <formula>$E$53="n/a"</formula>
    </cfRule>
  </conditionalFormatting>
  <conditionalFormatting sqref="F54">
    <cfRule type="expression" dxfId="417" priority="121">
      <formula>$E$54="n/a"</formula>
    </cfRule>
  </conditionalFormatting>
  <conditionalFormatting sqref="F55">
    <cfRule type="expression" dxfId="416" priority="120">
      <formula>$E$55="n/a"</formula>
    </cfRule>
  </conditionalFormatting>
  <conditionalFormatting sqref="F56">
    <cfRule type="expression" dxfId="415" priority="119">
      <formula>$E$56="n/a"</formula>
    </cfRule>
  </conditionalFormatting>
  <conditionalFormatting sqref="F57">
    <cfRule type="expression" dxfId="414" priority="118">
      <formula>$E$57="n/a"</formula>
    </cfRule>
  </conditionalFormatting>
  <conditionalFormatting sqref="F58">
    <cfRule type="expression" dxfId="413" priority="117">
      <formula>$E$58="n/a"</formula>
    </cfRule>
  </conditionalFormatting>
  <conditionalFormatting sqref="F59">
    <cfRule type="expression" dxfId="412" priority="116">
      <formula>$E$59="n/a"</formula>
    </cfRule>
  </conditionalFormatting>
  <conditionalFormatting sqref="F60">
    <cfRule type="expression" dxfId="411" priority="115">
      <formula>$E$60="n/a"</formula>
    </cfRule>
  </conditionalFormatting>
  <conditionalFormatting sqref="F61">
    <cfRule type="expression" dxfId="410" priority="114">
      <formula>$E$61="n/a"</formula>
    </cfRule>
  </conditionalFormatting>
  <conditionalFormatting sqref="F62">
    <cfRule type="expression" dxfId="409" priority="113">
      <formula>$E$62="n/a"</formula>
    </cfRule>
  </conditionalFormatting>
  <conditionalFormatting sqref="F63">
    <cfRule type="expression" dxfId="408" priority="112">
      <formula>$E$63="n/a"</formula>
    </cfRule>
  </conditionalFormatting>
  <conditionalFormatting sqref="F64">
    <cfRule type="expression" dxfId="407" priority="111">
      <formula>$E$64="n/a"</formula>
    </cfRule>
  </conditionalFormatting>
  <conditionalFormatting sqref="F65">
    <cfRule type="expression" dxfId="406" priority="110">
      <formula>$E$65="n/a"</formula>
    </cfRule>
  </conditionalFormatting>
  <conditionalFormatting sqref="F66">
    <cfRule type="expression" dxfId="405" priority="109">
      <formula>$E$66="n/a"</formula>
    </cfRule>
  </conditionalFormatting>
  <conditionalFormatting sqref="F67">
    <cfRule type="expression" dxfId="404" priority="108">
      <formula>$E$67="n/a"</formula>
    </cfRule>
  </conditionalFormatting>
  <conditionalFormatting sqref="F68">
    <cfRule type="expression" dxfId="403" priority="107">
      <formula>$E$68="n/a"</formula>
    </cfRule>
  </conditionalFormatting>
  <conditionalFormatting sqref="F69">
    <cfRule type="expression" dxfId="402" priority="106">
      <formula>$E$69="n/a"</formula>
    </cfRule>
  </conditionalFormatting>
  <conditionalFormatting sqref="F70">
    <cfRule type="expression" dxfId="401" priority="105">
      <formula>$E$70="n/a"</formula>
    </cfRule>
  </conditionalFormatting>
  <conditionalFormatting sqref="F71">
    <cfRule type="expression" dxfId="400" priority="104">
      <formula>$E$71="n/a"</formula>
    </cfRule>
  </conditionalFormatting>
  <conditionalFormatting sqref="I7">
    <cfRule type="expression" dxfId="399" priority="101">
      <formula>$B$7="v"</formula>
    </cfRule>
  </conditionalFormatting>
  <conditionalFormatting sqref="I8">
    <cfRule type="expression" dxfId="398" priority="100">
      <formula>$B$8="v"</formula>
    </cfRule>
  </conditionalFormatting>
  <conditionalFormatting sqref="I9">
    <cfRule type="expression" dxfId="397" priority="99">
      <formula>$B$9="v"</formula>
    </cfRule>
  </conditionalFormatting>
  <conditionalFormatting sqref="I10">
    <cfRule type="expression" dxfId="396" priority="98">
      <formula>$B$10="v"</formula>
    </cfRule>
  </conditionalFormatting>
  <conditionalFormatting sqref="I11">
    <cfRule type="expression" dxfId="395" priority="97">
      <formula>$B$11="v"</formula>
    </cfRule>
  </conditionalFormatting>
  <conditionalFormatting sqref="I12">
    <cfRule type="expression" dxfId="394" priority="96">
      <formula>$B$12="v"</formula>
    </cfRule>
  </conditionalFormatting>
  <conditionalFormatting sqref="I13">
    <cfRule type="expression" dxfId="393" priority="95">
      <formula>$B$13="v"</formula>
    </cfRule>
  </conditionalFormatting>
  <conditionalFormatting sqref="I14">
    <cfRule type="expression" dxfId="392" priority="94">
      <formula>$B$14="v"</formula>
    </cfRule>
  </conditionalFormatting>
  <conditionalFormatting sqref="I15">
    <cfRule type="expression" dxfId="391" priority="93">
      <formula>$B$15="v"</formula>
    </cfRule>
  </conditionalFormatting>
  <conditionalFormatting sqref="I16">
    <cfRule type="expression" dxfId="390" priority="92">
      <formula>$B$16="v"</formula>
    </cfRule>
  </conditionalFormatting>
  <conditionalFormatting sqref="I17">
    <cfRule type="expression" dxfId="389" priority="91">
      <formula>$B$17="v"</formula>
    </cfRule>
  </conditionalFormatting>
  <conditionalFormatting sqref="I18">
    <cfRule type="expression" dxfId="388" priority="90">
      <formula>$B$18="v"</formula>
    </cfRule>
  </conditionalFormatting>
  <conditionalFormatting sqref="I19">
    <cfRule type="expression" dxfId="387" priority="89">
      <formula>$B$19="v"</formula>
    </cfRule>
  </conditionalFormatting>
  <conditionalFormatting sqref="I20">
    <cfRule type="expression" dxfId="386" priority="88">
      <formula>$B$20="v"</formula>
    </cfRule>
  </conditionalFormatting>
  <conditionalFormatting sqref="I21">
    <cfRule type="expression" dxfId="385" priority="87">
      <formula>$B$21="v"</formula>
    </cfRule>
  </conditionalFormatting>
  <conditionalFormatting sqref="I22">
    <cfRule type="expression" dxfId="384" priority="86">
      <formula>$B$22="v"</formula>
    </cfRule>
  </conditionalFormatting>
  <conditionalFormatting sqref="I23">
    <cfRule type="expression" dxfId="383" priority="85">
      <formula>$B$23="v"</formula>
    </cfRule>
  </conditionalFormatting>
  <conditionalFormatting sqref="I24">
    <cfRule type="expression" dxfId="382" priority="84">
      <formula>$B$24="v"</formula>
    </cfRule>
  </conditionalFormatting>
  <conditionalFormatting sqref="I25">
    <cfRule type="expression" dxfId="381" priority="83">
      <formula>$B$25="v"</formula>
    </cfRule>
  </conditionalFormatting>
  <conditionalFormatting sqref="I26">
    <cfRule type="expression" dxfId="380" priority="82">
      <formula>$B$26="v"</formula>
    </cfRule>
  </conditionalFormatting>
  <conditionalFormatting sqref="I27">
    <cfRule type="expression" dxfId="379" priority="81">
      <formula>$B$27="v"</formula>
    </cfRule>
  </conditionalFormatting>
  <conditionalFormatting sqref="I28">
    <cfRule type="expression" dxfId="378" priority="80">
      <formula>$B$28="v"</formula>
    </cfRule>
  </conditionalFormatting>
  <conditionalFormatting sqref="I29">
    <cfRule type="expression" dxfId="377" priority="79">
      <formula>$B$29="v"</formula>
    </cfRule>
  </conditionalFormatting>
  <conditionalFormatting sqref="I30">
    <cfRule type="expression" dxfId="376" priority="78">
      <formula>$B$30="v"</formula>
    </cfRule>
  </conditionalFormatting>
  <conditionalFormatting sqref="I31">
    <cfRule type="expression" dxfId="375" priority="77">
      <formula>$B$31="v"</formula>
    </cfRule>
  </conditionalFormatting>
  <conditionalFormatting sqref="I32">
    <cfRule type="expression" dxfId="374" priority="76">
      <formula>$B$32="v"</formula>
    </cfRule>
  </conditionalFormatting>
  <conditionalFormatting sqref="I33">
    <cfRule type="expression" dxfId="373" priority="75">
      <formula>$B$33="v"</formula>
    </cfRule>
  </conditionalFormatting>
  <conditionalFormatting sqref="I34">
    <cfRule type="expression" dxfId="372" priority="74">
      <formula>$B$34="v"</formula>
    </cfRule>
  </conditionalFormatting>
  <conditionalFormatting sqref="I35">
    <cfRule type="expression" dxfId="371" priority="73">
      <formula>$B$35="v"</formula>
    </cfRule>
  </conditionalFormatting>
  <conditionalFormatting sqref="I36">
    <cfRule type="expression" dxfId="370" priority="72">
      <formula>$B$36="v"</formula>
    </cfRule>
  </conditionalFormatting>
  <conditionalFormatting sqref="I37">
    <cfRule type="expression" dxfId="369" priority="71">
      <formula>$B$37="v"</formula>
    </cfRule>
  </conditionalFormatting>
  <conditionalFormatting sqref="I38">
    <cfRule type="expression" dxfId="368" priority="70">
      <formula>$B$38="v"</formula>
    </cfRule>
  </conditionalFormatting>
  <conditionalFormatting sqref="I39">
    <cfRule type="expression" dxfId="367" priority="69">
      <formula>$B$39="v"</formula>
    </cfRule>
  </conditionalFormatting>
  <conditionalFormatting sqref="I40">
    <cfRule type="expression" dxfId="366" priority="68">
      <formula>$B$40="v"</formula>
    </cfRule>
  </conditionalFormatting>
  <conditionalFormatting sqref="I41">
    <cfRule type="expression" dxfId="365" priority="67">
      <formula>$B$41="v"</formula>
    </cfRule>
  </conditionalFormatting>
  <conditionalFormatting sqref="I42">
    <cfRule type="expression" dxfId="364" priority="66">
      <formula>$B$42="v"</formula>
    </cfRule>
  </conditionalFormatting>
  <conditionalFormatting sqref="I43">
    <cfRule type="expression" dxfId="363" priority="65">
      <formula>$B$43="v"</formula>
    </cfRule>
  </conditionalFormatting>
  <conditionalFormatting sqref="I44">
    <cfRule type="expression" dxfId="362" priority="64">
      <formula>$B$44="v"</formula>
    </cfRule>
  </conditionalFormatting>
  <conditionalFormatting sqref="I45">
    <cfRule type="expression" dxfId="361" priority="63">
      <formula>$B$45="v"</formula>
    </cfRule>
  </conditionalFormatting>
  <conditionalFormatting sqref="I46">
    <cfRule type="expression" dxfId="360" priority="62">
      <formula>$B$46="v"</formula>
    </cfRule>
  </conditionalFormatting>
  <conditionalFormatting sqref="I47">
    <cfRule type="expression" dxfId="359" priority="61">
      <formula>$B$47="v"</formula>
    </cfRule>
  </conditionalFormatting>
  <conditionalFormatting sqref="I48">
    <cfRule type="expression" dxfId="358" priority="60">
      <formula>$B$48="v"</formula>
    </cfRule>
  </conditionalFormatting>
  <conditionalFormatting sqref="I49">
    <cfRule type="expression" dxfId="357" priority="59">
      <formula>$B$49="v"</formula>
    </cfRule>
  </conditionalFormatting>
  <conditionalFormatting sqref="I50">
    <cfRule type="expression" dxfId="356" priority="58">
      <formula>$B$50="v"</formula>
    </cfRule>
  </conditionalFormatting>
  <conditionalFormatting sqref="I51">
    <cfRule type="expression" dxfId="355" priority="57">
      <formula>$B$51="v"</formula>
    </cfRule>
  </conditionalFormatting>
  <conditionalFormatting sqref="I52">
    <cfRule type="expression" dxfId="354" priority="56">
      <formula>$B$52="v"</formula>
    </cfRule>
  </conditionalFormatting>
  <conditionalFormatting sqref="I53">
    <cfRule type="expression" dxfId="353" priority="55">
      <formula>$B$53="v"</formula>
    </cfRule>
  </conditionalFormatting>
  <conditionalFormatting sqref="I54">
    <cfRule type="expression" dxfId="352" priority="54">
      <formula>$B$54="v"</formula>
    </cfRule>
  </conditionalFormatting>
  <conditionalFormatting sqref="I55">
    <cfRule type="expression" dxfId="351" priority="53">
      <formula>$B$55="v"</formula>
    </cfRule>
  </conditionalFormatting>
  <conditionalFormatting sqref="I56">
    <cfRule type="expression" dxfId="350" priority="52">
      <formula>$B$56="v"</formula>
    </cfRule>
  </conditionalFormatting>
  <conditionalFormatting sqref="I57">
    <cfRule type="expression" dxfId="349" priority="51">
      <formula>$B$57="v"</formula>
    </cfRule>
  </conditionalFormatting>
  <conditionalFormatting sqref="I58">
    <cfRule type="expression" dxfId="348" priority="50">
      <formula>$B$58="v"</formula>
    </cfRule>
  </conditionalFormatting>
  <conditionalFormatting sqref="I59">
    <cfRule type="expression" dxfId="347" priority="49">
      <formula>$B$59="v"</formula>
    </cfRule>
  </conditionalFormatting>
  <conditionalFormatting sqref="I60">
    <cfRule type="expression" dxfId="346" priority="48">
      <formula>$B$60="v"</formula>
    </cfRule>
  </conditionalFormatting>
  <conditionalFormatting sqref="I61">
    <cfRule type="expression" dxfId="345" priority="47">
      <formula>$B$61="v"</formula>
    </cfRule>
  </conditionalFormatting>
  <conditionalFormatting sqref="I62">
    <cfRule type="expression" dxfId="344" priority="46">
      <formula>$B$62="v"</formula>
    </cfRule>
  </conditionalFormatting>
  <conditionalFormatting sqref="I63">
    <cfRule type="expression" dxfId="343" priority="45">
      <formula>$B$63="v"</formula>
    </cfRule>
  </conditionalFormatting>
  <conditionalFormatting sqref="I64">
    <cfRule type="expression" dxfId="342" priority="44">
      <formula>$B$64="v"</formula>
    </cfRule>
  </conditionalFormatting>
  <conditionalFormatting sqref="I65">
    <cfRule type="expression" dxfId="341" priority="43">
      <formula>$B$65="v"</formula>
    </cfRule>
  </conditionalFormatting>
  <conditionalFormatting sqref="I66">
    <cfRule type="expression" dxfId="340" priority="42">
      <formula>$B$66="v"</formula>
    </cfRule>
  </conditionalFormatting>
  <conditionalFormatting sqref="I67">
    <cfRule type="expression" dxfId="339" priority="41">
      <formula>$B$67="v"</formula>
    </cfRule>
  </conditionalFormatting>
  <conditionalFormatting sqref="I68">
    <cfRule type="expression" dxfId="338" priority="40">
      <formula>$B$68="v"</formula>
    </cfRule>
  </conditionalFormatting>
  <conditionalFormatting sqref="I69">
    <cfRule type="expression" dxfId="337" priority="39">
      <formula>$B$69="v"</formula>
    </cfRule>
  </conditionalFormatting>
  <conditionalFormatting sqref="I70">
    <cfRule type="expression" dxfId="336" priority="38">
      <formula>$B$70="v"</formula>
    </cfRule>
  </conditionalFormatting>
  <conditionalFormatting sqref="I71">
    <cfRule type="expression" dxfId="335" priority="37">
      <formula>$B$71="v"</formula>
    </cfRule>
  </conditionalFormatting>
  <conditionalFormatting sqref="I72">
    <cfRule type="expression" dxfId="334" priority="36">
      <formula>$B$72="v"</formula>
    </cfRule>
  </conditionalFormatting>
  <conditionalFormatting sqref="I73">
    <cfRule type="expression" dxfId="333" priority="35">
      <formula>$B$73="v"</formula>
    </cfRule>
  </conditionalFormatting>
  <conditionalFormatting sqref="I74">
    <cfRule type="expression" dxfId="332" priority="34">
      <formula>$B$74="v"</formula>
    </cfRule>
  </conditionalFormatting>
  <conditionalFormatting sqref="I75">
    <cfRule type="expression" dxfId="331" priority="33">
      <formula>$B$75="v"</formula>
    </cfRule>
  </conditionalFormatting>
  <conditionalFormatting sqref="I76">
    <cfRule type="expression" dxfId="330" priority="32">
      <formula>$B$76="v"</formula>
    </cfRule>
  </conditionalFormatting>
  <conditionalFormatting sqref="I77">
    <cfRule type="expression" dxfId="329" priority="31">
      <formula>$B$77="v"</formula>
    </cfRule>
  </conditionalFormatting>
  <conditionalFormatting sqref="I78">
    <cfRule type="expression" dxfId="328" priority="30">
      <formula>$B$78="v"</formula>
    </cfRule>
  </conditionalFormatting>
  <conditionalFormatting sqref="I79">
    <cfRule type="expression" dxfId="327" priority="29">
      <formula>$B$79="v"</formula>
    </cfRule>
  </conditionalFormatting>
  <conditionalFormatting sqref="I80">
    <cfRule type="expression" dxfId="326" priority="28">
      <formula>$B$80="v"</formula>
    </cfRule>
  </conditionalFormatting>
  <conditionalFormatting sqref="I81">
    <cfRule type="expression" dxfId="325" priority="27">
      <formula>$B$81="v"</formula>
    </cfRule>
  </conditionalFormatting>
  <conditionalFormatting sqref="I82">
    <cfRule type="expression" dxfId="324" priority="26">
      <formula>$B$82="v"</formula>
    </cfRule>
  </conditionalFormatting>
  <conditionalFormatting sqref="L5:N6">
    <cfRule type="expression" dxfId="323" priority="191">
      <formula>$K$4=1</formula>
    </cfRule>
  </conditionalFormatting>
  <conditionalFormatting sqref="L7:N82">
    <cfRule type="expression" dxfId="322" priority="193">
      <formula>$K$4=1</formula>
    </cfRule>
  </conditionalFormatting>
  <conditionalFormatting sqref="M4:N4">
    <cfRule type="expression" dxfId="321" priority="17" stopIfTrue="1">
      <formula>$K$4=1</formula>
    </cfRule>
  </conditionalFormatting>
  <conditionalFormatting sqref="L7:N82">
    <cfRule type="expression" dxfId="320" priority="183">
      <formula>$K$4=""</formula>
    </cfRule>
  </conditionalFormatting>
  <conditionalFormatting sqref="P5:R6">
    <cfRule type="expression" dxfId="319" priority="194">
      <formula>$O$4=1</formula>
    </cfRule>
  </conditionalFormatting>
  <conditionalFormatting sqref="P7:R82">
    <cfRule type="expression" dxfId="318" priority="197">
      <formula>$O$4=1</formula>
    </cfRule>
  </conditionalFormatting>
  <conditionalFormatting sqref="Q4:R4">
    <cfRule type="expression" dxfId="317" priority="196">
      <formula>$O$4=1</formula>
    </cfRule>
  </conditionalFormatting>
  <conditionalFormatting sqref="P7:R82">
    <cfRule type="expression" dxfId="316" priority="181">
      <formula>$O$4=""</formula>
    </cfRule>
  </conditionalFormatting>
  <conditionalFormatting sqref="T5:V6">
    <cfRule type="expression" dxfId="315" priority="198">
      <formula>$S$4=1</formula>
    </cfRule>
  </conditionalFormatting>
  <conditionalFormatting sqref="T7:V82">
    <cfRule type="expression" dxfId="314" priority="243">
      <formula>$S$4=1</formula>
    </cfRule>
  </conditionalFormatting>
  <conditionalFormatting sqref="U4:V4">
    <cfRule type="expression" dxfId="313" priority="200">
      <formula>$S$4=1</formula>
    </cfRule>
  </conditionalFormatting>
  <conditionalFormatting sqref="T7:V82">
    <cfRule type="expression" dxfId="312" priority="179">
      <formula>$S$4=""</formula>
    </cfRule>
  </conditionalFormatting>
  <conditionalFormatting sqref="X5:Z6">
    <cfRule type="expression" dxfId="311" priority="202">
      <formula>$W$4=1</formula>
    </cfRule>
  </conditionalFormatting>
  <conditionalFormatting sqref="X7:Z82">
    <cfRule type="expression" dxfId="310" priority="240">
      <formula>$W$4=1</formula>
    </cfRule>
  </conditionalFormatting>
  <conditionalFormatting sqref="Y4:Z4">
    <cfRule type="expression" dxfId="309" priority="204">
      <formula>$W$4=1</formula>
    </cfRule>
  </conditionalFormatting>
  <conditionalFormatting sqref="X7:Z82">
    <cfRule type="expression" dxfId="308" priority="180">
      <formula>$W$4=""</formula>
    </cfRule>
  </conditionalFormatting>
  <conditionalFormatting sqref="AB5:AD6">
    <cfRule type="expression" dxfId="307" priority="206">
      <formula>$AA$4=1</formula>
    </cfRule>
  </conditionalFormatting>
  <conditionalFormatting sqref="AB7:AD82">
    <cfRule type="expression" dxfId="306" priority="209">
      <formula>$AA$4=1</formula>
    </cfRule>
  </conditionalFormatting>
  <conditionalFormatting sqref="AC4:AD4">
    <cfRule type="expression" dxfId="305" priority="208">
      <formula>$AA$4=1</formula>
    </cfRule>
  </conditionalFormatting>
  <conditionalFormatting sqref="AB7:AD82">
    <cfRule type="expression" dxfId="304" priority="199">
      <formula>$AA$4=""</formula>
    </cfRule>
  </conditionalFormatting>
  <conditionalFormatting sqref="AF5:AH6">
    <cfRule type="expression" dxfId="303" priority="210">
      <formula>$AE$4=1</formula>
    </cfRule>
  </conditionalFormatting>
  <conditionalFormatting sqref="AF7:AH82">
    <cfRule type="expression" dxfId="302" priority="213">
      <formula>$AE$4=1</formula>
    </cfRule>
  </conditionalFormatting>
  <conditionalFormatting sqref="AG4:AH4">
    <cfRule type="expression" dxfId="301" priority="212">
      <formula>$AE$4=1</formula>
    </cfRule>
  </conditionalFormatting>
  <conditionalFormatting sqref="AF7:AH82">
    <cfRule type="expression" dxfId="300" priority="201">
      <formula>$AE$4=""</formula>
    </cfRule>
  </conditionalFormatting>
  <conditionalFormatting sqref="AJ7:AL82">
    <cfRule type="expression" dxfId="299" priority="217">
      <formula>$AI$4=1</formula>
    </cfRule>
  </conditionalFormatting>
  <conditionalFormatting sqref="AK4:AL4">
    <cfRule type="expression" dxfId="298" priority="215">
      <formula>$AI$4=1</formula>
    </cfRule>
  </conditionalFormatting>
  <conditionalFormatting sqref="AJ5:AL6">
    <cfRule type="expression" dxfId="297" priority="216">
      <formula>$AI$4=1</formula>
    </cfRule>
  </conditionalFormatting>
  <conditionalFormatting sqref="AJ7:AL82">
    <cfRule type="expression" dxfId="296" priority="203">
      <formula>$AI$4=""</formula>
    </cfRule>
  </conditionalFormatting>
  <conditionalFormatting sqref="AN7:AP82">
    <cfRule type="expression" dxfId="295" priority="221">
      <formula>$AM$4=1</formula>
    </cfRule>
  </conditionalFormatting>
  <conditionalFormatting sqref="AO4:AP4 AS4:AT4">
    <cfRule type="expression" dxfId="294" priority="219">
      <formula>AQ$4=1</formula>
    </cfRule>
  </conditionalFormatting>
  <conditionalFormatting sqref="AN5:AP6">
    <cfRule type="expression" dxfId="293" priority="220">
      <formula>$AM$4=1</formula>
    </cfRule>
  </conditionalFormatting>
  <conditionalFormatting sqref="AN7:AP82">
    <cfRule type="expression" dxfId="292" priority="205">
      <formula>$AM$4=""</formula>
    </cfRule>
  </conditionalFormatting>
  <conditionalFormatting sqref="AR7:AT82">
    <cfRule type="expression" dxfId="291" priority="224">
      <formula>$AQ$4=1</formula>
    </cfRule>
  </conditionalFormatting>
  <conditionalFormatting sqref="AR5:AT6">
    <cfRule type="expression" dxfId="290" priority="223">
      <formula>$AQ$4=1</formula>
    </cfRule>
  </conditionalFormatting>
  <conditionalFormatting sqref="AR7:AT82">
    <cfRule type="expression" dxfId="289" priority="207">
      <formula>$AQ$4=""</formula>
    </cfRule>
  </conditionalFormatting>
  <conditionalFormatting sqref="AV7:AX82">
    <cfRule type="expression" dxfId="288" priority="227">
      <formula>$AU$4=1</formula>
    </cfRule>
  </conditionalFormatting>
  <conditionalFormatting sqref="AV5:AX6">
    <cfRule type="expression" dxfId="287" priority="226">
      <formula>$AU$4=1</formula>
    </cfRule>
  </conditionalFormatting>
  <conditionalFormatting sqref="AV7:AX82">
    <cfRule type="expression" dxfId="286" priority="178">
      <formula>$AU$4=""</formula>
    </cfRule>
  </conditionalFormatting>
  <conditionalFormatting sqref="AZ7:BB82">
    <cfRule type="expression" dxfId="285" priority="230">
      <formula>$AY$4=1</formula>
    </cfRule>
  </conditionalFormatting>
  <conditionalFormatting sqref="AZ5:BB6">
    <cfRule type="expression" dxfId="284" priority="229">
      <formula>$AY$4=1</formula>
    </cfRule>
  </conditionalFormatting>
  <conditionalFormatting sqref="AZ7:BB82">
    <cfRule type="expression" dxfId="283" priority="211">
      <formula>$AY$4=""</formula>
    </cfRule>
  </conditionalFormatting>
  <conditionalFormatting sqref="BD7:BF82">
    <cfRule type="expression" dxfId="282" priority="233">
      <formula>$BC$4=1</formula>
    </cfRule>
  </conditionalFormatting>
  <conditionalFormatting sqref="BD5:BF6">
    <cfRule type="expression" dxfId="281" priority="232">
      <formula>$BC$4=1</formula>
    </cfRule>
  </conditionalFormatting>
  <conditionalFormatting sqref="BD7:BF82">
    <cfRule type="expression" dxfId="280" priority="214">
      <formula>$BC$4=""</formula>
    </cfRule>
  </conditionalFormatting>
  <conditionalFormatting sqref="BH7:BJ82">
    <cfRule type="expression" dxfId="279" priority="236">
      <formula>$BG$4=1</formula>
    </cfRule>
  </conditionalFormatting>
  <conditionalFormatting sqref="BH5:BJ6">
    <cfRule type="expression" dxfId="278" priority="235">
      <formula>$BG$4=1</formula>
    </cfRule>
  </conditionalFormatting>
  <conditionalFormatting sqref="BH7:BJ82">
    <cfRule type="expression" dxfId="277" priority="218">
      <formula>$BG$4=""</formula>
    </cfRule>
  </conditionalFormatting>
  <conditionalFormatting sqref="BL7:BN82">
    <cfRule type="expression" dxfId="276" priority="239">
      <formula>$BK$4=1</formula>
    </cfRule>
  </conditionalFormatting>
  <conditionalFormatting sqref="BL5:BN6">
    <cfRule type="expression" dxfId="275" priority="238">
      <formula>$BK$4=1</formula>
    </cfRule>
  </conditionalFormatting>
  <conditionalFormatting sqref="BL7:BN82">
    <cfRule type="expression" dxfId="274" priority="222">
      <formula>$BK$4=""</formula>
    </cfRule>
  </conditionalFormatting>
  <conditionalFormatting sqref="BP7:BR82">
    <cfRule type="expression" dxfId="273" priority="242">
      <formula>$BO$4=1</formula>
    </cfRule>
  </conditionalFormatting>
  <conditionalFormatting sqref="BP5:BR6">
    <cfRule type="expression" dxfId="272" priority="241">
      <formula>$BO$4=1</formula>
    </cfRule>
  </conditionalFormatting>
  <conditionalFormatting sqref="BP7:BR82">
    <cfRule type="expression" dxfId="271" priority="228">
      <formula>$BO$4=""</formula>
    </cfRule>
  </conditionalFormatting>
  <conditionalFormatting sqref="BT7:BV82">
    <cfRule type="expression" dxfId="270" priority="245">
      <formula>$BS$4=1</formula>
    </cfRule>
  </conditionalFormatting>
  <conditionalFormatting sqref="BT5:BV6">
    <cfRule type="expression" dxfId="269" priority="244">
      <formula>$BS$4=1</formula>
    </cfRule>
  </conditionalFormatting>
  <conditionalFormatting sqref="BT7:BV82">
    <cfRule type="expression" dxfId="268" priority="231">
      <formula>$BS$4=""</formula>
    </cfRule>
  </conditionalFormatting>
  <conditionalFormatting sqref="AW4:AX4">
    <cfRule type="expression" dxfId="267" priority="25">
      <formula>AU$4=1</formula>
    </cfRule>
  </conditionalFormatting>
  <conditionalFormatting sqref="BA4:BB4">
    <cfRule type="expression" dxfId="266" priority="24">
      <formula>AY$4=1</formula>
    </cfRule>
  </conditionalFormatting>
  <conditionalFormatting sqref="BE4:BF4">
    <cfRule type="expression" dxfId="265" priority="23">
      <formula>BC$4=1</formula>
    </cfRule>
  </conditionalFormatting>
  <conditionalFormatting sqref="BI4:BJ4">
    <cfRule type="expression" dxfId="264" priority="22">
      <formula>BG$4=1</formula>
    </cfRule>
  </conditionalFormatting>
  <conditionalFormatting sqref="BM4:BN4">
    <cfRule type="expression" dxfId="263" priority="21">
      <formula>BK$4=1</formula>
    </cfRule>
  </conditionalFormatting>
  <conditionalFormatting sqref="BQ4:BR4">
    <cfRule type="expression" dxfId="262" priority="20">
      <formula>BO$4=1</formula>
    </cfRule>
  </conditionalFormatting>
  <conditionalFormatting sqref="BU4:BV4">
    <cfRule type="expression" dxfId="261" priority="19">
      <formula>BS$4=1</formula>
    </cfRule>
  </conditionalFormatting>
  <conditionalFormatting sqref="E4">
    <cfRule type="expression" dxfId="260" priority="18">
      <formula>$F$4=""</formula>
    </cfRule>
  </conditionalFormatting>
  <conditionalFormatting sqref="L4">
    <cfRule type="expression" dxfId="259" priority="16">
      <formula>$K$4=1</formula>
    </cfRule>
  </conditionalFormatting>
  <conditionalFormatting sqref="P4">
    <cfRule type="expression" dxfId="258" priority="15">
      <formula>$O$4=1</formula>
    </cfRule>
  </conditionalFormatting>
  <conditionalFormatting sqref="T4">
    <cfRule type="expression" dxfId="257" priority="14">
      <formula>$S$4=1</formula>
    </cfRule>
  </conditionalFormatting>
  <conditionalFormatting sqref="X4">
    <cfRule type="expression" dxfId="256" priority="13">
      <formula>W4=1</formula>
    </cfRule>
  </conditionalFormatting>
  <conditionalFormatting sqref="AB4">
    <cfRule type="expression" dxfId="255" priority="12">
      <formula>AA4=1</formula>
    </cfRule>
  </conditionalFormatting>
  <conditionalFormatting sqref="AF4">
    <cfRule type="expression" dxfId="254" priority="11">
      <formula>AE4=1</formula>
    </cfRule>
  </conditionalFormatting>
  <conditionalFormatting sqref="AJ4">
    <cfRule type="expression" dxfId="253" priority="10">
      <formula>AI4=1</formula>
    </cfRule>
  </conditionalFormatting>
  <conditionalFormatting sqref="AN4">
    <cfRule type="expression" dxfId="252" priority="9">
      <formula>AM4=1</formula>
    </cfRule>
  </conditionalFormatting>
  <conditionalFormatting sqref="AR4">
    <cfRule type="expression" dxfId="251" priority="8">
      <formula>AQ4=1</formula>
    </cfRule>
  </conditionalFormatting>
  <conditionalFormatting sqref="AV4">
    <cfRule type="expression" dxfId="250" priority="7">
      <formula>AU4=1</formula>
    </cfRule>
  </conditionalFormatting>
  <conditionalFormatting sqref="AZ4">
    <cfRule type="expression" dxfId="249" priority="6">
      <formula>AY4=1</formula>
    </cfRule>
  </conditionalFormatting>
  <conditionalFormatting sqref="BD4">
    <cfRule type="expression" dxfId="248" priority="5">
      <formula>BC4=1</formula>
    </cfRule>
  </conditionalFormatting>
  <conditionalFormatting sqref="BH4">
    <cfRule type="expression" dxfId="247" priority="4">
      <formula>BG4=1</formula>
    </cfRule>
  </conditionalFormatting>
  <conditionalFormatting sqref="BL4">
    <cfRule type="expression" dxfId="246" priority="3">
      <formula>BK4=1</formula>
    </cfRule>
  </conditionalFormatting>
  <conditionalFormatting sqref="BP4">
    <cfRule type="expression" dxfId="245" priority="2">
      <formula>BO4=1</formula>
    </cfRule>
  </conditionalFormatting>
  <conditionalFormatting sqref="BT4">
    <cfRule type="expression" dxfId="244" priority="1">
      <formula>BS4=1</formula>
    </cfRule>
  </conditionalFormatting>
  <dataValidations count="3">
    <dataValidation type="list" allowBlank="1" showInputMessage="1" showErrorMessage="1" sqref="BP7:BP82 AV7:AV82 BL7:BL82 BT7:BT82 BH7:BH82 BD7:BD82 AZ7:AZ82" xr:uid="{097B09ED-7A18-42D7-85C4-1D6DFD0C1AF6}">
      <formula1>"&lt;, &lt;=, &gt;, &gt;=, ="</formula1>
    </dataValidation>
    <dataValidation type="list" allowBlank="1" showInputMessage="1" showErrorMessage="1" sqref="B7:B82" xr:uid="{DBDF999C-EA04-4F9B-9DFA-0E9594155259}">
      <formula1>"v"</formula1>
    </dataValidation>
    <dataValidation type="list" allowBlank="1" showInputMessage="1" showErrorMessage="1" sqref="F2" xr:uid="{E20BEBD0-FD18-4FAE-BDA1-BD9E039CDF0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F68B29B-1037-41A4-A103-0A522DFC4DCA}">
          <x14:formula1>
            <xm:f>Sheet3!$A$2:$A$49</xm:f>
          </x14:formula1>
          <xm:sqref>F3</xm:sqref>
        </x14:dataValidation>
        <x14:dataValidation type="list" allowBlank="1" showInputMessage="1" xr:uid="{8C22A1C5-6F6B-4E0D-AE67-B1204599C15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1B87-2266-4D7A-B745-8D1A2B8C1ED9}">
  <sheetPr codeName="Sheet13">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692</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43" priority="188">
      <formula>$F$1=1</formula>
    </cfRule>
    <cfRule type="expression" priority="189">
      <formula>$F$1</formula>
    </cfRule>
  </conditionalFormatting>
  <conditionalFormatting sqref="J4">
    <cfRule type="expression" dxfId="242" priority="190">
      <formula>$F$1=1</formula>
    </cfRule>
  </conditionalFormatting>
  <conditionalFormatting sqref="C7:G82">
    <cfRule type="expression" dxfId="241" priority="102">
      <formula>$B7="v"</formula>
    </cfRule>
  </conditionalFormatting>
  <conditionalFormatting sqref="H7:H82">
    <cfRule type="expression" dxfId="240" priority="186">
      <formula>$B7="v"</formula>
    </cfRule>
  </conditionalFormatting>
  <conditionalFormatting sqref="N7:N82">
    <cfRule type="expression" dxfId="239" priority="185">
      <formula>$B7="v"</formula>
    </cfRule>
  </conditionalFormatting>
  <conditionalFormatting sqref="M7:M82">
    <cfRule type="expression" dxfId="238" priority="184">
      <formula>$B7="v"</formula>
    </cfRule>
  </conditionalFormatting>
  <conditionalFormatting sqref="L7:L82">
    <cfRule type="expression" dxfId="237" priority="192">
      <formula>$B7="v"</formula>
    </cfRule>
  </conditionalFormatting>
  <conditionalFormatting sqref="P7:Q82">
    <cfRule type="expression" dxfId="236" priority="195">
      <formula>$B7="v"</formula>
    </cfRule>
  </conditionalFormatting>
  <conditionalFormatting sqref="R7:R82">
    <cfRule type="expression" dxfId="235" priority="182">
      <formula>$B7="v"</formula>
    </cfRule>
  </conditionalFormatting>
  <conditionalFormatting sqref="Z7:Z82 V7:V82 AL7:AL82 AH7:AH82 AD7:AD82 AX7:AX82 AT7:AT82 AP7:AP82 BJ7:BJ82 BF7:BF82 BB7:BB82 BV7:BV82 BR7:BR82 BN7:BN82">
    <cfRule type="expression" dxfId="234" priority="234">
      <formula>$B7="v"</formula>
    </cfRule>
  </conditionalFormatting>
  <conditionalFormatting sqref="X7:Y82 T7:U82 AJ7:AK82 AF7:AG82 AB7:AC82 AR7:AS82 AN7:AO82 BH7:BI82 BD7:BE82 AZ7:BA82 BT7:BU82 BP7:BQ82 BL7:BM82">
    <cfRule type="expression" dxfId="233" priority="237">
      <formula>$B7="v"</formula>
    </cfRule>
  </conditionalFormatting>
  <conditionalFormatting sqref="AV7:AW82">
    <cfRule type="expression" dxfId="232" priority="225">
      <formula>$B7="v"</formula>
    </cfRule>
  </conditionalFormatting>
  <conditionalFormatting sqref="F25">
    <cfRule type="expression" dxfId="231" priority="177">
      <formula>$E$25="n/a"</formula>
    </cfRule>
  </conditionalFormatting>
  <conditionalFormatting sqref="F7">
    <cfRule type="expression" dxfId="230" priority="176">
      <formula>$E$7="n/a"</formula>
    </cfRule>
  </conditionalFormatting>
  <conditionalFormatting sqref="F8">
    <cfRule type="expression" dxfId="229" priority="187">
      <formula>$E$8="n/a"</formula>
    </cfRule>
  </conditionalFormatting>
  <conditionalFormatting sqref="F9">
    <cfRule type="expression" dxfId="228" priority="175">
      <formula>$E$9="n/a"</formula>
    </cfRule>
  </conditionalFormatting>
  <conditionalFormatting sqref="F10">
    <cfRule type="expression" dxfId="227" priority="174">
      <formula>$E$10="n/a"</formula>
    </cfRule>
  </conditionalFormatting>
  <conditionalFormatting sqref="F11">
    <cfRule type="expression" dxfId="226" priority="173">
      <formula>$E$11="n/a"</formula>
    </cfRule>
  </conditionalFormatting>
  <conditionalFormatting sqref="F12">
    <cfRule type="expression" dxfId="225" priority="172">
      <formula>$E$12="n/a"</formula>
    </cfRule>
  </conditionalFormatting>
  <conditionalFormatting sqref="F13">
    <cfRule type="expression" dxfId="224" priority="171">
      <formula>$E$13="n/a"</formula>
    </cfRule>
  </conditionalFormatting>
  <conditionalFormatting sqref="F14">
    <cfRule type="expression" dxfId="223" priority="170">
      <formula>$E$14="n/a"</formula>
    </cfRule>
  </conditionalFormatting>
  <conditionalFormatting sqref="F15">
    <cfRule type="expression" dxfId="222" priority="169">
      <formula>$E$15="n/a"</formula>
    </cfRule>
  </conditionalFormatting>
  <conditionalFormatting sqref="F16">
    <cfRule type="expression" dxfId="221" priority="168">
      <formula>$E$16="n/a"</formula>
    </cfRule>
  </conditionalFormatting>
  <conditionalFormatting sqref="F17">
    <cfRule type="expression" dxfId="220" priority="167">
      <formula>$E$17="n/a"</formula>
    </cfRule>
  </conditionalFormatting>
  <conditionalFormatting sqref="F18">
    <cfRule type="expression" dxfId="219" priority="166">
      <formula>$E$18="n/a"</formula>
    </cfRule>
  </conditionalFormatting>
  <conditionalFormatting sqref="F19">
    <cfRule type="expression" dxfId="218" priority="165">
      <formula>$E$19="n/a"</formula>
    </cfRule>
  </conditionalFormatting>
  <conditionalFormatting sqref="F20">
    <cfRule type="expression" dxfId="217" priority="164">
      <formula>$E$20="n/a"</formula>
    </cfRule>
  </conditionalFormatting>
  <conditionalFormatting sqref="F21">
    <cfRule type="expression" dxfId="216" priority="163">
      <formula>$E$21="n/a"</formula>
    </cfRule>
  </conditionalFormatting>
  <conditionalFormatting sqref="F22">
    <cfRule type="expression" dxfId="215" priority="162">
      <formula>$E$22="n/a"</formula>
    </cfRule>
  </conditionalFormatting>
  <conditionalFormatting sqref="F23">
    <cfRule type="expression" dxfId="214" priority="161">
      <formula>$E$23="n/a"</formula>
    </cfRule>
  </conditionalFormatting>
  <conditionalFormatting sqref="F24">
    <cfRule type="expression" dxfId="213" priority="160">
      <formula>$E$24="n/a"</formula>
    </cfRule>
  </conditionalFormatting>
  <conditionalFormatting sqref="F26">
    <cfRule type="expression" dxfId="212" priority="159">
      <formula>$E$26="n/a"</formula>
    </cfRule>
  </conditionalFormatting>
  <conditionalFormatting sqref="F27">
    <cfRule type="expression" dxfId="211" priority="158">
      <formula>$E$27="n/a"</formula>
    </cfRule>
  </conditionalFormatting>
  <conditionalFormatting sqref="F28">
    <cfRule type="expression" dxfId="210" priority="157">
      <formula>$E$28="n/a"</formula>
    </cfRule>
  </conditionalFormatting>
  <conditionalFormatting sqref="F29">
    <cfRule type="expression" dxfId="209" priority="156">
      <formula>$E$29="n/a"</formula>
    </cfRule>
  </conditionalFormatting>
  <conditionalFormatting sqref="F30">
    <cfRule type="expression" dxfId="208" priority="155">
      <formula>$E$30="n/a"</formula>
    </cfRule>
  </conditionalFormatting>
  <conditionalFormatting sqref="F31">
    <cfRule type="expression" dxfId="207" priority="154">
      <formula>$E$31="n/a"</formula>
    </cfRule>
  </conditionalFormatting>
  <conditionalFormatting sqref="F32">
    <cfRule type="expression" dxfId="206" priority="153">
      <formula>$E$32="n/a"</formula>
    </cfRule>
  </conditionalFormatting>
  <conditionalFormatting sqref="F33">
    <cfRule type="expression" dxfId="205" priority="152">
      <formula>$E$33="n/a"</formula>
    </cfRule>
  </conditionalFormatting>
  <conditionalFormatting sqref="F34">
    <cfRule type="expression" dxfId="204" priority="151">
      <formula>$E$34="n/a"</formula>
    </cfRule>
  </conditionalFormatting>
  <conditionalFormatting sqref="F35">
    <cfRule type="expression" dxfId="203" priority="150">
      <formula>$E$35="n/a"</formula>
    </cfRule>
  </conditionalFormatting>
  <conditionalFormatting sqref="F36">
    <cfRule type="expression" dxfId="202" priority="149">
      <formula>$E$36="n/a"</formula>
    </cfRule>
  </conditionalFormatting>
  <conditionalFormatting sqref="F37">
    <cfRule type="expression" dxfId="201" priority="148">
      <formula>$E$37="n/a"</formula>
    </cfRule>
  </conditionalFormatting>
  <conditionalFormatting sqref="F38">
    <cfRule type="expression" dxfId="200" priority="147">
      <formula>$E$38="n/a"</formula>
    </cfRule>
  </conditionalFormatting>
  <conditionalFormatting sqref="F39">
    <cfRule type="expression" dxfId="199" priority="146">
      <formula>$E$39="n/a"</formula>
    </cfRule>
  </conditionalFormatting>
  <conditionalFormatting sqref="F40">
    <cfRule type="expression" dxfId="198" priority="145">
      <formula>$E$40="n/a"</formula>
    </cfRule>
  </conditionalFormatting>
  <conditionalFormatting sqref="F41">
    <cfRule type="expression" dxfId="197" priority="144">
      <formula>$E$41="n/a"</formula>
    </cfRule>
  </conditionalFormatting>
  <conditionalFormatting sqref="F42">
    <cfRule type="expression" dxfId="196" priority="143">
      <formula>$E$42="n/a"</formula>
    </cfRule>
  </conditionalFormatting>
  <conditionalFormatting sqref="F43">
    <cfRule type="expression" dxfId="195" priority="142">
      <formula>$E$43="n/a"</formula>
    </cfRule>
  </conditionalFormatting>
  <conditionalFormatting sqref="F44">
    <cfRule type="expression" dxfId="194" priority="141">
      <formula>$E$44="n/a"</formula>
    </cfRule>
  </conditionalFormatting>
  <conditionalFormatting sqref="F45">
    <cfRule type="expression" dxfId="193" priority="140">
      <formula>$E$45="n/a"</formula>
    </cfRule>
  </conditionalFormatting>
  <conditionalFormatting sqref="F46">
    <cfRule type="expression" dxfId="192" priority="139">
      <formula>$E$46="n/a"</formula>
    </cfRule>
  </conditionalFormatting>
  <conditionalFormatting sqref="F82">
    <cfRule type="expression" dxfId="191" priority="137">
      <formula>$E$82="n/a"</formula>
    </cfRule>
  </conditionalFormatting>
  <conditionalFormatting sqref="F81">
    <cfRule type="expression" dxfId="190" priority="136">
      <formula>$E$81="n/a"</formula>
    </cfRule>
  </conditionalFormatting>
  <conditionalFormatting sqref="F80">
    <cfRule type="expression" dxfId="189" priority="135">
      <formula>$E$80="n/a"</formula>
    </cfRule>
  </conditionalFormatting>
  <conditionalFormatting sqref="F79">
    <cfRule type="expression" dxfId="188" priority="134">
      <formula>$E$79="n/a"</formula>
    </cfRule>
  </conditionalFormatting>
  <conditionalFormatting sqref="F78">
    <cfRule type="expression" dxfId="187" priority="133">
      <formula>$E$78="n/a"</formula>
    </cfRule>
  </conditionalFormatting>
  <conditionalFormatting sqref="F77">
    <cfRule type="expression" dxfId="186" priority="132">
      <formula>$E$77="n/a"</formula>
    </cfRule>
  </conditionalFormatting>
  <conditionalFormatting sqref="F76">
    <cfRule type="expression" dxfId="185" priority="131">
      <formula>$E$76="n/a"</formula>
    </cfRule>
  </conditionalFormatting>
  <conditionalFormatting sqref="F75">
    <cfRule type="expression" dxfId="184" priority="130">
      <formula>$E$75="n/a"</formula>
    </cfRule>
  </conditionalFormatting>
  <conditionalFormatting sqref="F74">
    <cfRule type="expression" dxfId="183" priority="129">
      <formula>$E$74="n/a"</formula>
    </cfRule>
  </conditionalFormatting>
  <conditionalFormatting sqref="F73">
    <cfRule type="expression" dxfId="182" priority="127">
      <formula>$E$73="n/a"</formula>
    </cfRule>
  </conditionalFormatting>
  <conditionalFormatting sqref="F72">
    <cfRule type="expression" dxfId="181" priority="103">
      <formula>$E$72="n/a"</formula>
    </cfRule>
  </conditionalFormatting>
  <conditionalFormatting sqref="F47">
    <cfRule type="expression" dxfId="180" priority="138">
      <formula>$E$47="n/a"</formula>
    </cfRule>
  </conditionalFormatting>
  <conditionalFormatting sqref="F48">
    <cfRule type="expression" dxfId="179" priority="128">
      <formula>$E$48="n/a"</formula>
    </cfRule>
  </conditionalFormatting>
  <conditionalFormatting sqref="F49">
    <cfRule type="expression" dxfId="178" priority="126">
      <formula>$E$49="n/a"</formula>
    </cfRule>
  </conditionalFormatting>
  <conditionalFormatting sqref="F50">
    <cfRule type="expression" dxfId="177" priority="125">
      <formula>$E$50="n/a"</formula>
    </cfRule>
  </conditionalFormatting>
  <conditionalFormatting sqref="F51">
    <cfRule type="expression" dxfId="176" priority="124">
      <formula>$E$51="n/a"</formula>
    </cfRule>
  </conditionalFormatting>
  <conditionalFormatting sqref="F52">
    <cfRule type="expression" dxfId="175" priority="123">
      <formula>$E$52="n/a"</formula>
    </cfRule>
  </conditionalFormatting>
  <conditionalFormatting sqref="F53">
    <cfRule type="expression" dxfId="174" priority="122">
      <formula>$E$53="n/a"</formula>
    </cfRule>
  </conditionalFormatting>
  <conditionalFormatting sqref="F54">
    <cfRule type="expression" dxfId="173" priority="121">
      <formula>$E$54="n/a"</formula>
    </cfRule>
  </conditionalFormatting>
  <conditionalFormatting sqref="F55">
    <cfRule type="expression" dxfId="172" priority="120">
      <formula>$E$55="n/a"</formula>
    </cfRule>
  </conditionalFormatting>
  <conditionalFormatting sqref="F56">
    <cfRule type="expression" dxfId="171" priority="119">
      <formula>$E$56="n/a"</formula>
    </cfRule>
  </conditionalFormatting>
  <conditionalFormatting sqref="F57">
    <cfRule type="expression" dxfId="170" priority="118">
      <formula>$E$57="n/a"</formula>
    </cfRule>
  </conditionalFormatting>
  <conditionalFormatting sqref="F58">
    <cfRule type="expression" dxfId="169" priority="117">
      <formula>$E$58="n/a"</formula>
    </cfRule>
  </conditionalFormatting>
  <conditionalFormatting sqref="F59">
    <cfRule type="expression" dxfId="168" priority="116">
      <formula>$E$59="n/a"</formula>
    </cfRule>
  </conditionalFormatting>
  <conditionalFormatting sqref="F60">
    <cfRule type="expression" dxfId="167" priority="115">
      <formula>$E$60="n/a"</formula>
    </cfRule>
  </conditionalFormatting>
  <conditionalFormatting sqref="F61">
    <cfRule type="expression" dxfId="166" priority="114">
      <formula>$E$61="n/a"</formula>
    </cfRule>
  </conditionalFormatting>
  <conditionalFormatting sqref="F62">
    <cfRule type="expression" dxfId="165" priority="113">
      <formula>$E$62="n/a"</formula>
    </cfRule>
  </conditionalFormatting>
  <conditionalFormatting sqref="F63">
    <cfRule type="expression" dxfId="164" priority="112">
      <formula>$E$63="n/a"</formula>
    </cfRule>
  </conditionalFormatting>
  <conditionalFormatting sqref="F64">
    <cfRule type="expression" dxfId="163" priority="111">
      <formula>$E$64="n/a"</formula>
    </cfRule>
  </conditionalFormatting>
  <conditionalFormatting sqref="F65">
    <cfRule type="expression" dxfId="162" priority="110">
      <formula>$E$65="n/a"</formula>
    </cfRule>
  </conditionalFormatting>
  <conditionalFormatting sqref="F66">
    <cfRule type="expression" dxfId="161" priority="109">
      <formula>$E$66="n/a"</formula>
    </cfRule>
  </conditionalFormatting>
  <conditionalFormatting sqref="F67">
    <cfRule type="expression" dxfId="160" priority="108">
      <formula>$E$67="n/a"</formula>
    </cfRule>
  </conditionalFormatting>
  <conditionalFormatting sqref="F68">
    <cfRule type="expression" dxfId="159" priority="107">
      <formula>$E$68="n/a"</formula>
    </cfRule>
  </conditionalFormatting>
  <conditionalFormatting sqref="F69">
    <cfRule type="expression" dxfId="158" priority="106">
      <formula>$E$69="n/a"</formula>
    </cfRule>
  </conditionalFormatting>
  <conditionalFormatting sqref="F70">
    <cfRule type="expression" dxfId="157" priority="105">
      <formula>$E$70="n/a"</formula>
    </cfRule>
  </conditionalFormatting>
  <conditionalFormatting sqref="F71">
    <cfRule type="expression" dxfId="156" priority="104">
      <formula>$E$71="n/a"</formula>
    </cfRule>
  </conditionalFormatting>
  <conditionalFormatting sqref="I7">
    <cfRule type="expression" dxfId="155" priority="101">
      <formula>$B$7="v"</formula>
    </cfRule>
  </conditionalFormatting>
  <conditionalFormatting sqref="I8">
    <cfRule type="expression" dxfId="154" priority="100">
      <formula>$B$8="v"</formula>
    </cfRule>
  </conditionalFormatting>
  <conditionalFormatting sqref="I9">
    <cfRule type="expression" dxfId="153" priority="99">
      <formula>$B$9="v"</formula>
    </cfRule>
  </conditionalFormatting>
  <conditionalFormatting sqref="I10">
    <cfRule type="expression" dxfId="152" priority="98">
      <formula>$B$10="v"</formula>
    </cfRule>
  </conditionalFormatting>
  <conditionalFormatting sqref="I11">
    <cfRule type="expression" dxfId="151" priority="97">
      <formula>$B$11="v"</formula>
    </cfRule>
  </conditionalFormatting>
  <conditionalFormatting sqref="I12">
    <cfRule type="expression" dxfId="150" priority="96">
      <formula>$B$12="v"</formula>
    </cfRule>
  </conditionalFormatting>
  <conditionalFormatting sqref="I13">
    <cfRule type="expression" dxfId="149" priority="95">
      <formula>$B$13="v"</formula>
    </cfRule>
  </conditionalFormatting>
  <conditionalFormatting sqref="I14">
    <cfRule type="expression" dxfId="148" priority="94">
      <formula>$B$14="v"</formula>
    </cfRule>
  </conditionalFormatting>
  <conditionalFormatting sqref="I15">
    <cfRule type="expression" dxfId="147" priority="93">
      <formula>$B$15="v"</formula>
    </cfRule>
  </conditionalFormatting>
  <conditionalFormatting sqref="I16">
    <cfRule type="expression" dxfId="146" priority="92">
      <formula>$B$16="v"</formula>
    </cfRule>
  </conditionalFormatting>
  <conditionalFormatting sqref="I17">
    <cfRule type="expression" dxfId="145" priority="91">
      <formula>$B$17="v"</formula>
    </cfRule>
  </conditionalFormatting>
  <conditionalFormatting sqref="I18">
    <cfRule type="expression" dxfId="144" priority="90">
      <formula>$B$18="v"</formula>
    </cfRule>
  </conditionalFormatting>
  <conditionalFormatting sqref="I19">
    <cfRule type="expression" dxfId="143" priority="89">
      <formula>$B$19="v"</formula>
    </cfRule>
  </conditionalFormatting>
  <conditionalFormatting sqref="I20">
    <cfRule type="expression" dxfId="142" priority="88">
      <formula>$B$20="v"</formula>
    </cfRule>
  </conditionalFormatting>
  <conditionalFormatting sqref="I21">
    <cfRule type="expression" dxfId="141" priority="87">
      <formula>$B$21="v"</formula>
    </cfRule>
  </conditionalFormatting>
  <conditionalFormatting sqref="I22">
    <cfRule type="expression" dxfId="140" priority="86">
      <formula>$B$22="v"</formula>
    </cfRule>
  </conditionalFormatting>
  <conditionalFormatting sqref="I23">
    <cfRule type="expression" dxfId="139" priority="85">
      <formula>$B$23="v"</formula>
    </cfRule>
  </conditionalFormatting>
  <conditionalFormatting sqref="I24">
    <cfRule type="expression" dxfId="138" priority="84">
      <formula>$B$24="v"</formula>
    </cfRule>
  </conditionalFormatting>
  <conditionalFormatting sqref="I25">
    <cfRule type="expression" dxfId="137" priority="83">
      <formula>$B$25="v"</formula>
    </cfRule>
  </conditionalFormatting>
  <conditionalFormatting sqref="I26">
    <cfRule type="expression" dxfId="136" priority="82">
      <formula>$B$26="v"</formula>
    </cfRule>
  </conditionalFormatting>
  <conditionalFormatting sqref="I27">
    <cfRule type="expression" dxfId="135" priority="81">
      <formula>$B$27="v"</formula>
    </cfRule>
  </conditionalFormatting>
  <conditionalFormatting sqref="I28">
    <cfRule type="expression" dxfId="134" priority="80">
      <formula>$B$28="v"</formula>
    </cfRule>
  </conditionalFormatting>
  <conditionalFormatting sqref="I29">
    <cfRule type="expression" dxfId="133" priority="79">
      <formula>$B$29="v"</formula>
    </cfRule>
  </conditionalFormatting>
  <conditionalFormatting sqref="I30">
    <cfRule type="expression" dxfId="132" priority="78">
      <formula>$B$30="v"</formula>
    </cfRule>
  </conditionalFormatting>
  <conditionalFormatting sqref="I31">
    <cfRule type="expression" dxfId="131" priority="77">
      <formula>$B$31="v"</formula>
    </cfRule>
  </conditionalFormatting>
  <conditionalFormatting sqref="I32">
    <cfRule type="expression" dxfId="130" priority="76">
      <formula>$B$32="v"</formula>
    </cfRule>
  </conditionalFormatting>
  <conditionalFormatting sqref="I33">
    <cfRule type="expression" dxfId="129" priority="75">
      <formula>$B$33="v"</formula>
    </cfRule>
  </conditionalFormatting>
  <conditionalFormatting sqref="I34">
    <cfRule type="expression" dxfId="128" priority="74">
      <formula>$B$34="v"</formula>
    </cfRule>
  </conditionalFormatting>
  <conditionalFormatting sqref="I35">
    <cfRule type="expression" dxfId="127" priority="73">
      <formula>$B$35="v"</formula>
    </cfRule>
  </conditionalFormatting>
  <conditionalFormatting sqref="I36">
    <cfRule type="expression" dxfId="126" priority="72">
      <formula>$B$36="v"</formula>
    </cfRule>
  </conditionalFormatting>
  <conditionalFormatting sqref="I37">
    <cfRule type="expression" dxfId="125" priority="71">
      <formula>$B$37="v"</formula>
    </cfRule>
  </conditionalFormatting>
  <conditionalFormatting sqref="I38">
    <cfRule type="expression" dxfId="124" priority="70">
      <formula>$B$38="v"</formula>
    </cfRule>
  </conditionalFormatting>
  <conditionalFormatting sqref="I39">
    <cfRule type="expression" dxfId="123" priority="69">
      <formula>$B$39="v"</formula>
    </cfRule>
  </conditionalFormatting>
  <conditionalFormatting sqref="I40">
    <cfRule type="expression" dxfId="122" priority="68">
      <formula>$B$40="v"</formula>
    </cfRule>
  </conditionalFormatting>
  <conditionalFormatting sqref="I41">
    <cfRule type="expression" dxfId="121" priority="67">
      <formula>$B$41="v"</formula>
    </cfRule>
  </conditionalFormatting>
  <conditionalFormatting sqref="I42">
    <cfRule type="expression" dxfId="120" priority="66">
      <formula>$B$42="v"</formula>
    </cfRule>
  </conditionalFormatting>
  <conditionalFormatting sqref="I43">
    <cfRule type="expression" dxfId="119" priority="65">
      <formula>$B$43="v"</formula>
    </cfRule>
  </conditionalFormatting>
  <conditionalFormatting sqref="I44">
    <cfRule type="expression" dxfId="118" priority="64">
      <formula>$B$44="v"</formula>
    </cfRule>
  </conditionalFormatting>
  <conditionalFormatting sqref="I45">
    <cfRule type="expression" dxfId="117" priority="63">
      <formula>$B$45="v"</formula>
    </cfRule>
  </conditionalFormatting>
  <conditionalFormatting sqref="I46">
    <cfRule type="expression" dxfId="116" priority="62">
      <formula>$B$46="v"</formula>
    </cfRule>
  </conditionalFormatting>
  <conditionalFormatting sqref="I47">
    <cfRule type="expression" dxfId="115" priority="61">
      <formula>$B$47="v"</formula>
    </cfRule>
  </conditionalFormatting>
  <conditionalFormatting sqref="I48">
    <cfRule type="expression" dxfId="114" priority="60">
      <formula>$B$48="v"</formula>
    </cfRule>
  </conditionalFormatting>
  <conditionalFormatting sqref="I49">
    <cfRule type="expression" dxfId="113" priority="59">
      <formula>$B$49="v"</formula>
    </cfRule>
  </conditionalFormatting>
  <conditionalFormatting sqref="I50">
    <cfRule type="expression" dxfId="112" priority="58">
      <formula>$B$50="v"</formula>
    </cfRule>
  </conditionalFormatting>
  <conditionalFormatting sqref="I51">
    <cfRule type="expression" dxfId="111" priority="57">
      <formula>$B$51="v"</formula>
    </cfRule>
  </conditionalFormatting>
  <conditionalFormatting sqref="I52">
    <cfRule type="expression" dxfId="110" priority="56">
      <formula>$B$52="v"</formula>
    </cfRule>
  </conditionalFormatting>
  <conditionalFormatting sqref="I53">
    <cfRule type="expression" dxfId="109" priority="55">
      <formula>$B$53="v"</formula>
    </cfRule>
  </conditionalFormatting>
  <conditionalFormatting sqref="I54">
    <cfRule type="expression" dxfId="108" priority="54">
      <formula>$B$54="v"</formula>
    </cfRule>
  </conditionalFormatting>
  <conditionalFormatting sqref="I55">
    <cfRule type="expression" dxfId="107" priority="53">
      <formula>$B$55="v"</formula>
    </cfRule>
  </conditionalFormatting>
  <conditionalFormatting sqref="I56">
    <cfRule type="expression" dxfId="106" priority="52">
      <formula>$B$56="v"</formula>
    </cfRule>
  </conditionalFormatting>
  <conditionalFormatting sqref="I57">
    <cfRule type="expression" dxfId="105" priority="51">
      <formula>$B$57="v"</formula>
    </cfRule>
  </conditionalFormatting>
  <conditionalFormatting sqref="I58">
    <cfRule type="expression" dxfId="104" priority="50">
      <formula>$B$58="v"</formula>
    </cfRule>
  </conditionalFormatting>
  <conditionalFormatting sqref="I59">
    <cfRule type="expression" dxfId="103" priority="49">
      <formula>$B$59="v"</formula>
    </cfRule>
  </conditionalFormatting>
  <conditionalFormatting sqref="I60">
    <cfRule type="expression" dxfId="102" priority="48">
      <formula>$B$60="v"</formula>
    </cfRule>
  </conditionalFormatting>
  <conditionalFormatting sqref="I61">
    <cfRule type="expression" dxfId="101" priority="47">
      <formula>$B$61="v"</formula>
    </cfRule>
  </conditionalFormatting>
  <conditionalFormatting sqref="I62">
    <cfRule type="expression" dxfId="100" priority="46">
      <formula>$B$62="v"</formula>
    </cfRule>
  </conditionalFormatting>
  <conditionalFormatting sqref="I63">
    <cfRule type="expression" dxfId="99" priority="45">
      <formula>$B$63="v"</formula>
    </cfRule>
  </conditionalFormatting>
  <conditionalFormatting sqref="I64">
    <cfRule type="expression" dxfId="98" priority="44">
      <formula>$B$64="v"</formula>
    </cfRule>
  </conditionalFormatting>
  <conditionalFormatting sqref="I65">
    <cfRule type="expression" dxfId="97" priority="43">
      <formula>$B$65="v"</formula>
    </cfRule>
  </conditionalFormatting>
  <conditionalFormatting sqref="I66">
    <cfRule type="expression" dxfId="96" priority="42">
      <formula>$B$66="v"</formula>
    </cfRule>
  </conditionalFormatting>
  <conditionalFormatting sqref="I67">
    <cfRule type="expression" dxfId="95" priority="41">
      <formula>$B$67="v"</formula>
    </cfRule>
  </conditionalFormatting>
  <conditionalFormatting sqref="I68">
    <cfRule type="expression" dxfId="94" priority="40">
      <formula>$B$68="v"</formula>
    </cfRule>
  </conditionalFormatting>
  <conditionalFormatting sqref="I69">
    <cfRule type="expression" dxfId="93" priority="39">
      <formula>$B$69="v"</formula>
    </cfRule>
  </conditionalFormatting>
  <conditionalFormatting sqref="I70">
    <cfRule type="expression" dxfId="92" priority="38">
      <formula>$B$70="v"</formula>
    </cfRule>
  </conditionalFormatting>
  <conditionalFormatting sqref="I71">
    <cfRule type="expression" dxfId="91" priority="37">
      <formula>$B$71="v"</formula>
    </cfRule>
  </conditionalFormatting>
  <conditionalFormatting sqref="I72">
    <cfRule type="expression" dxfId="90" priority="36">
      <formula>$B$72="v"</formula>
    </cfRule>
  </conditionalFormatting>
  <conditionalFormatting sqref="I73">
    <cfRule type="expression" dxfId="89" priority="35">
      <formula>$B$73="v"</formula>
    </cfRule>
  </conditionalFormatting>
  <conditionalFormatting sqref="I74">
    <cfRule type="expression" dxfId="88" priority="34">
      <formula>$B$74="v"</formula>
    </cfRule>
  </conditionalFormatting>
  <conditionalFormatting sqref="I75">
    <cfRule type="expression" dxfId="87" priority="33">
      <formula>$B$75="v"</formula>
    </cfRule>
  </conditionalFormatting>
  <conditionalFormatting sqref="I76">
    <cfRule type="expression" dxfId="86" priority="32">
      <formula>$B$76="v"</formula>
    </cfRule>
  </conditionalFormatting>
  <conditionalFormatting sqref="I77">
    <cfRule type="expression" dxfId="85" priority="31">
      <formula>$B$77="v"</formula>
    </cfRule>
  </conditionalFormatting>
  <conditionalFormatting sqref="I78">
    <cfRule type="expression" dxfId="84" priority="30">
      <formula>$B$78="v"</formula>
    </cfRule>
  </conditionalFormatting>
  <conditionalFormatting sqref="I79">
    <cfRule type="expression" dxfId="83" priority="29">
      <formula>$B$79="v"</formula>
    </cfRule>
  </conditionalFormatting>
  <conditionalFormatting sqref="I80">
    <cfRule type="expression" dxfId="82" priority="28">
      <formula>$B$80="v"</formula>
    </cfRule>
  </conditionalFormatting>
  <conditionalFormatting sqref="I81">
    <cfRule type="expression" dxfId="81" priority="27">
      <formula>$B$81="v"</formula>
    </cfRule>
  </conditionalFormatting>
  <conditionalFormatting sqref="I82">
    <cfRule type="expression" dxfId="80" priority="26">
      <formula>$B$82="v"</formula>
    </cfRule>
  </conditionalFormatting>
  <conditionalFormatting sqref="L5:N6">
    <cfRule type="expression" dxfId="79" priority="191">
      <formula>$K$4=1</formula>
    </cfRule>
  </conditionalFormatting>
  <conditionalFormatting sqref="L7:N82">
    <cfRule type="expression" dxfId="78" priority="193">
      <formula>$K$4=1</formula>
    </cfRule>
  </conditionalFormatting>
  <conditionalFormatting sqref="M4:N4">
    <cfRule type="expression" dxfId="77" priority="17" stopIfTrue="1">
      <formula>$K$4=1</formula>
    </cfRule>
  </conditionalFormatting>
  <conditionalFormatting sqref="L7:N82">
    <cfRule type="expression" dxfId="76" priority="183">
      <formula>$K$4=""</formula>
    </cfRule>
  </conditionalFormatting>
  <conditionalFormatting sqref="P5:R6">
    <cfRule type="expression" dxfId="75" priority="194">
      <formula>$O$4=1</formula>
    </cfRule>
  </conditionalFormatting>
  <conditionalFormatting sqref="P7:R82">
    <cfRule type="expression" dxfId="74" priority="197">
      <formula>$O$4=1</formula>
    </cfRule>
  </conditionalFormatting>
  <conditionalFormatting sqref="Q4:R4">
    <cfRule type="expression" dxfId="73" priority="196">
      <formula>$O$4=1</formula>
    </cfRule>
  </conditionalFormatting>
  <conditionalFormatting sqref="P7:R82">
    <cfRule type="expression" dxfId="72" priority="181">
      <formula>$O$4=""</formula>
    </cfRule>
  </conditionalFormatting>
  <conditionalFormatting sqref="T5:V6">
    <cfRule type="expression" dxfId="71" priority="198">
      <formula>$S$4=1</formula>
    </cfRule>
  </conditionalFormatting>
  <conditionalFormatting sqref="T7:V82">
    <cfRule type="expression" dxfId="70" priority="243">
      <formula>$S$4=1</formula>
    </cfRule>
  </conditionalFormatting>
  <conditionalFormatting sqref="U4:V4">
    <cfRule type="expression" dxfId="69" priority="200">
      <formula>$S$4=1</formula>
    </cfRule>
  </conditionalFormatting>
  <conditionalFormatting sqref="T7:V82">
    <cfRule type="expression" dxfId="68" priority="179">
      <formula>$S$4=""</formula>
    </cfRule>
  </conditionalFormatting>
  <conditionalFormatting sqref="X5:Z6">
    <cfRule type="expression" dxfId="67" priority="202">
      <formula>$W$4=1</formula>
    </cfRule>
  </conditionalFormatting>
  <conditionalFormatting sqref="X7:Z82">
    <cfRule type="expression" dxfId="66" priority="240">
      <formula>$W$4=1</formula>
    </cfRule>
  </conditionalFormatting>
  <conditionalFormatting sqref="Y4:Z4">
    <cfRule type="expression" dxfId="65" priority="204">
      <formula>$W$4=1</formula>
    </cfRule>
  </conditionalFormatting>
  <conditionalFormatting sqref="X7:Z82">
    <cfRule type="expression" dxfId="64" priority="180">
      <formula>$W$4=""</formula>
    </cfRule>
  </conditionalFormatting>
  <conditionalFormatting sqref="AB5:AD6">
    <cfRule type="expression" dxfId="63" priority="206">
      <formula>$AA$4=1</formula>
    </cfRule>
  </conditionalFormatting>
  <conditionalFormatting sqref="AB7:AD82">
    <cfRule type="expression" dxfId="62" priority="209">
      <formula>$AA$4=1</formula>
    </cfRule>
  </conditionalFormatting>
  <conditionalFormatting sqref="AC4:AD4">
    <cfRule type="expression" dxfId="61" priority="208">
      <formula>$AA$4=1</formula>
    </cfRule>
  </conditionalFormatting>
  <conditionalFormatting sqref="AB7:AD82">
    <cfRule type="expression" dxfId="60" priority="199">
      <formula>$AA$4=""</formula>
    </cfRule>
  </conditionalFormatting>
  <conditionalFormatting sqref="AF5:AH6">
    <cfRule type="expression" dxfId="59" priority="210">
      <formula>$AE$4=1</formula>
    </cfRule>
  </conditionalFormatting>
  <conditionalFormatting sqref="AF7:AH82">
    <cfRule type="expression" dxfId="58" priority="213">
      <formula>$AE$4=1</formula>
    </cfRule>
  </conditionalFormatting>
  <conditionalFormatting sqref="AG4:AH4">
    <cfRule type="expression" dxfId="57" priority="212">
      <formula>$AE$4=1</formula>
    </cfRule>
  </conditionalFormatting>
  <conditionalFormatting sqref="AF7:AH82">
    <cfRule type="expression" dxfId="56" priority="201">
      <formula>$AE$4=""</formula>
    </cfRule>
  </conditionalFormatting>
  <conditionalFormatting sqref="AJ7:AL82">
    <cfRule type="expression" dxfId="55" priority="217">
      <formula>$AI$4=1</formula>
    </cfRule>
  </conditionalFormatting>
  <conditionalFormatting sqref="AK4:AL4">
    <cfRule type="expression" dxfId="54" priority="215">
      <formula>$AI$4=1</formula>
    </cfRule>
  </conditionalFormatting>
  <conditionalFormatting sqref="AJ5:AL6">
    <cfRule type="expression" dxfId="53" priority="216">
      <formula>$AI$4=1</formula>
    </cfRule>
  </conditionalFormatting>
  <conditionalFormatting sqref="AJ7:AL82">
    <cfRule type="expression" dxfId="52" priority="203">
      <formula>$AI$4=""</formula>
    </cfRule>
  </conditionalFormatting>
  <conditionalFormatting sqref="AN7:AP82">
    <cfRule type="expression" dxfId="51" priority="221">
      <formula>$AM$4=1</formula>
    </cfRule>
  </conditionalFormatting>
  <conditionalFormatting sqref="AO4:AP4 AS4:AT4">
    <cfRule type="expression" dxfId="50" priority="219">
      <formula>AQ$4=1</formula>
    </cfRule>
  </conditionalFormatting>
  <conditionalFormatting sqref="AN5:AP6">
    <cfRule type="expression" dxfId="49" priority="220">
      <formula>$AM$4=1</formula>
    </cfRule>
  </conditionalFormatting>
  <conditionalFormatting sqref="AN7:AP82">
    <cfRule type="expression" dxfId="48" priority="205">
      <formula>$AM$4=""</formula>
    </cfRule>
  </conditionalFormatting>
  <conditionalFormatting sqref="AR7:AT82">
    <cfRule type="expression" dxfId="47" priority="224">
      <formula>$AQ$4=1</formula>
    </cfRule>
  </conditionalFormatting>
  <conditionalFormatting sqref="AR5:AT6">
    <cfRule type="expression" dxfId="46" priority="223">
      <formula>$AQ$4=1</formula>
    </cfRule>
  </conditionalFormatting>
  <conditionalFormatting sqref="AR7:AT82">
    <cfRule type="expression" dxfId="45" priority="207">
      <formula>$AQ$4=""</formula>
    </cfRule>
  </conditionalFormatting>
  <conditionalFormatting sqref="AV7:AX82">
    <cfRule type="expression" dxfId="44" priority="227">
      <formula>$AU$4=1</formula>
    </cfRule>
  </conditionalFormatting>
  <conditionalFormatting sqref="AV5:AX6">
    <cfRule type="expression" dxfId="43" priority="226">
      <formula>$AU$4=1</formula>
    </cfRule>
  </conditionalFormatting>
  <conditionalFormatting sqref="AV7:AX82">
    <cfRule type="expression" dxfId="42" priority="178">
      <formula>$AU$4=""</formula>
    </cfRule>
  </conditionalFormatting>
  <conditionalFormatting sqref="AZ7:BB82">
    <cfRule type="expression" dxfId="41" priority="230">
      <formula>$AY$4=1</formula>
    </cfRule>
  </conditionalFormatting>
  <conditionalFormatting sqref="AZ5:BB6">
    <cfRule type="expression" dxfId="40" priority="229">
      <formula>$AY$4=1</formula>
    </cfRule>
  </conditionalFormatting>
  <conditionalFormatting sqref="AZ7:BB82">
    <cfRule type="expression" dxfId="39" priority="211">
      <formula>$AY$4=""</formula>
    </cfRule>
  </conditionalFormatting>
  <conditionalFormatting sqref="BD7:BF82">
    <cfRule type="expression" dxfId="38" priority="233">
      <formula>$BC$4=1</formula>
    </cfRule>
  </conditionalFormatting>
  <conditionalFormatting sqref="BD5:BF6">
    <cfRule type="expression" dxfId="37" priority="232">
      <formula>$BC$4=1</formula>
    </cfRule>
  </conditionalFormatting>
  <conditionalFormatting sqref="BD7:BF82">
    <cfRule type="expression" dxfId="36" priority="214">
      <formula>$BC$4=""</formula>
    </cfRule>
  </conditionalFormatting>
  <conditionalFormatting sqref="BH7:BJ82">
    <cfRule type="expression" dxfId="35" priority="236">
      <formula>$BG$4=1</formula>
    </cfRule>
  </conditionalFormatting>
  <conditionalFormatting sqref="BH5:BJ6">
    <cfRule type="expression" dxfId="34" priority="235">
      <formula>$BG$4=1</formula>
    </cfRule>
  </conditionalFormatting>
  <conditionalFormatting sqref="BH7:BJ82">
    <cfRule type="expression" dxfId="33" priority="218">
      <formula>$BG$4=""</formula>
    </cfRule>
  </conditionalFormatting>
  <conditionalFormatting sqref="BL7:BN82">
    <cfRule type="expression" dxfId="32" priority="239">
      <formula>$BK$4=1</formula>
    </cfRule>
  </conditionalFormatting>
  <conditionalFormatting sqref="BL5:BN6">
    <cfRule type="expression" dxfId="31" priority="238">
      <formula>$BK$4=1</formula>
    </cfRule>
  </conditionalFormatting>
  <conditionalFormatting sqref="BL7:BN82">
    <cfRule type="expression" dxfId="30" priority="222">
      <formula>$BK$4=""</formula>
    </cfRule>
  </conditionalFormatting>
  <conditionalFormatting sqref="BP7:BR82">
    <cfRule type="expression" dxfId="29" priority="242">
      <formula>$BO$4=1</formula>
    </cfRule>
  </conditionalFormatting>
  <conditionalFormatting sqref="BP5:BR6">
    <cfRule type="expression" dxfId="28" priority="241">
      <formula>$BO$4=1</formula>
    </cfRule>
  </conditionalFormatting>
  <conditionalFormatting sqref="BP7:BR82">
    <cfRule type="expression" dxfId="27" priority="228">
      <formula>$BO$4=""</formula>
    </cfRule>
  </conditionalFormatting>
  <conditionalFormatting sqref="BT7:BV82">
    <cfRule type="expression" dxfId="26" priority="245">
      <formula>$BS$4=1</formula>
    </cfRule>
  </conditionalFormatting>
  <conditionalFormatting sqref="BT5:BV6">
    <cfRule type="expression" dxfId="25" priority="244">
      <formula>$BS$4=1</formula>
    </cfRule>
  </conditionalFormatting>
  <conditionalFormatting sqref="BT7:BV82">
    <cfRule type="expression" dxfId="24" priority="231">
      <formula>$BS$4=""</formula>
    </cfRule>
  </conditionalFormatting>
  <conditionalFormatting sqref="AW4:AX4">
    <cfRule type="expression" dxfId="23" priority="25">
      <formula>AU$4=1</formula>
    </cfRule>
  </conditionalFormatting>
  <conditionalFormatting sqref="BA4:BB4">
    <cfRule type="expression" dxfId="22" priority="24">
      <formula>AY$4=1</formula>
    </cfRule>
  </conditionalFormatting>
  <conditionalFormatting sqref="BE4:BF4">
    <cfRule type="expression" dxfId="21" priority="23">
      <formula>BC$4=1</formula>
    </cfRule>
  </conditionalFormatting>
  <conditionalFormatting sqref="BI4:BJ4">
    <cfRule type="expression" dxfId="20" priority="22">
      <formula>BG$4=1</formula>
    </cfRule>
  </conditionalFormatting>
  <conditionalFormatting sqref="BM4:BN4">
    <cfRule type="expression" dxfId="19" priority="21">
      <formula>BK$4=1</formula>
    </cfRule>
  </conditionalFormatting>
  <conditionalFormatting sqref="BQ4:BR4">
    <cfRule type="expression" dxfId="18" priority="20">
      <formula>BO$4=1</formula>
    </cfRule>
  </conditionalFormatting>
  <conditionalFormatting sqref="BU4:BV4">
    <cfRule type="expression" dxfId="17" priority="19">
      <formula>BS$4=1</formula>
    </cfRule>
  </conditionalFormatting>
  <conditionalFormatting sqref="E4">
    <cfRule type="expression" dxfId="16" priority="18">
      <formula>$F$4=""</formula>
    </cfRule>
  </conditionalFormatting>
  <conditionalFormatting sqref="L4">
    <cfRule type="expression" dxfId="15" priority="16">
      <formula>$K$4=1</formula>
    </cfRule>
  </conditionalFormatting>
  <conditionalFormatting sqref="P4">
    <cfRule type="expression" dxfId="14" priority="15">
      <formula>$O$4=1</formula>
    </cfRule>
  </conditionalFormatting>
  <conditionalFormatting sqref="T4">
    <cfRule type="expression" dxfId="13" priority="14">
      <formula>$S$4=1</formula>
    </cfRule>
  </conditionalFormatting>
  <conditionalFormatting sqref="X4">
    <cfRule type="expression" dxfId="12" priority="13">
      <formula>W4=1</formula>
    </cfRule>
  </conditionalFormatting>
  <conditionalFormatting sqref="AB4">
    <cfRule type="expression" dxfId="11" priority="12">
      <formula>AA4=1</formula>
    </cfRule>
  </conditionalFormatting>
  <conditionalFormatting sqref="AF4">
    <cfRule type="expression" dxfId="10" priority="11">
      <formula>AE4=1</formula>
    </cfRule>
  </conditionalFormatting>
  <conditionalFormatting sqref="AJ4">
    <cfRule type="expression" dxfId="9" priority="10">
      <formula>AI4=1</formula>
    </cfRule>
  </conditionalFormatting>
  <conditionalFormatting sqref="AN4">
    <cfRule type="expression" dxfId="8" priority="9">
      <formula>AM4=1</formula>
    </cfRule>
  </conditionalFormatting>
  <conditionalFormatting sqref="AR4">
    <cfRule type="expression" dxfId="7" priority="8">
      <formula>AQ4=1</formula>
    </cfRule>
  </conditionalFormatting>
  <conditionalFormatting sqref="AV4">
    <cfRule type="expression" dxfId="6" priority="7">
      <formula>AU4=1</formula>
    </cfRule>
  </conditionalFormatting>
  <conditionalFormatting sqref="AZ4">
    <cfRule type="expression" dxfId="5" priority="6">
      <formula>AY4=1</formula>
    </cfRule>
  </conditionalFormatting>
  <conditionalFormatting sqref="BD4">
    <cfRule type="expression" dxfId="4" priority="5">
      <formula>BC4=1</formula>
    </cfRule>
  </conditionalFormatting>
  <conditionalFormatting sqref="BH4">
    <cfRule type="expression" dxfId="3" priority="4">
      <formula>BG4=1</formula>
    </cfRule>
  </conditionalFormatting>
  <conditionalFormatting sqref="BL4">
    <cfRule type="expression" dxfId="2" priority="3">
      <formula>BK4=1</formula>
    </cfRule>
  </conditionalFormatting>
  <conditionalFormatting sqref="BP4">
    <cfRule type="expression" dxfId="1" priority="2">
      <formula>BO4=1</formula>
    </cfRule>
  </conditionalFormatting>
  <conditionalFormatting sqref="BT4">
    <cfRule type="expression" dxfId="0" priority="1">
      <formula>BS4=1</formula>
    </cfRule>
  </conditionalFormatting>
  <dataValidations count="3">
    <dataValidation type="list" allowBlank="1" showInputMessage="1" showErrorMessage="1" sqref="F2" xr:uid="{02E07441-1007-4AF0-8649-6CEDC586BBD5}">
      <formula1>"1, 2, 3, 4, 5, 6, 7, 8, 9, 10, 11, 12, 13, 14, 15, 16, 17"</formula1>
    </dataValidation>
    <dataValidation type="list" allowBlank="1" showInputMessage="1" showErrorMessage="1" sqref="B7:B82" xr:uid="{334048D9-B0EA-4DE3-847E-B935C25F6513}">
      <formula1>"v"</formula1>
    </dataValidation>
    <dataValidation type="list" allowBlank="1" showInputMessage="1" showErrorMessage="1" sqref="BP7:BP82 AV7:AV82 BL7:BL82 BT7:BT82 BH7:BH82 BD7:BD82 AZ7:AZ82" xr:uid="{F770258B-BAC6-42D8-A54C-787B64A83BC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CAC863B-D7F2-4B12-A60C-27C264C2A82D}">
          <x14:formula1>
            <xm:f>Sheet3!$J$153:$J$168</xm:f>
          </x14:formula1>
          <xm:sqref>H7:H82 N7:N82 R7:R82 V7:V82 Z7:Z82 AD7:AD82 AH7:AH82 AL7:AL82 AP7:AP82 AT7:AT82</xm:sqref>
        </x14:dataValidation>
        <x14:dataValidation type="list" allowBlank="1" showInputMessage="1" showErrorMessage="1" xr:uid="{8BEAEEDB-A3CF-4F68-8D0B-BE053EFAACA5}">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6</v>
      </c>
      <c r="I1" t="s">
        <v>20</v>
      </c>
      <c r="J1" t="s">
        <v>21</v>
      </c>
      <c r="K1" t="s">
        <v>22</v>
      </c>
      <c r="L1" s="150" t="s">
        <v>365</v>
      </c>
      <c r="N1" t="s">
        <v>332</v>
      </c>
      <c r="O1" t="s">
        <v>333</v>
      </c>
      <c r="Q1" t="s">
        <v>334</v>
      </c>
      <c r="R1" t="s">
        <v>335</v>
      </c>
      <c r="S1" t="s">
        <v>336</v>
      </c>
      <c r="T1" t="s">
        <v>337</v>
      </c>
      <c r="AA1" t="b">
        <v>1</v>
      </c>
    </row>
    <row r="2" spans="1:27">
      <c r="A2" t="s">
        <v>305</v>
      </c>
      <c r="I2" t="s">
        <v>23</v>
      </c>
      <c r="J2" t="s">
        <v>24</v>
      </c>
      <c r="K2" t="s">
        <v>22</v>
      </c>
      <c r="L2" s="150" t="s">
        <v>365</v>
      </c>
      <c r="N2">
        <v>0</v>
      </c>
      <c r="O2">
        <v>1.0752999999999999</v>
      </c>
      <c r="Q2">
        <v>0.65349999999999997</v>
      </c>
      <c r="R2">
        <v>85</v>
      </c>
      <c r="S2">
        <v>0.65359999999999996</v>
      </c>
      <c r="T2">
        <v>0.65239999999999998</v>
      </c>
      <c r="AA2" t="b">
        <v>0</v>
      </c>
    </row>
    <row r="3" spans="1:27">
      <c r="A3" t="s">
        <v>306</v>
      </c>
      <c r="I3" t="s">
        <v>25</v>
      </c>
      <c r="J3" t="s">
        <v>26</v>
      </c>
      <c r="K3" t="s">
        <v>22</v>
      </c>
      <c r="L3" s="150" t="s">
        <v>365</v>
      </c>
      <c r="N3">
        <v>0.1</v>
      </c>
      <c r="O3">
        <v>1.0745</v>
      </c>
      <c r="Q3">
        <v>0.65380000000000005</v>
      </c>
      <c r="R3">
        <v>84.9</v>
      </c>
      <c r="S3">
        <v>0.65390000000000004</v>
      </c>
      <c r="T3">
        <v>0.65269999999999995</v>
      </c>
    </row>
    <row r="4" spans="1:27">
      <c r="A4" t="s">
        <v>307</v>
      </c>
      <c r="I4" t="s">
        <v>27</v>
      </c>
      <c r="J4" t="s">
        <v>28</v>
      </c>
      <c r="K4" t="s">
        <v>22</v>
      </c>
      <c r="L4" s="150" t="s">
        <v>365</v>
      </c>
      <c r="N4">
        <v>0.2</v>
      </c>
      <c r="O4">
        <v>1.0737000000000001</v>
      </c>
      <c r="Q4">
        <v>0.65410000000000001</v>
      </c>
      <c r="R4">
        <v>84.8</v>
      </c>
      <c r="S4">
        <v>0.6542</v>
      </c>
      <c r="T4">
        <v>0.65300000000000002</v>
      </c>
    </row>
    <row r="5" spans="1:27">
      <c r="A5" t="s">
        <v>308</v>
      </c>
      <c r="I5" t="s">
        <v>29</v>
      </c>
      <c r="J5" t="s">
        <v>30</v>
      </c>
      <c r="K5" t="s">
        <v>22</v>
      </c>
      <c r="L5" s="150" t="s">
        <v>365</v>
      </c>
      <c r="N5">
        <v>0.3</v>
      </c>
      <c r="O5">
        <v>1.0729</v>
      </c>
      <c r="Q5">
        <v>0.65439999999999998</v>
      </c>
      <c r="R5">
        <v>84.7</v>
      </c>
      <c r="S5">
        <v>0.65449999999999997</v>
      </c>
      <c r="T5">
        <v>0.65329999999999999</v>
      </c>
    </row>
    <row r="6" spans="1:27">
      <c r="A6" t="s">
        <v>309</v>
      </c>
      <c r="I6" t="s">
        <v>31</v>
      </c>
      <c r="J6" t="s">
        <v>32</v>
      </c>
      <c r="K6" t="s">
        <v>22</v>
      </c>
      <c r="L6" s="150" t="s">
        <v>365</v>
      </c>
      <c r="N6">
        <v>0.4</v>
      </c>
      <c r="O6">
        <v>1.0721000000000001</v>
      </c>
      <c r="Q6">
        <v>0.65469999999999995</v>
      </c>
      <c r="R6">
        <v>84.6</v>
      </c>
      <c r="S6">
        <v>0.65480000000000005</v>
      </c>
      <c r="T6">
        <v>0.65359999999999996</v>
      </c>
    </row>
    <row r="7" spans="1:27">
      <c r="A7" t="s">
        <v>310</v>
      </c>
      <c r="I7" t="s">
        <v>33</v>
      </c>
      <c r="J7" t="s">
        <v>34</v>
      </c>
      <c r="K7" t="s">
        <v>22</v>
      </c>
      <c r="L7" s="150" t="s">
        <v>365</v>
      </c>
      <c r="N7">
        <v>0.5</v>
      </c>
      <c r="O7">
        <v>1.0712999999999999</v>
      </c>
      <c r="Q7">
        <v>0.65500000000000003</v>
      </c>
      <c r="R7">
        <v>84.5</v>
      </c>
      <c r="S7">
        <v>0.65510000000000002</v>
      </c>
      <c r="T7">
        <v>0.65390000000000004</v>
      </c>
    </row>
    <row r="8" spans="1:27">
      <c r="A8" t="s">
        <v>311</v>
      </c>
      <c r="I8" t="s">
        <v>35</v>
      </c>
      <c r="J8" t="s">
        <v>36</v>
      </c>
      <c r="K8" t="s">
        <v>22</v>
      </c>
      <c r="L8" s="150" t="s">
        <v>365</v>
      </c>
      <c r="N8">
        <v>0.6</v>
      </c>
      <c r="O8">
        <v>1.0705</v>
      </c>
      <c r="Q8">
        <v>0.65529999999999999</v>
      </c>
      <c r="R8">
        <v>84.4</v>
      </c>
      <c r="S8">
        <v>0.65539999999999998</v>
      </c>
      <c r="T8">
        <v>0.6542</v>
      </c>
    </row>
    <row r="9" spans="1:27">
      <c r="A9" t="s">
        <v>265</v>
      </c>
      <c r="I9" t="s">
        <v>37</v>
      </c>
      <c r="J9" t="s">
        <v>38</v>
      </c>
      <c r="K9" t="s">
        <v>22</v>
      </c>
      <c r="L9" s="150" t="s">
        <v>365</v>
      </c>
      <c r="N9">
        <v>0.7</v>
      </c>
      <c r="O9">
        <v>1.0697000000000001</v>
      </c>
      <c r="Q9">
        <v>0.65559999999999996</v>
      </c>
      <c r="R9">
        <v>84.3</v>
      </c>
      <c r="S9">
        <v>0.65569999999999995</v>
      </c>
      <c r="T9">
        <v>0.65449999999999997</v>
      </c>
    </row>
    <row r="10" spans="1:27">
      <c r="A10" t="s">
        <v>266</v>
      </c>
      <c r="I10" t="s">
        <v>39</v>
      </c>
      <c r="J10" t="s">
        <v>40</v>
      </c>
      <c r="K10" t="s">
        <v>22</v>
      </c>
      <c r="L10" s="150" t="s">
        <v>365</v>
      </c>
      <c r="N10">
        <v>0.8</v>
      </c>
      <c r="O10">
        <v>1.0688</v>
      </c>
      <c r="Q10">
        <v>0.65590000000000004</v>
      </c>
      <c r="R10">
        <v>84.2</v>
      </c>
      <c r="S10">
        <v>0.65600000000000003</v>
      </c>
      <c r="T10">
        <v>0.65480000000000005</v>
      </c>
    </row>
    <row r="11" spans="1:27">
      <c r="A11" t="s">
        <v>267</v>
      </c>
      <c r="I11" t="s">
        <v>41</v>
      </c>
      <c r="J11" t="s">
        <v>42</v>
      </c>
      <c r="K11" t="s">
        <v>22</v>
      </c>
      <c r="L11" s="150" t="s">
        <v>365</v>
      </c>
      <c r="N11">
        <v>0.9</v>
      </c>
      <c r="O11">
        <v>1.0680000000000001</v>
      </c>
      <c r="Q11">
        <v>0.65620000000000001</v>
      </c>
      <c r="R11">
        <v>84.1</v>
      </c>
      <c r="S11">
        <v>0.65629999999999999</v>
      </c>
      <c r="T11">
        <v>0.65510000000000002</v>
      </c>
    </row>
    <row r="12" spans="1:27">
      <c r="A12" t="s">
        <v>268</v>
      </c>
      <c r="I12" t="s">
        <v>43</v>
      </c>
      <c r="J12" t="s">
        <v>44</v>
      </c>
      <c r="K12" t="s">
        <v>22</v>
      </c>
      <c r="L12" s="150" t="s">
        <v>365</v>
      </c>
      <c r="N12">
        <v>1</v>
      </c>
      <c r="O12">
        <v>1.0671999999999999</v>
      </c>
      <c r="Q12">
        <v>0.65649999999999997</v>
      </c>
      <c r="R12">
        <v>84</v>
      </c>
      <c r="S12">
        <v>0.65659999999999996</v>
      </c>
      <c r="T12">
        <v>0.65539999999999998</v>
      </c>
    </row>
    <row r="13" spans="1:27">
      <c r="A13" t="s">
        <v>269</v>
      </c>
      <c r="I13" t="s">
        <v>45</v>
      </c>
      <c r="J13" t="s">
        <v>46</v>
      </c>
      <c r="K13" t="s">
        <v>22</v>
      </c>
      <c r="L13" s="150" t="s">
        <v>365</v>
      </c>
      <c r="N13">
        <v>1.1000000000000001</v>
      </c>
      <c r="O13">
        <v>1.0664</v>
      </c>
      <c r="Q13">
        <v>0.65680000000000005</v>
      </c>
      <c r="R13">
        <v>83.9</v>
      </c>
      <c r="S13">
        <v>0.65690000000000004</v>
      </c>
      <c r="T13">
        <v>0.65569999999999995</v>
      </c>
    </row>
    <row r="14" spans="1:27">
      <c r="A14" t="s">
        <v>270</v>
      </c>
      <c r="I14" t="s">
        <v>47</v>
      </c>
      <c r="J14" t="s">
        <v>48</v>
      </c>
      <c r="K14" t="s">
        <v>22</v>
      </c>
      <c r="L14" s="150" t="s">
        <v>365</v>
      </c>
      <c r="N14">
        <v>1.2</v>
      </c>
      <c r="O14">
        <v>1.0656000000000001</v>
      </c>
      <c r="Q14">
        <v>0.65710000000000002</v>
      </c>
      <c r="R14">
        <v>83.8</v>
      </c>
      <c r="S14">
        <v>0.65720000000000001</v>
      </c>
      <c r="T14">
        <v>0.65600000000000003</v>
      </c>
    </row>
    <row r="15" spans="1:27">
      <c r="A15" t="s">
        <v>271</v>
      </c>
      <c r="I15" t="s">
        <v>49</v>
      </c>
      <c r="J15" t="s">
        <v>50</v>
      </c>
      <c r="K15" t="s">
        <v>22</v>
      </c>
      <c r="L15" s="150" t="s">
        <v>365</v>
      </c>
      <c r="N15">
        <v>1.3</v>
      </c>
      <c r="O15">
        <v>1.0648</v>
      </c>
      <c r="Q15">
        <v>0.65739999999999998</v>
      </c>
      <c r="R15">
        <v>83.7</v>
      </c>
      <c r="S15">
        <v>0.65749999999999997</v>
      </c>
      <c r="T15">
        <v>0.65629999999999999</v>
      </c>
    </row>
    <row r="16" spans="1:27">
      <c r="A16" t="s">
        <v>272</v>
      </c>
      <c r="I16" t="s">
        <v>51</v>
      </c>
      <c r="J16" t="s">
        <v>52</v>
      </c>
      <c r="K16" t="s">
        <v>22</v>
      </c>
      <c r="L16" s="150" t="s">
        <v>365</v>
      </c>
      <c r="N16">
        <v>1.4</v>
      </c>
      <c r="O16">
        <v>1.0640000000000001</v>
      </c>
      <c r="Q16">
        <v>0.65769999999999995</v>
      </c>
      <c r="R16">
        <v>83.6</v>
      </c>
      <c r="S16">
        <v>0.65780000000000005</v>
      </c>
      <c r="T16">
        <v>0.65659999999999996</v>
      </c>
    </row>
    <row r="17" spans="1:20">
      <c r="A17" t="s">
        <v>273</v>
      </c>
      <c r="I17" t="s">
        <v>53</v>
      </c>
      <c r="J17" t="s">
        <v>54</v>
      </c>
      <c r="K17" t="s">
        <v>22</v>
      </c>
      <c r="L17" s="150" t="s">
        <v>365</v>
      </c>
      <c r="N17">
        <v>1.5</v>
      </c>
      <c r="O17">
        <v>1.0631999999999999</v>
      </c>
      <c r="Q17">
        <v>0.65800000000000003</v>
      </c>
      <c r="R17">
        <v>83.5</v>
      </c>
      <c r="S17">
        <v>0.65810000000000002</v>
      </c>
      <c r="T17">
        <v>0.65690000000000004</v>
      </c>
    </row>
    <row r="18" spans="1:20">
      <c r="A18" t="s">
        <v>274</v>
      </c>
      <c r="I18" t="s">
        <v>55</v>
      </c>
      <c r="J18" t="s">
        <v>56</v>
      </c>
      <c r="K18" t="s">
        <v>22</v>
      </c>
      <c r="L18" s="150" t="s">
        <v>365</v>
      </c>
      <c r="N18">
        <v>1.6</v>
      </c>
      <c r="O18">
        <v>1.0624</v>
      </c>
      <c r="Q18">
        <v>0.6583</v>
      </c>
      <c r="R18">
        <v>83.4</v>
      </c>
      <c r="S18">
        <v>0.65839999999999999</v>
      </c>
      <c r="T18">
        <v>0.65720000000000001</v>
      </c>
    </row>
    <row r="19" spans="1:20">
      <c r="A19" t="s">
        <v>275</v>
      </c>
      <c r="I19" t="s">
        <v>57</v>
      </c>
      <c r="J19" t="s">
        <v>58</v>
      </c>
      <c r="K19" t="s">
        <v>22</v>
      </c>
      <c r="L19" s="150" t="s">
        <v>365</v>
      </c>
      <c r="N19">
        <v>1.7</v>
      </c>
      <c r="O19">
        <v>1.0616000000000001</v>
      </c>
      <c r="Q19">
        <v>0.65859999999999996</v>
      </c>
      <c r="R19">
        <v>83.3</v>
      </c>
      <c r="S19">
        <v>0.65880000000000005</v>
      </c>
      <c r="T19">
        <v>0.65749999999999997</v>
      </c>
    </row>
    <row r="20" spans="1:20">
      <c r="A20" t="s">
        <v>276</v>
      </c>
      <c r="I20" t="s">
        <v>59</v>
      </c>
      <c r="J20" t="s">
        <v>60</v>
      </c>
      <c r="K20" t="s">
        <v>22</v>
      </c>
      <c r="L20" s="150" t="s">
        <v>365</v>
      </c>
      <c r="N20">
        <v>1.8</v>
      </c>
      <c r="O20">
        <v>1.0608</v>
      </c>
      <c r="Q20">
        <v>0.65890000000000004</v>
      </c>
      <c r="R20">
        <v>83.2</v>
      </c>
      <c r="S20">
        <v>0.65910000000000002</v>
      </c>
      <c r="T20">
        <v>0.65780000000000005</v>
      </c>
    </row>
    <row r="21" spans="1:20">
      <c r="A21" t="s">
        <v>277</v>
      </c>
      <c r="I21" t="s">
        <v>61</v>
      </c>
      <c r="J21" t="s">
        <v>62</v>
      </c>
      <c r="K21" t="s">
        <v>22</v>
      </c>
      <c r="L21" s="150" t="s">
        <v>365</v>
      </c>
      <c r="N21">
        <v>1.9</v>
      </c>
      <c r="O21">
        <v>1.06</v>
      </c>
      <c r="Q21">
        <v>0.6593</v>
      </c>
      <c r="R21">
        <v>83.1</v>
      </c>
      <c r="S21">
        <v>0.65939999999999999</v>
      </c>
      <c r="T21">
        <v>0.65820000000000001</v>
      </c>
    </row>
    <row r="22" spans="1:20">
      <c r="A22" t="s">
        <v>278</v>
      </c>
      <c r="I22" t="s">
        <v>63</v>
      </c>
      <c r="J22" t="s">
        <v>64</v>
      </c>
      <c r="K22" t="s">
        <v>22</v>
      </c>
      <c r="L22" s="150" t="s">
        <v>365</v>
      </c>
      <c r="N22">
        <v>2</v>
      </c>
      <c r="O22">
        <v>1.0591999999999999</v>
      </c>
      <c r="Q22">
        <v>0.65959999999999996</v>
      </c>
      <c r="R22">
        <v>83</v>
      </c>
      <c r="S22">
        <v>0.65969999999999995</v>
      </c>
      <c r="T22">
        <v>0.65849999999999997</v>
      </c>
    </row>
    <row r="23" spans="1:20">
      <c r="A23" t="s">
        <v>279</v>
      </c>
      <c r="I23" t="s">
        <v>65</v>
      </c>
      <c r="J23" t="s">
        <v>66</v>
      </c>
      <c r="K23" t="s">
        <v>22</v>
      </c>
      <c r="L23" s="150" t="s">
        <v>365</v>
      </c>
      <c r="N23">
        <v>2.1</v>
      </c>
      <c r="O23">
        <v>1.0585</v>
      </c>
      <c r="Q23">
        <v>0.65990000000000004</v>
      </c>
      <c r="R23">
        <v>82.9</v>
      </c>
      <c r="S23">
        <v>0.66</v>
      </c>
      <c r="T23">
        <v>0.65880000000000005</v>
      </c>
    </row>
    <row r="24" spans="1:20">
      <c r="A24" t="s">
        <v>280</v>
      </c>
      <c r="I24" t="s">
        <v>67</v>
      </c>
      <c r="J24" t="s">
        <v>68</v>
      </c>
      <c r="K24" t="s">
        <v>22</v>
      </c>
      <c r="L24" s="150" t="s">
        <v>365</v>
      </c>
      <c r="N24">
        <v>2.2000000000000002</v>
      </c>
      <c r="O24">
        <v>1.0577000000000001</v>
      </c>
      <c r="Q24">
        <v>0.66020000000000001</v>
      </c>
      <c r="R24">
        <v>82.8</v>
      </c>
      <c r="S24">
        <v>0.6603</v>
      </c>
      <c r="T24">
        <v>0.65910000000000002</v>
      </c>
    </row>
    <row r="25" spans="1:20">
      <c r="A25" t="s">
        <v>281</v>
      </c>
      <c r="I25" t="s">
        <v>69</v>
      </c>
      <c r="J25" t="s">
        <v>70</v>
      </c>
      <c r="K25" t="s">
        <v>22</v>
      </c>
      <c r="L25" s="150" t="s">
        <v>365</v>
      </c>
      <c r="N25">
        <v>2.2999999999999998</v>
      </c>
      <c r="O25">
        <v>1.0569</v>
      </c>
      <c r="Q25">
        <v>0.66049999999999998</v>
      </c>
      <c r="R25">
        <v>82.7</v>
      </c>
      <c r="S25">
        <v>0.66059999999999997</v>
      </c>
      <c r="T25">
        <v>0.65939999999999999</v>
      </c>
    </row>
    <row r="26" spans="1:20">
      <c r="A26" t="s">
        <v>282</v>
      </c>
      <c r="I26" t="s">
        <v>71</v>
      </c>
      <c r="J26" t="s">
        <v>72</v>
      </c>
      <c r="K26" t="s">
        <v>22</v>
      </c>
      <c r="L26" s="150" t="s">
        <v>365</v>
      </c>
      <c r="N26">
        <v>2.4</v>
      </c>
      <c r="O26">
        <v>1.0561</v>
      </c>
      <c r="Q26">
        <v>0.66080000000000005</v>
      </c>
      <c r="R26">
        <v>82.6</v>
      </c>
      <c r="S26">
        <v>0.66090000000000004</v>
      </c>
      <c r="T26">
        <v>0.65969999999999995</v>
      </c>
    </row>
    <row r="27" spans="1:20">
      <c r="A27" t="s">
        <v>283</v>
      </c>
      <c r="I27" t="s">
        <v>73</v>
      </c>
      <c r="J27" t="s">
        <v>74</v>
      </c>
      <c r="K27" t="s">
        <v>22</v>
      </c>
      <c r="L27" s="150" t="s">
        <v>365</v>
      </c>
      <c r="N27">
        <v>2.5</v>
      </c>
      <c r="O27">
        <v>1.0552999999999999</v>
      </c>
      <c r="Q27">
        <v>0.66110000000000002</v>
      </c>
      <c r="R27">
        <v>82.5</v>
      </c>
      <c r="S27">
        <v>0.66120000000000001</v>
      </c>
      <c r="T27">
        <v>0.66</v>
      </c>
    </row>
    <row r="28" spans="1:20">
      <c r="A28" t="s">
        <v>284</v>
      </c>
      <c r="I28" t="s">
        <v>75</v>
      </c>
      <c r="J28" t="s">
        <v>76</v>
      </c>
      <c r="K28" t="s">
        <v>22</v>
      </c>
      <c r="L28" s="150" t="s">
        <v>365</v>
      </c>
      <c r="N28">
        <v>2.6</v>
      </c>
      <c r="O28">
        <v>1.0545</v>
      </c>
      <c r="Q28">
        <v>0.66139999999999999</v>
      </c>
      <c r="R28">
        <v>82.4</v>
      </c>
      <c r="S28">
        <v>0.66149999999999998</v>
      </c>
      <c r="T28">
        <v>0.6603</v>
      </c>
    </row>
    <row r="29" spans="1:20">
      <c r="A29" t="s">
        <v>285</v>
      </c>
      <c r="I29" t="s">
        <v>77</v>
      </c>
      <c r="J29" t="s">
        <v>78</v>
      </c>
      <c r="K29" t="s">
        <v>22</v>
      </c>
      <c r="L29" s="150" t="s">
        <v>365</v>
      </c>
      <c r="N29">
        <v>2.7</v>
      </c>
      <c r="O29">
        <v>1.0537000000000001</v>
      </c>
      <c r="Q29">
        <v>0.66169999999999995</v>
      </c>
      <c r="R29">
        <v>82.3</v>
      </c>
      <c r="S29">
        <v>0.66180000000000005</v>
      </c>
      <c r="T29">
        <v>0.66059999999999997</v>
      </c>
    </row>
    <row r="30" spans="1:20">
      <c r="A30" t="s">
        <v>286</v>
      </c>
      <c r="F30" s="146"/>
      <c r="I30" t="s">
        <v>79</v>
      </c>
      <c r="J30" t="s">
        <v>80</v>
      </c>
      <c r="K30" t="s">
        <v>22</v>
      </c>
      <c r="L30" s="150" t="s">
        <v>365</v>
      </c>
      <c r="N30">
        <v>2.8</v>
      </c>
      <c r="O30">
        <v>1.0528999999999999</v>
      </c>
      <c r="Q30">
        <v>0.66200000000000003</v>
      </c>
      <c r="R30">
        <v>82.2</v>
      </c>
      <c r="S30">
        <v>0.66210000000000002</v>
      </c>
      <c r="T30">
        <v>0.66090000000000004</v>
      </c>
    </row>
    <row r="31" spans="1:20">
      <c r="A31" t="s">
        <v>287</v>
      </c>
      <c r="I31" t="s">
        <v>81</v>
      </c>
      <c r="J31" t="s">
        <v>82</v>
      </c>
      <c r="K31" t="s">
        <v>22</v>
      </c>
      <c r="L31" s="150" t="s">
        <v>365</v>
      </c>
      <c r="N31">
        <v>2.9</v>
      </c>
      <c r="O31">
        <v>1.0522</v>
      </c>
      <c r="Q31">
        <v>0.6623</v>
      </c>
      <c r="R31">
        <v>82.1</v>
      </c>
      <c r="S31">
        <v>0.66249999999999998</v>
      </c>
      <c r="T31">
        <v>0.66120000000000001</v>
      </c>
    </row>
    <row r="32" spans="1:20">
      <c r="A32" t="s">
        <v>288</v>
      </c>
      <c r="I32" t="s">
        <v>83</v>
      </c>
      <c r="J32" t="s">
        <v>84</v>
      </c>
      <c r="K32" t="s">
        <v>22</v>
      </c>
      <c r="L32" s="150" t="s">
        <v>365</v>
      </c>
      <c r="N32">
        <v>3</v>
      </c>
      <c r="O32">
        <v>1.0513999999999999</v>
      </c>
      <c r="Q32">
        <v>0.66259999999999997</v>
      </c>
      <c r="R32">
        <v>82</v>
      </c>
      <c r="S32">
        <v>0.66279999999999994</v>
      </c>
      <c r="T32">
        <v>0.66149999999999998</v>
      </c>
    </row>
    <row r="33" spans="1:20">
      <c r="A33" t="s">
        <v>289</v>
      </c>
      <c r="I33" t="s">
        <v>85</v>
      </c>
      <c r="J33" t="s">
        <v>86</v>
      </c>
      <c r="K33" t="s">
        <v>22</v>
      </c>
      <c r="L33" s="150" t="s">
        <v>365</v>
      </c>
      <c r="N33">
        <v>3.1</v>
      </c>
      <c r="O33">
        <v>1.0506</v>
      </c>
      <c r="Q33">
        <v>0.66300000000000003</v>
      </c>
      <c r="R33">
        <v>81.900000000000006</v>
      </c>
      <c r="S33">
        <v>0.66310000000000002</v>
      </c>
      <c r="T33">
        <v>0.66190000000000004</v>
      </c>
    </row>
    <row r="34" spans="1:20">
      <c r="A34" t="s">
        <v>290</v>
      </c>
      <c r="I34" t="s">
        <v>87</v>
      </c>
      <c r="J34" t="s">
        <v>88</v>
      </c>
      <c r="K34" t="s">
        <v>22</v>
      </c>
      <c r="L34" s="150" t="s">
        <v>365</v>
      </c>
      <c r="N34">
        <v>3.2</v>
      </c>
      <c r="O34">
        <v>1.0498000000000001</v>
      </c>
      <c r="Q34">
        <v>0.6633</v>
      </c>
      <c r="R34">
        <v>81.8</v>
      </c>
      <c r="S34">
        <v>0.66339999999999999</v>
      </c>
      <c r="T34">
        <v>0.66220000000000001</v>
      </c>
    </row>
    <row r="35" spans="1:20">
      <c r="A35" t="s">
        <v>291</v>
      </c>
      <c r="I35" t="s">
        <v>89</v>
      </c>
      <c r="J35" t="s">
        <v>90</v>
      </c>
      <c r="K35" t="s">
        <v>22</v>
      </c>
      <c r="L35" s="150" t="s">
        <v>365</v>
      </c>
      <c r="N35">
        <v>3.3</v>
      </c>
      <c r="O35">
        <v>1.0489999999999999</v>
      </c>
      <c r="Q35">
        <v>0.66359999999999997</v>
      </c>
      <c r="R35">
        <v>81.7</v>
      </c>
      <c r="S35">
        <v>0.66369999999999996</v>
      </c>
      <c r="T35">
        <v>0.66249999999999998</v>
      </c>
    </row>
    <row r="36" spans="1:20">
      <c r="A36" t="s">
        <v>292</v>
      </c>
      <c r="I36" t="s">
        <v>91</v>
      </c>
      <c r="J36" t="s">
        <v>92</v>
      </c>
      <c r="K36" t="s">
        <v>22</v>
      </c>
      <c r="L36" s="150" t="s">
        <v>365</v>
      </c>
      <c r="N36">
        <v>3.4</v>
      </c>
      <c r="O36">
        <v>1.0483</v>
      </c>
      <c r="Q36">
        <v>0.66390000000000005</v>
      </c>
      <c r="R36">
        <v>81.599999999999994</v>
      </c>
      <c r="S36">
        <v>0.66400000000000003</v>
      </c>
      <c r="T36">
        <v>0.66279999999999994</v>
      </c>
    </row>
    <row r="37" spans="1:20">
      <c r="A37" t="s">
        <v>293</v>
      </c>
      <c r="I37" t="s">
        <v>93</v>
      </c>
      <c r="J37" t="s">
        <v>94</v>
      </c>
      <c r="K37" t="s">
        <v>22</v>
      </c>
      <c r="L37" s="150" t="s">
        <v>365</v>
      </c>
      <c r="N37">
        <v>3.5</v>
      </c>
      <c r="O37">
        <v>1.0475000000000001</v>
      </c>
      <c r="Q37">
        <v>0.66420000000000001</v>
      </c>
      <c r="R37">
        <v>81.5</v>
      </c>
      <c r="S37">
        <v>0.6643</v>
      </c>
      <c r="T37">
        <v>0.66310000000000002</v>
      </c>
    </row>
    <row r="38" spans="1:20">
      <c r="A38" t="s">
        <v>294</v>
      </c>
      <c r="I38" t="s">
        <v>95</v>
      </c>
      <c r="J38" t="s">
        <v>96</v>
      </c>
      <c r="K38" t="s">
        <v>22</v>
      </c>
      <c r="L38" s="150" t="s">
        <v>365</v>
      </c>
      <c r="N38">
        <v>3.6</v>
      </c>
      <c r="O38">
        <v>1.0467</v>
      </c>
      <c r="Q38">
        <v>0.66449999999999998</v>
      </c>
      <c r="R38">
        <v>81.400000000000006</v>
      </c>
      <c r="S38">
        <v>0.66459999999999997</v>
      </c>
      <c r="T38">
        <v>0.66339999999999999</v>
      </c>
    </row>
    <row r="39" spans="1:20">
      <c r="A39" t="s">
        <v>295</v>
      </c>
      <c r="I39" t="s">
        <v>97</v>
      </c>
      <c r="J39" t="s">
        <v>98</v>
      </c>
      <c r="K39" t="s">
        <v>22</v>
      </c>
      <c r="L39" s="150" t="s">
        <v>365</v>
      </c>
      <c r="N39">
        <v>3.7</v>
      </c>
      <c r="O39">
        <v>1.0459000000000001</v>
      </c>
      <c r="Q39">
        <v>0.66479999999999995</v>
      </c>
      <c r="R39">
        <v>81.3</v>
      </c>
      <c r="S39">
        <v>0.66490000000000005</v>
      </c>
      <c r="T39">
        <v>0.66369999999999996</v>
      </c>
    </row>
    <row r="40" spans="1:20">
      <c r="A40" t="s">
        <v>296</v>
      </c>
      <c r="I40" t="s">
        <v>99</v>
      </c>
      <c r="J40" t="s">
        <v>100</v>
      </c>
      <c r="K40" t="s">
        <v>22</v>
      </c>
      <c r="L40" s="150" t="s">
        <v>365</v>
      </c>
      <c r="N40">
        <v>3.8</v>
      </c>
      <c r="O40">
        <v>1.0451999999999999</v>
      </c>
      <c r="Q40">
        <v>0.66510000000000002</v>
      </c>
      <c r="R40">
        <v>81.2</v>
      </c>
      <c r="S40">
        <v>0.6653</v>
      </c>
      <c r="T40">
        <v>0.66400000000000003</v>
      </c>
    </row>
    <row r="41" spans="1:20">
      <c r="A41" t="s">
        <v>297</v>
      </c>
      <c r="I41" t="s">
        <v>101</v>
      </c>
      <c r="J41" t="s">
        <v>102</v>
      </c>
      <c r="K41" t="s">
        <v>22</v>
      </c>
      <c r="L41" s="150" t="s">
        <v>365</v>
      </c>
      <c r="N41">
        <v>3.9</v>
      </c>
      <c r="O41">
        <v>1.0444</v>
      </c>
      <c r="Q41">
        <v>0.66539999999999999</v>
      </c>
      <c r="R41">
        <v>81.099999999999994</v>
      </c>
      <c r="S41">
        <v>0.66559999999999997</v>
      </c>
      <c r="T41">
        <v>0.6643</v>
      </c>
    </row>
    <row r="42" spans="1:20">
      <c r="A42" t="s">
        <v>298</v>
      </c>
      <c r="I42" t="s">
        <v>103</v>
      </c>
      <c r="J42" t="s">
        <v>104</v>
      </c>
      <c r="K42" t="s">
        <v>22</v>
      </c>
      <c r="L42" s="150" t="s">
        <v>365</v>
      </c>
      <c r="N42">
        <v>4</v>
      </c>
      <c r="O42">
        <v>1.0436000000000001</v>
      </c>
      <c r="Q42">
        <v>0.66579999999999995</v>
      </c>
      <c r="R42">
        <v>81</v>
      </c>
      <c r="S42">
        <v>0.66590000000000005</v>
      </c>
      <c r="T42">
        <v>0.66469999999999996</v>
      </c>
    </row>
    <row r="43" spans="1:20">
      <c r="A43" t="s">
        <v>299</v>
      </c>
      <c r="I43" t="s">
        <v>105</v>
      </c>
      <c r="J43" t="s">
        <v>106</v>
      </c>
      <c r="K43" t="s">
        <v>22</v>
      </c>
      <c r="L43" s="150" t="s">
        <v>365</v>
      </c>
      <c r="N43">
        <v>4.0999999999999996</v>
      </c>
      <c r="O43">
        <v>1.0427999999999999</v>
      </c>
      <c r="Q43">
        <v>0.66610000000000003</v>
      </c>
      <c r="R43">
        <v>80.900000000000006</v>
      </c>
      <c r="S43">
        <v>0.66620000000000001</v>
      </c>
      <c r="T43">
        <v>0.66500000000000004</v>
      </c>
    </row>
    <row r="44" spans="1:20">
      <c r="A44" t="s">
        <v>300</v>
      </c>
      <c r="I44" t="s">
        <v>107</v>
      </c>
      <c r="J44" t="s">
        <v>108</v>
      </c>
      <c r="K44" t="s">
        <v>22</v>
      </c>
      <c r="L44" s="150" t="s">
        <v>365</v>
      </c>
      <c r="N44">
        <v>4.2</v>
      </c>
      <c r="O44">
        <v>1.0421</v>
      </c>
      <c r="Q44">
        <v>0.66639999999999999</v>
      </c>
      <c r="R44">
        <v>80.8</v>
      </c>
      <c r="S44">
        <v>0.66649999999999998</v>
      </c>
      <c r="T44">
        <v>0.6653</v>
      </c>
    </row>
    <row r="45" spans="1:20">
      <c r="A45" t="s">
        <v>301</v>
      </c>
      <c r="I45" t="s">
        <v>109</v>
      </c>
      <c r="J45" t="s">
        <v>110</v>
      </c>
      <c r="K45" t="s">
        <v>22</v>
      </c>
      <c r="L45" s="150" t="s">
        <v>365</v>
      </c>
      <c r="N45">
        <v>4.3</v>
      </c>
      <c r="O45">
        <v>1.0412999999999999</v>
      </c>
      <c r="Q45">
        <v>0.66669999999999996</v>
      </c>
      <c r="R45">
        <v>80.7</v>
      </c>
      <c r="S45">
        <v>0.66679999999999995</v>
      </c>
      <c r="T45">
        <v>0.66559999999999997</v>
      </c>
    </row>
    <row r="46" spans="1:20">
      <c r="A46" t="s">
        <v>264</v>
      </c>
      <c r="I46" t="s">
        <v>111</v>
      </c>
      <c r="J46" t="s">
        <v>112</v>
      </c>
      <c r="K46" t="s">
        <v>22</v>
      </c>
      <c r="L46" s="150" t="s">
        <v>365</v>
      </c>
      <c r="N46">
        <v>4.4000000000000004</v>
      </c>
      <c r="O46">
        <v>1.0405</v>
      </c>
      <c r="Q46">
        <v>0.66700000000000004</v>
      </c>
      <c r="R46">
        <v>80.599999999999994</v>
      </c>
      <c r="S46">
        <v>0.66710000000000003</v>
      </c>
      <c r="T46">
        <v>0.66590000000000005</v>
      </c>
    </row>
    <row r="47" spans="1:20">
      <c r="A47" t="s">
        <v>302</v>
      </c>
      <c r="I47" t="s">
        <v>113</v>
      </c>
      <c r="J47" t="s">
        <v>114</v>
      </c>
      <c r="K47" t="s">
        <v>115</v>
      </c>
      <c r="L47" s="150" t="s">
        <v>366</v>
      </c>
      <c r="N47">
        <v>4.5</v>
      </c>
      <c r="O47">
        <v>1.0398000000000001</v>
      </c>
      <c r="Q47">
        <v>0.6673</v>
      </c>
      <c r="R47">
        <v>80.5</v>
      </c>
      <c r="S47">
        <v>0.66749999999999998</v>
      </c>
      <c r="T47">
        <v>0.66620000000000001</v>
      </c>
    </row>
    <row r="48" spans="1:20">
      <c r="A48" t="s">
        <v>303</v>
      </c>
      <c r="I48" t="s">
        <v>116</v>
      </c>
      <c r="J48" t="s">
        <v>117</v>
      </c>
      <c r="K48" t="s">
        <v>115</v>
      </c>
      <c r="L48" s="150" t="s">
        <v>366</v>
      </c>
      <c r="N48">
        <v>4.5999999999999996</v>
      </c>
      <c r="O48">
        <v>1.0389999999999999</v>
      </c>
      <c r="Q48">
        <v>0.66759999999999997</v>
      </c>
      <c r="R48">
        <v>80.400000000000006</v>
      </c>
      <c r="S48">
        <v>0.66779999999999995</v>
      </c>
      <c r="T48">
        <v>0.66649999999999998</v>
      </c>
    </row>
    <row r="49" spans="1:20">
      <c r="A49" t="s">
        <v>304</v>
      </c>
      <c r="I49" t="s">
        <v>118</v>
      </c>
      <c r="J49" t="s">
        <v>119</v>
      </c>
      <c r="K49" t="s">
        <v>115</v>
      </c>
      <c r="L49" s="150" t="s">
        <v>366</v>
      </c>
      <c r="N49">
        <v>4.7</v>
      </c>
      <c r="O49">
        <v>1.0383</v>
      </c>
      <c r="Q49">
        <v>0.66800000000000004</v>
      </c>
      <c r="R49">
        <v>80.3</v>
      </c>
      <c r="S49">
        <v>0.66810000000000003</v>
      </c>
      <c r="T49">
        <v>0.66690000000000005</v>
      </c>
    </row>
    <row r="50" spans="1:20">
      <c r="I50" t="s">
        <v>120</v>
      </c>
      <c r="J50" t="s">
        <v>121</v>
      </c>
      <c r="K50" t="s">
        <v>115</v>
      </c>
      <c r="L50" s="150" t="s">
        <v>366</v>
      </c>
      <c r="N50">
        <v>4.8</v>
      </c>
      <c r="O50">
        <v>1.0375000000000001</v>
      </c>
      <c r="Q50">
        <v>0.66830000000000001</v>
      </c>
      <c r="R50">
        <v>80.2</v>
      </c>
      <c r="S50">
        <v>0.66839999999999999</v>
      </c>
      <c r="T50">
        <v>0.66720000000000002</v>
      </c>
    </row>
    <row r="51" spans="1:20">
      <c r="I51" t="s">
        <v>122</v>
      </c>
      <c r="J51" t="s">
        <v>123</v>
      </c>
      <c r="K51" t="s">
        <v>115</v>
      </c>
      <c r="L51" s="150" t="s">
        <v>366</v>
      </c>
      <c r="N51">
        <v>4.9000000000000004</v>
      </c>
      <c r="O51">
        <v>1.0367</v>
      </c>
      <c r="Q51">
        <v>0.66859999999999997</v>
      </c>
      <c r="R51">
        <v>80.099999999999994</v>
      </c>
      <c r="S51">
        <v>0.66869999999999996</v>
      </c>
      <c r="T51">
        <v>0.66749999999999998</v>
      </c>
    </row>
    <row r="52" spans="1:20">
      <c r="A52" t="s">
        <v>207</v>
      </c>
      <c r="I52" t="s">
        <v>124</v>
      </c>
      <c r="J52" t="s">
        <v>125</v>
      </c>
      <c r="K52" t="s">
        <v>115</v>
      </c>
      <c r="L52" s="150" t="s">
        <v>366</v>
      </c>
      <c r="N52">
        <v>5</v>
      </c>
      <c r="O52">
        <v>1.036</v>
      </c>
      <c r="Q52">
        <v>0.66890000000000005</v>
      </c>
      <c r="R52">
        <v>80</v>
      </c>
      <c r="S52">
        <v>0.66900000000000004</v>
      </c>
      <c r="T52">
        <v>0.66779999999999995</v>
      </c>
    </row>
    <row r="53" spans="1:20">
      <c r="A53" t="s">
        <v>208</v>
      </c>
      <c r="I53" t="s">
        <v>126</v>
      </c>
      <c r="J53" t="s">
        <v>127</v>
      </c>
      <c r="K53" t="s">
        <v>115</v>
      </c>
      <c r="L53" s="150" t="s">
        <v>366</v>
      </c>
      <c r="N53">
        <v>5.0999999999999996</v>
      </c>
      <c r="O53">
        <v>1.0351999999999999</v>
      </c>
      <c r="Q53">
        <v>0.66920000000000002</v>
      </c>
      <c r="R53">
        <v>79.900000000000006</v>
      </c>
      <c r="S53">
        <v>0.66930000000000001</v>
      </c>
      <c r="T53">
        <v>0.66810000000000003</v>
      </c>
    </row>
    <row r="54" spans="1:20">
      <c r="A54" t="s">
        <v>209</v>
      </c>
      <c r="I54" t="s">
        <v>128</v>
      </c>
      <c r="J54" t="s">
        <v>129</v>
      </c>
      <c r="K54" t="s">
        <v>115</v>
      </c>
      <c r="L54" s="150" t="s">
        <v>366</v>
      </c>
      <c r="N54">
        <v>5.2</v>
      </c>
      <c r="O54">
        <v>1.0345</v>
      </c>
      <c r="Q54">
        <v>0.66949999999999998</v>
      </c>
      <c r="R54">
        <v>79.8</v>
      </c>
      <c r="S54">
        <v>0.66969999999999996</v>
      </c>
      <c r="T54">
        <v>0.66839999999999999</v>
      </c>
    </row>
    <row r="55" spans="1:20">
      <c r="A55" t="s">
        <v>210</v>
      </c>
      <c r="I55" t="s">
        <v>130</v>
      </c>
      <c r="J55" t="s">
        <v>131</v>
      </c>
      <c r="K55" t="s">
        <v>115</v>
      </c>
      <c r="L55" s="150" t="s">
        <v>366</v>
      </c>
      <c r="N55">
        <v>5.3</v>
      </c>
      <c r="O55">
        <v>1.0337000000000001</v>
      </c>
      <c r="Q55">
        <v>0.66990000000000005</v>
      </c>
      <c r="R55">
        <v>79.7</v>
      </c>
      <c r="S55">
        <v>0.67</v>
      </c>
      <c r="T55">
        <v>0.66879999999999995</v>
      </c>
    </row>
    <row r="56" spans="1:20">
      <c r="A56" t="s">
        <v>211</v>
      </c>
      <c r="I56" t="s">
        <v>132</v>
      </c>
      <c r="J56" t="s">
        <v>133</v>
      </c>
      <c r="K56" t="s">
        <v>115</v>
      </c>
      <c r="L56" s="150" t="s">
        <v>366</v>
      </c>
      <c r="N56">
        <v>5.4</v>
      </c>
      <c r="O56">
        <v>1.0329999999999999</v>
      </c>
      <c r="Q56">
        <v>0.67020000000000002</v>
      </c>
      <c r="R56">
        <v>79.599999999999994</v>
      </c>
      <c r="S56">
        <v>0.67030000000000001</v>
      </c>
      <c r="T56">
        <v>0.66910000000000003</v>
      </c>
    </row>
    <row r="57" spans="1:20">
      <c r="A57" t="s">
        <v>212</v>
      </c>
      <c r="I57" t="s">
        <v>134</v>
      </c>
      <c r="J57" t="s">
        <v>135</v>
      </c>
      <c r="K57" t="s">
        <v>115</v>
      </c>
      <c r="L57" s="150" t="s">
        <v>366</v>
      </c>
      <c r="N57">
        <v>5.5</v>
      </c>
      <c r="O57">
        <v>1.0322</v>
      </c>
      <c r="Q57">
        <v>0.67049999999999998</v>
      </c>
      <c r="R57">
        <v>79.5</v>
      </c>
      <c r="S57">
        <v>0.67059999999999997</v>
      </c>
      <c r="T57">
        <v>0.6694</v>
      </c>
    </row>
    <row r="58" spans="1:20">
      <c r="A58" t="s">
        <v>213</v>
      </c>
      <c r="I58" t="s">
        <v>136</v>
      </c>
      <c r="J58" t="s">
        <v>137</v>
      </c>
      <c r="K58" t="s">
        <v>115</v>
      </c>
      <c r="L58" s="150" t="s">
        <v>366</v>
      </c>
      <c r="N58">
        <v>5.6</v>
      </c>
      <c r="O58">
        <v>1.0314000000000001</v>
      </c>
      <c r="Q58">
        <v>0.67079999999999995</v>
      </c>
      <c r="R58">
        <v>79.400000000000006</v>
      </c>
      <c r="S58">
        <v>0.67090000000000005</v>
      </c>
      <c r="T58">
        <v>0.66969999999999996</v>
      </c>
    </row>
    <row r="59" spans="1:20">
      <c r="I59" t="s">
        <v>138</v>
      </c>
      <c r="J59" t="s">
        <v>139</v>
      </c>
      <c r="K59" t="s">
        <v>115</v>
      </c>
      <c r="L59" s="150" t="s">
        <v>366</v>
      </c>
      <c r="N59">
        <v>5.7</v>
      </c>
      <c r="O59">
        <v>1.0306999999999999</v>
      </c>
      <c r="Q59">
        <v>0.67110000000000003</v>
      </c>
      <c r="R59">
        <v>79.3</v>
      </c>
      <c r="S59">
        <v>0.67130000000000001</v>
      </c>
      <c r="T59">
        <v>0.67</v>
      </c>
    </row>
    <row r="60" spans="1:20">
      <c r="I60" t="s">
        <v>140</v>
      </c>
      <c r="J60" t="s">
        <v>141</v>
      </c>
      <c r="K60" t="s">
        <v>115</v>
      </c>
      <c r="L60" s="150" t="s">
        <v>366</v>
      </c>
      <c r="N60">
        <v>5.8</v>
      </c>
      <c r="O60">
        <v>1.0299</v>
      </c>
      <c r="Q60">
        <v>0.6714</v>
      </c>
      <c r="R60">
        <v>79.2</v>
      </c>
      <c r="S60">
        <v>0.67159999999999997</v>
      </c>
      <c r="T60">
        <v>0.67030000000000001</v>
      </c>
    </row>
    <row r="61" spans="1:20">
      <c r="I61" t="s">
        <v>142</v>
      </c>
      <c r="J61" t="s">
        <v>143</v>
      </c>
      <c r="K61" t="s">
        <v>115</v>
      </c>
      <c r="L61" s="150" t="s">
        <v>366</v>
      </c>
      <c r="N61">
        <v>5.9</v>
      </c>
      <c r="O61">
        <v>1.0291999999999999</v>
      </c>
      <c r="Q61">
        <v>0.67179999999999995</v>
      </c>
      <c r="R61">
        <v>79.099999999999994</v>
      </c>
      <c r="S61">
        <v>0.67190000000000005</v>
      </c>
      <c r="T61">
        <v>0.67069999999999996</v>
      </c>
    </row>
    <row r="62" spans="1:20">
      <c r="A62" t="s">
        <v>233</v>
      </c>
      <c r="I62" t="s">
        <v>144</v>
      </c>
      <c r="J62" t="s">
        <v>145</v>
      </c>
      <c r="K62" t="s">
        <v>115</v>
      </c>
      <c r="L62" s="150" t="s">
        <v>366</v>
      </c>
      <c r="N62">
        <v>6</v>
      </c>
      <c r="O62">
        <v>1.0284</v>
      </c>
      <c r="Q62">
        <v>0.67210000000000003</v>
      </c>
      <c r="R62">
        <v>79</v>
      </c>
      <c r="S62">
        <v>0.67220000000000002</v>
      </c>
      <c r="T62">
        <v>0.67100000000000004</v>
      </c>
    </row>
    <row r="63" spans="1:20">
      <c r="A63" t="s">
        <v>324</v>
      </c>
      <c r="I63" t="s">
        <v>146</v>
      </c>
      <c r="J63" t="s">
        <v>147</v>
      </c>
      <c r="K63" t="s">
        <v>115</v>
      </c>
      <c r="L63" s="150" t="s">
        <v>366</v>
      </c>
      <c r="N63">
        <v>6.1</v>
      </c>
      <c r="O63">
        <v>1.0277000000000001</v>
      </c>
      <c r="Q63">
        <v>0.6724</v>
      </c>
      <c r="R63">
        <v>78.900000000000006</v>
      </c>
      <c r="S63">
        <v>0.67249999999999999</v>
      </c>
      <c r="T63">
        <v>0.67130000000000001</v>
      </c>
    </row>
    <row r="64" spans="1:20">
      <c r="A64" t="s">
        <v>234</v>
      </c>
      <c r="I64" t="s">
        <v>148</v>
      </c>
      <c r="J64" t="s">
        <v>149</v>
      </c>
      <c r="K64" t="s">
        <v>115</v>
      </c>
      <c r="L64" s="150" t="s">
        <v>366</v>
      </c>
      <c r="N64">
        <v>6.2</v>
      </c>
      <c r="O64">
        <v>1.0269999999999999</v>
      </c>
      <c r="Q64">
        <v>0.67269999999999996</v>
      </c>
      <c r="R64">
        <v>78.8</v>
      </c>
      <c r="S64">
        <v>0.67279999999999995</v>
      </c>
      <c r="T64">
        <v>0.67159999999999997</v>
      </c>
    </row>
    <row r="65" spans="1:20">
      <c r="A65" t="s">
        <v>325</v>
      </c>
      <c r="I65" t="s">
        <v>150</v>
      </c>
      <c r="J65" t="s">
        <v>151</v>
      </c>
      <c r="K65" t="s">
        <v>115</v>
      </c>
      <c r="L65" s="150" t="s">
        <v>366</v>
      </c>
      <c r="N65">
        <v>6.3</v>
      </c>
      <c r="O65">
        <v>1.0262</v>
      </c>
      <c r="Q65">
        <v>0.67300000000000004</v>
      </c>
      <c r="R65">
        <v>78.7</v>
      </c>
      <c r="S65">
        <v>0.67320000000000002</v>
      </c>
      <c r="T65">
        <v>0.67190000000000005</v>
      </c>
    </row>
    <row r="66" spans="1:20">
      <c r="A66" t="s">
        <v>235</v>
      </c>
      <c r="I66" t="s">
        <v>152</v>
      </c>
      <c r="J66" t="s">
        <v>153</v>
      </c>
      <c r="K66" t="s">
        <v>115</v>
      </c>
      <c r="L66" s="150" t="s">
        <v>366</v>
      </c>
      <c r="N66">
        <v>6.4</v>
      </c>
      <c r="O66">
        <v>1.0255000000000001</v>
      </c>
      <c r="Q66">
        <v>0.6734</v>
      </c>
      <c r="R66">
        <v>78.599999999999994</v>
      </c>
      <c r="S66">
        <v>0.67349999999999999</v>
      </c>
      <c r="T66">
        <v>0.67230000000000001</v>
      </c>
    </row>
    <row r="67" spans="1:20">
      <c r="A67" t="s">
        <v>237</v>
      </c>
      <c r="I67" t="s">
        <v>154</v>
      </c>
      <c r="J67" t="s">
        <v>155</v>
      </c>
      <c r="K67" t="s">
        <v>115</v>
      </c>
      <c r="L67" s="150" t="s">
        <v>366</v>
      </c>
      <c r="N67">
        <v>6.5</v>
      </c>
      <c r="O67">
        <v>1.0246999999999999</v>
      </c>
      <c r="Q67">
        <v>0.67369999999999997</v>
      </c>
      <c r="R67">
        <v>78.5</v>
      </c>
      <c r="S67">
        <v>0.67379999999999995</v>
      </c>
      <c r="T67">
        <v>0.67259999999999998</v>
      </c>
    </row>
    <row r="68" spans="1:20">
      <c r="A68" t="s">
        <v>238</v>
      </c>
      <c r="I68" t="s">
        <v>156</v>
      </c>
      <c r="J68" t="s">
        <v>157</v>
      </c>
      <c r="K68" t="s">
        <v>158</v>
      </c>
      <c r="L68" s="150" t="s">
        <v>368</v>
      </c>
      <c r="N68">
        <v>6.6</v>
      </c>
      <c r="O68">
        <v>1.024</v>
      </c>
      <c r="Q68">
        <v>0.67400000000000004</v>
      </c>
      <c r="R68">
        <v>78.400000000000006</v>
      </c>
      <c r="S68">
        <v>0.67410000000000003</v>
      </c>
      <c r="T68">
        <v>0.67290000000000005</v>
      </c>
    </row>
    <row r="69" spans="1:20">
      <c r="A69" t="s">
        <v>326</v>
      </c>
      <c r="I69" t="s">
        <v>159</v>
      </c>
      <c r="J69" t="s">
        <v>160</v>
      </c>
      <c r="K69" t="s">
        <v>158</v>
      </c>
      <c r="L69" s="151" t="s">
        <v>368</v>
      </c>
      <c r="N69">
        <v>6.7</v>
      </c>
      <c r="O69">
        <v>1.0232000000000001</v>
      </c>
      <c r="Q69">
        <v>0.67430000000000001</v>
      </c>
      <c r="R69">
        <v>78.3</v>
      </c>
      <c r="S69">
        <v>0.67449999999999999</v>
      </c>
      <c r="T69">
        <v>0.67320000000000002</v>
      </c>
    </row>
    <row r="70" spans="1:20">
      <c r="A70" t="s">
        <v>327</v>
      </c>
      <c r="I70" t="s">
        <v>161</v>
      </c>
      <c r="J70" t="s">
        <v>162</v>
      </c>
      <c r="K70" t="s">
        <v>158</v>
      </c>
      <c r="L70" s="151" t="s">
        <v>368</v>
      </c>
      <c r="N70">
        <v>6.8</v>
      </c>
      <c r="O70">
        <v>1.0225</v>
      </c>
      <c r="Q70">
        <v>0.67459999999999998</v>
      </c>
      <c r="R70">
        <v>78.2</v>
      </c>
      <c r="S70">
        <v>0.67479999999999996</v>
      </c>
      <c r="T70">
        <v>0.67349999999999999</v>
      </c>
    </row>
    <row r="71" spans="1:20">
      <c r="A71" t="s">
        <v>236</v>
      </c>
      <c r="I71" t="s">
        <v>163</v>
      </c>
      <c r="J71" t="s">
        <v>164</v>
      </c>
      <c r="K71" t="s">
        <v>158</v>
      </c>
      <c r="L71" s="151" t="s">
        <v>368</v>
      </c>
      <c r="N71">
        <v>6.9</v>
      </c>
      <c r="O71">
        <v>1.0218</v>
      </c>
      <c r="Q71">
        <v>0.67500000000000004</v>
      </c>
      <c r="R71">
        <v>78.099999999999994</v>
      </c>
      <c r="S71">
        <v>0.67510000000000003</v>
      </c>
      <c r="T71">
        <v>0.67390000000000005</v>
      </c>
    </row>
    <row r="72" spans="1:20">
      <c r="A72" t="s">
        <v>328</v>
      </c>
      <c r="I72" t="s">
        <v>165</v>
      </c>
      <c r="J72" t="s">
        <v>166</v>
      </c>
      <c r="K72" t="s">
        <v>158</v>
      </c>
      <c r="L72" s="151" t="s">
        <v>368</v>
      </c>
      <c r="N72">
        <v>7</v>
      </c>
      <c r="O72">
        <v>1.0209999999999999</v>
      </c>
      <c r="Q72">
        <v>0.67530000000000001</v>
      </c>
      <c r="R72">
        <v>78</v>
      </c>
      <c r="S72">
        <v>0.6754</v>
      </c>
      <c r="T72">
        <v>0.67420000000000002</v>
      </c>
    </row>
    <row r="73" spans="1:20">
      <c r="A73" t="s">
        <v>239</v>
      </c>
      <c r="I73" t="s">
        <v>167</v>
      </c>
      <c r="J73" t="s">
        <v>168</v>
      </c>
      <c r="K73" t="s">
        <v>158</v>
      </c>
      <c r="L73" s="151" t="s">
        <v>368</v>
      </c>
      <c r="N73">
        <v>7.1</v>
      </c>
      <c r="O73">
        <v>1.0203</v>
      </c>
      <c r="Q73">
        <v>0.67559999999999998</v>
      </c>
      <c r="R73">
        <v>77.900000000000006</v>
      </c>
      <c r="S73">
        <v>0.67569999999999997</v>
      </c>
      <c r="T73">
        <v>0.67449999999999999</v>
      </c>
    </row>
    <row r="74" spans="1:20">
      <c r="A74" t="s">
        <v>240</v>
      </c>
      <c r="I74" t="s">
        <v>169</v>
      </c>
      <c r="J74" t="s">
        <v>170</v>
      </c>
      <c r="K74" t="s">
        <v>158</v>
      </c>
      <c r="L74" s="151" t="s">
        <v>368</v>
      </c>
      <c r="N74">
        <v>7.2</v>
      </c>
      <c r="O74">
        <v>1.0196000000000001</v>
      </c>
      <c r="Q74">
        <v>0.67589999999999995</v>
      </c>
      <c r="R74">
        <v>77.8</v>
      </c>
      <c r="S74">
        <v>0.67610000000000003</v>
      </c>
      <c r="T74">
        <v>0.67479999999999996</v>
      </c>
    </row>
    <row r="75" spans="1:20">
      <c r="I75" t="s">
        <v>171</v>
      </c>
      <c r="J75" t="s">
        <v>172</v>
      </c>
      <c r="K75" t="s">
        <v>158</v>
      </c>
      <c r="L75" s="151" t="s">
        <v>368</v>
      </c>
      <c r="N75">
        <v>7.3</v>
      </c>
      <c r="O75">
        <v>1.0187999999999999</v>
      </c>
      <c r="Q75">
        <v>0.67620000000000002</v>
      </c>
      <c r="R75">
        <v>77.7</v>
      </c>
      <c r="S75">
        <v>0.6764</v>
      </c>
      <c r="T75">
        <v>0.67510000000000003</v>
      </c>
    </row>
    <row r="76" spans="1:20">
      <c r="I76" t="s">
        <v>173</v>
      </c>
      <c r="J76" t="s">
        <v>174</v>
      </c>
      <c r="K76" t="s">
        <v>158</v>
      </c>
      <c r="L76" s="151" t="s">
        <v>368</v>
      </c>
      <c r="N76">
        <v>7.4</v>
      </c>
      <c r="O76">
        <v>1.0181</v>
      </c>
      <c r="Q76">
        <v>0.67659999999999998</v>
      </c>
      <c r="R76">
        <v>77.599999999999994</v>
      </c>
      <c r="S76">
        <v>0.67669999999999997</v>
      </c>
      <c r="T76">
        <v>0.67549999999999999</v>
      </c>
    </row>
    <row r="77" spans="1:20">
      <c r="I77" t="s">
        <v>175</v>
      </c>
      <c r="J77" t="s">
        <v>176</v>
      </c>
      <c r="K77" t="s">
        <v>177</v>
      </c>
      <c r="L77" s="151" t="s">
        <v>368</v>
      </c>
      <c r="N77">
        <v>7.5</v>
      </c>
      <c r="O77">
        <v>1.0174000000000001</v>
      </c>
      <c r="Q77">
        <v>0.67689999999999995</v>
      </c>
      <c r="R77">
        <v>77.5</v>
      </c>
      <c r="S77">
        <v>0.67700000000000005</v>
      </c>
      <c r="T77">
        <v>0.67579999999999996</v>
      </c>
    </row>
    <row r="78" spans="1:20">
      <c r="I78" t="s">
        <v>178</v>
      </c>
      <c r="J78" t="s">
        <v>179</v>
      </c>
      <c r="K78" t="s">
        <v>177</v>
      </c>
      <c r="L78" s="151" t="s">
        <v>368</v>
      </c>
      <c r="N78">
        <v>7.6</v>
      </c>
      <c r="O78">
        <v>1.0165999999999999</v>
      </c>
      <c r="Q78">
        <v>0.67720000000000002</v>
      </c>
      <c r="R78">
        <v>77.400000000000006</v>
      </c>
      <c r="S78">
        <v>0.6774</v>
      </c>
      <c r="T78">
        <v>0.67610000000000003</v>
      </c>
    </row>
    <row r="79" spans="1:20">
      <c r="A79" t="s">
        <v>243</v>
      </c>
      <c r="I79" t="s">
        <v>180</v>
      </c>
      <c r="J79" t="s">
        <v>181</v>
      </c>
      <c r="K79" t="s">
        <v>177</v>
      </c>
      <c r="L79" s="151" t="s">
        <v>368</v>
      </c>
      <c r="N79">
        <v>7.7</v>
      </c>
      <c r="O79">
        <v>1.0159</v>
      </c>
      <c r="Q79">
        <v>0.67749999999999999</v>
      </c>
      <c r="R79">
        <v>77.3</v>
      </c>
      <c r="S79">
        <v>0.67769999999999997</v>
      </c>
      <c r="T79">
        <v>0.6764</v>
      </c>
    </row>
    <row r="80" spans="1:20">
      <c r="A80" t="s">
        <v>246</v>
      </c>
      <c r="I80" t="s">
        <v>182</v>
      </c>
      <c r="J80" t="s">
        <v>183</v>
      </c>
      <c r="K80" t="s">
        <v>177</v>
      </c>
      <c r="L80" s="151" t="s">
        <v>368</v>
      </c>
      <c r="N80">
        <v>7.8</v>
      </c>
      <c r="O80">
        <v>1.0152000000000001</v>
      </c>
      <c r="Q80">
        <v>0.67789999999999995</v>
      </c>
      <c r="R80">
        <v>77.2</v>
      </c>
      <c r="S80">
        <v>0.67800000000000005</v>
      </c>
      <c r="T80">
        <v>0.67679999999999996</v>
      </c>
    </row>
    <row r="81" spans="1:20">
      <c r="A81" t="s">
        <v>244</v>
      </c>
      <c r="I81" t="s">
        <v>184</v>
      </c>
      <c r="J81" t="s">
        <v>185</v>
      </c>
      <c r="K81" t="s">
        <v>186</v>
      </c>
      <c r="L81" s="150" t="s">
        <v>367</v>
      </c>
      <c r="N81">
        <v>7.9</v>
      </c>
      <c r="O81">
        <v>1.0144</v>
      </c>
      <c r="Q81">
        <v>0.67820000000000003</v>
      </c>
      <c r="R81">
        <v>77.099999999999994</v>
      </c>
      <c r="S81">
        <v>0.67830000000000001</v>
      </c>
      <c r="T81">
        <v>0.67710000000000004</v>
      </c>
    </row>
    <row r="82" spans="1:20">
      <c r="I82" t="s">
        <v>187</v>
      </c>
      <c r="J82" t="s">
        <v>188</v>
      </c>
      <c r="K82" t="s">
        <v>186</v>
      </c>
      <c r="L82" s="151" t="s">
        <v>367</v>
      </c>
      <c r="N82">
        <v>8</v>
      </c>
      <c r="O82">
        <v>1.0137</v>
      </c>
      <c r="Q82">
        <v>0.67849999999999999</v>
      </c>
      <c r="R82">
        <v>77</v>
      </c>
      <c r="S82">
        <v>0.67869999999999997</v>
      </c>
      <c r="T82">
        <v>0.6774</v>
      </c>
    </row>
    <row r="83" spans="1:20">
      <c r="I83" t="s">
        <v>189</v>
      </c>
      <c r="J83" t="s">
        <v>190</v>
      </c>
      <c r="K83" t="s">
        <v>186</v>
      </c>
      <c r="L83" s="151" t="s">
        <v>367</v>
      </c>
      <c r="N83">
        <v>8.1</v>
      </c>
      <c r="O83">
        <v>1.0129999999999999</v>
      </c>
      <c r="Q83">
        <v>0.67879999999999996</v>
      </c>
      <c r="R83">
        <v>76.900000000000006</v>
      </c>
      <c r="S83">
        <v>0.67900000000000005</v>
      </c>
      <c r="T83">
        <v>0.67769999999999997</v>
      </c>
    </row>
    <row r="84" spans="1:20">
      <c r="I84" t="s">
        <v>191</v>
      </c>
      <c r="J84" t="s">
        <v>192</v>
      </c>
      <c r="K84" t="s">
        <v>186</v>
      </c>
      <c r="L84" s="151" t="s">
        <v>367</v>
      </c>
      <c r="N84">
        <v>8.1999999999999993</v>
      </c>
      <c r="O84">
        <v>1.0123</v>
      </c>
      <c r="Q84">
        <v>0.67920000000000003</v>
      </c>
      <c r="R84">
        <v>76.8</v>
      </c>
      <c r="S84">
        <v>0.67930000000000001</v>
      </c>
      <c r="T84">
        <v>0.67810000000000004</v>
      </c>
    </row>
    <row r="85" spans="1:20">
      <c r="I85" t="s">
        <v>220</v>
      </c>
      <c r="J85" t="s">
        <v>219</v>
      </c>
      <c r="K85" t="s">
        <v>221</v>
      </c>
      <c r="L85" s="151" t="s">
        <v>367</v>
      </c>
      <c r="N85">
        <v>8.3000000000000007</v>
      </c>
      <c r="O85">
        <v>1.0115000000000001</v>
      </c>
      <c r="Q85">
        <v>0.67949999999999999</v>
      </c>
      <c r="R85">
        <v>76.7</v>
      </c>
      <c r="S85">
        <v>0.67959999999999998</v>
      </c>
      <c r="T85">
        <v>0.6784</v>
      </c>
    </row>
    <row r="86" spans="1:20">
      <c r="A86" t="s">
        <v>390</v>
      </c>
      <c r="B86" s="154">
        <f ca="1">TODAY()</f>
        <v>45293</v>
      </c>
      <c r="I86" t="s">
        <v>249</v>
      </c>
      <c r="J86" t="s">
        <v>250</v>
      </c>
      <c r="K86" t="s">
        <v>249</v>
      </c>
      <c r="L86" s="150" t="s">
        <v>385</v>
      </c>
      <c r="N86">
        <v>8.4</v>
      </c>
      <c r="O86">
        <v>1.0107999999999999</v>
      </c>
      <c r="Q86">
        <v>0.67979999999999996</v>
      </c>
      <c r="R86">
        <v>76.599999999999994</v>
      </c>
      <c r="S86">
        <v>0.68</v>
      </c>
      <c r="T86">
        <v>0.67869999999999997</v>
      </c>
    </row>
    <row r="87" spans="1:20">
      <c r="I87" t="s">
        <v>674</v>
      </c>
      <c r="J87" s="146" t="s">
        <v>678</v>
      </c>
      <c r="K87" t="s">
        <v>674</v>
      </c>
      <c r="L87" s="146" t="s">
        <v>678</v>
      </c>
      <c r="N87">
        <v>8.5</v>
      </c>
      <c r="O87">
        <v>1.0101</v>
      </c>
      <c r="Q87">
        <v>0.68010000000000004</v>
      </c>
      <c r="R87">
        <v>76.5</v>
      </c>
      <c r="S87">
        <v>0.68030000000000002</v>
      </c>
      <c r="T87">
        <v>0.67900000000000005</v>
      </c>
    </row>
    <row r="88" spans="1:20">
      <c r="I88" t="s">
        <v>675</v>
      </c>
      <c r="J88" s="146" t="s">
        <v>679</v>
      </c>
      <c r="K88" t="s">
        <v>675</v>
      </c>
      <c r="L88" s="146" t="s">
        <v>679</v>
      </c>
      <c r="N88">
        <v>8.6</v>
      </c>
      <c r="O88">
        <v>1.0094000000000001</v>
      </c>
      <c r="Q88">
        <v>0.68049999999999999</v>
      </c>
      <c r="R88">
        <v>76.400000000000006</v>
      </c>
      <c r="S88">
        <v>0.68059999999999998</v>
      </c>
      <c r="T88">
        <v>0.6794</v>
      </c>
    </row>
    <row r="89" spans="1:20">
      <c r="I89" t="s">
        <v>676</v>
      </c>
      <c r="J89" s="146" t="s">
        <v>680</v>
      </c>
      <c r="K89" t="s">
        <v>676</v>
      </c>
      <c r="L89" s="146" t="s">
        <v>680</v>
      </c>
      <c r="N89">
        <v>8.6999999999999993</v>
      </c>
      <c r="O89">
        <v>1.0085999999999999</v>
      </c>
      <c r="Q89">
        <v>0.68079999999999996</v>
      </c>
      <c r="R89">
        <v>76.3</v>
      </c>
      <c r="S89">
        <v>0.68089999999999995</v>
      </c>
      <c r="T89">
        <v>0.67969999999999997</v>
      </c>
    </row>
    <row r="90" spans="1:20">
      <c r="I90" t="s">
        <v>677</v>
      </c>
      <c r="J90" s="146" t="s">
        <v>680</v>
      </c>
      <c r="K90" t="s">
        <v>677</v>
      </c>
      <c r="L90" s="146" t="s">
        <v>680</v>
      </c>
      <c r="N90">
        <v>8.8000000000000007</v>
      </c>
      <c r="O90">
        <v>1.0079</v>
      </c>
      <c r="Q90">
        <v>0.68110000000000004</v>
      </c>
      <c r="R90">
        <v>76.2</v>
      </c>
      <c r="S90">
        <v>0.68130000000000002</v>
      </c>
      <c r="T90">
        <v>0.68</v>
      </c>
    </row>
    <row r="91" spans="1:20">
      <c r="I91" t="s">
        <v>681</v>
      </c>
      <c r="J91" s="146" t="s">
        <v>682</v>
      </c>
      <c r="K91" t="s">
        <v>681</v>
      </c>
      <c r="L91" s="146" t="s">
        <v>682</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574</v>
      </c>
      <c r="N101">
        <v>9.9</v>
      </c>
      <c r="O101">
        <v>1.0001</v>
      </c>
      <c r="Q101">
        <v>0.68469999999999998</v>
      </c>
      <c r="R101">
        <v>75.099999999999994</v>
      </c>
      <c r="S101">
        <v>0.68489999999999995</v>
      </c>
      <c r="T101">
        <v>0.68359999999999999</v>
      </c>
    </row>
    <row r="102" spans="1:20">
      <c r="A102" t="s">
        <v>575</v>
      </c>
      <c r="N102">
        <v>10</v>
      </c>
      <c r="O102">
        <v>0.99939999999999996</v>
      </c>
      <c r="Q102">
        <v>0.68510000000000004</v>
      </c>
      <c r="R102">
        <v>75</v>
      </c>
      <c r="S102">
        <v>0.68520000000000003</v>
      </c>
      <c r="T102">
        <v>0.68400000000000005</v>
      </c>
    </row>
    <row r="103" spans="1:20">
      <c r="A103" t="s">
        <v>576</v>
      </c>
      <c r="N103">
        <v>10.1</v>
      </c>
      <c r="O103">
        <v>0.99870000000000003</v>
      </c>
      <c r="Q103">
        <v>0.68540000000000001</v>
      </c>
      <c r="R103">
        <v>74.900000000000006</v>
      </c>
      <c r="S103">
        <v>0.68559999999999999</v>
      </c>
      <c r="T103">
        <v>0.68430000000000002</v>
      </c>
    </row>
    <row r="104" spans="1:20">
      <c r="A104" t="s">
        <v>577</v>
      </c>
      <c r="N104">
        <v>10.199999999999999</v>
      </c>
      <c r="O104">
        <v>0.998</v>
      </c>
      <c r="Q104">
        <v>0.68569999999999998</v>
      </c>
      <c r="R104">
        <v>74.8</v>
      </c>
      <c r="S104">
        <v>0.68589999999999995</v>
      </c>
      <c r="T104">
        <v>0.68459999999999999</v>
      </c>
    </row>
    <row r="105" spans="1:20">
      <c r="A105" t="s">
        <v>578</v>
      </c>
      <c r="N105">
        <v>10.3</v>
      </c>
      <c r="O105">
        <v>0.99729999999999996</v>
      </c>
      <c r="Q105">
        <v>0.68610000000000004</v>
      </c>
      <c r="R105">
        <v>74.7</v>
      </c>
      <c r="S105">
        <v>0.68620000000000003</v>
      </c>
      <c r="T105">
        <v>0.68500000000000005</v>
      </c>
    </row>
    <row r="106" spans="1:20">
      <c r="A106" t="s">
        <v>579</v>
      </c>
      <c r="N106">
        <v>10.4</v>
      </c>
      <c r="O106">
        <v>0.99660000000000004</v>
      </c>
      <c r="Q106">
        <v>0.68640000000000001</v>
      </c>
      <c r="R106">
        <v>74.599999999999994</v>
      </c>
      <c r="S106">
        <v>0.68659999999999999</v>
      </c>
      <c r="T106">
        <v>0.68530000000000002</v>
      </c>
    </row>
    <row r="107" spans="1:20">
      <c r="A107" t="s">
        <v>580</v>
      </c>
      <c r="I107" s="152" t="s">
        <v>402</v>
      </c>
      <c r="J107" s="152" t="s">
        <v>391</v>
      </c>
      <c r="N107">
        <v>10.5</v>
      </c>
      <c r="O107">
        <v>0.99590000000000001</v>
      </c>
      <c r="Q107">
        <v>0.68669999999999998</v>
      </c>
      <c r="R107">
        <v>74.5</v>
      </c>
      <c r="S107">
        <v>0.68689999999999996</v>
      </c>
      <c r="T107">
        <v>0.68559999999999999</v>
      </c>
    </row>
    <row r="108" spans="1:20">
      <c r="A108" t="s">
        <v>581</v>
      </c>
      <c r="I108" s="152" t="s">
        <v>403</v>
      </c>
      <c r="J108" s="152" t="s">
        <v>392</v>
      </c>
      <c r="N108">
        <v>10.6</v>
      </c>
      <c r="O108">
        <v>0.99519999999999997</v>
      </c>
      <c r="Q108">
        <v>0.68710000000000004</v>
      </c>
      <c r="R108">
        <v>74.400000000000006</v>
      </c>
      <c r="S108">
        <v>0.68720000000000003</v>
      </c>
      <c r="T108">
        <v>0.68600000000000005</v>
      </c>
    </row>
    <row r="109" spans="1:20">
      <c r="A109" t="s">
        <v>582</v>
      </c>
      <c r="I109" s="152" t="s">
        <v>404</v>
      </c>
      <c r="J109" t="s">
        <v>393</v>
      </c>
      <c r="N109">
        <v>10.7</v>
      </c>
      <c r="O109">
        <v>0.99450000000000005</v>
      </c>
      <c r="Q109">
        <v>0.68740000000000001</v>
      </c>
      <c r="R109">
        <v>74.3</v>
      </c>
      <c r="S109">
        <v>0.68759999999999999</v>
      </c>
      <c r="T109">
        <v>0.68630000000000002</v>
      </c>
    </row>
    <row r="110" spans="1:20">
      <c r="A110" t="s">
        <v>583</v>
      </c>
      <c r="I110" s="152" t="s">
        <v>405</v>
      </c>
      <c r="J110" s="155">
        <f>IF(LEFT('Navarik 설정'!C16,5)="SET 1",1,2)</f>
        <v>2</v>
      </c>
      <c r="N110">
        <v>10.8</v>
      </c>
      <c r="O110">
        <v>0.99380000000000002</v>
      </c>
      <c r="Q110">
        <v>0.68769999999999998</v>
      </c>
      <c r="R110">
        <v>74.2</v>
      </c>
      <c r="S110">
        <v>0.68789999999999996</v>
      </c>
      <c r="T110">
        <v>0.68659999999999999</v>
      </c>
    </row>
    <row r="111" spans="1:20">
      <c r="A111" t="s">
        <v>584</v>
      </c>
      <c r="I111" s="152" t="s">
        <v>406</v>
      </c>
      <c r="N111">
        <v>10.9</v>
      </c>
      <c r="O111">
        <v>0.99309999999999998</v>
      </c>
      <c r="Q111">
        <v>0.68810000000000004</v>
      </c>
      <c r="R111">
        <v>74.099999999999994</v>
      </c>
      <c r="S111">
        <v>0.68820000000000003</v>
      </c>
      <c r="T111">
        <v>0.68700000000000006</v>
      </c>
    </row>
    <row r="112" spans="1:20">
      <c r="A112" t="s">
        <v>585</v>
      </c>
      <c r="I112" s="152" t="s">
        <v>407</v>
      </c>
      <c r="J112" t="s">
        <v>394</v>
      </c>
      <c r="N112">
        <v>11</v>
      </c>
      <c r="O112">
        <v>0.99239999999999995</v>
      </c>
      <c r="Q112">
        <v>0.68840000000000001</v>
      </c>
      <c r="R112">
        <v>74</v>
      </c>
      <c r="S112">
        <v>0.68859999999999999</v>
      </c>
      <c r="T112">
        <v>0.68730000000000002</v>
      </c>
    </row>
    <row r="113" spans="1:20">
      <c r="A113" t="s">
        <v>586</v>
      </c>
      <c r="I113" s="152" t="s">
        <v>408</v>
      </c>
      <c r="J113" t="s">
        <v>396</v>
      </c>
      <c r="N113">
        <v>11.1</v>
      </c>
      <c r="O113">
        <v>0.99170000000000003</v>
      </c>
      <c r="Q113">
        <v>0.68869999999999998</v>
      </c>
      <c r="R113">
        <v>73.900000000000006</v>
      </c>
      <c r="S113">
        <v>0.68889999999999996</v>
      </c>
      <c r="T113">
        <v>0.68759999999999999</v>
      </c>
    </row>
    <row r="114" spans="1:20">
      <c r="A114" t="s">
        <v>587</v>
      </c>
      <c r="I114" s="152" t="s">
        <v>409</v>
      </c>
      <c r="J114" t="s">
        <v>395</v>
      </c>
      <c r="N114">
        <v>11.2</v>
      </c>
      <c r="O114">
        <v>0.99099999999999999</v>
      </c>
      <c r="Q114">
        <v>0.68910000000000005</v>
      </c>
      <c r="R114">
        <v>73.8</v>
      </c>
      <c r="S114">
        <v>0.68920000000000003</v>
      </c>
      <c r="T114">
        <v>0.68799999999999994</v>
      </c>
    </row>
    <row r="115" spans="1:20">
      <c r="A115" t="s">
        <v>588</v>
      </c>
      <c r="I115" s="152" t="s">
        <v>410</v>
      </c>
      <c r="J115" s="152" t="s">
        <v>342</v>
      </c>
      <c r="N115">
        <v>11.3</v>
      </c>
      <c r="O115">
        <v>0.99029999999999996</v>
      </c>
      <c r="Q115">
        <v>0.68940000000000001</v>
      </c>
      <c r="R115">
        <v>73.7</v>
      </c>
      <c r="S115">
        <v>0.68959999999999999</v>
      </c>
      <c r="T115">
        <v>0.68830000000000002</v>
      </c>
    </row>
    <row r="116" spans="1:20">
      <c r="A116" t="s">
        <v>589</v>
      </c>
      <c r="I116" s="152" t="s">
        <v>411</v>
      </c>
      <c r="J116" s="152" t="s">
        <v>343</v>
      </c>
      <c r="N116">
        <v>11.4</v>
      </c>
      <c r="O116">
        <v>0.98960000000000004</v>
      </c>
      <c r="Q116">
        <v>0.68969999999999998</v>
      </c>
      <c r="R116">
        <v>73.599999999999994</v>
      </c>
      <c r="S116">
        <v>0.68989999999999996</v>
      </c>
      <c r="T116">
        <v>0.68859999999999999</v>
      </c>
    </row>
    <row r="117" spans="1:20">
      <c r="A117" t="s">
        <v>590</v>
      </c>
      <c r="J117" s="152" t="s">
        <v>344</v>
      </c>
      <c r="N117">
        <v>11.5</v>
      </c>
      <c r="O117">
        <v>0.9889</v>
      </c>
      <c r="Q117">
        <v>0.69010000000000005</v>
      </c>
      <c r="R117">
        <v>73.5</v>
      </c>
      <c r="S117">
        <v>0.69020000000000004</v>
      </c>
      <c r="T117">
        <v>0.68899999999999995</v>
      </c>
    </row>
    <row r="118" spans="1:20">
      <c r="A118" t="s">
        <v>591</v>
      </c>
      <c r="I118" s="152" t="s">
        <v>402</v>
      </c>
      <c r="J118" s="152" t="s">
        <v>345</v>
      </c>
      <c r="N118">
        <v>11.6</v>
      </c>
      <c r="O118">
        <v>0.98819999999999997</v>
      </c>
      <c r="Q118">
        <v>0.69040000000000001</v>
      </c>
      <c r="R118">
        <v>73.400000000000006</v>
      </c>
      <c r="S118">
        <v>0.69059999999999999</v>
      </c>
      <c r="T118">
        <v>0.68930000000000002</v>
      </c>
    </row>
    <row r="119" spans="1:20">
      <c r="A119" t="s">
        <v>592</v>
      </c>
      <c r="I119" s="152" t="s">
        <v>403</v>
      </c>
      <c r="J119" s="152" t="s">
        <v>346</v>
      </c>
      <c r="N119">
        <v>11.7</v>
      </c>
      <c r="O119">
        <v>0.98750000000000004</v>
      </c>
      <c r="Q119">
        <v>0.69079999999999997</v>
      </c>
      <c r="R119">
        <v>73.3</v>
      </c>
      <c r="S119">
        <v>0.69089999999999996</v>
      </c>
      <c r="T119">
        <v>0.68969999999999998</v>
      </c>
    </row>
    <row r="120" spans="1:20">
      <c r="A120" t="s">
        <v>593</v>
      </c>
      <c r="I120" s="152" t="s">
        <v>404</v>
      </c>
      <c r="J120" s="152" t="s">
        <v>347</v>
      </c>
      <c r="N120">
        <v>11.8</v>
      </c>
      <c r="O120">
        <v>0.98680000000000001</v>
      </c>
      <c r="Q120">
        <v>0.69110000000000005</v>
      </c>
      <c r="R120">
        <v>73.2</v>
      </c>
      <c r="S120">
        <v>0.69130000000000003</v>
      </c>
      <c r="T120">
        <v>0.69</v>
      </c>
    </row>
    <row r="121" spans="1:20">
      <c r="A121" t="s">
        <v>594</v>
      </c>
      <c r="I121" s="152" t="s">
        <v>405</v>
      </c>
      <c r="J121" s="152" t="s">
        <v>348</v>
      </c>
      <c r="N121">
        <v>11.9</v>
      </c>
      <c r="O121">
        <v>0.98619999999999997</v>
      </c>
      <c r="Q121">
        <v>0.69140000000000001</v>
      </c>
      <c r="R121">
        <v>73.099999999999994</v>
      </c>
      <c r="S121">
        <v>0.69159999999999999</v>
      </c>
      <c r="T121">
        <v>0.69030000000000002</v>
      </c>
    </row>
    <row r="122" spans="1:20">
      <c r="A122" t="s">
        <v>595</v>
      </c>
      <c r="I122" s="152" t="s">
        <v>406</v>
      </c>
      <c r="J122" s="152" t="s">
        <v>349</v>
      </c>
      <c r="N122">
        <v>12</v>
      </c>
      <c r="O122">
        <v>0.98550000000000004</v>
      </c>
      <c r="Q122">
        <v>0.69179999999999997</v>
      </c>
      <c r="R122">
        <v>73</v>
      </c>
      <c r="S122">
        <v>0.69189999999999996</v>
      </c>
      <c r="T122">
        <v>0.69069999999999998</v>
      </c>
    </row>
    <row r="123" spans="1:20">
      <c r="A123" t="s">
        <v>596</v>
      </c>
      <c r="I123" s="152" t="s">
        <v>407</v>
      </c>
      <c r="J123" s="152" t="s">
        <v>350</v>
      </c>
      <c r="N123">
        <v>12.1</v>
      </c>
      <c r="O123">
        <v>0.98480000000000001</v>
      </c>
      <c r="Q123">
        <v>0.69210000000000005</v>
      </c>
      <c r="R123">
        <v>72.900000000000006</v>
      </c>
      <c r="S123">
        <v>0.69230000000000003</v>
      </c>
      <c r="T123">
        <v>0.69099999999999995</v>
      </c>
    </row>
    <row r="124" spans="1:20">
      <c r="A124" t="s">
        <v>597</v>
      </c>
      <c r="I124" s="152" t="s">
        <v>408</v>
      </c>
      <c r="J124" s="152" t="s">
        <v>351</v>
      </c>
      <c r="N124">
        <v>12.2</v>
      </c>
      <c r="O124">
        <v>0.98409999999999997</v>
      </c>
      <c r="Q124">
        <v>0.69240000000000002</v>
      </c>
      <c r="R124">
        <v>72.8</v>
      </c>
      <c r="S124">
        <v>0.69259999999999999</v>
      </c>
      <c r="T124">
        <v>0.69130000000000003</v>
      </c>
    </row>
    <row r="125" spans="1:20">
      <c r="A125" t="s">
        <v>598</v>
      </c>
      <c r="I125" s="152" t="s">
        <v>409</v>
      </c>
      <c r="J125" s="152" t="s">
        <v>352</v>
      </c>
      <c r="N125">
        <v>12.3</v>
      </c>
      <c r="O125">
        <v>0.98340000000000005</v>
      </c>
      <c r="Q125">
        <v>0.69279999999999997</v>
      </c>
      <c r="R125">
        <v>72.7</v>
      </c>
      <c r="S125">
        <v>0.69289999999999996</v>
      </c>
      <c r="T125">
        <v>0.69169999999999998</v>
      </c>
    </row>
    <row r="126" spans="1:20">
      <c r="A126" t="s">
        <v>599</v>
      </c>
      <c r="I126" s="152" t="s">
        <v>410</v>
      </c>
      <c r="J126" s="152" t="s">
        <v>353</v>
      </c>
      <c r="N126">
        <v>12.4</v>
      </c>
      <c r="O126">
        <v>0.98270000000000002</v>
      </c>
      <c r="Q126">
        <v>0.69310000000000005</v>
      </c>
      <c r="R126">
        <v>72.599999999999994</v>
      </c>
      <c r="S126">
        <v>0.69330000000000003</v>
      </c>
      <c r="T126">
        <v>0.69199999999999995</v>
      </c>
    </row>
    <row r="127" spans="1:20">
      <c r="A127" t="s">
        <v>600</v>
      </c>
      <c r="I127" s="152" t="s">
        <v>411</v>
      </c>
      <c r="J127" s="152" t="s">
        <v>354</v>
      </c>
      <c r="N127">
        <v>12.5</v>
      </c>
      <c r="O127">
        <v>0.98199999999999998</v>
      </c>
      <c r="Q127">
        <v>0.69350000000000001</v>
      </c>
      <c r="R127">
        <v>72.5</v>
      </c>
      <c r="S127">
        <v>0.69359999999999999</v>
      </c>
      <c r="T127">
        <v>0.69240000000000002</v>
      </c>
    </row>
    <row r="128" spans="1:20">
      <c r="A128" t="s">
        <v>601</v>
      </c>
      <c r="J128" s="152" t="s">
        <v>355</v>
      </c>
      <c r="N128">
        <v>12.6</v>
      </c>
      <c r="O128">
        <v>0.98140000000000005</v>
      </c>
      <c r="Q128">
        <v>0.69379999999999997</v>
      </c>
      <c r="R128">
        <v>72.400000000000006</v>
      </c>
      <c r="S128">
        <v>0.69399999999999995</v>
      </c>
      <c r="T128">
        <v>0.69269999999999998</v>
      </c>
    </row>
    <row r="129" spans="1:20">
      <c r="A129" t="s">
        <v>602</v>
      </c>
      <c r="J129" s="152" t="s">
        <v>356</v>
      </c>
      <c r="N129">
        <v>12.7</v>
      </c>
      <c r="O129">
        <v>0.98070000000000002</v>
      </c>
      <c r="Q129">
        <v>0.69410000000000005</v>
      </c>
      <c r="R129">
        <v>72.3</v>
      </c>
      <c r="S129">
        <v>0.69430000000000003</v>
      </c>
      <c r="T129">
        <v>0.69299999999999995</v>
      </c>
    </row>
    <row r="130" spans="1:20">
      <c r="A130" t="s">
        <v>603</v>
      </c>
      <c r="J130" s="152" t="s">
        <v>357</v>
      </c>
      <c r="N130">
        <v>12.8</v>
      </c>
      <c r="O130">
        <v>0.98</v>
      </c>
      <c r="Q130">
        <v>0.69450000000000001</v>
      </c>
      <c r="R130">
        <v>72.2</v>
      </c>
      <c r="S130">
        <v>0.6946</v>
      </c>
      <c r="T130">
        <v>0.69340000000000002</v>
      </c>
    </row>
    <row r="131" spans="1:20">
      <c r="A131" t="s">
        <v>604</v>
      </c>
      <c r="J131" s="152" t="s">
        <v>358</v>
      </c>
      <c r="N131">
        <v>12.9</v>
      </c>
      <c r="O131">
        <v>0.97929999999999995</v>
      </c>
      <c r="Q131">
        <v>0.69479999999999997</v>
      </c>
      <c r="R131">
        <v>72.099999999999994</v>
      </c>
      <c r="S131">
        <v>0.69499999999999995</v>
      </c>
      <c r="T131">
        <v>0.69369999999999998</v>
      </c>
    </row>
    <row r="132" spans="1:20">
      <c r="A132" t="s">
        <v>605</v>
      </c>
      <c r="N132">
        <v>13</v>
      </c>
      <c r="O132">
        <v>0.97860000000000003</v>
      </c>
      <c r="Q132">
        <v>0.69520000000000004</v>
      </c>
      <c r="R132">
        <v>72</v>
      </c>
      <c r="S132">
        <v>0.69530000000000003</v>
      </c>
      <c r="T132">
        <v>0.69410000000000005</v>
      </c>
    </row>
    <row r="133" spans="1:20">
      <c r="A133" t="s">
        <v>606</v>
      </c>
      <c r="N133">
        <v>13.1</v>
      </c>
      <c r="O133">
        <v>0.97799999999999998</v>
      </c>
      <c r="Q133">
        <v>0.69550000000000001</v>
      </c>
      <c r="R133">
        <v>71.900000000000006</v>
      </c>
      <c r="S133">
        <v>0.69569999999999999</v>
      </c>
      <c r="T133">
        <v>0.69440000000000002</v>
      </c>
    </row>
    <row r="134" spans="1:20">
      <c r="A134" t="s">
        <v>607</v>
      </c>
      <c r="N134">
        <v>13.2</v>
      </c>
      <c r="O134">
        <v>0.97729999999999995</v>
      </c>
      <c r="Q134">
        <v>0.69579999999999997</v>
      </c>
      <c r="R134">
        <v>71.8</v>
      </c>
      <c r="S134">
        <v>0.69599999999999995</v>
      </c>
      <c r="T134">
        <v>0.69469999999999998</v>
      </c>
    </row>
    <row r="135" spans="1:20">
      <c r="A135" t="s">
        <v>608</v>
      </c>
      <c r="N135">
        <v>13.3</v>
      </c>
      <c r="O135">
        <v>0.97660000000000002</v>
      </c>
      <c r="Q135">
        <v>0.69620000000000004</v>
      </c>
      <c r="R135">
        <v>71.7</v>
      </c>
      <c r="S135">
        <v>0.69640000000000002</v>
      </c>
      <c r="T135">
        <v>0.69510000000000005</v>
      </c>
    </row>
    <row r="136" spans="1:20">
      <c r="A136" t="s">
        <v>609</v>
      </c>
      <c r="N136">
        <v>13.4</v>
      </c>
      <c r="O136">
        <v>0.97589999999999999</v>
      </c>
      <c r="Q136">
        <v>0.69650000000000001</v>
      </c>
      <c r="R136">
        <v>71.599999999999994</v>
      </c>
      <c r="S136">
        <v>0.69669999999999999</v>
      </c>
      <c r="T136">
        <v>0.69540000000000002</v>
      </c>
    </row>
    <row r="137" spans="1:20">
      <c r="A137" t="s">
        <v>610</v>
      </c>
      <c r="N137">
        <v>13.5</v>
      </c>
      <c r="O137">
        <v>0.97529999999999994</v>
      </c>
      <c r="Q137">
        <v>0.69689999999999996</v>
      </c>
      <c r="R137">
        <v>71.5</v>
      </c>
      <c r="S137">
        <v>0.69699999999999995</v>
      </c>
      <c r="T137">
        <v>0.69579999999999997</v>
      </c>
    </row>
    <row r="138" spans="1:20">
      <c r="A138" t="s">
        <v>611</v>
      </c>
      <c r="N138">
        <v>13.6</v>
      </c>
      <c r="O138">
        <v>0.97460000000000002</v>
      </c>
      <c r="Q138">
        <v>0.69720000000000004</v>
      </c>
      <c r="R138">
        <v>71.400000000000006</v>
      </c>
      <c r="S138">
        <v>0.69740000000000002</v>
      </c>
      <c r="T138">
        <v>0.69610000000000005</v>
      </c>
    </row>
    <row r="139" spans="1:20">
      <c r="A139" t="s">
        <v>612</v>
      </c>
      <c r="N139">
        <v>13.7</v>
      </c>
      <c r="O139">
        <v>0.97389999999999999</v>
      </c>
      <c r="Q139">
        <v>0.6976</v>
      </c>
      <c r="R139">
        <v>71.3</v>
      </c>
      <c r="S139">
        <v>0.69769999999999999</v>
      </c>
      <c r="T139">
        <v>0.69650000000000001</v>
      </c>
    </row>
    <row r="140" spans="1:20">
      <c r="A140" t="s">
        <v>613</v>
      </c>
      <c r="N140">
        <v>13.8</v>
      </c>
      <c r="O140">
        <v>0.97330000000000005</v>
      </c>
      <c r="Q140">
        <v>0.69789999999999996</v>
      </c>
      <c r="R140">
        <v>71.2</v>
      </c>
      <c r="S140">
        <v>0.69810000000000005</v>
      </c>
      <c r="T140">
        <v>0.69679999999999997</v>
      </c>
    </row>
    <row r="141" spans="1:20">
      <c r="A141" t="s">
        <v>614</v>
      </c>
      <c r="N141">
        <v>13.9</v>
      </c>
      <c r="O141">
        <v>0.97260000000000002</v>
      </c>
      <c r="Q141">
        <v>0.69820000000000004</v>
      </c>
      <c r="R141">
        <v>71.099999999999994</v>
      </c>
      <c r="S141">
        <v>0.69840000000000002</v>
      </c>
      <c r="T141">
        <v>0.69710000000000005</v>
      </c>
    </row>
    <row r="142" spans="1:20">
      <c r="A142" t="s">
        <v>615</v>
      </c>
      <c r="N142">
        <v>14</v>
      </c>
      <c r="O142">
        <v>0.97189999999999999</v>
      </c>
      <c r="Q142">
        <v>0.6986</v>
      </c>
      <c r="R142">
        <v>71</v>
      </c>
      <c r="S142">
        <v>0.69879999999999998</v>
      </c>
      <c r="T142">
        <v>0.69750000000000001</v>
      </c>
    </row>
    <row r="143" spans="1:20">
      <c r="A143" t="s">
        <v>616</v>
      </c>
      <c r="J143" t="s">
        <v>360</v>
      </c>
      <c r="K143" s="146" t="s">
        <v>365</v>
      </c>
      <c r="L143" t="s">
        <v>369</v>
      </c>
      <c r="M143" t="s">
        <v>376</v>
      </c>
      <c r="N143">
        <v>14.1</v>
      </c>
      <c r="O143">
        <v>0.97130000000000005</v>
      </c>
      <c r="Q143">
        <v>0.69889999999999997</v>
      </c>
      <c r="R143">
        <v>70.900000000000006</v>
      </c>
      <c r="S143">
        <v>0.69910000000000005</v>
      </c>
      <c r="T143">
        <v>0.69779999999999998</v>
      </c>
    </row>
    <row r="144" spans="1:20">
      <c r="A144" t="s">
        <v>617</v>
      </c>
      <c r="J144" t="s">
        <v>361</v>
      </c>
      <c r="K144" s="146" t="s">
        <v>366</v>
      </c>
      <c r="L144" t="s">
        <v>370</v>
      </c>
      <c r="M144" t="s">
        <v>377</v>
      </c>
      <c r="N144">
        <v>14.2</v>
      </c>
      <c r="O144">
        <v>0.97060000000000002</v>
      </c>
      <c r="Q144">
        <v>0.69930000000000003</v>
      </c>
      <c r="R144">
        <v>70.8</v>
      </c>
      <c r="S144">
        <v>0.69950000000000001</v>
      </c>
      <c r="T144">
        <v>0.69820000000000004</v>
      </c>
    </row>
    <row r="145" spans="1:20">
      <c r="A145" t="s">
        <v>618</v>
      </c>
      <c r="J145" t="s">
        <v>362</v>
      </c>
      <c r="K145" s="146" t="s">
        <v>368</v>
      </c>
      <c r="L145" t="s">
        <v>371</v>
      </c>
      <c r="M145" t="s">
        <v>378</v>
      </c>
      <c r="N145">
        <v>14.3</v>
      </c>
      <c r="O145">
        <v>0.96989999999999998</v>
      </c>
      <c r="Q145">
        <v>0.6996</v>
      </c>
      <c r="R145">
        <v>70.7</v>
      </c>
      <c r="S145">
        <v>0.69979999999999998</v>
      </c>
      <c r="T145">
        <v>0.69850000000000001</v>
      </c>
    </row>
    <row r="146" spans="1:20">
      <c r="A146" t="s">
        <v>619</v>
      </c>
      <c r="J146" t="s">
        <v>363</v>
      </c>
      <c r="K146" s="146" t="s">
        <v>368</v>
      </c>
      <c r="L146" t="s">
        <v>372</v>
      </c>
      <c r="M146" t="s">
        <v>379</v>
      </c>
      <c r="N146">
        <v>14.4</v>
      </c>
      <c r="O146">
        <v>0.96930000000000005</v>
      </c>
      <c r="Q146">
        <v>0.7</v>
      </c>
      <c r="R146">
        <v>70.599999999999994</v>
      </c>
      <c r="S146">
        <v>0.70009999999999994</v>
      </c>
      <c r="T146">
        <v>0.69889999999999997</v>
      </c>
    </row>
    <row r="147" spans="1:20">
      <c r="A147" t="s">
        <v>620</v>
      </c>
      <c r="J147" t="s">
        <v>364</v>
      </c>
      <c r="K147" s="146" t="s">
        <v>367</v>
      </c>
      <c r="L147" t="s">
        <v>373</v>
      </c>
      <c r="M147" t="s">
        <v>380</v>
      </c>
      <c r="N147">
        <v>14.5</v>
      </c>
      <c r="O147">
        <v>0.96860000000000002</v>
      </c>
      <c r="Q147">
        <v>0.70030000000000003</v>
      </c>
      <c r="R147">
        <v>70.5</v>
      </c>
      <c r="S147">
        <v>0.70050000000000001</v>
      </c>
      <c r="T147">
        <v>0.69920000000000004</v>
      </c>
    </row>
    <row r="148" spans="1:20">
      <c r="A148" t="s">
        <v>621</v>
      </c>
      <c r="J148" t="s">
        <v>249</v>
      </c>
      <c r="K148" s="146" t="s">
        <v>250</v>
      </c>
      <c r="L148" t="s">
        <v>374</v>
      </c>
      <c r="M148" t="s">
        <v>381</v>
      </c>
      <c r="N148">
        <v>14.6</v>
      </c>
      <c r="O148">
        <v>0.96789999999999998</v>
      </c>
      <c r="Q148">
        <v>0.70069999999999999</v>
      </c>
      <c r="R148">
        <v>70.400000000000006</v>
      </c>
      <c r="S148">
        <v>0.70079999999999998</v>
      </c>
      <c r="T148">
        <v>0.6996</v>
      </c>
    </row>
    <row r="149" spans="1:20">
      <c r="A149" t="s">
        <v>622</v>
      </c>
      <c r="N149">
        <v>14.7</v>
      </c>
      <c r="O149">
        <v>0.96730000000000005</v>
      </c>
      <c r="Q149">
        <v>0.70099999999999996</v>
      </c>
      <c r="R149">
        <v>70.3</v>
      </c>
      <c r="S149">
        <v>0.70120000000000005</v>
      </c>
      <c r="T149">
        <v>0.69989999999999997</v>
      </c>
    </row>
    <row r="150" spans="1:20">
      <c r="A150" t="s">
        <v>623</v>
      </c>
      <c r="N150">
        <v>14.8</v>
      </c>
      <c r="O150">
        <v>0.96660000000000001</v>
      </c>
      <c r="Q150">
        <v>0.70140000000000002</v>
      </c>
      <c r="R150">
        <v>70.2</v>
      </c>
      <c r="S150">
        <v>0.70150000000000001</v>
      </c>
      <c r="T150">
        <v>0.70030000000000003</v>
      </c>
    </row>
    <row r="151" spans="1:20">
      <c r="A151" t="s">
        <v>624</v>
      </c>
      <c r="N151">
        <v>14.9</v>
      </c>
      <c r="O151">
        <v>0.96599999999999997</v>
      </c>
      <c r="Q151">
        <v>0.70169999999999999</v>
      </c>
      <c r="R151">
        <v>70.099999999999994</v>
      </c>
      <c r="S151">
        <v>0.70189999999999997</v>
      </c>
      <c r="T151">
        <v>0.7006</v>
      </c>
    </row>
    <row r="152" spans="1:20">
      <c r="A152" t="s">
        <v>625</v>
      </c>
      <c r="N152">
        <v>15</v>
      </c>
      <c r="O152">
        <v>0.96530000000000005</v>
      </c>
      <c r="Q152">
        <v>0.70209999999999995</v>
      </c>
      <c r="R152">
        <v>70</v>
      </c>
      <c r="S152">
        <v>0.70220000000000005</v>
      </c>
      <c r="T152">
        <v>0.70099999999999996</v>
      </c>
    </row>
    <row r="153" spans="1:20">
      <c r="A153" t="s">
        <v>626</v>
      </c>
      <c r="N153">
        <v>15.1</v>
      </c>
      <c r="O153">
        <v>0.96460000000000001</v>
      </c>
      <c r="Q153">
        <v>0.70240000000000002</v>
      </c>
      <c r="R153">
        <v>69.900000000000006</v>
      </c>
      <c r="S153">
        <v>0.7026</v>
      </c>
      <c r="T153">
        <v>0.70130000000000003</v>
      </c>
    </row>
    <row r="154" spans="1:20">
      <c r="A154" t="s">
        <v>627</v>
      </c>
      <c r="J154" t="s">
        <v>651</v>
      </c>
      <c r="N154">
        <v>15.2</v>
      </c>
      <c r="O154">
        <v>0.96399999999999997</v>
      </c>
      <c r="Q154">
        <v>0.70279999999999998</v>
      </c>
      <c r="R154">
        <v>69.8</v>
      </c>
      <c r="S154">
        <v>0.70289999999999997</v>
      </c>
      <c r="T154">
        <v>0.70169999999999999</v>
      </c>
    </row>
    <row r="155" spans="1:20">
      <c r="A155" t="s">
        <v>628</v>
      </c>
      <c r="J155" t="s">
        <v>657</v>
      </c>
      <c r="N155">
        <v>15.3</v>
      </c>
      <c r="O155">
        <v>0.96330000000000005</v>
      </c>
      <c r="Q155">
        <v>0.70309999999999995</v>
      </c>
      <c r="R155">
        <v>69.7</v>
      </c>
      <c r="S155">
        <v>0.70330000000000004</v>
      </c>
      <c r="T155">
        <v>0.70199999999999996</v>
      </c>
    </row>
    <row r="156" spans="1:20">
      <c r="A156" t="s">
        <v>629</v>
      </c>
      <c r="J156" t="s">
        <v>643</v>
      </c>
      <c r="N156">
        <v>15.4</v>
      </c>
      <c r="O156">
        <v>0.9627</v>
      </c>
      <c r="Q156">
        <v>0.70350000000000001</v>
      </c>
      <c r="R156">
        <v>69.599999999999994</v>
      </c>
      <c r="S156">
        <v>0.7036</v>
      </c>
      <c r="T156">
        <v>0.70240000000000002</v>
      </c>
    </row>
    <row r="157" spans="1:20">
      <c r="A157" t="s">
        <v>630</v>
      </c>
      <c r="J157" t="s">
        <v>644</v>
      </c>
      <c r="N157">
        <v>15.5</v>
      </c>
      <c r="O157">
        <v>0.96199999999999997</v>
      </c>
      <c r="Q157">
        <v>0.70379999999999998</v>
      </c>
      <c r="R157">
        <v>69.5</v>
      </c>
      <c r="S157">
        <v>0.70399999999999996</v>
      </c>
      <c r="T157">
        <v>0.70269999999999999</v>
      </c>
    </row>
    <row r="158" spans="1:20">
      <c r="A158" t="s">
        <v>631</v>
      </c>
      <c r="J158" t="s">
        <v>645</v>
      </c>
      <c r="N158">
        <v>15.6</v>
      </c>
      <c r="O158">
        <v>0.96140000000000003</v>
      </c>
      <c r="Q158">
        <v>0.70420000000000005</v>
      </c>
      <c r="R158">
        <v>69.400000000000006</v>
      </c>
      <c r="S158">
        <v>0.70430000000000004</v>
      </c>
      <c r="T158">
        <v>0.70309999999999995</v>
      </c>
    </row>
    <row r="159" spans="1:20">
      <c r="A159" t="s">
        <v>412</v>
      </c>
      <c r="J159" t="s">
        <v>646</v>
      </c>
      <c r="N159">
        <v>15.7</v>
      </c>
      <c r="O159">
        <v>0.9607</v>
      </c>
      <c r="Q159">
        <v>0.70450000000000002</v>
      </c>
      <c r="R159">
        <v>69.3</v>
      </c>
      <c r="S159">
        <v>0.70469999999999999</v>
      </c>
      <c r="T159">
        <v>0.70340000000000003</v>
      </c>
    </row>
    <row r="160" spans="1:20">
      <c r="A160" t="s">
        <v>413</v>
      </c>
      <c r="J160" t="s">
        <v>647</v>
      </c>
      <c r="N160">
        <v>15.8</v>
      </c>
      <c r="O160">
        <v>0.96009999999999995</v>
      </c>
      <c r="Q160">
        <v>0.70489999999999997</v>
      </c>
      <c r="R160">
        <v>69.2</v>
      </c>
      <c r="S160">
        <v>0.70499999999999996</v>
      </c>
      <c r="T160">
        <v>0.70379999999999998</v>
      </c>
    </row>
    <row r="161" spans="1:20">
      <c r="A161" t="s">
        <v>414</v>
      </c>
      <c r="J161" t="s">
        <v>648</v>
      </c>
      <c r="N161">
        <v>15.9</v>
      </c>
      <c r="O161">
        <v>0.95940000000000003</v>
      </c>
      <c r="Q161">
        <v>0.70520000000000005</v>
      </c>
      <c r="R161">
        <v>69.099999999999994</v>
      </c>
      <c r="S161">
        <v>0.70540000000000003</v>
      </c>
      <c r="T161">
        <v>0.70409999999999995</v>
      </c>
    </row>
    <row r="162" spans="1:20">
      <c r="A162" t="s">
        <v>415</v>
      </c>
      <c r="J162" t="s">
        <v>649</v>
      </c>
      <c r="N162">
        <v>16</v>
      </c>
      <c r="O162">
        <v>0.95879999999999999</v>
      </c>
      <c r="Q162">
        <v>0.7056</v>
      </c>
      <c r="R162">
        <v>69</v>
      </c>
      <c r="S162">
        <v>0.70569999999999999</v>
      </c>
      <c r="T162">
        <v>0.70450000000000002</v>
      </c>
    </row>
    <row r="163" spans="1:20">
      <c r="A163" t="s">
        <v>416</v>
      </c>
      <c r="J163" t="s">
        <v>650</v>
      </c>
      <c r="N163">
        <v>16.100000000000001</v>
      </c>
      <c r="O163">
        <v>0.95809999999999995</v>
      </c>
      <c r="Q163">
        <v>0.70589999999999997</v>
      </c>
      <c r="R163">
        <v>68.900000000000006</v>
      </c>
      <c r="S163">
        <v>0.70609999999999995</v>
      </c>
      <c r="T163">
        <v>0.70479999999999998</v>
      </c>
    </row>
    <row r="164" spans="1:20">
      <c r="A164" t="s">
        <v>417</v>
      </c>
      <c r="J164" t="s">
        <v>652</v>
      </c>
      <c r="N164">
        <v>16.2</v>
      </c>
      <c r="O164">
        <v>0.95750000000000002</v>
      </c>
      <c r="Q164">
        <v>0.70630000000000004</v>
      </c>
      <c r="R164">
        <v>68.8</v>
      </c>
      <c r="S164">
        <v>0.70640000000000003</v>
      </c>
      <c r="T164">
        <v>0.70520000000000005</v>
      </c>
    </row>
    <row r="165" spans="1:20">
      <c r="A165" t="s">
        <v>418</v>
      </c>
      <c r="J165" t="s">
        <v>653</v>
      </c>
      <c r="N165">
        <v>16.3</v>
      </c>
      <c r="O165">
        <v>0.95679999999999998</v>
      </c>
      <c r="Q165">
        <v>0.70660000000000001</v>
      </c>
      <c r="R165">
        <v>68.7</v>
      </c>
      <c r="S165">
        <v>0.70679999999999998</v>
      </c>
      <c r="T165">
        <v>0.70550000000000002</v>
      </c>
    </row>
    <row r="166" spans="1:20">
      <c r="A166" t="s">
        <v>419</v>
      </c>
      <c r="J166" t="s">
        <v>654</v>
      </c>
      <c r="N166">
        <v>16.399999999999999</v>
      </c>
      <c r="O166">
        <v>0.95620000000000005</v>
      </c>
      <c r="Q166">
        <v>0.70699999999999996</v>
      </c>
      <c r="R166">
        <v>68.599999999999994</v>
      </c>
      <c r="S166">
        <v>0.70709999999999995</v>
      </c>
      <c r="T166">
        <v>0.70589999999999997</v>
      </c>
    </row>
    <row r="167" spans="1:20">
      <c r="A167" t="s">
        <v>420</v>
      </c>
      <c r="J167" t="s">
        <v>655</v>
      </c>
      <c r="N167">
        <v>16.5</v>
      </c>
      <c r="O167">
        <v>0.95550000000000002</v>
      </c>
      <c r="Q167">
        <v>0.70730000000000004</v>
      </c>
      <c r="R167">
        <v>68.5</v>
      </c>
      <c r="S167">
        <v>0.70750000000000002</v>
      </c>
      <c r="T167">
        <v>0.70620000000000005</v>
      </c>
    </row>
    <row r="168" spans="1:20">
      <c r="A168" t="s">
        <v>421</v>
      </c>
      <c r="J168" t="s">
        <v>656</v>
      </c>
      <c r="N168">
        <v>16.600000000000001</v>
      </c>
      <c r="O168">
        <v>0.95489999999999997</v>
      </c>
      <c r="Q168">
        <v>0.7077</v>
      </c>
      <c r="R168">
        <v>68.400000000000006</v>
      </c>
      <c r="S168">
        <v>0.70789999999999997</v>
      </c>
      <c r="T168">
        <v>0.70660000000000001</v>
      </c>
    </row>
    <row r="169" spans="1:20">
      <c r="A169" t="s">
        <v>422</v>
      </c>
      <c r="N169">
        <v>16.7</v>
      </c>
      <c r="O169">
        <v>0.95420000000000005</v>
      </c>
      <c r="Q169">
        <v>0.70799999999999996</v>
      </c>
      <c r="R169">
        <v>68.3</v>
      </c>
      <c r="S169">
        <v>0.70820000000000005</v>
      </c>
      <c r="T169">
        <v>0.70689999999999997</v>
      </c>
    </row>
    <row r="170" spans="1:20">
      <c r="A170" t="s">
        <v>423</v>
      </c>
      <c r="N170">
        <v>16.8</v>
      </c>
      <c r="O170">
        <v>0.9536</v>
      </c>
      <c r="Q170">
        <v>0.70840000000000003</v>
      </c>
      <c r="R170">
        <v>68.2</v>
      </c>
      <c r="S170">
        <v>0.70860000000000001</v>
      </c>
      <c r="T170">
        <v>0.70730000000000004</v>
      </c>
    </row>
    <row r="171" spans="1:20">
      <c r="A171" t="s">
        <v>424</v>
      </c>
      <c r="N171">
        <v>16.899999999999999</v>
      </c>
      <c r="O171">
        <v>0.95289999999999997</v>
      </c>
      <c r="Q171">
        <v>0.7087</v>
      </c>
      <c r="R171">
        <v>68.099999999999994</v>
      </c>
      <c r="S171">
        <v>0.70889999999999997</v>
      </c>
      <c r="T171">
        <v>0.70760000000000001</v>
      </c>
    </row>
    <row r="172" spans="1:20">
      <c r="A172" t="s">
        <v>425</v>
      </c>
      <c r="N172">
        <v>17</v>
      </c>
      <c r="O172">
        <v>0.95230000000000004</v>
      </c>
      <c r="Q172">
        <v>0.70909999999999995</v>
      </c>
      <c r="R172">
        <v>68</v>
      </c>
      <c r="S172">
        <v>0.70930000000000004</v>
      </c>
      <c r="T172">
        <v>0.70799999999999996</v>
      </c>
    </row>
    <row r="173" spans="1:20">
      <c r="A173" t="s">
        <v>426</v>
      </c>
      <c r="N173">
        <v>17.100000000000001</v>
      </c>
      <c r="O173">
        <v>0.95169999999999999</v>
      </c>
      <c r="Q173">
        <v>0.70940000000000003</v>
      </c>
      <c r="R173">
        <v>67.900000000000006</v>
      </c>
      <c r="S173">
        <v>0.70960000000000001</v>
      </c>
      <c r="T173">
        <v>0.70830000000000004</v>
      </c>
    </row>
    <row r="174" spans="1:20">
      <c r="A174" t="s">
        <v>427</v>
      </c>
      <c r="N174">
        <v>17.2</v>
      </c>
      <c r="O174">
        <v>0.95099999999999996</v>
      </c>
      <c r="Q174">
        <v>0.70979999999999999</v>
      </c>
      <c r="R174">
        <v>67.8</v>
      </c>
      <c r="S174">
        <v>0.71</v>
      </c>
      <c r="T174">
        <v>0.7087</v>
      </c>
    </row>
    <row r="175" spans="1:20">
      <c r="A175" t="s">
        <v>428</v>
      </c>
      <c r="N175">
        <v>17.3</v>
      </c>
      <c r="O175">
        <v>0.95040000000000002</v>
      </c>
      <c r="Q175">
        <v>0.71020000000000005</v>
      </c>
      <c r="R175">
        <v>67.7</v>
      </c>
      <c r="S175">
        <v>0.71030000000000004</v>
      </c>
      <c r="T175">
        <v>0.70909999999999995</v>
      </c>
    </row>
    <row r="176" spans="1:20">
      <c r="A176" t="s">
        <v>429</v>
      </c>
      <c r="J176" s="152" t="b">
        <f>'Navarik 설정'!$B$48</f>
        <v>0</v>
      </c>
      <c r="N176">
        <v>17.399999999999999</v>
      </c>
      <c r="O176">
        <v>0.94969999999999999</v>
      </c>
      <c r="Q176">
        <v>0.71050000000000002</v>
      </c>
      <c r="R176">
        <v>67.599999999999994</v>
      </c>
      <c r="S176">
        <v>0.7107</v>
      </c>
      <c r="T176">
        <v>0.70940000000000003</v>
      </c>
    </row>
    <row r="177" spans="1:20">
      <c r="A177" t="s">
        <v>430</v>
      </c>
      <c r="J177" s="152" t="b">
        <f>'Navarik 설정'!$B$49</f>
        <v>1</v>
      </c>
      <c r="N177">
        <v>17.5</v>
      </c>
      <c r="O177">
        <v>0.94910000000000005</v>
      </c>
      <c r="Q177">
        <v>0.71089999999999998</v>
      </c>
      <c r="R177">
        <v>67.5</v>
      </c>
      <c r="S177">
        <v>0.71109999999999995</v>
      </c>
      <c r="T177">
        <v>0.70979999999999999</v>
      </c>
    </row>
    <row r="178" spans="1:20">
      <c r="A178" t="s">
        <v>431</v>
      </c>
      <c r="J178" s="152" t="b">
        <f>'Navarik 설정'!$B$50</f>
        <v>1</v>
      </c>
      <c r="N178">
        <v>17.600000000000001</v>
      </c>
      <c r="O178">
        <v>0.94850000000000001</v>
      </c>
      <c r="Q178">
        <v>0.71120000000000005</v>
      </c>
      <c r="R178">
        <v>67.400000000000006</v>
      </c>
      <c r="S178">
        <v>0.71140000000000003</v>
      </c>
      <c r="T178">
        <v>0.71009999999999995</v>
      </c>
    </row>
    <row r="179" spans="1:20">
      <c r="A179" t="s">
        <v>432</v>
      </c>
      <c r="J179" s="152" t="b">
        <f>'Navarik 설정'!$B$58</f>
        <v>0</v>
      </c>
      <c r="N179">
        <v>17.7</v>
      </c>
      <c r="O179">
        <v>0.94779999999999998</v>
      </c>
      <c r="Q179">
        <v>0.71160000000000001</v>
      </c>
      <c r="R179">
        <v>67.3</v>
      </c>
      <c r="S179">
        <v>0.71179999999999999</v>
      </c>
      <c r="T179">
        <v>0.71050000000000002</v>
      </c>
    </row>
    <row r="180" spans="1:20">
      <c r="A180" t="s">
        <v>433</v>
      </c>
      <c r="J180" s="152" t="b">
        <f>'Navarik 설정'!$B$59</f>
        <v>1</v>
      </c>
      <c r="N180">
        <v>17.8</v>
      </c>
      <c r="O180">
        <v>0.94720000000000004</v>
      </c>
      <c r="Q180">
        <v>0.71189999999999998</v>
      </c>
      <c r="R180">
        <v>67.2</v>
      </c>
      <c r="S180">
        <v>0.71209999999999996</v>
      </c>
      <c r="T180">
        <v>0.71079999999999999</v>
      </c>
    </row>
    <row r="181" spans="1:20">
      <c r="A181" t="s">
        <v>434</v>
      </c>
      <c r="N181">
        <v>17.899999999999999</v>
      </c>
      <c r="O181">
        <v>0.9466</v>
      </c>
      <c r="Q181">
        <v>0.71230000000000004</v>
      </c>
      <c r="R181">
        <v>67.099999999999994</v>
      </c>
      <c r="S181">
        <v>0.71250000000000002</v>
      </c>
      <c r="T181">
        <v>0.71120000000000005</v>
      </c>
    </row>
    <row r="182" spans="1:20">
      <c r="A182" t="s">
        <v>435</v>
      </c>
      <c r="N182">
        <v>18</v>
      </c>
      <c r="O182">
        <v>0.94589999999999996</v>
      </c>
      <c r="Q182">
        <v>0.7127</v>
      </c>
      <c r="R182">
        <v>67</v>
      </c>
      <c r="S182">
        <v>0.71279999999999999</v>
      </c>
      <c r="T182">
        <v>0.71160000000000001</v>
      </c>
    </row>
    <row r="183" spans="1:20">
      <c r="A183" t="s">
        <v>436</v>
      </c>
      <c r="N183">
        <v>18.100000000000001</v>
      </c>
      <c r="O183">
        <v>0.94530000000000003</v>
      </c>
      <c r="Q183">
        <v>0.71299999999999997</v>
      </c>
      <c r="R183">
        <v>66.900000000000006</v>
      </c>
      <c r="S183">
        <v>0.71319999999999995</v>
      </c>
      <c r="T183">
        <v>0.71189999999999998</v>
      </c>
    </row>
    <row r="184" spans="1:20">
      <c r="A184" t="s">
        <v>437</v>
      </c>
      <c r="N184">
        <v>18.2</v>
      </c>
      <c r="O184">
        <v>0.94469999999999998</v>
      </c>
      <c r="Q184">
        <v>0.71340000000000003</v>
      </c>
      <c r="R184">
        <v>66.8</v>
      </c>
      <c r="S184">
        <v>0.71360000000000001</v>
      </c>
      <c r="T184">
        <v>0.71230000000000004</v>
      </c>
    </row>
    <row r="185" spans="1:20">
      <c r="A185" t="s">
        <v>438</v>
      </c>
      <c r="N185">
        <v>18.3</v>
      </c>
      <c r="O185">
        <v>0.94399999999999995</v>
      </c>
      <c r="Q185">
        <v>0.7137</v>
      </c>
      <c r="R185">
        <v>66.7</v>
      </c>
      <c r="S185">
        <v>0.71389999999999998</v>
      </c>
      <c r="T185">
        <v>0.71260000000000001</v>
      </c>
    </row>
    <row r="186" spans="1:20">
      <c r="A186" t="s">
        <v>439</v>
      </c>
      <c r="N186">
        <v>18.399999999999999</v>
      </c>
      <c r="O186">
        <v>0.94340000000000002</v>
      </c>
      <c r="Q186">
        <v>0.71409999999999996</v>
      </c>
      <c r="R186">
        <v>66.599999999999994</v>
      </c>
      <c r="S186">
        <v>0.71430000000000005</v>
      </c>
      <c r="T186">
        <v>0.71299999999999997</v>
      </c>
    </row>
    <row r="187" spans="1:20">
      <c r="A187" t="s">
        <v>440</v>
      </c>
      <c r="N187">
        <v>18.5</v>
      </c>
      <c r="O187">
        <v>0.94279999999999997</v>
      </c>
      <c r="Q187">
        <v>0.71450000000000002</v>
      </c>
      <c r="R187">
        <v>66.5</v>
      </c>
      <c r="S187">
        <v>0.71460000000000001</v>
      </c>
      <c r="T187">
        <v>0.71340000000000003</v>
      </c>
    </row>
    <row r="188" spans="1:20">
      <c r="A188" t="s">
        <v>441</v>
      </c>
      <c r="N188">
        <v>18.600000000000001</v>
      </c>
      <c r="O188">
        <v>0.94220000000000004</v>
      </c>
      <c r="Q188">
        <v>0.71479999999999999</v>
      </c>
      <c r="R188">
        <v>66.400000000000006</v>
      </c>
      <c r="S188">
        <v>0.71499999999999997</v>
      </c>
      <c r="T188">
        <v>0.7137</v>
      </c>
    </row>
    <row r="189" spans="1:20">
      <c r="A189" t="s">
        <v>442</v>
      </c>
      <c r="N189">
        <v>18.7</v>
      </c>
      <c r="O189">
        <v>0.9415</v>
      </c>
      <c r="Q189">
        <v>0.71519999999999995</v>
      </c>
      <c r="R189">
        <v>66.3</v>
      </c>
      <c r="S189">
        <v>0.71540000000000004</v>
      </c>
      <c r="T189">
        <v>0.71409999999999996</v>
      </c>
    </row>
    <row r="190" spans="1:20">
      <c r="A190" t="s">
        <v>443</v>
      </c>
      <c r="N190">
        <v>18.8</v>
      </c>
      <c r="O190">
        <v>0.94089999999999996</v>
      </c>
      <c r="Q190">
        <v>0.71550000000000002</v>
      </c>
      <c r="R190">
        <v>66.2</v>
      </c>
      <c r="S190">
        <v>0.7157</v>
      </c>
      <c r="T190">
        <v>0.71440000000000003</v>
      </c>
    </row>
    <row r="191" spans="1:20">
      <c r="A191" t="s">
        <v>444</v>
      </c>
      <c r="N191">
        <v>18.899999999999999</v>
      </c>
      <c r="O191">
        <v>0.94030000000000002</v>
      </c>
      <c r="Q191">
        <v>0.71589999999999998</v>
      </c>
      <c r="R191">
        <v>66.099999999999994</v>
      </c>
      <c r="S191">
        <v>0.71609999999999996</v>
      </c>
      <c r="T191">
        <v>0.71479999999999999</v>
      </c>
    </row>
    <row r="192" spans="1:20">
      <c r="A192" t="s">
        <v>445</v>
      </c>
      <c r="N192">
        <v>19</v>
      </c>
      <c r="O192">
        <v>0.93969999999999998</v>
      </c>
      <c r="Q192">
        <v>0.71630000000000005</v>
      </c>
      <c r="R192">
        <v>66</v>
      </c>
      <c r="S192">
        <v>0.71650000000000003</v>
      </c>
      <c r="T192">
        <v>0.71519999999999995</v>
      </c>
    </row>
    <row r="193" spans="1:20">
      <c r="A193" t="s">
        <v>446</v>
      </c>
      <c r="N193">
        <v>19.100000000000001</v>
      </c>
      <c r="O193">
        <v>0.93899999999999995</v>
      </c>
      <c r="Q193">
        <v>0.71660000000000001</v>
      </c>
      <c r="R193">
        <v>65.900000000000006</v>
      </c>
      <c r="S193">
        <v>0.71679999999999999</v>
      </c>
      <c r="T193">
        <v>0.71550000000000002</v>
      </c>
    </row>
    <row r="194" spans="1:20">
      <c r="A194" t="s">
        <v>447</v>
      </c>
      <c r="N194">
        <v>19.2</v>
      </c>
      <c r="O194">
        <v>0.93840000000000001</v>
      </c>
      <c r="Q194">
        <v>0.71699999999999997</v>
      </c>
      <c r="R194">
        <v>65.8</v>
      </c>
      <c r="S194">
        <v>0.71719999999999995</v>
      </c>
      <c r="T194">
        <v>0.71589999999999998</v>
      </c>
    </row>
    <row r="195" spans="1:20">
      <c r="A195" t="s">
        <v>448</v>
      </c>
      <c r="N195">
        <v>19.3</v>
      </c>
      <c r="O195">
        <v>0.93779999999999997</v>
      </c>
      <c r="Q195">
        <v>0.71730000000000005</v>
      </c>
      <c r="R195">
        <v>65.7</v>
      </c>
      <c r="S195">
        <v>0.71750000000000003</v>
      </c>
      <c r="T195">
        <v>0.71619999999999995</v>
      </c>
    </row>
    <row r="196" spans="1:20">
      <c r="A196" t="s">
        <v>449</v>
      </c>
      <c r="N196">
        <v>19.399999999999999</v>
      </c>
      <c r="O196">
        <v>0.93720000000000003</v>
      </c>
      <c r="Q196">
        <v>0.7177</v>
      </c>
      <c r="R196">
        <v>65.599999999999994</v>
      </c>
      <c r="S196">
        <v>0.71789999999999998</v>
      </c>
      <c r="T196">
        <v>0.71660000000000001</v>
      </c>
    </row>
    <row r="197" spans="1:20">
      <c r="A197" t="s">
        <v>450</v>
      </c>
      <c r="N197">
        <v>19.5</v>
      </c>
      <c r="O197">
        <v>0.9365</v>
      </c>
      <c r="Q197">
        <v>0.71809999999999996</v>
      </c>
      <c r="R197">
        <v>65.5</v>
      </c>
      <c r="S197">
        <v>0.71830000000000005</v>
      </c>
      <c r="T197">
        <v>0.71699999999999997</v>
      </c>
    </row>
    <row r="198" spans="1:20">
      <c r="A198" t="s">
        <v>451</v>
      </c>
      <c r="N198">
        <v>19.600000000000001</v>
      </c>
      <c r="O198">
        <v>0.93589999999999995</v>
      </c>
      <c r="Q198">
        <v>0.71840000000000004</v>
      </c>
      <c r="R198">
        <v>65.400000000000006</v>
      </c>
      <c r="S198">
        <v>0.71860000000000002</v>
      </c>
      <c r="T198">
        <v>0.71730000000000005</v>
      </c>
    </row>
    <row r="199" spans="1:20">
      <c r="A199" t="s">
        <v>452</v>
      </c>
      <c r="N199">
        <v>19.7</v>
      </c>
      <c r="O199">
        <v>0.93530000000000002</v>
      </c>
      <c r="Q199">
        <v>0.71879999999999999</v>
      </c>
      <c r="R199">
        <v>65.3</v>
      </c>
      <c r="S199">
        <v>0.71899999999999997</v>
      </c>
      <c r="T199">
        <v>0.7177</v>
      </c>
    </row>
    <row r="200" spans="1:20">
      <c r="A200" t="s">
        <v>453</v>
      </c>
      <c r="N200">
        <v>19.8</v>
      </c>
      <c r="O200">
        <v>0.93469999999999998</v>
      </c>
      <c r="Q200">
        <v>0.71919999999999995</v>
      </c>
      <c r="R200">
        <v>65.2</v>
      </c>
      <c r="S200">
        <v>0.71940000000000004</v>
      </c>
      <c r="T200">
        <v>0.71809999999999996</v>
      </c>
    </row>
    <row r="201" spans="1:20">
      <c r="A201" t="s">
        <v>454</v>
      </c>
      <c r="N201">
        <v>19.899999999999999</v>
      </c>
      <c r="O201">
        <v>0.93410000000000004</v>
      </c>
      <c r="Q201">
        <v>0.71950000000000003</v>
      </c>
      <c r="R201">
        <v>65.099999999999994</v>
      </c>
      <c r="S201">
        <v>0.71970000000000001</v>
      </c>
      <c r="T201">
        <v>0.71840000000000004</v>
      </c>
    </row>
    <row r="202" spans="1:20">
      <c r="A202" t="s">
        <v>455</v>
      </c>
      <c r="N202">
        <v>20</v>
      </c>
      <c r="O202">
        <v>0.9335</v>
      </c>
      <c r="Q202">
        <v>0.71989999999999998</v>
      </c>
      <c r="R202">
        <v>65</v>
      </c>
      <c r="S202">
        <v>0.72009999999999996</v>
      </c>
      <c r="T202">
        <v>0.71879999999999999</v>
      </c>
    </row>
    <row r="203" spans="1:20">
      <c r="A203" t="s">
        <v>456</v>
      </c>
      <c r="N203">
        <v>20.100000000000001</v>
      </c>
      <c r="O203">
        <v>0.93279999999999996</v>
      </c>
      <c r="Q203">
        <v>0.72030000000000005</v>
      </c>
      <c r="R203">
        <v>64.900000000000006</v>
      </c>
      <c r="S203">
        <v>0.72050000000000003</v>
      </c>
      <c r="T203">
        <v>0.71919999999999995</v>
      </c>
    </row>
    <row r="204" spans="1:20">
      <c r="A204" t="s">
        <v>457</v>
      </c>
      <c r="N204">
        <v>20.2</v>
      </c>
      <c r="O204">
        <v>0.93220000000000003</v>
      </c>
      <c r="Q204">
        <v>0.72060000000000002</v>
      </c>
      <c r="R204">
        <v>64.8</v>
      </c>
      <c r="S204">
        <v>0.7208</v>
      </c>
      <c r="T204">
        <v>0.71950000000000003</v>
      </c>
    </row>
    <row r="205" spans="1:20">
      <c r="A205" t="s">
        <v>458</v>
      </c>
      <c r="N205">
        <v>20.3</v>
      </c>
      <c r="O205">
        <v>0.93159999999999998</v>
      </c>
      <c r="Q205">
        <v>0.72099999999999997</v>
      </c>
      <c r="R205">
        <v>64.7</v>
      </c>
      <c r="S205">
        <v>0.72119999999999995</v>
      </c>
      <c r="T205">
        <v>0.71989999999999998</v>
      </c>
    </row>
    <row r="206" spans="1:20">
      <c r="A206" t="s">
        <v>459</v>
      </c>
      <c r="N206">
        <v>20.399999999999999</v>
      </c>
      <c r="O206">
        <v>0.93100000000000005</v>
      </c>
      <c r="Q206">
        <v>0.72140000000000004</v>
      </c>
      <c r="R206">
        <v>64.599999999999994</v>
      </c>
      <c r="S206">
        <v>0.72160000000000002</v>
      </c>
      <c r="T206">
        <v>0.72030000000000005</v>
      </c>
    </row>
    <row r="207" spans="1:20">
      <c r="A207" t="s">
        <v>460</v>
      </c>
      <c r="N207">
        <v>20.5</v>
      </c>
      <c r="O207">
        <v>0.9304</v>
      </c>
      <c r="Q207">
        <v>0.72170000000000001</v>
      </c>
      <c r="R207">
        <v>64.5</v>
      </c>
      <c r="S207">
        <v>0.72189999999999999</v>
      </c>
      <c r="T207">
        <v>0.72060000000000002</v>
      </c>
    </row>
    <row r="208" spans="1:20">
      <c r="A208" t="s">
        <v>461</v>
      </c>
      <c r="N208">
        <v>20.6</v>
      </c>
      <c r="O208">
        <v>0.92979999999999996</v>
      </c>
      <c r="Q208">
        <v>0.72209999999999996</v>
      </c>
      <c r="R208">
        <v>64.400000000000006</v>
      </c>
      <c r="S208">
        <v>0.72230000000000005</v>
      </c>
      <c r="T208">
        <v>0.72099999999999997</v>
      </c>
    </row>
    <row r="209" spans="1:20">
      <c r="A209" t="s">
        <v>462</v>
      </c>
      <c r="N209">
        <v>20.7</v>
      </c>
      <c r="O209">
        <v>0.92920000000000003</v>
      </c>
      <c r="Q209">
        <v>0.72250000000000003</v>
      </c>
      <c r="R209">
        <v>64.3</v>
      </c>
      <c r="S209">
        <v>0.72270000000000001</v>
      </c>
      <c r="T209">
        <v>0.72140000000000004</v>
      </c>
    </row>
    <row r="210" spans="1:20">
      <c r="A210" t="s">
        <v>463</v>
      </c>
      <c r="N210">
        <v>20.8</v>
      </c>
      <c r="O210">
        <v>0.92859999999999998</v>
      </c>
      <c r="Q210">
        <v>0.7228</v>
      </c>
      <c r="R210">
        <v>64.2</v>
      </c>
      <c r="S210">
        <v>0.72299999999999998</v>
      </c>
      <c r="T210">
        <v>0.72170000000000001</v>
      </c>
    </row>
    <row r="211" spans="1:20">
      <c r="A211" t="s">
        <v>464</v>
      </c>
      <c r="N211">
        <v>20.9</v>
      </c>
      <c r="O211">
        <v>0.92789999999999995</v>
      </c>
      <c r="Q211">
        <v>0.72319999999999995</v>
      </c>
      <c r="R211">
        <v>64.099999999999994</v>
      </c>
      <c r="S211">
        <v>0.72340000000000004</v>
      </c>
      <c r="T211">
        <v>0.72209999999999996</v>
      </c>
    </row>
    <row r="212" spans="1:20">
      <c r="A212" t="s">
        <v>465</v>
      </c>
      <c r="N212">
        <v>21</v>
      </c>
      <c r="O212">
        <v>0.92730000000000001</v>
      </c>
      <c r="Q212">
        <v>0.72360000000000002</v>
      </c>
      <c r="R212">
        <v>64</v>
      </c>
      <c r="S212">
        <v>0.7238</v>
      </c>
      <c r="T212">
        <v>0.72250000000000003</v>
      </c>
    </row>
    <row r="213" spans="1:20">
      <c r="A213" t="s">
        <v>466</v>
      </c>
      <c r="N213">
        <v>21.1</v>
      </c>
      <c r="O213">
        <v>0.92669999999999997</v>
      </c>
      <c r="Q213">
        <v>0.72389999999999999</v>
      </c>
      <c r="R213">
        <v>63.9</v>
      </c>
      <c r="S213">
        <v>0.72419999999999995</v>
      </c>
      <c r="T213">
        <v>0.7228</v>
      </c>
    </row>
    <row r="214" spans="1:20">
      <c r="A214" t="s">
        <v>467</v>
      </c>
      <c r="N214">
        <v>21.2</v>
      </c>
      <c r="O214">
        <v>0.92610000000000003</v>
      </c>
      <c r="Q214">
        <v>0.72430000000000005</v>
      </c>
      <c r="R214">
        <v>63.8</v>
      </c>
      <c r="S214">
        <v>0.72450000000000003</v>
      </c>
      <c r="T214">
        <v>0.72319999999999995</v>
      </c>
    </row>
    <row r="215" spans="1:20">
      <c r="A215" t="s">
        <v>468</v>
      </c>
      <c r="N215">
        <v>21.3</v>
      </c>
      <c r="O215">
        <v>0.92549999999999999</v>
      </c>
      <c r="Q215">
        <v>0.72470000000000001</v>
      </c>
      <c r="R215">
        <v>63.7</v>
      </c>
      <c r="S215">
        <v>0.72489999999999999</v>
      </c>
      <c r="T215">
        <v>0.72360000000000002</v>
      </c>
    </row>
    <row r="216" spans="1:20">
      <c r="A216" t="s">
        <v>469</v>
      </c>
      <c r="N216">
        <v>21.4</v>
      </c>
      <c r="O216">
        <v>0.92490000000000006</v>
      </c>
      <c r="Q216">
        <v>0.72509999999999997</v>
      </c>
      <c r="R216">
        <v>63.6</v>
      </c>
      <c r="S216">
        <v>0.72529999999999994</v>
      </c>
      <c r="T216">
        <v>0.72399999999999998</v>
      </c>
    </row>
    <row r="217" spans="1:20">
      <c r="A217" t="s">
        <v>470</v>
      </c>
      <c r="N217">
        <v>21.5</v>
      </c>
      <c r="O217">
        <v>0.92430000000000001</v>
      </c>
      <c r="Q217">
        <v>0.72540000000000004</v>
      </c>
      <c r="R217">
        <v>63.5</v>
      </c>
      <c r="S217">
        <v>0.72560000000000002</v>
      </c>
      <c r="T217">
        <v>0.72430000000000005</v>
      </c>
    </row>
    <row r="218" spans="1:20">
      <c r="A218" t="s">
        <v>471</v>
      </c>
      <c r="N218">
        <v>21.6</v>
      </c>
      <c r="O218">
        <v>0.92369999999999997</v>
      </c>
      <c r="Q218">
        <v>0.7258</v>
      </c>
      <c r="R218">
        <v>63.4</v>
      </c>
      <c r="S218">
        <v>0.72599999999999998</v>
      </c>
      <c r="T218">
        <v>0.72470000000000001</v>
      </c>
    </row>
    <row r="219" spans="1:20">
      <c r="A219" t="s">
        <v>472</v>
      </c>
      <c r="N219">
        <v>21.7</v>
      </c>
      <c r="O219">
        <v>0.92310000000000003</v>
      </c>
      <c r="Q219">
        <v>0.72619999999999996</v>
      </c>
      <c r="R219">
        <v>63.3</v>
      </c>
      <c r="S219">
        <v>0.72640000000000005</v>
      </c>
      <c r="T219">
        <v>0.72509999999999997</v>
      </c>
    </row>
    <row r="220" spans="1:20">
      <c r="A220" t="s">
        <v>473</v>
      </c>
      <c r="N220">
        <v>21.8</v>
      </c>
      <c r="O220">
        <v>0.92249999999999999</v>
      </c>
      <c r="Q220">
        <v>0.72650000000000003</v>
      </c>
      <c r="R220">
        <v>63.2</v>
      </c>
      <c r="S220">
        <v>0.7268</v>
      </c>
      <c r="T220">
        <v>0.72540000000000004</v>
      </c>
    </row>
    <row r="221" spans="1:20">
      <c r="A221" t="s">
        <v>474</v>
      </c>
      <c r="N221">
        <v>21.9</v>
      </c>
      <c r="O221">
        <v>0.92190000000000005</v>
      </c>
      <c r="Q221">
        <v>0.72689999999999999</v>
      </c>
      <c r="R221">
        <v>63.1</v>
      </c>
      <c r="S221">
        <v>0.72709999999999997</v>
      </c>
      <c r="T221">
        <v>0.7258</v>
      </c>
    </row>
    <row r="222" spans="1:20">
      <c r="A222" t="s">
        <v>475</v>
      </c>
      <c r="N222">
        <v>22</v>
      </c>
      <c r="O222">
        <v>0.92130000000000001</v>
      </c>
      <c r="Q222">
        <v>0.72729999999999995</v>
      </c>
      <c r="R222">
        <v>63</v>
      </c>
      <c r="S222">
        <v>0.72750000000000004</v>
      </c>
      <c r="T222">
        <v>0.72619999999999996</v>
      </c>
    </row>
    <row r="223" spans="1:20">
      <c r="A223" t="s">
        <v>476</v>
      </c>
      <c r="N223">
        <v>22.1</v>
      </c>
      <c r="O223">
        <v>0.92069999999999996</v>
      </c>
      <c r="Q223">
        <v>0.72770000000000001</v>
      </c>
      <c r="R223">
        <v>62.9</v>
      </c>
      <c r="S223">
        <v>0.72789999999999999</v>
      </c>
      <c r="T223">
        <v>0.72660000000000002</v>
      </c>
    </row>
    <row r="224" spans="1:20">
      <c r="A224" t="s">
        <v>477</v>
      </c>
      <c r="N224">
        <v>22.2</v>
      </c>
      <c r="O224">
        <v>0.92010000000000003</v>
      </c>
      <c r="Q224">
        <v>0.72799999999999998</v>
      </c>
      <c r="R224">
        <v>62.8</v>
      </c>
      <c r="S224">
        <v>0.72829999999999995</v>
      </c>
      <c r="T224">
        <v>0.72689999999999999</v>
      </c>
    </row>
    <row r="225" spans="1:20">
      <c r="A225" t="s">
        <v>478</v>
      </c>
      <c r="N225">
        <v>22.3</v>
      </c>
      <c r="O225">
        <v>0.91949999999999998</v>
      </c>
      <c r="Q225">
        <v>0.72840000000000005</v>
      </c>
      <c r="R225">
        <v>62.7</v>
      </c>
      <c r="S225">
        <v>0.72860000000000003</v>
      </c>
      <c r="T225">
        <v>0.72729999999999995</v>
      </c>
    </row>
    <row r="226" spans="1:20">
      <c r="A226" t="s">
        <v>479</v>
      </c>
      <c r="N226">
        <v>22.4</v>
      </c>
      <c r="O226">
        <v>0.91890000000000005</v>
      </c>
      <c r="Q226">
        <v>0.7288</v>
      </c>
      <c r="R226">
        <v>62.6</v>
      </c>
      <c r="S226">
        <v>0.72899999999999998</v>
      </c>
      <c r="T226">
        <v>0.72770000000000001</v>
      </c>
    </row>
    <row r="227" spans="1:20">
      <c r="A227" t="s">
        <v>480</v>
      </c>
      <c r="N227">
        <v>22.5</v>
      </c>
      <c r="O227">
        <v>0.91830000000000001</v>
      </c>
      <c r="Q227">
        <v>0.72919999999999996</v>
      </c>
      <c r="R227">
        <v>62.5</v>
      </c>
      <c r="S227">
        <v>0.72940000000000005</v>
      </c>
      <c r="T227">
        <v>0.72809999999999997</v>
      </c>
    </row>
    <row r="228" spans="1:20">
      <c r="A228" t="s">
        <v>481</v>
      </c>
      <c r="N228">
        <v>22.6</v>
      </c>
      <c r="O228">
        <v>0.91769999999999996</v>
      </c>
      <c r="Q228">
        <v>0.72950000000000004</v>
      </c>
      <c r="R228">
        <v>62.4</v>
      </c>
      <c r="S228">
        <v>0.7298</v>
      </c>
      <c r="T228">
        <v>0.72840000000000005</v>
      </c>
    </row>
    <row r="229" spans="1:20">
      <c r="A229" t="s">
        <v>482</v>
      </c>
      <c r="N229">
        <v>22.7</v>
      </c>
      <c r="O229">
        <v>0.91710000000000003</v>
      </c>
      <c r="Q229">
        <v>0.72989999999999999</v>
      </c>
      <c r="R229">
        <v>62.3</v>
      </c>
      <c r="S229">
        <v>0.73009999999999997</v>
      </c>
      <c r="T229">
        <v>0.7288</v>
      </c>
    </row>
    <row r="230" spans="1:20">
      <c r="A230" t="s">
        <v>483</v>
      </c>
      <c r="N230">
        <v>22.8</v>
      </c>
      <c r="O230">
        <v>0.91649999999999998</v>
      </c>
      <c r="Q230">
        <v>0.73029999999999995</v>
      </c>
      <c r="R230">
        <v>62.2</v>
      </c>
      <c r="S230">
        <v>0.73050000000000004</v>
      </c>
      <c r="T230">
        <v>0.72919999999999996</v>
      </c>
    </row>
    <row r="231" spans="1:20">
      <c r="A231" t="s">
        <v>484</v>
      </c>
      <c r="N231">
        <v>22.9</v>
      </c>
      <c r="O231">
        <v>0.91590000000000005</v>
      </c>
      <c r="Q231">
        <v>0.73070000000000002</v>
      </c>
      <c r="R231">
        <v>62.1</v>
      </c>
      <c r="S231">
        <v>0.73089999999999999</v>
      </c>
      <c r="T231">
        <v>0.72960000000000003</v>
      </c>
    </row>
    <row r="232" spans="1:20">
      <c r="A232" t="s">
        <v>485</v>
      </c>
      <c r="N232">
        <v>23</v>
      </c>
      <c r="O232">
        <v>0.9153</v>
      </c>
      <c r="Q232">
        <v>0.73109999999999997</v>
      </c>
      <c r="R232">
        <v>62</v>
      </c>
      <c r="S232">
        <v>0.73129999999999995</v>
      </c>
      <c r="T232">
        <v>0.73</v>
      </c>
    </row>
    <row r="233" spans="1:20">
      <c r="A233" t="s">
        <v>486</v>
      </c>
      <c r="N233">
        <v>23.1</v>
      </c>
      <c r="O233">
        <v>0.91469999999999996</v>
      </c>
      <c r="Q233">
        <v>0.73140000000000005</v>
      </c>
      <c r="R233">
        <v>61.9</v>
      </c>
      <c r="S233">
        <v>0.73160000000000003</v>
      </c>
      <c r="T233">
        <v>0.73029999999999995</v>
      </c>
    </row>
    <row r="234" spans="1:20">
      <c r="A234" t="s">
        <v>487</v>
      </c>
      <c r="N234">
        <v>23.2</v>
      </c>
      <c r="O234">
        <v>0.91420000000000001</v>
      </c>
      <c r="Q234">
        <v>0.73180000000000001</v>
      </c>
      <c r="R234">
        <v>61.8</v>
      </c>
      <c r="S234">
        <v>0.73199999999999998</v>
      </c>
      <c r="T234">
        <v>0.73070000000000002</v>
      </c>
    </row>
    <row r="235" spans="1:20">
      <c r="A235" t="s">
        <v>488</v>
      </c>
      <c r="N235">
        <v>23.3</v>
      </c>
      <c r="O235">
        <v>0.91359999999999997</v>
      </c>
      <c r="Q235">
        <v>0.73219999999999996</v>
      </c>
      <c r="R235">
        <v>61.7</v>
      </c>
      <c r="S235">
        <v>0.73240000000000005</v>
      </c>
      <c r="T235">
        <v>0.73109999999999997</v>
      </c>
    </row>
    <row r="236" spans="1:20">
      <c r="A236" t="s">
        <v>489</v>
      </c>
      <c r="N236">
        <v>23.4</v>
      </c>
      <c r="O236">
        <v>0.91300000000000003</v>
      </c>
      <c r="Q236">
        <v>0.73260000000000003</v>
      </c>
      <c r="R236">
        <v>61.6</v>
      </c>
      <c r="S236">
        <v>0.73280000000000001</v>
      </c>
      <c r="T236">
        <v>0.73150000000000004</v>
      </c>
    </row>
    <row r="237" spans="1:20">
      <c r="A237" t="s">
        <v>490</v>
      </c>
      <c r="N237">
        <v>23.5</v>
      </c>
      <c r="O237">
        <v>0.91239999999999999</v>
      </c>
      <c r="Q237">
        <v>0.7329</v>
      </c>
      <c r="R237">
        <v>61.5</v>
      </c>
      <c r="S237">
        <v>0.73319999999999996</v>
      </c>
      <c r="T237">
        <v>0.73180000000000001</v>
      </c>
    </row>
    <row r="238" spans="1:20">
      <c r="A238" t="s">
        <v>491</v>
      </c>
      <c r="N238">
        <v>23.6</v>
      </c>
      <c r="O238">
        <v>0.91180000000000005</v>
      </c>
      <c r="Q238">
        <v>0.73329999999999995</v>
      </c>
      <c r="R238">
        <v>61.4</v>
      </c>
      <c r="S238">
        <v>0.73350000000000004</v>
      </c>
      <c r="T238">
        <v>0.73219999999999996</v>
      </c>
    </row>
    <row r="239" spans="1:20">
      <c r="A239" t="s">
        <v>492</v>
      </c>
      <c r="N239">
        <v>23.7</v>
      </c>
      <c r="O239">
        <v>0.91120000000000001</v>
      </c>
      <c r="Q239">
        <v>0.73370000000000002</v>
      </c>
      <c r="R239">
        <v>61.3</v>
      </c>
      <c r="S239">
        <v>0.7339</v>
      </c>
      <c r="T239">
        <v>0.73260000000000003</v>
      </c>
    </row>
    <row r="240" spans="1:20">
      <c r="A240" t="s">
        <v>493</v>
      </c>
      <c r="N240">
        <v>23.8</v>
      </c>
      <c r="O240">
        <v>0.91059999999999997</v>
      </c>
      <c r="Q240">
        <v>0.73409999999999997</v>
      </c>
      <c r="R240">
        <v>61.2</v>
      </c>
      <c r="S240">
        <v>0.73429999999999995</v>
      </c>
      <c r="T240">
        <v>0.73299999999999998</v>
      </c>
    </row>
    <row r="241" spans="1:20">
      <c r="A241" t="s">
        <v>494</v>
      </c>
      <c r="N241">
        <v>23.9</v>
      </c>
      <c r="O241">
        <v>0.91</v>
      </c>
      <c r="Q241">
        <v>0.73450000000000004</v>
      </c>
      <c r="R241">
        <v>61.1</v>
      </c>
      <c r="S241">
        <v>0.73470000000000002</v>
      </c>
      <c r="T241">
        <v>0.73340000000000005</v>
      </c>
    </row>
    <row r="242" spans="1:20">
      <c r="A242" t="s">
        <v>495</v>
      </c>
      <c r="N242">
        <v>24</v>
      </c>
      <c r="O242">
        <v>0.90949999999999998</v>
      </c>
      <c r="Q242">
        <v>0.73480000000000001</v>
      </c>
      <c r="R242">
        <v>61</v>
      </c>
      <c r="S242">
        <v>0.73509999999999998</v>
      </c>
      <c r="T242">
        <v>0.73370000000000002</v>
      </c>
    </row>
    <row r="243" spans="1:20">
      <c r="A243" t="s">
        <v>496</v>
      </c>
      <c r="N243">
        <v>24.1</v>
      </c>
      <c r="O243">
        <v>0.90890000000000004</v>
      </c>
      <c r="Q243">
        <v>0.73519999999999996</v>
      </c>
      <c r="R243">
        <v>60.9</v>
      </c>
      <c r="S243">
        <v>0.73540000000000005</v>
      </c>
      <c r="T243">
        <v>0.73409999999999997</v>
      </c>
    </row>
    <row r="244" spans="1:20">
      <c r="A244" t="s">
        <v>497</v>
      </c>
      <c r="N244">
        <v>24.2</v>
      </c>
      <c r="O244">
        <v>0.9083</v>
      </c>
      <c r="Q244">
        <v>0.73560000000000003</v>
      </c>
      <c r="R244">
        <v>60.8</v>
      </c>
      <c r="S244">
        <v>0.73580000000000001</v>
      </c>
      <c r="T244">
        <v>0.73450000000000004</v>
      </c>
    </row>
    <row r="245" spans="1:20">
      <c r="A245" t="s">
        <v>498</v>
      </c>
      <c r="N245">
        <v>24.3</v>
      </c>
      <c r="O245">
        <v>0.90769999999999995</v>
      </c>
      <c r="Q245">
        <v>0.73599999999999999</v>
      </c>
      <c r="R245">
        <v>60.7</v>
      </c>
      <c r="S245">
        <v>0.73619999999999997</v>
      </c>
      <c r="T245">
        <v>0.7349</v>
      </c>
    </row>
    <row r="246" spans="1:20">
      <c r="A246" t="s">
        <v>499</v>
      </c>
      <c r="N246">
        <v>24.4</v>
      </c>
      <c r="O246">
        <v>0.90710000000000002</v>
      </c>
      <c r="Q246">
        <v>0.73640000000000005</v>
      </c>
      <c r="R246">
        <v>60.6</v>
      </c>
      <c r="S246">
        <v>0.73660000000000003</v>
      </c>
      <c r="T246">
        <v>0.73529999999999995</v>
      </c>
    </row>
    <row r="247" spans="1:20">
      <c r="A247" t="s">
        <v>500</v>
      </c>
      <c r="N247">
        <v>24.5</v>
      </c>
      <c r="O247">
        <v>0.90649999999999997</v>
      </c>
      <c r="Q247">
        <v>0.73680000000000001</v>
      </c>
      <c r="R247">
        <v>60.5</v>
      </c>
      <c r="S247">
        <v>0.73699999999999999</v>
      </c>
      <c r="T247">
        <v>0.73570000000000002</v>
      </c>
    </row>
    <row r="248" spans="1:20">
      <c r="A248" t="s">
        <v>501</v>
      </c>
      <c r="N248">
        <v>24.6</v>
      </c>
      <c r="O248">
        <v>0.90600000000000003</v>
      </c>
      <c r="Q248">
        <v>0.73709999999999998</v>
      </c>
      <c r="R248">
        <v>60.4</v>
      </c>
      <c r="S248">
        <v>0.73740000000000006</v>
      </c>
      <c r="T248">
        <v>0.73599999999999999</v>
      </c>
    </row>
    <row r="249" spans="1:20">
      <c r="A249" t="s">
        <v>502</v>
      </c>
      <c r="N249">
        <v>24.7</v>
      </c>
      <c r="O249">
        <v>0.90539999999999998</v>
      </c>
      <c r="Q249">
        <v>0.73750000000000004</v>
      </c>
      <c r="R249">
        <v>60.3</v>
      </c>
      <c r="S249">
        <v>0.73770000000000002</v>
      </c>
      <c r="T249">
        <v>0.73640000000000005</v>
      </c>
    </row>
    <row r="250" spans="1:20">
      <c r="A250" t="s">
        <v>503</v>
      </c>
      <c r="N250">
        <v>24.8</v>
      </c>
      <c r="O250">
        <v>0.90480000000000005</v>
      </c>
      <c r="Q250">
        <v>0.7379</v>
      </c>
      <c r="R250">
        <v>60.2</v>
      </c>
      <c r="S250">
        <v>0.73809999999999998</v>
      </c>
      <c r="T250">
        <v>0.73680000000000001</v>
      </c>
    </row>
    <row r="251" spans="1:20">
      <c r="A251" t="s">
        <v>504</v>
      </c>
      <c r="N251">
        <v>24.9</v>
      </c>
      <c r="O251">
        <v>0.9042</v>
      </c>
      <c r="Q251">
        <v>0.73829999999999996</v>
      </c>
      <c r="R251">
        <v>60.1</v>
      </c>
      <c r="S251">
        <v>0.73850000000000005</v>
      </c>
      <c r="T251">
        <v>0.73719999999999997</v>
      </c>
    </row>
    <row r="252" spans="1:20">
      <c r="A252" t="s">
        <v>505</v>
      </c>
      <c r="N252">
        <v>25</v>
      </c>
      <c r="O252">
        <v>0.90359999999999996</v>
      </c>
      <c r="Q252">
        <v>0.73870000000000002</v>
      </c>
      <c r="R252">
        <v>60</v>
      </c>
      <c r="S252">
        <v>0.7389</v>
      </c>
      <c r="T252">
        <v>0.73760000000000003</v>
      </c>
    </row>
    <row r="253" spans="1:20">
      <c r="A253" t="s">
        <v>506</v>
      </c>
      <c r="N253">
        <v>25.1</v>
      </c>
      <c r="O253">
        <v>0.90310000000000001</v>
      </c>
      <c r="Q253">
        <v>0.73909999999999998</v>
      </c>
      <c r="R253">
        <v>59.9</v>
      </c>
      <c r="S253">
        <v>0.73929999999999996</v>
      </c>
      <c r="T253">
        <v>0.73799999999999999</v>
      </c>
    </row>
    <row r="254" spans="1:20">
      <c r="A254" t="s">
        <v>507</v>
      </c>
      <c r="N254">
        <v>25.2</v>
      </c>
      <c r="O254">
        <v>0.90249999999999997</v>
      </c>
      <c r="Q254">
        <v>0.73939999999999995</v>
      </c>
      <c r="R254">
        <v>59.8</v>
      </c>
      <c r="S254">
        <v>0.73970000000000002</v>
      </c>
      <c r="T254">
        <v>0.73829999999999996</v>
      </c>
    </row>
    <row r="255" spans="1:20">
      <c r="A255" t="s">
        <v>508</v>
      </c>
      <c r="N255">
        <v>25.3</v>
      </c>
      <c r="O255">
        <v>0.90190000000000003</v>
      </c>
      <c r="Q255">
        <v>0.73980000000000001</v>
      </c>
      <c r="R255">
        <v>59.7</v>
      </c>
      <c r="S255">
        <v>0.74009999999999998</v>
      </c>
      <c r="T255">
        <v>0.73870000000000002</v>
      </c>
    </row>
    <row r="256" spans="1:20">
      <c r="A256" t="s">
        <v>509</v>
      </c>
      <c r="N256">
        <v>25.4</v>
      </c>
      <c r="O256">
        <v>0.90129999999999999</v>
      </c>
      <c r="Q256">
        <v>0.74019999999999997</v>
      </c>
      <c r="R256">
        <v>59.6</v>
      </c>
      <c r="S256">
        <v>0.74050000000000005</v>
      </c>
      <c r="T256">
        <v>0.73909999999999998</v>
      </c>
    </row>
    <row r="257" spans="1:20">
      <c r="A257" t="s">
        <v>510</v>
      </c>
      <c r="N257">
        <v>25.5</v>
      </c>
      <c r="O257">
        <v>0.90080000000000005</v>
      </c>
      <c r="Q257">
        <v>0.74060000000000004</v>
      </c>
      <c r="R257">
        <v>59.5</v>
      </c>
      <c r="S257">
        <v>0.74080000000000001</v>
      </c>
      <c r="T257">
        <v>0.73950000000000005</v>
      </c>
    </row>
    <row r="258" spans="1:20">
      <c r="A258" t="s">
        <v>511</v>
      </c>
      <c r="N258">
        <v>25.6</v>
      </c>
      <c r="O258">
        <v>0.9002</v>
      </c>
      <c r="Q258">
        <v>0.74099999999999999</v>
      </c>
      <c r="R258">
        <v>59.4</v>
      </c>
      <c r="S258">
        <v>0.74119999999999997</v>
      </c>
      <c r="T258">
        <v>0.7399</v>
      </c>
    </row>
    <row r="259" spans="1:20">
      <c r="A259" t="s">
        <v>512</v>
      </c>
      <c r="N259">
        <v>25.7</v>
      </c>
      <c r="O259">
        <v>0.89959999999999996</v>
      </c>
      <c r="Q259">
        <v>0.74139999999999995</v>
      </c>
      <c r="R259">
        <v>59.3</v>
      </c>
      <c r="S259">
        <v>0.74160000000000004</v>
      </c>
      <c r="T259">
        <v>0.74029999999999996</v>
      </c>
    </row>
    <row r="260" spans="1:20">
      <c r="A260" t="s">
        <v>513</v>
      </c>
      <c r="N260">
        <v>25.8</v>
      </c>
      <c r="O260">
        <v>0.89910000000000001</v>
      </c>
      <c r="Q260">
        <v>0.74180000000000001</v>
      </c>
      <c r="R260">
        <v>59.2</v>
      </c>
      <c r="S260">
        <v>0.74199999999999999</v>
      </c>
      <c r="T260">
        <v>0.74070000000000003</v>
      </c>
    </row>
    <row r="261" spans="1:20">
      <c r="A261" t="s">
        <v>514</v>
      </c>
      <c r="N261">
        <v>25.9</v>
      </c>
      <c r="O261">
        <v>0.89849999999999997</v>
      </c>
      <c r="Q261">
        <v>0.74219999999999997</v>
      </c>
      <c r="R261">
        <v>59.1</v>
      </c>
      <c r="S261">
        <v>0.74239999999999995</v>
      </c>
      <c r="T261">
        <v>0.74109999999999998</v>
      </c>
    </row>
    <row r="262" spans="1:20">
      <c r="A262" t="s">
        <v>515</v>
      </c>
      <c r="N262">
        <v>26</v>
      </c>
      <c r="O262">
        <v>0.89790000000000003</v>
      </c>
      <c r="Q262">
        <v>0.74260000000000004</v>
      </c>
      <c r="R262">
        <v>59</v>
      </c>
      <c r="S262">
        <v>0.74280000000000002</v>
      </c>
      <c r="T262">
        <v>0.74150000000000005</v>
      </c>
    </row>
    <row r="263" spans="1:20">
      <c r="A263" t="s">
        <v>516</v>
      </c>
      <c r="N263">
        <v>26.1</v>
      </c>
      <c r="O263">
        <v>0.89729999999999999</v>
      </c>
      <c r="Q263">
        <v>0.7429</v>
      </c>
      <c r="R263">
        <v>58.9</v>
      </c>
      <c r="S263">
        <v>0.74319999999999997</v>
      </c>
      <c r="T263">
        <v>0.74180000000000001</v>
      </c>
    </row>
    <row r="264" spans="1:20">
      <c r="A264" t="s">
        <v>517</v>
      </c>
      <c r="N264">
        <v>26.2</v>
      </c>
      <c r="O264">
        <v>0.89680000000000004</v>
      </c>
      <c r="Q264">
        <v>0.74329999999999996</v>
      </c>
      <c r="R264">
        <v>58.8</v>
      </c>
      <c r="S264">
        <v>0.74360000000000004</v>
      </c>
      <c r="T264">
        <v>0.74219999999999997</v>
      </c>
    </row>
    <row r="265" spans="1:20">
      <c r="A265" t="s">
        <v>518</v>
      </c>
      <c r="N265">
        <v>26.3</v>
      </c>
      <c r="O265">
        <v>0.8962</v>
      </c>
      <c r="Q265">
        <v>0.74370000000000003</v>
      </c>
      <c r="R265">
        <v>58.7</v>
      </c>
      <c r="S265">
        <v>0.74399999999999999</v>
      </c>
      <c r="T265">
        <v>0.74260000000000004</v>
      </c>
    </row>
    <row r="266" spans="1:20">
      <c r="A266" t="s">
        <v>519</v>
      </c>
      <c r="N266">
        <v>26.4</v>
      </c>
      <c r="O266">
        <v>0.89559999999999995</v>
      </c>
      <c r="Q266">
        <v>0.74409999999999998</v>
      </c>
      <c r="R266">
        <v>58.6</v>
      </c>
      <c r="S266">
        <v>0.74429999999999996</v>
      </c>
      <c r="T266">
        <v>0.74299999999999999</v>
      </c>
    </row>
    <row r="267" spans="1:20">
      <c r="A267" t="s">
        <v>520</v>
      </c>
      <c r="N267">
        <v>26.5</v>
      </c>
      <c r="O267">
        <v>0.89510000000000001</v>
      </c>
      <c r="Q267">
        <v>0.74450000000000005</v>
      </c>
      <c r="R267">
        <v>58.5</v>
      </c>
      <c r="S267">
        <v>0.74470000000000003</v>
      </c>
      <c r="T267">
        <v>0.74339999999999995</v>
      </c>
    </row>
    <row r="268" spans="1:20">
      <c r="A268" t="s">
        <v>521</v>
      </c>
      <c r="N268">
        <v>26.6</v>
      </c>
      <c r="O268">
        <v>0.89449999999999996</v>
      </c>
      <c r="Q268">
        <v>0.74490000000000001</v>
      </c>
      <c r="R268">
        <v>58.4</v>
      </c>
      <c r="S268">
        <v>0.74509999999999998</v>
      </c>
      <c r="T268">
        <v>0.74380000000000002</v>
      </c>
    </row>
    <row r="269" spans="1:20">
      <c r="A269" t="s">
        <v>522</v>
      </c>
      <c r="N269">
        <v>26.7</v>
      </c>
      <c r="O269">
        <v>0.89390000000000003</v>
      </c>
      <c r="Q269">
        <v>0.74529999999999996</v>
      </c>
      <c r="R269">
        <v>58.3</v>
      </c>
      <c r="S269">
        <v>0.74550000000000005</v>
      </c>
      <c r="T269">
        <v>0.74419999999999997</v>
      </c>
    </row>
    <row r="270" spans="1:20">
      <c r="A270" t="s">
        <v>523</v>
      </c>
      <c r="N270">
        <v>26.8</v>
      </c>
      <c r="O270">
        <v>0.89339999999999997</v>
      </c>
      <c r="Q270">
        <v>0.74570000000000003</v>
      </c>
      <c r="R270">
        <v>58.2</v>
      </c>
      <c r="S270">
        <v>0.74590000000000001</v>
      </c>
      <c r="T270">
        <v>0.74460000000000004</v>
      </c>
    </row>
    <row r="271" spans="1:20">
      <c r="A271" t="s">
        <v>514</v>
      </c>
      <c r="N271">
        <v>26.9</v>
      </c>
      <c r="O271">
        <v>0.89280000000000004</v>
      </c>
      <c r="Q271">
        <v>0.74609999999999999</v>
      </c>
      <c r="R271">
        <v>58.1</v>
      </c>
      <c r="S271">
        <v>0.74629999999999996</v>
      </c>
      <c r="T271">
        <v>0.745</v>
      </c>
    </row>
    <row r="272" spans="1:20">
      <c r="A272" t="s">
        <v>515</v>
      </c>
      <c r="N272">
        <v>27</v>
      </c>
      <c r="O272">
        <v>0.89219999999999999</v>
      </c>
      <c r="Q272">
        <v>0.74650000000000005</v>
      </c>
      <c r="R272">
        <v>58</v>
      </c>
      <c r="S272">
        <v>0.74670000000000003</v>
      </c>
      <c r="T272">
        <v>0.74539999999999995</v>
      </c>
    </row>
    <row r="273" spans="1:20">
      <c r="A273" t="s">
        <v>516</v>
      </c>
      <c r="N273">
        <v>27.1</v>
      </c>
      <c r="O273">
        <v>0.89170000000000005</v>
      </c>
      <c r="Q273">
        <v>0.74690000000000001</v>
      </c>
      <c r="R273">
        <v>57.9</v>
      </c>
      <c r="S273">
        <v>0.74709999999999999</v>
      </c>
      <c r="T273">
        <v>0.74580000000000002</v>
      </c>
    </row>
    <row r="274" spans="1:20">
      <c r="A274" t="s">
        <v>517</v>
      </c>
      <c r="N274">
        <v>27.2</v>
      </c>
      <c r="O274">
        <v>0.8911</v>
      </c>
      <c r="Q274">
        <v>0.74729999999999996</v>
      </c>
      <c r="R274">
        <v>57.8</v>
      </c>
      <c r="S274">
        <v>0.74750000000000005</v>
      </c>
      <c r="T274">
        <v>0.74619999999999997</v>
      </c>
    </row>
    <row r="275" spans="1:20">
      <c r="A275" t="s">
        <v>518</v>
      </c>
      <c r="N275">
        <v>27.3</v>
      </c>
      <c r="O275">
        <v>0.89059999999999995</v>
      </c>
      <c r="Q275">
        <v>0.74760000000000004</v>
      </c>
      <c r="R275">
        <v>57.7</v>
      </c>
      <c r="S275">
        <v>0.74790000000000001</v>
      </c>
      <c r="T275">
        <v>0.74650000000000005</v>
      </c>
    </row>
    <row r="276" spans="1:20">
      <c r="A276" t="s">
        <v>519</v>
      </c>
      <c r="N276">
        <v>27.4</v>
      </c>
      <c r="O276">
        <v>0.89</v>
      </c>
      <c r="Q276">
        <v>0.748</v>
      </c>
      <c r="R276">
        <v>57.6</v>
      </c>
      <c r="S276">
        <v>0.74829999999999997</v>
      </c>
      <c r="T276">
        <v>0.74690000000000001</v>
      </c>
    </row>
    <row r="277" spans="1:20">
      <c r="A277" t="s">
        <v>520</v>
      </c>
      <c r="N277">
        <v>27.5</v>
      </c>
      <c r="O277">
        <v>0.88939999999999997</v>
      </c>
      <c r="Q277">
        <v>0.74839999999999995</v>
      </c>
      <c r="R277">
        <v>57.5</v>
      </c>
      <c r="S277">
        <v>0.74870000000000003</v>
      </c>
      <c r="T277">
        <v>0.74729999999999996</v>
      </c>
    </row>
    <row r="278" spans="1:20">
      <c r="A278" t="s">
        <v>521</v>
      </c>
      <c r="N278">
        <v>27.6</v>
      </c>
      <c r="O278">
        <v>0.88890000000000002</v>
      </c>
      <c r="Q278">
        <v>0.74880000000000002</v>
      </c>
      <c r="R278">
        <v>57.4</v>
      </c>
      <c r="S278">
        <v>0.74909999999999999</v>
      </c>
      <c r="T278">
        <v>0.74770000000000003</v>
      </c>
    </row>
    <row r="279" spans="1:20">
      <c r="A279" t="s">
        <v>522</v>
      </c>
      <c r="N279">
        <v>27.7</v>
      </c>
      <c r="O279">
        <v>0.88829999999999998</v>
      </c>
      <c r="Q279">
        <v>0.74919999999999998</v>
      </c>
      <c r="R279">
        <v>57.3</v>
      </c>
      <c r="S279">
        <v>0.74950000000000006</v>
      </c>
      <c r="T279">
        <v>0.74809999999999999</v>
      </c>
    </row>
    <row r="280" spans="1:20">
      <c r="A280" t="s">
        <v>523</v>
      </c>
      <c r="N280">
        <v>27.8</v>
      </c>
      <c r="O280">
        <v>0.88780000000000003</v>
      </c>
      <c r="Q280">
        <v>0.74960000000000004</v>
      </c>
      <c r="R280">
        <v>57.2</v>
      </c>
      <c r="S280">
        <v>0.74990000000000001</v>
      </c>
      <c r="T280">
        <v>0.74850000000000005</v>
      </c>
    </row>
    <row r="281" spans="1:20">
      <c r="A281" t="s">
        <v>524</v>
      </c>
      <c r="N281">
        <v>27.9</v>
      </c>
      <c r="O281">
        <v>0.88719999999999999</v>
      </c>
      <c r="Q281">
        <v>0.75</v>
      </c>
      <c r="R281">
        <v>57.1</v>
      </c>
      <c r="S281">
        <v>0.75029999999999997</v>
      </c>
      <c r="T281">
        <v>0.74890000000000001</v>
      </c>
    </row>
    <row r="282" spans="1:20">
      <c r="A282" t="s">
        <v>525</v>
      </c>
      <c r="N282">
        <v>28</v>
      </c>
      <c r="O282">
        <v>0.88670000000000004</v>
      </c>
      <c r="Q282">
        <v>0.75039999999999996</v>
      </c>
      <c r="R282">
        <v>57</v>
      </c>
      <c r="S282">
        <v>0.75070000000000003</v>
      </c>
      <c r="T282">
        <v>0.74929999999999997</v>
      </c>
    </row>
    <row r="283" spans="1:20">
      <c r="A283" t="s">
        <v>526</v>
      </c>
      <c r="N283">
        <v>28.1</v>
      </c>
      <c r="O283">
        <v>0.8861</v>
      </c>
      <c r="Q283">
        <v>0.75080000000000002</v>
      </c>
      <c r="R283">
        <v>56.9</v>
      </c>
      <c r="S283">
        <v>0.75109999999999999</v>
      </c>
      <c r="T283">
        <v>0.74970000000000003</v>
      </c>
    </row>
    <row r="284" spans="1:20">
      <c r="A284" t="s">
        <v>527</v>
      </c>
      <c r="N284">
        <v>28.2</v>
      </c>
      <c r="O284">
        <v>0.88549999999999995</v>
      </c>
      <c r="Q284">
        <v>0.75119999999999998</v>
      </c>
      <c r="R284">
        <v>56.8</v>
      </c>
      <c r="S284">
        <v>0.75149999999999995</v>
      </c>
      <c r="T284">
        <v>0.75009999999999999</v>
      </c>
    </row>
    <row r="285" spans="1:20">
      <c r="A285" t="s">
        <v>528</v>
      </c>
      <c r="N285">
        <v>28.3</v>
      </c>
      <c r="O285">
        <v>0.88500000000000001</v>
      </c>
      <c r="Q285">
        <v>0.75160000000000005</v>
      </c>
      <c r="R285">
        <v>56.7</v>
      </c>
      <c r="S285">
        <v>0.75190000000000001</v>
      </c>
      <c r="T285">
        <v>0.75049999999999994</v>
      </c>
    </row>
    <row r="286" spans="1:20">
      <c r="A286" t="s">
        <v>529</v>
      </c>
      <c r="N286">
        <v>28.4</v>
      </c>
      <c r="O286">
        <v>0.88439999999999996</v>
      </c>
      <c r="Q286">
        <v>0.752</v>
      </c>
      <c r="R286">
        <v>56.6</v>
      </c>
      <c r="S286">
        <v>0.75229999999999997</v>
      </c>
      <c r="T286">
        <v>0.75090000000000001</v>
      </c>
    </row>
    <row r="287" spans="1:20">
      <c r="A287" t="s">
        <v>530</v>
      </c>
      <c r="N287">
        <v>28.5</v>
      </c>
      <c r="O287">
        <v>0.88390000000000002</v>
      </c>
      <c r="Q287">
        <v>0.75239999999999996</v>
      </c>
      <c r="R287">
        <v>56.5</v>
      </c>
      <c r="S287">
        <v>0.75270000000000004</v>
      </c>
      <c r="T287">
        <v>0.75129999999999997</v>
      </c>
    </row>
    <row r="288" spans="1:20">
      <c r="A288" t="s">
        <v>531</v>
      </c>
      <c r="N288">
        <v>28.6</v>
      </c>
      <c r="O288">
        <v>0.88329999999999997</v>
      </c>
      <c r="Q288">
        <v>0.75280000000000002</v>
      </c>
      <c r="R288">
        <v>56.4</v>
      </c>
      <c r="S288">
        <v>0.75309999999999999</v>
      </c>
      <c r="T288">
        <v>0.75170000000000003</v>
      </c>
    </row>
    <row r="289" spans="1:20">
      <c r="A289" t="s">
        <v>532</v>
      </c>
      <c r="N289">
        <v>28.7</v>
      </c>
      <c r="O289">
        <v>0.88280000000000003</v>
      </c>
      <c r="Q289">
        <v>0.75319999999999998</v>
      </c>
      <c r="R289">
        <v>56.3</v>
      </c>
      <c r="S289">
        <v>0.75349999999999995</v>
      </c>
      <c r="T289">
        <v>0.75209999999999999</v>
      </c>
    </row>
    <row r="290" spans="1:20">
      <c r="A290" t="s">
        <v>533</v>
      </c>
      <c r="N290">
        <v>28.8</v>
      </c>
      <c r="O290">
        <v>0.88219999999999998</v>
      </c>
      <c r="Q290">
        <v>0.75360000000000005</v>
      </c>
      <c r="R290">
        <v>56.2</v>
      </c>
      <c r="S290">
        <v>0.75390000000000001</v>
      </c>
      <c r="T290">
        <v>0.75249999999999995</v>
      </c>
    </row>
    <row r="291" spans="1:20">
      <c r="A291" t="s">
        <v>534</v>
      </c>
      <c r="N291">
        <v>28.9</v>
      </c>
      <c r="O291">
        <v>0.88170000000000004</v>
      </c>
      <c r="Q291">
        <v>0.754</v>
      </c>
      <c r="R291">
        <v>56.1</v>
      </c>
      <c r="S291">
        <v>0.75429999999999997</v>
      </c>
      <c r="T291">
        <v>0.75290000000000001</v>
      </c>
    </row>
    <row r="292" spans="1:20">
      <c r="A292" t="s">
        <v>535</v>
      </c>
      <c r="N292">
        <v>29</v>
      </c>
      <c r="O292">
        <v>0.88109999999999999</v>
      </c>
      <c r="Q292">
        <v>0.75439999999999996</v>
      </c>
      <c r="R292">
        <v>56</v>
      </c>
      <c r="S292">
        <v>0.75470000000000004</v>
      </c>
      <c r="T292">
        <v>0.75329999999999997</v>
      </c>
    </row>
    <row r="293" spans="1:20">
      <c r="A293" t="s">
        <v>536</v>
      </c>
      <c r="N293">
        <v>29.1</v>
      </c>
      <c r="O293">
        <v>0.88060000000000005</v>
      </c>
      <c r="Q293">
        <v>0.75480000000000003</v>
      </c>
      <c r="R293">
        <v>55.9</v>
      </c>
      <c r="S293">
        <v>0.75509999999999999</v>
      </c>
      <c r="T293">
        <v>0.75370000000000004</v>
      </c>
    </row>
    <row r="294" spans="1:20">
      <c r="A294" t="s">
        <v>537</v>
      </c>
      <c r="N294">
        <v>29.2</v>
      </c>
      <c r="O294">
        <v>0.88</v>
      </c>
      <c r="Q294">
        <v>0.75519999999999998</v>
      </c>
      <c r="R294">
        <v>55.8</v>
      </c>
      <c r="S294">
        <v>0.75549999999999995</v>
      </c>
      <c r="T294">
        <v>0.75409999999999999</v>
      </c>
    </row>
    <row r="295" spans="1:20">
      <c r="A295" t="s">
        <v>538</v>
      </c>
      <c r="N295">
        <v>29.3</v>
      </c>
      <c r="O295">
        <v>0.87949999999999995</v>
      </c>
      <c r="Q295">
        <v>0.75560000000000005</v>
      </c>
      <c r="R295">
        <v>55.7</v>
      </c>
      <c r="S295">
        <v>0.75590000000000002</v>
      </c>
      <c r="T295">
        <v>0.75449999999999995</v>
      </c>
    </row>
    <row r="296" spans="1:20">
      <c r="A296" t="s">
        <v>539</v>
      </c>
      <c r="N296">
        <v>29.4</v>
      </c>
      <c r="O296">
        <v>0.87890000000000001</v>
      </c>
      <c r="Q296">
        <v>0.75600000000000001</v>
      </c>
      <c r="R296">
        <v>55.6</v>
      </c>
      <c r="S296">
        <v>0.75629999999999997</v>
      </c>
      <c r="T296">
        <v>0.75490000000000002</v>
      </c>
    </row>
    <row r="297" spans="1:20">
      <c r="A297" t="s">
        <v>540</v>
      </c>
      <c r="N297">
        <v>29.5</v>
      </c>
      <c r="O297">
        <v>0.87839999999999996</v>
      </c>
      <c r="Q297">
        <v>0.75639999999999996</v>
      </c>
      <c r="R297">
        <v>55.5</v>
      </c>
      <c r="S297">
        <v>0.75670000000000004</v>
      </c>
      <c r="T297">
        <v>0.75529999999999997</v>
      </c>
    </row>
    <row r="298" spans="1:20">
      <c r="A298" t="s">
        <v>541</v>
      </c>
      <c r="N298">
        <v>29.6</v>
      </c>
      <c r="O298">
        <v>0.87790000000000001</v>
      </c>
      <c r="Q298">
        <v>0.75680000000000003</v>
      </c>
      <c r="R298">
        <v>55.4</v>
      </c>
      <c r="S298">
        <v>0.7571</v>
      </c>
      <c r="T298">
        <v>0.75570000000000004</v>
      </c>
    </row>
    <row r="299" spans="1:20">
      <c r="A299" t="s">
        <v>542</v>
      </c>
      <c r="N299">
        <v>29.7</v>
      </c>
      <c r="O299">
        <v>0.87729999999999997</v>
      </c>
      <c r="Q299">
        <v>0.75719999999999998</v>
      </c>
      <c r="R299">
        <v>55.3</v>
      </c>
      <c r="S299">
        <v>0.75749999999999995</v>
      </c>
      <c r="T299">
        <v>0.75609999999999999</v>
      </c>
    </row>
    <row r="300" spans="1:20">
      <c r="A300" t="s">
        <v>543</v>
      </c>
      <c r="N300">
        <v>29.8</v>
      </c>
      <c r="O300">
        <v>0.87680000000000002</v>
      </c>
      <c r="Q300">
        <v>0.75760000000000005</v>
      </c>
      <c r="R300">
        <v>55.2</v>
      </c>
      <c r="S300">
        <v>0.75790000000000002</v>
      </c>
      <c r="T300">
        <v>0.75649999999999995</v>
      </c>
    </row>
    <row r="301" spans="1:20">
      <c r="A301" t="s">
        <v>544</v>
      </c>
      <c r="N301">
        <v>29.9</v>
      </c>
      <c r="O301">
        <v>0.87619999999999998</v>
      </c>
      <c r="Q301">
        <v>0.7581</v>
      </c>
      <c r="R301">
        <v>55.1</v>
      </c>
      <c r="S301">
        <v>0.75829999999999997</v>
      </c>
      <c r="T301">
        <v>0.75700000000000001</v>
      </c>
    </row>
    <row r="302" spans="1:20">
      <c r="A302" t="s">
        <v>545</v>
      </c>
      <c r="N302">
        <v>30</v>
      </c>
      <c r="O302">
        <v>0.87570000000000003</v>
      </c>
      <c r="Q302">
        <v>0.75849999999999995</v>
      </c>
      <c r="R302">
        <v>55</v>
      </c>
      <c r="S302">
        <v>0.75870000000000004</v>
      </c>
      <c r="T302">
        <v>0.75739999999999996</v>
      </c>
    </row>
    <row r="303" spans="1:20">
      <c r="A303" t="s">
        <v>546</v>
      </c>
      <c r="N303">
        <v>30.1</v>
      </c>
      <c r="O303">
        <v>0.87509999999999999</v>
      </c>
      <c r="Q303">
        <v>0.75890000000000002</v>
      </c>
      <c r="R303">
        <v>54.9</v>
      </c>
      <c r="S303">
        <v>0.7591</v>
      </c>
      <c r="T303">
        <v>0.75780000000000003</v>
      </c>
    </row>
    <row r="304" spans="1:20">
      <c r="A304" t="s">
        <v>547</v>
      </c>
      <c r="N304">
        <v>30.2</v>
      </c>
      <c r="O304">
        <v>0.87460000000000004</v>
      </c>
      <c r="Q304">
        <v>0.75929999999999997</v>
      </c>
      <c r="R304">
        <v>54.8</v>
      </c>
      <c r="S304">
        <v>0.75949999999999995</v>
      </c>
      <c r="T304">
        <v>0.75819999999999999</v>
      </c>
    </row>
    <row r="305" spans="1:20">
      <c r="A305" t="s">
        <v>548</v>
      </c>
      <c r="N305">
        <v>30.3</v>
      </c>
      <c r="O305">
        <v>0.87409999999999999</v>
      </c>
      <c r="Q305">
        <v>0.75970000000000004</v>
      </c>
      <c r="R305">
        <v>54.7</v>
      </c>
      <c r="S305">
        <v>0.75990000000000002</v>
      </c>
      <c r="T305">
        <v>0.75860000000000005</v>
      </c>
    </row>
    <row r="306" spans="1:20">
      <c r="A306" t="s">
        <v>549</v>
      </c>
      <c r="N306">
        <v>30.4</v>
      </c>
      <c r="O306">
        <v>0.87350000000000005</v>
      </c>
      <c r="Q306">
        <v>0.7601</v>
      </c>
      <c r="R306">
        <v>54.6</v>
      </c>
      <c r="S306">
        <v>0.76029999999999998</v>
      </c>
      <c r="T306">
        <v>0.75900000000000001</v>
      </c>
    </row>
    <row r="307" spans="1:20">
      <c r="A307" t="s">
        <v>550</v>
      </c>
      <c r="N307">
        <v>30.5</v>
      </c>
      <c r="O307">
        <v>0.873</v>
      </c>
      <c r="Q307">
        <v>0.76049999999999995</v>
      </c>
      <c r="R307">
        <v>54.5</v>
      </c>
      <c r="S307">
        <v>0.76080000000000003</v>
      </c>
      <c r="T307">
        <v>0.75939999999999996</v>
      </c>
    </row>
    <row r="308" spans="1:20">
      <c r="A308" t="s">
        <v>551</v>
      </c>
      <c r="N308">
        <v>30.6</v>
      </c>
      <c r="O308">
        <v>0.87239999999999995</v>
      </c>
      <c r="Q308">
        <v>0.76090000000000002</v>
      </c>
      <c r="R308">
        <v>54.4</v>
      </c>
      <c r="S308">
        <v>0.76119999999999999</v>
      </c>
      <c r="T308">
        <v>0.75980000000000003</v>
      </c>
    </row>
    <row r="309" spans="1:20">
      <c r="A309" t="s">
        <v>552</v>
      </c>
      <c r="N309">
        <v>30.7</v>
      </c>
      <c r="O309">
        <v>0.87190000000000001</v>
      </c>
      <c r="Q309">
        <v>0.76129999999999998</v>
      </c>
      <c r="R309">
        <v>54.3</v>
      </c>
      <c r="S309">
        <v>0.76160000000000005</v>
      </c>
      <c r="T309">
        <v>0.76019999999999999</v>
      </c>
    </row>
    <row r="310" spans="1:20">
      <c r="A310" t="s">
        <v>553</v>
      </c>
      <c r="N310">
        <v>30.8</v>
      </c>
      <c r="O310">
        <v>0.87139999999999995</v>
      </c>
      <c r="Q310">
        <v>0.76170000000000004</v>
      </c>
      <c r="R310">
        <v>54.2</v>
      </c>
      <c r="S310">
        <v>0.76200000000000001</v>
      </c>
      <c r="T310">
        <v>0.76060000000000005</v>
      </c>
    </row>
    <row r="311" spans="1:20">
      <c r="A311" t="s">
        <v>554</v>
      </c>
      <c r="N311">
        <v>30.9</v>
      </c>
      <c r="O311">
        <v>0.87080000000000002</v>
      </c>
      <c r="Q311">
        <v>0.7621</v>
      </c>
      <c r="R311">
        <v>54.1</v>
      </c>
      <c r="S311">
        <v>0.76239999999999997</v>
      </c>
      <c r="T311">
        <v>0.76100000000000001</v>
      </c>
    </row>
    <row r="312" spans="1:20">
      <c r="A312" t="s">
        <v>555</v>
      </c>
      <c r="N312">
        <v>31</v>
      </c>
      <c r="O312">
        <v>0.87029999999999996</v>
      </c>
      <c r="Q312">
        <v>0.76249999999999996</v>
      </c>
      <c r="R312">
        <v>54</v>
      </c>
      <c r="S312">
        <v>0.76280000000000003</v>
      </c>
      <c r="T312">
        <v>0.76139999999999997</v>
      </c>
    </row>
    <row r="313" spans="1:20">
      <c r="A313" t="s">
        <v>556</v>
      </c>
      <c r="N313">
        <v>31.1</v>
      </c>
      <c r="O313">
        <v>0.86980000000000002</v>
      </c>
      <c r="Q313">
        <v>0.76300000000000001</v>
      </c>
      <c r="R313">
        <v>53.9</v>
      </c>
      <c r="S313">
        <v>0.76319999999999999</v>
      </c>
      <c r="T313">
        <v>0.76190000000000002</v>
      </c>
    </row>
    <row r="314" spans="1:20">
      <c r="A314" t="s">
        <v>557</v>
      </c>
      <c r="N314">
        <v>31.2</v>
      </c>
      <c r="O314">
        <v>0.86919999999999997</v>
      </c>
      <c r="Q314">
        <v>0.76339999999999997</v>
      </c>
      <c r="R314">
        <v>53.8</v>
      </c>
      <c r="S314">
        <v>0.76359999999999995</v>
      </c>
      <c r="T314">
        <v>0.76229999999999998</v>
      </c>
    </row>
    <row r="315" spans="1:20">
      <c r="A315" t="s">
        <v>558</v>
      </c>
      <c r="N315">
        <v>31.3</v>
      </c>
      <c r="O315">
        <v>0.86870000000000003</v>
      </c>
      <c r="Q315">
        <v>0.76380000000000003</v>
      </c>
      <c r="R315">
        <v>53.7</v>
      </c>
      <c r="S315">
        <v>0.76400000000000001</v>
      </c>
      <c r="T315">
        <v>0.76270000000000004</v>
      </c>
    </row>
    <row r="316" spans="1:20">
      <c r="A316" t="s">
        <v>559</v>
      </c>
      <c r="N316">
        <v>31.4</v>
      </c>
      <c r="O316">
        <v>0.86819999999999997</v>
      </c>
      <c r="Q316">
        <v>0.76419999999999999</v>
      </c>
      <c r="R316">
        <v>53.6</v>
      </c>
      <c r="S316">
        <v>0.76449999999999996</v>
      </c>
      <c r="T316">
        <v>0.7631</v>
      </c>
    </row>
    <row r="317" spans="1:20">
      <c r="A317" t="s">
        <v>560</v>
      </c>
      <c r="N317">
        <v>31.5</v>
      </c>
      <c r="O317">
        <v>0.86760000000000004</v>
      </c>
      <c r="Q317">
        <v>0.76459999999999995</v>
      </c>
      <c r="R317">
        <v>53.5</v>
      </c>
      <c r="S317">
        <v>0.76490000000000002</v>
      </c>
      <c r="T317">
        <v>0.76349999999999996</v>
      </c>
    </row>
    <row r="318" spans="1:20">
      <c r="A318" t="s">
        <v>561</v>
      </c>
      <c r="N318">
        <v>31.6</v>
      </c>
      <c r="O318">
        <v>0.86709999999999998</v>
      </c>
      <c r="Q318">
        <v>0.76500000000000001</v>
      </c>
      <c r="R318">
        <v>53.4</v>
      </c>
      <c r="S318">
        <v>0.76529999999999998</v>
      </c>
      <c r="T318">
        <v>0.76390000000000002</v>
      </c>
    </row>
    <row r="319" spans="1:20">
      <c r="A319" t="s">
        <v>562</v>
      </c>
      <c r="N319">
        <v>31.7</v>
      </c>
      <c r="O319">
        <v>0.86660000000000004</v>
      </c>
      <c r="Q319">
        <v>0.76539999999999997</v>
      </c>
      <c r="R319">
        <v>53.3</v>
      </c>
      <c r="S319">
        <v>0.76570000000000005</v>
      </c>
      <c r="T319">
        <v>0.76429999999999998</v>
      </c>
    </row>
    <row r="320" spans="1:20">
      <c r="A320" t="s">
        <v>563</v>
      </c>
      <c r="N320">
        <v>31.8</v>
      </c>
      <c r="O320">
        <v>0.86599999999999999</v>
      </c>
      <c r="Q320">
        <v>0.76580000000000004</v>
      </c>
      <c r="R320">
        <v>53.2</v>
      </c>
      <c r="S320">
        <v>0.7661</v>
      </c>
      <c r="T320">
        <v>0.76470000000000005</v>
      </c>
    </row>
    <row r="321" spans="1:20">
      <c r="A321" t="s">
        <v>564</v>
      </c>
      <c r="N321">
        <v>31.9</v>
      </c>
      <c r="O321">
        <v>0.86550000000000005</v>
      </c>
      <c r="Q321">
        <v>0.76629999999999998</v>
      </c>
      <c r="R321">
        <v>53.1</v>
      </c>
      <c r="S321">
        <v>0.76649999999999996</v>
      </c>
      <c r="T321">
        <v>0.76519999999999999</v>
      </c>
    </row>
    <row r="322" spans="1:20">
      <c r="A322" t="s">
        <v>565</v>
      </c>
      <c r="N322">
        <v>32</v>
      </c>
      <c r="O322">
        <v>0.86499999999999999</v>
      </c>
      <c r="Q322">
        <v>0.76670000000000005</v>
      </c>
      <c r="R322">
        <v>53</v>
      </c>
      <c r="S322">
        <v>0.76690000000000003</v>
      </c>
      <c r="T322">
        <v>0.76559999999999995</v>
      </c>
    </row>
    <row r="323" spans="1:20">
      <c r="A323" t="s">
        <v>566</v>
      </c>
      <c r="N323">
        <v>32.1</v>
      </c>
      <c r="O323">
        <v>0.86450000000000005</v>
      </c>
      <c r="Q323">
        <v>0.7671</v>
      </c>
      <c r="R323">
        <v>52.9</v>
      </c>
      <c r="S323">
        <v>0.76739999999999997</v>
      </c>
      <c r="T323">
        <v>0.76600000000000001</v>
      </c>
    </row>
    <row r="324" spans="1:20">
      <c r="A324" t="s">
        <v>567</v>
      </c>
      <c r="N324">
        <v>32.200000000000003</v>
      </c>
      <c r="O324">
        <v>0.8639</v>
      </c>
      <c r="Q324">
        <v>0.76749999999999996</v>
      </c>
      <c r="R324">
        <v>52.8</v>
      </c>
      <c r="S324">
        <v>0.76780000000000004</v>
      </c>
      <c r="T324">
        <v>0.76639999999999997</v>
      </c>
    </row>
    <row r="325" spans="1:20">
      <c r="A325" t="s">
        <v>568</v>
      </c>
      <c r="N325">
        <v>32.299999999999997</v>
      </c>
      <c r="O325">
        <v>0.86339999999999995</v>
      </c>
      <c r="Q325">
        <v>0.76790000000000003</v>
      </c>
      <c r="R325">
        <v>52.7</v>
      </c>
      <c r="S325">
        <v>0.76819999999999999</v>
      </c>
      <c r="T325">
        <v>0.76680000000000004</v>
      </c>
    </row>
    <row r="326" spans="1:20">
      <c r="A326" t="s">
        <v>569</v>
      </c>
      <c r="N326">
        <v>32.4</v>
      </c>
      <c r="O326">
        <v>0.8629</v>
      </c>
      <c r="Q326">
        <v>0.76829999999999998</v>
      </c>
      <c r="R326">
        <v>52.6</v>
      </c>
      <c r="S326">
        <v>0.76859999999999995</v>
      </c>
      <c r="T326">
        <v>0.76719999999999999</v>
      </c>
    </row>
    <row r="327" spans="1:20">
      <c r="A327" t="s">
        <v>570</v>
      </c>
      <c r="N327">
        <v>32.5</v>
      </c>
      <c r="O327">
        <v>0.86229999999999996</v>
      </c>
      <c r="Q327">
        <v>0.76880000000000004</v>
      </c>
      <c r="R327">
        <v>52.5</v>
      </c>
      <c r="S327">
        <v>0.76900000000000002</v>
      </c>
      <c r="T327">
        <v>0.76770000000000005</v>
      </c>
    </row>
    <row r="328" spans="1:20">
      <c r="A328" t="s">
        <v>571</v>
      </c>
      <c r="N328">
        <v>32.6</v>
      </c>
      <c r="O328">
        <v>0.86180000000000001</v>
      </c>
      <c r="Q328">
        <v>0.76919999999999999</v>
      </c>
      <c r="R328">
        <v>52.4</v>
      </c>
      <c r="S328">
        <v>0.76939999999999997</v>
      </c>
      <c r="T328">
        <v>0.7681</v>
      </c>
    </row>
    <row r="329" spans="1:20">
      <c r="A329" t="s">
        <v>572</v>
      </c>
      <c r="N329">
        <v>32.700000000000003</v>
      </c>
      <c r="O329">
        <v>0.86129999999999995</v>
      </c>
      <c r="Q329">
        <v>0.76959999999999995</v>
      </c>
      <c r="R329">
        <v>52.3</v>
      </c>
      <c r="S329">
        <v>0.76990000000000003</v>
      </c>
      <c r="T329">
        <v>0.76849999999999996</v>
      </c>
    </row>
    <row r="330" spans="1:20">
      <c r="A330" t="s">
        <v>573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2024-01-02T02:44:48Z</dcterms:modified>
</cp:coreProperties>
</file>