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5_Chevron (23C766088-01) ARDMORE ENCOUNTER_GASOLINE 98R_70KB_YOSU (N2) 3\"/>
    </mc:Choice>
  </mc:AlternateContent>
  <xr:revisionPtr revIDLastSave="0" documentId="13_ncr:1_{D6B71195-99B0-401E-8EF3-796A03D6F797}" xr6:coauthVersionLast="45" xr6:coauthVersionMax="47" xr10:uidLastSave="{00000000-0000-0000-0000-000000000000}"/>
  <bookViews>
    <workbookView xWindow="240" yWindow="1860" windowWidth="21600" windowHeight="11385" tabRatio="688" activeTab="4" xr2:uid="{D5438E65-0C1A-43C8-87E4-52658D7A1A13}"/>
  </bookViews>
  <sheets>
    <sheet name="Navarik 설정" sheetId="36" r:id="rId1"/>
    <sheet name="Time" sheetId="4" r:id="rId2"/>
    <sheet name="Quantity" sheetId="1" r:id="rId3"/>
    <sheet name="Quality SET 1" sheetId="2" r:id="rId4"/>
    <sheet name="SET 2" sheetId="137" r:id="rId5"/>
    <sheet name="SET 3" sheetId="138" r:id="rId6"/>
    <sheet name="SET 4" sheetId="139" r:id="rId7"/>
    <sheet name="SET 5" sheetId="140" r:id="rId8"/>
    <sheet name="SET 6" sheetId="141" r:id="rId9"/>
    <sheet name="SET 7" sheetId="142" r:id="rId10"/>
    <sheet name="SET 8" sheetId="143" r:id="rId11"/>
    <sheet name="SET 9" sheetId="144" r:id="rId12"/>
    <sheet name="SET 10" sheetId="145"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82" i="145" l="1"/>
  <c r="J81" i="145"/>
  <c r="J80" i="145"/>
  <c r="AU79" i="145"/>
  <c r="J79" i="145"/>
  <c r="J78" i="145"/>
  <c r="J77" i="145"/>
  <c r="BG76" i="145"/>
  <c r="BC76" i="145"/>
  <c r="J76" i="145"/>
  <c r="J75" i="145"/>
  <c r="J74" i="145"/>
  <c r="W73" i="145"/>
  <c r="S73" i="145"/>
  <c r="J73" i="145"/>
  <c r="J72" i="145"/>
  <c r="J71" i="145"/>
  <c r="J70" i="145"/>
  <c r="BC69" i="145"/>
  <c r="J69" i="145"/>
  <c r="J68" i="145"/>
  <c r="J67" i="145"/>
  <c r="BO66" i="145"/>
  <c r="J66" i="145"/>
  <c r="J65" i="145"/>
  <c r="J64" i="145"/>
  <c r="AE63" i="145"/>
  <c r="AA63" i="145"/>
  <c r="J63" i="145"/>
  <c r="J62" i="145"/>
  <c r="J61" i="145"/>
  <c r="J60" i="145"/>
  <c r="J59" i="145"/>
  <c r="J58" i="145"/>
  <c r="J57" i="145"/>
  <c r="BW56" i="145"/>
  <c r="BS56" i="145"/>
  <c r="J56" i="145"/>
  <c r="J55" i="145"/>
  <c r="J54" i="145"/>
  <c r="AM53" i="145"/>
  <c r="J53" i="145"/>
  <c r="J52" i="145"/>
  <c r="J51" i="145"/>
  <c r="AU50" i="145"/>
  <c r="J50" i="145"/>
  <c r="J49" i="145"/>
  <c r="J48" i="145"/>
  <c r="J47" i="145"/>
  <c r="J46" i="145"/>
  <c r="J45" i="145"/>
  <c r="J44" i="145"/>
  <c r="AU43" i="145"/>
  <c r="AQ43" i="145"/>
  <c r="J43" i="145"/>
  <c r="J42" i="145"/>
  <c r="AI41" i="145"/>
  <c r="J41" i="145"/>
  <c r="J40" i="145"/>
  <c r="W39" i="145"/>
  <c r="J39" i="145"/>
  <c r="J38" i="145"/>
  <c r="BG37" i="145"/>
  <c r="AI37" i="145"/>
  <c r="J37" i="145"/>
  <c r="AQ36" i="145"/>
  <c r="J36" i="145"/>
  <c r="BW35" i="145"/>
  <c r="J35" i="145"/>
  <c r="AY34" i="145"/>
  <c r="AU34" i="145"/>
  <c r="J34" i="145"/>
  <c r="AU33" i="145"/>
  <c r="AQ33" i="145"/>
  <c r="J33" i="145"/>
  <c r="AY32" i="145"/>
  <c r="AQ32" i="145"/>
  <c r="J32" i="145"/>
  <c r="AQ31" i="145"/>
  <c r="J31" i="145"/>
  <c r="BO30" i="145"/>
  <c r="AQ30" i="145"/>
  <c r="AI30" i="145"/>
  <c r="AE30" i="145"/>
  <c r="S30" i="145"/>
  <c r="J30" i="145"/>
  <c r="BS29" i="145"/>
  <c r="AI29" i="145"/>
  <c r="AE29" i="145"/>
  <c r="J29" i="145"/>
  <c r="BS28" i="145"/>
  <c r="AQ28" i="145"/>
  <c r="AI28" i="145"/>
  <c r="J28" i="145"/>
  <c r="BO27" i="145"/>
  <c r="AE27" i="145"/>
  <c r="AA27" i="145"/>
  <c r="S27" i="145"/>
  <c r="J27" i="145"/>
  <c r="BO26" i="145"/>
  <c r="AI26" i="145"/>
  <c r="S26" i="145"/>
  <c r="J26" i="145"/>
  <c r="BO25" i="145"/>
  <c r="AI25" i="145"/>
  <c r="S25" i="145"/>
  <c r="J25" i="145"/>
  <c r="BO24" i="145"/>
  <c r="AI24" i="145"/>
  <c r="AE24" i="145"/>
  <c r="S24" i="145"/>
  <c r="J24" i="145"/>
  <c r="BC23" i="145"/>
  <c r="AE23" i="145"/>
  <c r="AA23" i="145"/>
  <c r="J23" i="145"/>
  <c r="BO22" i="145"/>
  <c r="AA22" i="145"/>
  <c r="W22" i="145"/>
  <c r="S22" i="145"/>
  <c r="J22" i="145"/>
  <c r="BC21" i="145"/>
  <c r="AU21" i="145"/>
  <c r="W21" i="145"/>
  <c r="S21" i="145"/>
  <c r="J21" i="145"/>
  <c r="W20" i="145"/>
  <c r="S20" i="145"/>
  <c r="J20" i="145"/>
  <c r="AU19" i="145"/>
  <c r="AE19" i="145"/>
  <c r="AA19" i="145"/>
  <c r="W19" i="145"/>
  <c r="S19" i="145"/>
  <c r="J19" i="145"/>
  <c r="BS18" i="145"/>
  <c r="BO18" i="145"/>
  <c r="AY18" i="145"/>
  <c r="AU18" i="145"/>
  <c r="AQ18" i="145"/>
  <c r="W18" i="145"/>
  <c r="S18" i="145"/>
  <c r="J18" i="145"/>
  <c r="BS17" i="145"/>
  <c r="BO17" i="145"/>
  <c r="AQ17" i="145"/>
  <c r="W17" i="145"/>
  <c r="S17" i="145"/>
  <c r="J17" i="145"/>
  <c r="BO16" i="145"/>
  <c r="AQ16" i="145"/>
  <c r="AE16" i="145"/>
  <c r="S16" i="145"/>
  <c r="J16" i="145"/>
  <c r="BG15" i="145"/>
  <c r="BC15" i="145"/>
  <c r="AE15" i="145"/>
  <c r="J15" i="145"/>
  <c r="BS14" i="145"/>
  <c r="BC14" i="145"/>
  <c r="AI14" i="145"/>
  <c r="AE14" i="145"/>
  <c r="W14" i="145"/>
  <c r="J14" i="145"/>
  <c r="BS13" i="145"/>
  <c r="BO13" i="145"/>
  <c r="BC13" i="145"/>
  <c r="AY13" i="145"/>
  <c r="AU13" i="145"/>
  <c r="AQ13" i="145"/>
  <c r="AE13" i="145"/>
  <c r="W13" i="145"/>
  <c r="J13" i="145"/>
  <c r="BW12" i="145"/>
  <c r="BS12" i="145"/>
  <c r="BO12" i="145"/>
  <c r="AU12" i="145"/>
  <c r="AQ12" i="145"/>
  <c r="AA12" i="145"/>
  <c r="W12" i="145"/>
  <c r="S12" i="145"/>
  <c r="J12" i="145"/>
  <c r="BS11" i="145"/>
  <c r="BO11" i="145"/>
  <c r="AU11" i="145"/>
  <c r="AQ11" i="145"/>
  <c r="W11" i="145"/>
  <c r="S11" i="145"/>
  <c r="J11" i="145"/>
  <c r="BO10" i="145"/>
  <c r="BC10" i="145"/>
  <c r="AQ10" i="145"/>
  <c r="S10" i="145"/>
  <c r="J10" i="145"/>
  <c r="BC9" i="145"/>
  <c r="AI9" i="145"/>
  <c r="AE9" i="145"/>
  <c r="J9" i="145"/>
  <c r="BO8" i="145"/>
  <c r="BG8" i="145"/>
  <c r="BC8" i="145"/>
  <c r="AU8" i="145"/>
  <c r="AE8" i="145"/>
  <c r="S8" i="145"/>
  <c r="J8" i="145"/>
  <c r="BW7" i="145"/>
  <c r="BS7" i="145"/>
  <c r="BO7" i="145"/>
  <c r="BC7" i="145"/>
  <c r="AU7" i="145"/>
  <c r="AQ7" i="145"/>
  <c r="AE7" i="145"/>
  <c r="AA7" i="145"/>
  <c r="W7" i="145"/>
  <c r="S7" i="145"/>
  <c r="J7" i="145"/>
  <c r="BQ6" i="145"/>
  <c r="BP6" i="145"/>
  <c r="BN6" i="145"/>
  <c r="BO6" i="145" s="1"/>
  <c r="BE6" i="145"/>
  <c r="BD6" i="145"/>
  <c r="BB6" i="145"/>
  <c r="BC6" i="145" s="1"/>
  <c r="AS6" i="145"/>
  <c r="AR6" i="145"/>
  <c r="AP6" i="145"/>
  <c r="AQ6" i="145" s="1"/>
  <c r="AG6" i="145"/>
  <c r="AF6" i="145"/>
  <c r="AD6" i="145"/>
  <c r="AE6" i="145" s="1"/>
  <c r="U6" i="145"/>
  <c r="T6" i="145"/>
  <c r="R6" i="145"/>
  <c r="S6" i="145" s="1"/>
  <c r="BP5" i="145"/>
  <c r="BS5" i="145" s="1"/>
  <c r="BL5" i="145"/>
  <c r="BO5" i="145" s="1"/>
  <c r="BC5" i="145"/>
  <c r="AZ5" i="145"/>
  <c r="AR5" i="145"/>
  <c r="AU5" i="145" s="1"/>
  <c r="AN5" i="145"/>
  <c r="AQ5" i="145" s="1"/>
  <c r="AE5" i="145"/>
  <c r="AB5" i="145"/>
  <c r="T5" i="145"/>
  <c r="W5" i="145" s="1"/>
  <c r="P5" i="145"/>
  <c r="S5" i="145" s="1"/>
  <c r="BS4" i="145"/>
  <c r="BW80" i="145" s="1"/>
  <c r="BP4" i="145"/>
  <c r="BO4" i="145"/>
  <c r="BS73" i="145" s="1"/>
  <c r="BL4" i="145"/>
  <c r="BK4" i="145"/>
  <c r="BG4" i="145"/>
  <c r="BK78" i="145" s="1"/>
  <c r="BC4" i="145"/>
  <c r="BG52" i="145" s="1"/>
  <c r="AY4" i="145"/>
  <c r="BC36" i="145" s="1"/>
  <c r="AU4" i="145"/>
  <c r="AY22" i="145" s="1"/>
  <c r="AR4" i="145"/>
  <c r="AQ4" i="145"/>
  <c r="AU27" i="145" s="1"/>
  <c r="AN4" i="145"/>
  <c r="AM4" i="145"/>
  <c r="AI4" i="145"/>
  <c r="AM21" i="145" s="1"/>
  <c r="AE4" i="145"/>
  <c r="AI18" i="145" s="1"/>
  <c r="AA4" i="145"/>
  <c r="AE42" i="145" s="1"/>
  <c r="W4" i="145"/>
  <c r="AA8" i="145" s="1"/>
  <c r="T4" i="145"/>
  <c r="S4" i="145"/>
  <c r="W15" i="145" s="1"/>
  <c r="P4" i="145"/>
  <c r="O4" i="145"/>
  <c r="K4" i="145"/>
  <c r="O32" i="145" s="1"/>
  <c r="J4" i="145"/>
  <c r="BT3" i="145"/>
  <c r="BP3" i="145"/>
  <c r="BL3" i="145"/>
  <c r="BH3" i="145"/>
  <c r="BD3" i="145"/>
  <c r="AZ3" i="145"/>
  <c r="AV3" i="145"/>
  <c r="AR3" i="145"/>
  <c r="AN3" i="145"/>
  <c r="AJ3" i="145"/>
  <c r="AF3" i="145"/>
  <c r="AB3" i="145"/>
  <c r="X3" i="145"/>
  <c r="T3" i="145"/>
  <c r="P3" i="145"/>
  <c r="L3" i="145"/>
  <c r="J3" i="145"/>
  <c r="J2" i="145"/>
  <c r="F1" i="145"/>
  <c r="J82" i="144"/>
  <c r="J81" i="144"/>
  <c r="J80" i="144"/>
  <c r="J79" i="144"/>
  <c r="J78" i="144"/>
  <c r="J77" i="144"/>
  <c r="J76" i="144"/>
  <c r="J75" i="144"/>
  <c r="J74" i="144"/>
  <c r="J73" i="144"/>
  <c r="J72" i="144"/>
  <c r="J71" i="144"/>
  <c r="J70" i="144"/>
  <c r="J69" i="144"/>
  <c r="J68" i="144"/>
  <c r="J67" i="144"/>
  <c r="J66" i="144"/>
  <c r="J65" i="144"/>
  <c r="J64" i="144"/>
  <c r="J63" i="144"/>
  <c r="J62" i="144"/>
  <c r="J61" i="144"/>
  <c r="J60" i="144"/>
  <c r="J59" i="144"/>
  <c r="J58" i="144"/>
  <c r="J57" i="144"/>
  <c r="J56" i="144"/>
  <c r="J55" i="144"/>
  <c r="J54" i="144"/>
  <c r="J53" i="144"/>
  <c r="J52" i="144"/>
  <c r="J51" i="144"/>
  <c r="J50" i="144"/>
  <c r="J49" i="144"/>
  <c r="J48" i="144"/>
  <c r="J47" i="144"/>
  <c r="J46" i="144"/>
  <c r="J45" i="144"/>
  <c r="J44" i="144"/>
  <c r="J43" i="144"/>
  <c r="J42" i="144"/>
  <c r="J41" i="144"/>
  <c r="J40" i="144"/>
  <c r="J39" i="144"/>
  <c r="J38" i="144"/>
  <c r="J37" i="144"/>
  <c r="J36" i="144"/>
  <c r="J35" i="144"/>
  <c r="J34" i="144"/>
  <c r="J33" i="144"/>
  <c r="J32" i="144"/>
  <c r="J31" i="144"/>
  <c r="J30" i="144"/>
  <c r="J29" i="144"/>
  <c r="J28" i="144"/>
  <c r="J27" i="144"/>
  <c r="J26" i="144"/>
  <c r="J25" i="144"/>
  <c r="J24" i="144"/>
  <c r="J23" i="144"/>
  <c r="J22" i="144"/>
  <c r="J21" i="144"/>
  <c r="J20" i="144"/>
  <c r="J19" i="144"/>
  <c r="J18" i="144"/>
  <c r="J17" i="144"/>
  <c r="J16" i="144"/>
  <c r="J15" i="144"/>
  <c r="J14" i="144"/>
  <c r="J13" i="144"/>
  <c r="J12" i="144"/>
  <c r="J11" i="144"/>
  <c r="J10" i="144"/>
  <c r="J9" i="144"/>
  <c r="J8" i="144"/>
  <c r="J7" i="144"/>
  <c r="AZ5" i="144"/>
  <c r="BC5" i="144" s="1"/>
  <c r="AB5" i="144"/>
  <c r="AE5" i="144" s="1"/>
  <c r="BS4" i="144"/>
  <c r="BW8" i="144" s="1"/>
  <c r="BO4" i="144"/>
  <c r="BS15" i="144" s="1"/>
  <c r="BK4" i="144"/>
  <c r="BO10" i="144" s="1"/>
  <c r="BG4" i="144"/>
  <c r="BK78" i="144" s="1"/>
  <c r="BD4" i="144"/>
  <c r="BC4" i="144"/>
  <c r="BG12" i="144" s="1"/>
  <c r="AY4" i="144"/>
  <c r="BC40" i="144" s="1"/>
  <c r="AU4" i="144"/>
  <c r="AY33" i="144" s="1"/>
  <c r="AQ4" i="144"/>
  <c r="AU25" i="144" s="1"/>
  <c r="AM4" i="144"/>
  <c r="AQ79" i="144" s="1"/>
  <c r="AI4" i="144"/>
  <c r="AM48" i="144" s="1"/>
  <c r="AE4" i="144"/>
  <c r="AI18" i="144" s="1"/>
  <c r="AA4" i="144"/>
  <c r="AE13" i="144" s="1"/>
  <c r="W4" i="144"/>
  <c r="AA30" i="144" s="1"/>
  <c r="S4" i="144"/>
  <c r="W80" i="144" s="1"/>
  <c r="O4" i="144"/>
  <c r="S27" i="144" s="1"/>
  <c r="K4" i="144"/>
  <c r="O17" i="144" s="1"/>
  <c r="J4" i="144"/>
  <c r="BT3" i="144"/>
  <c r="BP3" i="144"/>
  <c r="BL3" i="144"/>
  <c r="BH3" i="144"/>
  <c r="BD3" i="144"/>
  <c r="AZ3" i="144"/>
  <c r="AV3" i="144"/>
  <c r="AR3" i="144"/>
  <c r="AN3" i="144"/>
  <c r="AJ3" i="144"/>
  <c r="AF3" i="144"/>
  <c r="AB3" i="144"/>
  <c r="X3" i="144"/>
  <c r="T3" i="144"/>
  <c r="P3" i="144"/>
  <c r="L3" i="144"/>
  <c r="J3" i="144"/>
  <c r="J2" i="144"/>
  <c r="F1" i="144"/>
  <c r="J82" i="143"/>
  <c r="J81" i="143"/>
  <c r="W80" i="143"/>
  <c r="J80" i="143"/>
  <c r="J79" i="143"/>
  <c r="J78" i="143"/>
  <c r="J77" i="143"/>
  <c r="BG76" i="143"/>
  <c r="J76" i="143"/>
  <c r="J75" i="143"/>
  <c r="J74" i="143"/>
  <c r="BO73" i="143"/>
  <c r="W73" i="143"/>
  <c r="J73" i="143"/>
  <c r="J72" i="143"/>
  <c r="J71" i="143"/>
  <c r="J70" i="143"/>
  <c r="J69" i="143"/>
  <c r="J68" i="143"/>
  <c r="J67" i="143"/>
  <c r="BO66" i="143"/>
  <c r="J66" i="143"/>
  <c r="J65" i="143"/>
  <c r="J64" i="143"/>
  <c r="BW63" i="143"/>
  <c r="AE63" i="143"/>
  <c r="J63" i="143"/>
  <c r="J62" i="143"/>
  <c r="J61" i="143"/>
  <c r="AQ60" i="143"/>
  <c r="AM60" i="143"/>
  <c r="J60" i="143"/>
  <c r="J59" i="143"/>
  <c r="J58" i="143"/>
  <c r="J57" i="143"/>
  <c r="BW56" i="143"/>
  <c r="J56" i="143"/>
  <c r="J55" i="143"/>
  <c r="O54" i="143"/>
  <c r="J54" i="143"/>
  <c r="J53" i="143"/>
  <c r="J52" i="143"/>
  <c r="J51" i="143"/>
  <c r="AY50" i="143"/>
  <c r="AU50" i="143"/>
  <c r="J50" i="143"/>
  <c r="J49" i="143"/>
  <c r="J48" i="143"/>
  <c r="BG47" i="143"/>
  <c r="O47" i="143"/>
  <c r="J47" i="143"/>
  <c r="J46" i="143"/>
  <c r="J45" i="143"/>
  <c r="W44" i="143"/>
  <c r="J44" i="143"/>
  <c r="J43" i="143"/>
  <c r="J42" i="143"/>
  <c r="J41" i="143"/>
  <c r="BG40" i="143"/>
  <c r="J40" i="143"/>
  <c r="J39" i="143"/>
  <c r="J38" i="143"/>
  <c r="BO37" i="143"/>
  <c r="W37" i="143"/>
  <c r="J37" i="143"/>
  <c r="J36" i="143"/>
  <c r="J35" i="143"/>
  <c r="BS34" i="143"/>
  <c r="J34" i="143"/>
  <c r="AQ33" i="143"/>
  <c r="S33" i="143"/>
  <c r="J33" i="143"/>
  <c r="O32" i="143"/>
  <c r="J32" i="143"/>
  <c r="J31" i="143"/>
  <c r="BO30" i="143"/>
  <c r="BK30" i="143"/>
  <c r="J30" i="143"/>
  <c r="AY29" i="143"/>
  <c r="J29" i="143"/>
  <c r="AY28" i="143"/>
  <c r="AU28" i="143"/>
  <c r="J28" i="143"/>
  <c r="AA27" i="143"/>
  <c r="J27" i="143"/>
  <c r="AQ26" i="143"/>
  <c r="AA26" i="143"/>
  <c r="S26" i="143"/>
  <c r="J26" i="143"/>
  <c r="S25" i="143"/>
  <c r="O25" i="143"/>
  <c r="J25" i="143"/>
  <c r="J24" i="143"/>
  <c r="BW23" i="143"/>
  <c r="O23" i="143"/>
  <c r="J23" i="143"/>
  <c r="BO22" i="143"/>
  <c r="W22" i="143"/>
  <c r="S22" i="143"/>
  <c r="J22" i="143"/>
  <c r="BO21" i="143"/>
  <c r="AQ21" i="143"/>
  <c r="W21" i="143"/>
  <c r="S21" i="143"/>
  <c r="J21" i="143"/>
  <c r="BO20" i="143"/>
  <c r="AQ20" i="143"/>
  <c r="AM20" i="143"/>
  <c r="J20" i="143"/>
  <c r="BG19" i="143"/>
  <c r="BC19" i="143"/>
  <c r="AQ19" i="143"/>
  <c r="S19" i="143"/>
  <c r="J19" i="143"/>
  <c r="BW18" i="143"/>
  <c r="BO18" i="143"/>
  <c r="AQ18" i="143"/>
  <c r="AA18" i="143"/>
  <c r="S18" i="143"/>
  <c r="J18" i="143"/>
  <c r="BO17" i="143"/>
  <c r="AY17" i="143"/>
  <c r="AU17" i="143"/>
  <c r="AQ17" i="143"/>
  <c r="S17" i="143"/>
  <c r="J17" i="143"/>
  <c r="BS16" i="143"/>
  <c r="BO16" i="143"/>
  <c r="AQ16" i="143"/>
  <c r="W16" i="143"/>
  <c r="S16" i="143"/>
  <c r="J16" i="143"/>
  <c r="AQ15" i="143"/>
  <c r="AM15" i="143"/>
  <c r="J15" i="143"/>
  <c r="BK14" i="143"/>
  <c r="BG14" i="143"/>
  <c r="O14" i="143"/>
  <c r="J14" i="143"/>
  <c r="BO13" i="143"/>
  <c r="AQ13" i="143"/>
  <c r="AI13" i="143"/>
  <c r="AE13" i="143"/>
  <c r="S13" i="143"/>
  <c r="J13" i="143"/>
  <c r="BO12" i="143"/>
  <c r="BK12" i="143"/>
  <c r="AY12" i="143"/>
  <c r="AQ12" i="143"/>
  <c r="AM12" i="143"/>
  <c r="S12" i="143"/>
  <c r="O12" i="143"/>
  <c r="J12" i="143"/>
  <c r="BW11" i="143"/>
  <c r="BS11" i="143"/>
  <c r="BO11" i="143"/>
  <c r="AQ11" i="143"/>
  <c r="AA11" i="143"/>
  <c r="W11" i="143"/>
  <c r="S11" i="143"/>
  <c r="J11" i="143"/>
  <c r="BO10" i="143"/>
  <c r="AU10" i="143"/>
  <c r="AQ10" i="143"/>
  <c r="S10" i="143"/>
  <c r="J10" i="143"/>
  <c r="BW9" i="143"/>
  <c r="BO9" i="143"/>
  <c r="BK9" i="143"/>
  <c r="AY9" i="143"/>
  <c r="AA9" i="143"/>
  <c r="S9" i="143"/>
  <c r="O9" i="143"/>
  <c r="J9" i="143"/>
  <c r="AM8" i="143"/>
  <c r="AI8" i="143"/>
  <c r="J8" i="143"/>
  <c r="BO7" i="143"/>
  <c r="BG7" i="143"/>
  <c r="BC7" i="143"/>
  <c r="AQ7" i="143"/>
  <c r="S7" i="143"/>
  <c r="J7" i="143"/>
  <c r="BT6" i="143"/>
  <c r="BN6" i="143"/>
  <c r="BO6" i="143" s="1"/>
  <c r="BL6" i="143"/>
  <c r="BH6" i="143"/>
  <c r="AV6" i="143"/>
  <c r="AP6" i="143"/>
  <c r="AQ6" i="143" s="1"/>
  <c r="AN6" i="143"/>
  <c r="AJ6" i="143"/>
  <c r="X6" i="143"/>
  <c r="R6" i="143"/>
  <c r="S6" i="143" s="1"/>
  <c r="P6" i="143"/>
  <c r="L6" i="143"/>
  <c r="BL5" i="143"/>
  <c r="BO5" i="143" s="1"/>
  <c r="BH5" i="143"/>
  <c r="BK5" i="143" s="1"/>
  <c r="AN5" i="143"/>
  <c r="AQ5" i="143" s="1"/>
  <c r="AJ5" i="143"/>
  <c r="AM5" i="143" s="1"/>
  <c r="P5" i="143"/>
  <c r="S5" i="143" s="1"/>
  <c r="L5" i="143"/>
  <c r="O5" i="143" s="1"/>
  <c r="BT4" i="143"/>
  <c r="BS4" i="143"/>
  <c r="BO4" i="143"/>
  <c r="BS15" i="143" s="1"/>
  <c r="BL4" i="143"/>
  <c r="BK4" i="143"/>
  <c r="BO61" i="143" s="1"/>
  <c r="BG4" i="143"/>
  <c r="BK17" i="143" s="1"/>
  <c r="BC4" i="143"/>
  <c r="BG12" i="143" s="1"/>
  <c r="AY4" i="143"/>
  <c r="BC33" i="143" s="1"/>
  <c r="AV4" i="143"/>
  <c r="AU4" i="143"/>
  <c r="AQ4" i="143"/>
  <c r="AU62" i="143" s="1"/>
  <c r="AN4" i="143"/>
  <c r="AM4" i="143"/>
  <c r="AQ55" i="143" s="1"/>
  <c r="AI4" i="143"/>
  <c r="AM48" i="143" s="1"/>
  <c r="AE4" i="143"/>
  <c r="AI77" i="143" s="1"/>
  <c r="AA4" i="143"/>
  <c r="AE82" i="143" s="1"/>
  <c r="X4" i="143"/>
  <c r="W4" i="143"/>
  <c r="S4" i="143"/>
  <c r="W49" i="143" s="1"/>
  <c r="P4" i="143"/>
  <c r="O4" i="143"/>
  <c r="S78" i="143" s="1"/>
  <c r="K4" i="143"/>
  <c r="O71" i="143" s="1"/>
  <c r="J4" i="143"/>
  <c r="BT3" i="143"/>
  <c r="BP3" i="143"/>
  <c r="BL3" i="143"/>
  <c r="BH3" i="143"/>
  <c r="BD3" i="143"/>
  <c r="AZ3" i="143"/>
  <c r="AV3" i="143"/>
  <c r="AR3" i="143"/>
  <c r="AN3" i="143"/>
  <c r="AJ3" i="143"/>
  <c r="AF3" i="143"/>
  <c r="AB3" i="143"/>
  <c r="X3" i="143"/>
  <c r="T3" i="143"/>
  <c r="P3" i="143"/>
  <c r="L3" i="143"/>
  <c r="J3" i="143"/>
  <c r="J2" i="143"/>
  <c r="F1" i="143"/>
  <c r="J82" i="142"/>
  <c r="J81" i="142"/>
  <c r="J80" i="142"/>
  <c r="J79" i="142"/>
  <c r="J78" i="142"/>
  <c r="J77" i="142"/>
  <c r="J76" i="142"/>
  <c r="J75" i="142"/>
  <c r="J74" i="142"/>
  <c r="S73" i="142"/>
  <c r="J73" i="142"/>
  <c r="J72" i="142"/>
  <c r="J71" i="142"/>
  <c r="J70" i="142"/>
  <c r="J69" i="142"/>
  <c r="J68" i="142"/>
  <c r="AQ67" i="142"/>
  <c r="J67" i="142"/>
  <c r="J66" i="142"/>
  <c r="J65" i="142"/>
  <c r="J64" i="142"/>
  <c r="J63" i="142"/>
  <c r="AU62" i="142"/>
  <c r="J62" i="142"/>
  <c r="J61" i="142"/>
  <c r="J60" i="142"/>
  <c r="J59" i="142"/>
  <c r="J58" i="142"/>
  <c r="AY57" i="142"/>
  <c r="J57" i="142"/>
  <c r="J56" i="142"/>
  <c r="J55" i="142"/>
  <c r="J54" i="142"/>
  <c r="J53" i="142"/>
  <c r="BC52" i="142"/>
  <c r="J52" i="142"/>
  <c r="J51" i="142"/>
  <c r="J50" i="142"/>
  <c r="AA49" i="142"/>
  <c r="J49" i="142"/>
  <c r="J48" i="142"/>
  <c r="BG47" i="142"/>
  <c r="AY47" i="142"/>
  <c r="J47" i="142"/>
  <c r="AE46" i="142"/>
  <c r="W46" i="142"/>
  <c r="J46" i="142"/>
  <c r="J45" i="142"/>
  <c r="BS44" i="142"/>
  <c r="J44" i="142"/>
  <c r="AY43" i="142"/>
  <c r="AQ43" i="142"/>
  <c r="J43" i="142"/>
  <c r="AA42" i="142"/>
  <c r="W42" i="142"/>
  <c r="J42" i="142"/>
  <c r="J41" i="142"/>
  <c r="BW40" i="142"/>
  <c r="J40" i="142"/>
  <c r="BO39" i="142"/>
  <c r="J39" i="142"/>
  <c r="AU38" i="142"/>
  <c r="J38" i="142"/>
  <c r="S37" i="142"/>
  <c r="J37" i="142"/>
  <c r="J36" i="142"/>
  <c r="BG35" i="142"/>
  <c r="AY35" i="142"/>
  <c r="J35" i="142"/>
  <c r="AE34" i="142"/>
  <c r="W34" i="142"/>
  <c r="J34" i="142"/>
  <c r="J33" i="142"/>
  <c r="BS32" i="142"/>
  <c r="J32" i="142"/>
  <c r="AY31" i="142"/>
  <c r="AQ31" i="142"/>
  <c r="J31" i="142"/>
  <c r="AU30" i="142"/>
  <c r="AI30" i="142"/>
  <c r="J30" i="142"/>
  <c r="AQ29" i="142"/>
  <c r="AI29" i="142"/>
  <c r="J29" i="142"/>
  <c r="BO28" i="142"/>
  <c r="AY28" i="142"/>
  <c r="AU28" i="142"/>
  <c r="J28" i="142"/>
  <c r="BG27" i="142"/>
  <c r="J27" i="142"/>
  <c r="BG26" i="142"/>
  <c r="J26" i="142"/>
  <c r="BO25" i="142"/>
  <c r="S25" i="142"/>
  <c r="J25" i="142"/>
  <c r="BW24" i="142"/>
  <c r="BS24" i="142"/>
  <c r="J24" i="142"/>
  <c r="BW23" i="142"/>
  <c r="BS23" i="142"/>
  <c r="J23" i="142"/>
  <c r="BW22" i="142"/>
  <c r="AE22" i="142"/>
  <c r="S22" i="142"/>
  <c r="J22" i="142"/>
  <c r="AQ21" i="142"/>
  <c r="W21" i="142"/>
  <c r="S21" i="142"/>
  <c r="J21" i="142"/>
  <c r="AQ20" i="142"/>
  <c r="AE20" i="142"/>
  <c r="W20" i="142"/>
  <c r="J20" i="142"/>
  <c r="AI19" i="142"/>
  <c r="AE19" i="142"/>
  <c r="S19" i="142"/>
  <c r="J19" i="142"/>
  <c r="AY18" i="142"/>
  <c r="AU18" i="142"/>
  <c r="J18" i="142"/>
  <c r="BS17" i="142"/>
  <c r="BO17" i="142"/>
  <c r="W17" i="142"/>
  <c r="S17" i="142"/>
  <c r="J17" i="142"/>
  <c r="BC16" i="142"/>
  <c r="AQ16" i="142"/>
  <c r="AE16" i="142"/>
  <c r="J16" i="142"/>
  <c r="BG15" i="142"/>
  <c r="J15" i="142"/>
  <c r="AI14" i="142"/>
  <c r="AE14" i="142"/>
  <c r="J14" i="142"/>
  <c r="BO13" i="142"/>
  <c r="BC13" i="142"/>
  <c r="AY13" i="142"/>
  <c r="AQ13" i="142"/>
  <c r="S13" i="142"/>
  <c r="J13" i="142"/>
  <c r="BW12" i="142"/>
  <c r="BS12" i="142"/>
  <c r="AQ12" i="142"/>
  <c r="AA12" i="142"/>
  <c r="W12" i="142"/>
  <c r="J12" i="142"/>
  <c r="AU11" i="142"/>
  <c r="AQ11" i="142"/>
  <c r="J11" i="142"/>
  <c r="BO10" i="142"/>
  <c r="BC10" i="142"/>
  <c r="AE10" i="142"/>
  <c r="S10" i="142"/>
  <c r="J10" i="142"/>
  <c r="BC9" i="142"/>
  <c r="AI9" i="142"/>
  <c r="J9" i="142"/>
  <c r="BG8" i="142"/>
  <c r="BC8" i="142"/>
  <c r="J8" i="142"/>
  <c r="BW7" i="142"/>
  <c r="BO7" i="142"/>
  <c r="AQ7" i="142"/>
  <c r="AE7" i="142"/>
  <c r="AA7" i="142"/>
  <c r="S7" i="142"/>
  <c r="J7" i="142"/>
  <c r="BQ6" i="142"/>
  <c r="BP6" i="142"/>
  <c r="BN6" i="142"/>
  <c r="BO6" i="142" s="1"/>
  <c r="BE6" i="142"/>
  <c r="BD6" i="142"/>
  <c r="BB6" i="142"/>
  <c r="BC6" i="142" s="1"/>
  <c r="AS6" i="142"/>
  <c r="AR6" i="142"/>
  <c r="AP6" i="142"/>
  <c r="AQ6" i="142" s="1"/>
  <c r="AG6" i="142"/>
  <c r="AF6" i="142"/>
  <c r="AD6" i="142"/>
  <c r="AE6" i="142" s="1"/>
  <c r="U6" i="142"/>
  <c r="T6" i="142"/>
  <c r="R6" i="142"/>
  <c r="S6" i="142" s="1"/>
  <c r="BS5" i="142"/>
  <c r="BP5" i="142"/>
  <c r="BL5" i="142"/>
  <c r="BO5" i="142" s="1"/>
  <c r="AZ5" i="142"/>
  <c r="BC5" i="142" s="1"/>
  <c r="AR5" i="142"/>
  <c r="AU5" i="142" s="1"/>
  <c r="AN5" i="142"/>
  <c r="AQ5" i="142" s="1"/>
  <c r="AB5" i="142"/>
  <c r="AE5" i="142" s="1"/>
  <c r="T5" i="142"/>
  <c r="W5" i="142" s="1"/>
  <c r="P5" i="142"/>
  <c r="S5" i="142" s="1"/>
  <c r="BS4" i="142"/>
  <c r="BW8" i="142" s="1"/>
  <c r="BO4" i="142"/>
  <c r="BS68" i="142" s="1"/>
  <c r="BL4" i="142"/>
  <c r="BK4" i="142"/>
  <c r="BG4" i="142"/>
  <c r="BC4" i="142"/>
  <c r="BG71" i="142" s="1"/>
  <c r="AY4" i="142"/>
  <c r="BC41" i="142" s="1"/>
  <c r="AU4" i="142"/>
  <c r="AY69" i="142" s="1"/>
  <c r="AQ4" i="142"/>
  <c r="AU9" i="142" s="1"/>
  <c r="AN4" i="142"/>
  <c r="AM4" i="142"/>
  <c r="AI4" i="142"/>
  <c r="AE4" i="142"/>
  <c r="AI39" i="142" s="1"/>
  <c r="AA4" i="142"/>
  <c r="AE70" i="142" s="1"/>
  <c r="W4" i="142"/>
  <c r="AA36" i="142" s="1"/>
  <c r="S4" i="142"/>
  <c r="W45" i="142" s="1"/>
  <c r="P4" i="142"/>
  <c r="O4" i="142"/>
  <c r="K4" i="142"/>
  <c r="J4" i="142"/>
  <c r="BT3" i="142"/>
  <c r="BP3" i="142"/>
  <c r="BL3" i="142"/>
  <c r="BH3" i="142"/>
  <c r="BD3" i="142"/>
  <c r="AZ3" i="142"/>
  <c r="AV3" i="142"/>
  <c r="AR3" i="142"/>
  <c r="AN3" i="142"/>
  <c r="AJ3" i="142"/>
  <c r="AF3" i="142"/>
  <c r="AB3" i="142"/>
  <c r="X3" i="142"/>
  <c r="T3" i="142"/>
  <c r="P3" i="142"/>
  <c r="L3" i="142"/>
  <c r="J3" i="142"/>
  <c r="J2" i="142"/>
  <c r="F1" i="142"/>
  <c r="J82" i="141"/>
  <c r="J81" i="141"/>
  <c r="J80" i="141"/>
  <c r="J79" i="141"/>
  <c r="O78" i="141"/>
  <c r="J78" i="141"/>
  <c r="J77" i="141"/>
  <c r="J76" i="141"/>
  <c r="J75" i="141"/>
  <c r="J74" i="141"/>
  <c r="S73" i="141"/>
  <c r="J73" i="141"/>
  <c r="J72" i="141"/>
  <c r="J71" i="141"/>
  <c r="J70" i="141"/>
  <c r="J69" i="141"/>
  <c r="J68" i="141"/>
  <c r="AQ67" i="141"/>
  <c r="J67" i="141"/>
  <c r="J66" i="141"/>
  <c r="J65" i="141"/>
  <c r="J64" i="141"/>
  <c r="J63" i="141"/>
  <c r="AU62" i="141"/>
  <c r="J62" i="141"/>
  <c r="J61" i="141"/>
  <c r="J60" i="141"/>
  <c r="J59" i="141"/>
  <c r="J58" i="141"/>
  <c r="J57" i="141"/>
  <c r="J56" i="141"/>
  <c r="J55" i="141"/>
  <c r="J54" i="141"/>
  <c r="J53" i="141"/>
  <c r="BC52" i="141"/>
  <c r="J52" i="141"/>
  <c r="J51" i="141"/>
  <c r="J50" i="141"/>
  <c r="J49" i="141"/>
  <c r="AQ48" i="141"/>
  <c r="AM48" i="141"/>
  <c r="J48" i="141"/>
  <c r="J47" i="141"/>
  <c r="BC46" i="141"/>
  <c r="AI46" i="141"/>
  <c r="J46" i="141"/>
  <c r="J45" i="141"/>
  <c r="AU44" i="141"/>
  <c r="J44" i="141"/>
  <c r="AU43" i="141"/>
  <c r="AQ43" i="141"/>
  <c r="J43" i="141"/>
  <c r="AM42" i="141"/>
  <c r="AE42" i="141"/>
  <c r="J42" i="141"/>
  <c r="AU41" i="141"/>
  <c r="AQ41" i="141"/>
  <c r="J41" i="141"/>
  <c r="BC40" i="141"/>
  <c r="AU40" i="141"/>
  <c r="J40" i="141"/>
  <c r="BC39" i="141"/>
  <c r="J39" i="141"/>
  <c r="BG38" i="141"/>
  <c r="BC38" i="141"/>
  <c r="J38" i="141"/>
  <c r="BO37" i="141"/>
  <c r="BG37" i="141"/>
  <c r="J37" i="141"/>
  <c r="BO36" i="141"/>
  <c r="BK36" i="141"/>
  <c r="J36" i="141"/>
  <c r="BS35" i="141"/>
  <c r="O35" i="141"/>
  <c r="J35" i="141"/>
  <c r="BK34" i="141"/>
  <c r="O34" i="141"/>
  <c r="J34" i="141"/>
  <c r="S33" i="141"/>
  <c r="O33" i="141"/>
  <c r="J33" i="141"/>
  <c r="AM32" i="141"/>
  <c r="W32" i="141"/>
  <c r="J32" i="141"/>
  <c r="AI31" i="141"/>
  <c r="AE31" i="141"/>
  <c r="J31" i="141"/>
  <c r="BK30" i="141"/>
  <c r="AU30" i="141"/>
  <c r="AQ30" i="141"/>
  <c r="AE30" i="141"/>
  <c r="J30" i="141"/>
  <c r="BK29" i="141"/>
  <c r="BG29" i="141"/>
  <c r="J29" i="141"/>
  <c r="BS28" i="141"/>
  <c r="BO28" i="141"/>
  <c r="AE28" i="141"/>
  <c r="O28" i="141"/>
  <c r="J28" i="141"/>
  <c r="BO27" i="141"/>
  <c r="AM27" i="141"/>
  <c r="S27" i="141"/>
  <c r="J27" i="141"/>
  <c r="AI26" i="141"/>
  <c r="AE26" i="141"/>
  <c r="J26" i="141"/>
  <c r="AU25" i="141"/>
  <c r="AQ25" i="141"/>
  <c r="AE25" i="141"/>
  <c r="J25" i="141"/>
  <c r="BC24" i="141"/>
  <c r="AQ24" i="141"/>
  <c r="O24" i="141"/>
  <c r="J24" i="141"/>
  <c r="BS23" i="141"/>
  <c r="BO23" i="141"/>
  <c r="O23" i="141"/>
  <c r="J23" i="141"/>
  <c r="BO22" i="141"/>
  <c r="AM22" i="141"/>
  <c r="W22" i="141"/>
  <c r="S22" i="141"/>
  <c r="J22" i="141"/>
  <c r="AI21" i="141"/>
  <c r="AE21" i="141"/>
  <c r="S21" i="141"/>
  <c r="J21" i="141"/>
  <c r="AU20" i="141"/>
  <c r="AM20" i="141"/>
  <c r="AE20" i="141"/>
  <c r="J20" i="141"/>
  <c r="BC19" i="141"/>
  <c r="AQ19" i="141"/>
  <c r="S19" i="141"/>
  <c r="J19" i="141"/>
  <c r="BS18" i="141"/>
  <c r="BK18" i="141"/>
  <c r="AM18" i="141"/>
  <c r="W18" i="141"/>
  <c r="O18" i="141"/>
  <c r="J18" i="141"/>
  <c r="AU17" i="141"/>
  <c r="AQ17" i="141"/>
  <c r="J17" i="141"/>
  <c r="BO16" i="141"/>
  <c r="BK16" i="141"/>
  <c r="BC16" i="141"/>
  <c r="AE16" i="141"/>
  <c r="S16" i="141"/>
  <c r="O16" i="141"/>
  <c r="J16" i="141"/>
  <c r="BK15" i="141"/>
  <c r="AM15" i="141"/>
  <c r="AI15" i="141"/>
  <c r="O15" i="141"/>
  <c r="J15" i="141"/>
  <c r="BG14" i="141"/>
  <c r="BC14" i="141"/>
  <c r="J14" i="141"/>
  <c r="BO13" i="141"/>
  <c r="BC13" i="141"/>
  <c r="AQ13" i="141"/>
  <c r="AM13" i="141"/>
  <c r="AE13" i="141"/>
  <c r="S13" i="141"/>
  <c r="J13" i="141"/>
  <c r="BK12" i="141"/>
  <c r="AU12" i="141"/>
  <c r="AM12" i="141"/>
  <c r="O12" i="141"/>
  <c r="J12" i="141"/>
  <c r="BS11" i="141"/>
  <c r="BO11" i="141"/>
  <c r="BK11" i="141"/>
  <c r="BC11" i="141"/>
  <c r="AE11" i="141"/>
  <c r="W11" i="141"/>
  <c r="S11" i="141"/>
  <c r="J11" i="141"/>
  <c r="BO10" i="141"/>
  <c r="BC10" i="141"/>
  <c r="AQ10" i="141"/>
  <c r="AM10" i="141"/>
  <c r="AE10" i="141"/>
  <c r="S10" i="141"/>
  <c r="J10" i="141"/>
  <c r="BK9" i="141"/>
  <c r="BG9" i="141"/>
  <c r="BC9" i="141"/>
  <c r="AM9" i="141"/>
  <c r="AE9" i="141"/>
  <c r="O9" i="141"/>
  <c r="J9" i="141"/>
  <c r="AQ8" i="141"/>
  <c r="AI8" i="141"/>
  <c r="AE8" i="141"/>
  <c r="J8" i="141"/>
  <c r="BO7" i="141"/>
  <c r="BK7" i="141"/>
  <c r="BC7" i="141"/>
  <c r="AQ7" i="141"/>
  <c r="AM7" i="141"/>
  <c r="AE7" i="141"/>
  <c r="S7" i="141"/>
  <c r="O7" i="141"/>
  <c r="J7" i="141"/>
  <c r="BN6" i="141"/>
  <c r="BO6" i="141" s="1"/>
  <c r="BM6" i="141"/>
  <c r="BJ6" i="141"/>
  <c r="BK6" i="141" s="1"/>
  <c r="BI6" i="141"/>
  <c r="BH6" i="141"/>
  <c r="BB6" i="141"/>
  <c r="BC6" i="141" s="1"/>
  <c r="BA6" i="141"/>
  <c r="AP6" i="141"/>
  <c r="AQ6" i="141" s="1"/>
  <c r="AO6" i="141"/>
  <c r="AL6" i="141"/>
  <c r="AM6" i="141" s="1"/>
  <c r="AK6" i="141"/>
  <c r="AJ6" i="141"/>
  <c r="AD6" i="141"/>
  <c r="AE6" i="141" s="1"/>
  <c r="AC6" i="141"/>
  <c r="R6" i="141"/>
  <c r="S6" i="141" s="1"/>
  <c r="Q6" i="141"/>
  <c r="N6" i="141"/>
  <c r="O6" i="141" s="1"/>
  <c r="M6" i="141"/>
  <c r="L6" i="141"/>
  <c r="BL5" i="141"/>
  <c r="BO5" i="141" s="1"/>
  <c r="BD5" i="141"/>
  <c r="BG5" i="141" s="1"/>
  <c r="AZ5" i="141"/>
  <c r="BC5" i="141" s="1"/>
  <c r="AN5" i="141"/>
  <c r="AQ5" i="141" s="1"/>
  <c r="AF5" i="141"/>
  <c r="AI5" i="141" s="1"/>
  <c r="AB5" i="141"/>
  <c r="AE5" i="141" s="1"/>
  <c r="P5" i="141"/>
  <c r="S5" i="141" s="1"/>
  <c r="BS4" i="141"/>
  <c r="BW75" i="141" s="1"/>
  <c r="BO4" i="141"/>
  <c r="BS32" i="141" s="1"/>
  <c r="BL4" i="141"/>
  <c r="BK4" i="141"/>
  <c r="BO31" i="141" s="1"/>
  <c r="BH4" i="141"/>
  <c r="BG4" i="141"/>
  <c r="BK20" i="141" s="1"/>
  <c r="BC4" i="141"/>
  <c r="BG41" i="141" s="1"/>
  <c r="AZ4" i="141"/>
  <c r="AY4" i="141"/>
  <c r="AU4" i="141"/>
  <c r="AY69" i="141" s="1"/>
  <c r="AQ4" i="141"/>
  <c r="AU36" i="141" s="1"/>
  <c r="AN4" i="141"/>
  <c r="AM4" i="141"/>
  <c r="AQ35" i="141" s="1"/>
  <c r="AJ4" i="141"/>
  <c r="AI4" i="141"/>
  <c r="AM34" i="141" s="1"/>
  <c r="AE4" i="141"/>
  <c r="AI53" i="141" s="1"/>
  <c r="AB4" i="141"/>
  <c r="AA4" i="141"/>
  <c r="W4" i="141"/>
  <c r="AA51" i="141" s="1"/>
  <c r="S4" i="141"/>
  <c r="W15" i="141" s="1"/>
  <c r="P4" i="141"/>
  <c r="O4" i="141"/>
  <c r="S40" i="141" s="1"/>
  <c r="L4" i="141"/>
  <c r="K4" i="141"/>
  <c r="O54" i="141" s="1"/>
  <c r="J4" i="141"/>
  <c r="BT3" i="141"/>
  <c r="BP3" i="141"/>
  <c r="BL3" i="141"/>
  <c r="BH3" i="141"/>
  <c r="BD3" i="141"/>
  <c r="AZ3" i="141"/>
  <c r="AV3" i="141"/>
  <c r="AR3" i="141"/>
  <c r="AN3" i="141"/>
  <c r="AJ3" i="141"/>
  <c r="AF3" i="141"/>
  <c r="AB3" i="141"/>
  <c r="X3" i="141"/>
  <c r="T3" i="141"/>
  <c r="P3" i="141"/>
  <c r="L3" i="141"/>
  <c r="J3" i="141"/>
  <c r="J2" i="141"/>
  <c r="F1" i="141"/>
  <c r="J82" i="140"/>
  <c r="J81" i="140"/>
  <c r="J80" i="140"/>
  <c r="J79" i="140"/>
  <c r="O78" i="140"/>
  <c r="J78" i="140"/>
  <c r="J77" i="140"/>
  <c r="BC76" i="140"/>
  <c r="J76" i="140"/>
  <c r="J75" i="140"/>
  <c r="J74" i="140"/>
  <c r="BO73" i="140"/>
  <c r="S73" i="140"/>
  <c r="J73" i="140"/>
  <c r="J72" i="140"/>
  <c r="J71" i="140"/>
  <c r="J70" i="140"/>
  <c r="J69" i="140"/>
  <c r="J68" i="140"/>
  <c r="J67" i="140"/>
  <c r="J66" i="140"/>
  <c r="J65" i="140"/>
  <c r="J64" i="140"/>
  <c r="J63" i="140"/>
  <c r="J62" i="140"/>
  <c r="BO61" i="140"/>
  <c r="S61" i="140"/>
  <c r="J61" i="140"/>
  <c r="J60" i="140"/>
  <c r="J59" i="140"/>
  <c r="AE58" i="140"/>
  <c r="J58" i="140"/>
  <c r="AY57" i="140"/>
  <c r="J57" i="140"/>
  <c r="J56" i="140"/>
  <c r="AQ55" i="140"/>
  <c r="J55" i="140"/>
  <c r="J54" i="140"/>
  <c r="J53" i="140"/>
  <c r="BC52" i="140"/>
  <c r="J52" i="140"/>
  <c r="J51" i="140"/>
  <c r="J50" i="140"/>
  <c r="BO49" i="140"/>
  <c r="S49" i="140"/>
  <c r="J49" i="140"/>
  <c r="J48" i="140"/>
  <c r="BO47" i="140"/>
  <c r="J47" i="140"/>
  <c r="BO46" i="140"/>
  <c r="AE46" i="140"/>
  <c r="AA46" i="140"/>
  <c r="J46" i="140"/>
  <c r="J45" i="140"/>
  <c r="BO44" i="140"/>
  <c r="AE44" i="140"/>
  <c r="W44" i="140"/>
  <c r="J44" i="140"/>
  <c r="AQ43" i="140"/>
  <c r="J43" i="140"/>
  <c r="W42" i="140"/>
  <c r="J42" i="140"/>
  <c r="BC41" i="140"/>
  <c r="AQ41" i="140"/>
  <c r="J41" i="140"/>
  <c r="BC40" i="140"/>
  <c r="J40" i="140"/>
  <c r="W39" i="140"/>
  <c r="J39" i="140"/>
  <c r="BO38" i="140"/>
  <c r="BC38" i="140"/>
  <c r="S38" i="140"/>
  <c r="J38" i="140"/>
  <c r="BO37" i="140"/>
  <c r="J37" i="140"/>
  <c r="AY36" i="140"/>
  <c r="J36" i="140"/>
  <c r="BC35" i="140"/>
  <c r="AQ35" i="140"/>
  <c r="S35" i="140"/>
  <c r="J35" i="140"/>
  <c r="AQ34" i="140"/>
  <c r="AE34" i="140"/>
  <c r="AA34" i="140"/>
  <c r="J34" i="140"/>
  <c r="O33" i="140"/>
  <c r="J33" i="140"/>
  <c r="BO32" i="140"/>
  <c r="BC32" i="140"/>
  <c r="S32" i="140"/>
  <c r="J32" i="140"/>
  <c r="BW31" i="140"/>
  <c r="AQ31" i="140"/>
  <c r="J31" i="140"/>
  <c r="BK30" i="140"/>
  <c r="J30" i="140"/>
  <c r="BO29" i="140"/>
  <c r="BC29" i="140"/>
  <c r="AU29" i="140"/>
  <c r="AE29" i="140"/>
  <c r="S29" i="140"/>
  <c r="J29" i="140"/>
  <c r="BO28" i="140"/>
  <c r="BC28" i="140"/>
  <c r="AY28" i="140"/>
  <c r="S28" i="140"/>
  <c r="J28" i="140"/>
  <c r="BO27" i="140"/>
  <c r="BG27" i="140"/>
  <c r="J27" i="140"/>
  <c r="BO26" i="140"/>
  <c r="BG26" i="140"/>
  <c r="AQ26" i="140"/>
  <c r="J26" i="140"/>
  <c r="BO25" i="140"/>
  <c r="BC25" i="140"/>
  <c r="S25" i="140"/>
  <c r="J25" i="140"/>
  <c r="BO24" i="140"/>
  <c r="BC24" i="140"/>
  <c r="AE24" i="140"/>
  <c r="W24" i="140"/>
  <c r="J24" i="140"/>
  <c r="BO23" i="140"/>
  <c r="AQ23" i="140"/>
  <c r="AE23" i="140"/>
  <c r="S23" i="140"/>
  <c r="J23" i="140"/>
  <c r="BC22" i="140"/>
  <c r="AU22" i="140"/>
  <c r="AE22" i="140"/>
  <c r="J22" i="140"/>
  <c r="BO21" i="140"/>
  <c r="BK21" i="140"/>
  <c r="AQ21" i="140"/>
  <c r="S21" i="140"/>
  <c r="J21" i="140"/>
  <c r="BC20" i="140"/>
  <c r="AE20" i="140"/>
  <c r="W20" i="140"/>
  <c r="J20" i="140"/>
  <c r="BC19" i="140"/>
  <c r="AQ19" i="140"/>
  <c r="AM19" i="140"/>
  <c r="S19" i="140"/>
  <c r="J19" i="140"/>
  <c r="BO18" i="140"/>
  <c r="BG18" i="140"/>
  <c r="AQ18" i="140"/>
  <c r="S18" i="140"/>
  <c r="J18" i="140"/>
  <c r="BO17" i="140"/>
  <c r="AQ17" i="140"/>
  <c r="AE17" i="140"/>
  <c r="S17" i="140"/>
  <c r="J17" i="140"/>
  <c r="BC16" i="140"/>
  <c r="AY16" i="140"/>
  <c r="AE16" i="140"/>
  <c r="J16" i="140"/>
  <c r="BS15" i="140"/>
  <c r="BC15" i="140"/>
  <c r="AE15" i="140"/>
  <c r="W15" i="140"/>
  <c r="J15" i="140"/>
  <c r="BC14" i="140"/>
  <c r="AQ14" i="140"/>
  <c r="AE14" i="140"/>
  <c r="J14" i="140"/>
  <c r="BO13" i="140"/>
  <c r="BK13" i="140"/>
  <c r="AQ13" i="140"/>
  <c r="S13" i="140"/>
  <c r="O13" i="140"/>
  <c r="J13" i="140"/>
  <c r="BO12" i="140"/>
  <c r="AQ12" i="140"/>
  <c r="AI12" i="140"/>
  <c r="S12" i="140"/>
  <c r="J12" i="140"/>
  <c r="BO11" i="140"/>
  <c r="BC11" i="140"/>
  <c r="AQ11" i="140"/>
  <c r="S11" i="140"/>
  <c r="J11" i="140"/>
  <c r="BW10" i="140"/>
  <c r="BC10" i="140"/>
  <c r="AE10" i="140"/>
  <c r="AA10" i="140"/>
  <c r="J10" i="140"/>
  <c r="BC9" i="140"/>
  <c r="AU9" i="140"/>
  <c r="AE9" i="140"/>
  <c r="J9" i="140"/>
  <c r="BO8" i="140"/>
  <c r="BC8" i="140"/>
  <c r="AE8" i="140"/>
  <c r="S8" i="140"/>
  <c r="J8" i="140"/>
  <c r="BO7" i="140"/>
  <c r="AQ7" i="140"/>
  <c r="AM7" i="140"/>
  <c r="S7" i="140"/>
  <c r="J7" i="140"/>
  <c r="BU6" i="140"/>
  <c r="BT6" i="140"/>
  <c r="BN6" i="140"/>
  <c r="BO6" i="140" s="1"/>
  <c r="BB6" i="140"/>
  <c r="BC6" i="140" s="1"/>
  <c r="AW6" i="140"/>
  <c r="AV6" i="140"/>
  <c r="AP6" i="140"/>
  <c r="AQ6" i="140" s="1"/>
  <c r="AK6" i="140"/>
  <c r="AD6" i="140"/>
  <c r="AE6" i="140" s="1"/>
  <c r="Y6" i="140"/>
  <c r="X6" i="140"/>
  <c r="R6" i="140"/>
  <c r="S6" i="140" s="1"/>
  <c r="M6" i="140"/>
  <c r="L6" i="140"/>
  <c r="BL5" i="140"/>
  <c r="BO5" i="140" s="1"/>
  <c r="AZ5" i="140"/>
  <c r="BC5" i="140" s="1"/>
  <c r="AN5" i="140"/>
  <c r="AQ5" i="140" s="1"/>
  <c r="AB5" i="140"/>
  <c r="AE5" i="140" s="1"/>
  <c r="P5" i="140"/>
  <c r="S5" i="140" s="1"/>
  <c r="BS4" i="140"/>
  <c r="BW63" i="140" s="1"/>
  <c r="BO4" i="140"/>
  <c r="BS20" i="140" s="1"/>
  <c r="BL4" i="140"/>
  <c r="BK4" i="140"/>
  <c r="BG4" i="140"/>
  <c r="BK17" i="140" s="1"/>
  <c r="BC4" i="140"/>
  <c r="BG47" i="140" s="1"/>
  <c r="AY4" i="140"/>
  <c r="BC64" i="140" s="1"/>
  <c r="AU4" i="140"/>
  <c r="AY19" i="140" s="1"/>
  <c r="AQ4" i="140"/>
  <c r="AU62" i="140" s="1"/>
  <c r="AN4" i="140"/>
  <c r="AM4" i="140"/>
  <c r="AI4" i="140"/>
  <c r="AM37" i="140" s="1"/>
  <c r="AE4" i="140"/>
  <c r="AI65" i="140" s="1"/>
  <c r="AA4" i="140"/>
  <c r="AE38" i="140" s="1"/>
  <c r="W4" i="140"/>
  <c r="AA8" i="140" s="1"/>
  <c r="S4" i="140"/>
  <c r="W32" i="140" s="1"/>
  <c r="P4" i="140"/>
  <c r="O4" i="140"/>
  <c r="K4" i="140"/>
  <c r="O66" i="140" s="1"/>
  <c r="J4" i="140"/>
  <c r="BT3" i="140"/>
  <c r="BP3" i="140"/>
  <c r="BL3" i="140"/>
  <c r="BH3" i="140"/>
  <c r="BD3" i="140"/>
  <c r="AZ3" i="140"/>
  <c r="AV3" i="140"/>
  <c r="AR3" i="140"/>
  <c r="AN3" i="140"/>
  <c r="AJ3" i="140"/>
  <c r="AF3" i="140"/>
  <c r="AB3" i="140"/>
  <c r="X3" i="140"/>
  <c r="T3" i="140"/>
  <c r="P3" i="140"/>
  <c r="L3" i="140"/>
  <c r="J3" i="140"/>
  <c r="J2" i="140"/>
  <c r="F1" i="140"/>
  <c r="J82" i="139"/>
  <c r="J81" i="139"/>
  <c r="J80" i="139"/>
  <c r="J79" i="139"/>
  <c r="O78" i="139"/>
  <c r="J78" i="139"/>
  <c r="J77" i="139"/>
  <c r="J76" i="139"/>
  <c r="J75" i="139"/>
  <c r="J74" i="139"/>
  <c r="S73" i="139"/>
  <c r="J73" i="139"/>
  <c r="J72" i="139"/>
  <c r="J71" i="139"/>
  <c r="J70" i="139"/>
  <c r="J69" i="139"/>
  <c r="J68" i="139"/>
  <c r="J67" i="139"/>
  <c r="J66" i="139"/>
  <c r="J65" i="139"/>
  <c r="J64" i="139"/>
  <c r="AA63" i="139"/>
  <c r="J63" i="139"/>
  <c r="J62" i="139"/>
  <c r="S61" i="139"/>
  <c r="J61" i="139"/>
  <c r="J60" i="139"/>
  <c r="AE59" i="139"/>
  <c r="J59" i="139"/>
  <c r="J58" i="139"/>
  <c r="BG57" i="139"/>
  <c r="J57" i="139"/>
  <c r="AQ56" i="139"/>
  <c r="J56" i="139"/>
  <c r="AM55" i="139"/>
  <c r="J55" i="139"/>
  <c r="W54" i="139"/>
  <c r="J54" i="139"/>
  <c r="J53" i="139"/>
  <c r="J52" i="139"/>
  <c r="BS51" i="139"/>
  <c r="J51" i="139"/>
  <c r="BC50" i="139"/>
  <c r="J50" i="139"/>
  <c r="AU49" i="139"/>
  <c r="J49" i="139"/>
  <c r="AQ48" i="139"/>
  <c r="J48" i="139"/>
  <c r="AE47" i="139"/>
  <c r="J47" i="139"/>
  <c r="J46" i="139"/>
  <c r="J45" i="139"/>
  <c r="BS44" i="139"/>
  <c r="J44" i="139"/>
  <c r="BK43" i="139"/>
  <c r="J43" i="139"/>
  <c r="BG42" i="139"/>
  <c r="J42" i="139"/>
  <c r="AM41" i="139"/>
  <c r="J41" i="139"/>
  <c r="AA40" i="139"/>
  <c r="J40" i="139"/>
  <c r="J39" i="139"/>
  <c r="J38" i="139"/>
  <c r="BW37" i="139"/>
  <c r="J37" i="139"/>
  <c r="BO36" i="139"/>
  <c r="J36" i="139"/>
  <c r="BG35" i="139"/>
  <c r="J35" i="139"/>
  <c r="BC34" i="139"/>
  <c r="J34" i="139"/>
  <c r="AY33" i="139"/>
  <c r="J33" i="139"/>
  <c r="AU32" i="139"/>
  <c r="J32" i="139"/>
  <c r="AU31" i="139"/>
  <c r="J31" i="139"/>
  <c r="AU30" i="139"/>
  <c r="J30" i="139"/>
  <c r="AQ29" i="139"/>
  <c r="J29" i="139"/>
  <c r="AM28" i="139"/>
  <c r="J28" i="139"/>
  <c r="BS27" i="139"/>
  <c r="AI27" i="139"/>
  <c r="J27" i="139"/>
  <c r="AU26" i="139"/>
  <c r="AE26" i="139"/>
  <c r="J26" i="139"/>
  <c r="AU25" i="139"/>
  <c r="AM25" i="139"/>
  <c r="J25" i="139"/>
  <c r="AU24" i="139"/>
  <c r="AM24" i="139"/>
  <c r="J24" i="139"/>
  <c r="AM23" i="139"/>
  <c r="J23" i="139"/>
  <c r="BC22" i="139"/>
  <c r="W22" i="139"/>
  <c r="J22" i="139"/>
  <c r="BS21" i="139"/>
  <c r="O21" i="139"/>
  <c r="J21" i="139"/>
  <c r="AE20" i="139"/>
  <c r="J20" i="139"/>
  <c r="BS19" i="139"/>
  <c r="BC19" i="139"/>
  <c r="AU19" i="139"/>
  <c r="J19" i="139"/>
  <c r="BW18" i="139"/>
  <c r="BO18" i="139"/>
  <c r="S18" i="139"/>
  <c r="J18" i="139"/>
  <c r="BS17" i="139"/>
  <c r="AU17" i="139"/>
  <c r="AM17" i="139"/>
  <c r="W17" i="139"/>
  <c r="J17" i="139"/>
  <c r="BG16" i="139"/>
  <c r="J16" i="139"/>
  <c r="BS15" i="139"/>
  <c r="AM15" i="139"/>
  <c r="AE15" i="139"/>
  <c r="W15" i="139"/>
  <c r="J15" i="139"/>
  <c r="BS14" i="139"/>
  <c r="AY14" i="139"/>
  <c r="W14" i="139"/>
  <c r="J14" i="139"/>
  <c r="BS13" i="139"/>
  <c r="BC13" i="139"/>
  <c r="AE13" i="139"/>
  <c r="W13" i="139"/>
  <c r="J13" i="139"/>
  <c r="BW12" i="139"/>
  <c r="BS12" i="139"/>
  <c r="BK12" i="139"/>
  <c r="AY12" i="139"/>
  <c r="AU12" i="139"/>
  <c r="AQ12" i="139"/>
  <c r="AA12" i="139"/>
  <c r="W12" i="139"/>
  <c r="O12" i="139"/>
  <c r="J12" i="139"/>
  <c r="BS11" i="139"/>
  <c r="BK11" i="139"/>
  <c r="AU11" i="139"/>
  <c r="W11" i="139"/>
  <c r="O11" i="139"/>
  <c r="J11" i="139"/>
  <c r="BS10" i="139"/>
  <c r="BO10" i="139"/>
  <c r="BC10" i="139"/>
  <c r="AU10" i="139"/>
  <c r="AQ10" i="139"/>
  <c r="AI10" i="139"/>
  <c r="W10" i="139"/>
  <c r="S10" i="139"/>
  <c r="J10" i="139"/>
  <c r="BW9" i="139"/>
  <c r="BK9" i="139"/>
  <c r="BC9" i="139"/>
  <c r="AU9" i="139"/>
  <c r="AM9" i="139"/>
  <c r="AA9" i="139"/>
  <c r="O9" i="139"/>
  <c r="J9" i="139"/>
  <c r="BW8" i="139"/>
  <c r="AU8" i="139"/>
  <c r="AA8" i="139"/>
  <c r="J8" i="139"/>
  <c r="BO7" i="139"/>
  <c r="BC7" i="139"/>
  <c r="AU7" i="139"/>
  <c r="AE7" i="139"/>
  <c r="S7" i="139"/>
  <c r="J7" i="139"/>
  <c r="BU6" i="139"/>
  <c r="BS6" i="139"/>
  <c r="BR6" i="139"/>
  <c r="BQ6" i="139"/>
  <c r="BP6" i="139"/>
  <c r="BN6" i="139"/>
  <c r="BO6" i="139" s="1"/>
  <c r="BI6" i="139"/>
  <c r="BB6" i="139"/>
  <c r="BC6" i="139" s="1"/>
  <c r="AW6" i="139"/>
  <c r="AT6" i="139"/>
  <c r="AU6" i="139" s="1"/>
  <c r="AS6" i="139"/>
  <c r="AR6" i="139"/>
  <c r="AP6" i="139"/>
  <c r="AQ6" i="139" s="1"/>
  <c r="AK6" i="139"/>
  <c r="AD6" i="139"/>
  <c r="AE6" i="139" s="1"/>
  <c r="Y6" i="139"/>
  <c r="V6" i="139"/>
  <c r="W6" i="139" s="1"/>
  <c r="U6" i="139"/>
  <c r="T6" i="139"/>
  <c r="R6" i="139"/>
  <c r="S6" i="139" s="1"/>
  <c r="M6" i="139"/>
  <c r="BT5" i="139"/>
  <c r="BW5" i="139" s="1"/>
  <c r="BS5" i="139"/>
  <c r="BP5" i="139"/>
  <c r="BL5" i="139"/>
  <c r="BO5" i="139" s="1"/>
  <c r="AV5" i="139"/>
  <c r="AY5" i="139" s="1"/>
  <c r="AU5" i="139"/>
  <c r="AR5" i="139"/>
  <c r="AN5" i="139"/>
  <c r="AQ5" i="139" s="1"/>
  <c r="X5" i="139"/>
  <c r="AA5" i="139" s="1"/>
  <c r="W5" i="139"/>
  <c r="T5" i="139"/>
  <c r="P5" i="139"/>
  <c r="S5" i="139" s="1"/>
  <c r="BT4" i="139"/>
  <c r="BS4" i="139"/>
  <c r="BW52" i="139" s="1"/>
  <c r="BP4" i="139"/>
  <c r="BO4" i="139"/>
  <c r="BK4" i="139"/>
  <c r="BO20" i="139" s="1"/>
  <c r="BH4" i="139"/>
  <c r="BG4" i="139"/>
  <c r="BK40" i="139" s="1"/>
  <c r="BC4" i="139"/>
  <c r="BG54" i="139" s="1"/>
  <c r="AY4" i="139"/>
  <c r="BC41" i="139" s="1"/>
  <c r="AV4" i="139"/>
  <c r="AU4" i="139"/>
  <c r="AY50" i="139" s="1"/>
  <c r="AR4" i="139"/>
  <c r="AQ4" i="139"/>
  <c r="AM4" i="139"/>
  <c r="AQ60" i="139" s="1"/>
  <c r="AJ4" i="139"/>
  <c r="AI4" i="139"/>
  <c r="AM58" i="139" s="1"/>
  <c r="AE4" i="139"/>
  <c r="AI39" i="139" s="1"/>
  <c r="AA4" i="139"/>
  <c r="AE53" i="139" s="1"/>
  <c r="X4" i="139"/>
  <c r="W4" i="139"/>
  <c r="AA26" i="139" s="1"/>
  <c r="T4" i="139"/>
  <c r="S4" i="139"/>
  <c r="O4" i="139"/>
  <c r="S56" i="139" s="1"/>
  <c r="L4" i="139"/>
  <c r="K4" i="139"/>
  <c r="O60" i="139" s="1"/>
  <c r="J4" i="139"/>
  <c r="BT3" i="139"/>
  <c r="BP3" i="139"/>
  <c r="BL3" i="139"/>
  <c r="BH3" i="139"/>
  <c r="BD3" i="139"/>
  <c r="AZ3" i="139"/>
  <c r="AV3" i="139"/>
  <c r="AR3" i="139"/>
  <c r="AN3" i="139"/>
  <c r="AJ3" i="139"/>
  <c r="AF3" i="139"/>
  <c r="AB3" i="139"/>
  <c r="X3" i="139"/>
  <c r="T3" i="139"/>
  <c r="P3" i="139"/>
  <c r="L3" i="139"/>
  <c r="J3" i="139"/>
  <c r="J2" i="139"/>
  <c r="F1" i="139"/>
  <c r="J82" i="138"/>
  <c r="J81" i="138"/>
  <c r="J80" i="138"/>
  <c r="J79" i="138"/>
  <c r="J78" i="138"/>
  <c r="J77" i="138"/>
  <c r="J76" i="138"/>
  <c r="J75" i="138"/>
  <c r="AU74" i="138"/>
  <c r="J74" i="138"/>
  <c r="J73" i="138"/>
  <c r="AU72" i="138"/>
  <c r="J72" i="138"/>
  <c r="J71" i="138"/>
  <c r="AU70" i="138"/>
  <c r="J70" i="138"/>
  <c r="BG69" i="138"/>
  <c r="J69" i="138"/>
  <c r="BS68" i="138"/>
  <c r="BG68" i="138"/>
  <c r="AI68" i="138"/>
  <c r="W68" i="138"/>
  <c r="J68" i="138"/>
  <c r="BG67" i="138"/>
  <c r="J67" i="138"/>
  <c r="AU66" i="138"/>
  <c r="W66" i="138"/>
  <c r="J66" i="138"/>
  <c r="BS65" i="138"/>
  <c r="AI65" i="138"/>
  <c r="W65" i="138"/>
  <c r="J65" i="138"/>
  <c r="BS64" i="138"/>
  <c r="AU64" i="138"/>
  <c r="W64" i="138"/>
  <c r="J64" i="138"/>
  <c r="BG63" i="138"/>
  <c r="J63" i="138"/>
  <c r="AU62" i="138"/>
  <c r="J62" i="138"/>
  <c r="BG61" i="138"/>
  <c r="AI61" i="138"/>
  <c r="J61" i="138"/>
  <c r="BS60" i="138"/>
  <c r="AU60" i="138"/>
  <c r="W60" i="138"/>
  <c r="J60" i="138"/>
  <c r="BS59" i="138"/>
  <c r="BG59" i="138"/>
  <c r="AU59" i="138"/>
  <c r="J59" i="138"/>
  <c r="BS58" i="138"/>
  <c r="W58" i="138"/>
  <c r="J58" i="138"/>
  <c r="AI57" i="138"/>
  <c r="J57" i="138"/>
  <c r="BG56" i="138"/>
  <c r="W56" i="138"/>
  <c r="J56" i="138"/>
  <c r="BG55" i="138"/>
  <c r="AI55" i="138"/>
  <c r="J55" i="138"/>
  <c r="BS54" i="138"/>
  <c r="W54" i="138"/>
  <c r="J54" i="138"/>
  <c r="BS53" i="138"/>
  <c r="AU53" i="138"/>
  <c r="W53" i="138"/>
  <c r="J53" i="138"/>
  <c r="BS52" i="138"/>
  <c r="AU52" i="138"/>
  <c r="J52" i="138"/>
  <c r="BG51" i="138"/>
  <c r="AI51" i="138"/>
  <c r="J51" i="138"/>
  <c r="AI50" i="138"/>
  <c r="J50" i="138"/>
  <c r="BG49" i="138"/>
  <c r="AI49" i="138"/>
  <c r="J49" i="138"/>
  <c r="BS48" i="138"/>
  <c r="AU48" i="138"/>
  <c r="J48" i="138"/>
  <c r="BS47" i="138"/>
  <c r="BG47" i="138"/>
  <c r="AU47" i="138"/>
  <c r="W47" i="138"/>
  <c r="J47" i="138"/>
  <c r="BS46" i="138"/>
  <c r="AU46" i="138"/>
  <c r="W46" i="138"/>
  <c r="J46" i="138"/>
  <c r="BG45" i="138"/>
  <c r="J45" i="138"/>
  <c r="BS44" i="138"/>
  <c r="AI44" i="138"/>
  <c r="W44" i="138"/>
  <c r="J44" i="138"/>
  <c r="BG43" i="138"/>
  <c r="AI43" i="138"/>
  <c r="J43" i="138"/>
  <c r="AU42" i="138"/>
  <c r="W42" i="138"/>
  <c r="J42" i="138"/>
  <c r="BS41" i="138"/>
  <c r="BG41" i="138"/>
  <c r="AU41" i="138"/>
  <c r="AI41" i="138"/>
  <c r="W41" i="138"/>
  <c r="J41" i="138"/>
  <c r="BS40" i="138"/>
  <c r="AU40" i="138"/>
  <c r="J40" i="138"/>
  <c r="BG39" i="138"/>
  <c r="AI39" i="138"/>
  <c r="J39" i="138"/>
  <c r="BS38" i="138"/>
  <c r="BG38" i="138"/>
  <c r="AU38" i="138"/>
  <c r="AI38" i="138"/>
  <c r="W38" i="138"/>
  <c r="J38" i="138"/>
  <c r="BG37" i="138"/>
  <c r="J37" i="138"/>
  <c r="BG36" i="138"/>
  <c r="AU36" i="138"/>
  <c r="AI36" i="138"/>
  <c r="W36" i="138"/>
  <c r="J36" i="138"/>
  <c r="BS35" i="138"/>
  <c r="BG35" i="138"/>
  <c r="AU35" i="138"/>
  <c r="AI35" i="138"/>
  <c r="J35" i="138"/>
  <c r="BS34" i="138"/>
  <c r="AU34" i="138"/>
  <c r="W34" i="138"/>
  <c r="J34" i="138"/>
  <c r="BS33" i="138"/>
  <c r="BG33" i="138"/>
  <c r="AI33" i="138"/>
  <c r="W33" i="138"/>
  <c r="J33" i="138"/>
  <c r="BS32" i="138"/>
  <c r="AU32" i="138"/>
  <c r="AI32" i="138"/>
  <c r="W32" i="138"/>
  <c r="J32" i="138"/>
  <c r="BG31" i="138"/>
  <c r="AI31" i="138"/>
  <c r="J31" i="138"/>
  <c r="BS30" i="138"/>
  <c r="BG30" i="138"/>
  <c r="AU30" i="138"/>
  <c r="AI30" i="138"/>
  <c r="J30" i="138"/>
  <c r="BS29" i="138"/>
  <c r="AU29" i="138"/>
  <c r="AI29" i="138"/>
  <c r="W29" i="138"/>
  <c r="J29" i="138"/>
  <c r="BS28" i="138"/>
  <c r="AU28" i="138"/>
  <c r="W28" i="138"/>
  <c r="J28" i="138"/>
  <c r="BS27" i="138"/>
  <c r="AU27" i="138"/>
  <c r="AI27" i="138"/>
  <c r="W27" i="138"/>
  <c r="J27" i="138"/>
  <c r="BS26" i="138"/>
  <c r="BG26" i="138"/>
  <c r="BC26" i="138"/>
  <c r="AU26" i="138"/>
  <c r="AI26" i="138"/>
  <c r="W26" i="138"/>
  <c r="J26" i="138"/>
  <c r="BG25" i="138"/>
  <c r="AI25" i="138"/>
  <c r="J25" i="138"/>
  <c r="BS24" i="138"/>
  <c r="AU24" i="138"/>
  <c r="AI24" i="138"/>
  <c r="W24" i="138"/>
  <c r="J24" i="138"/>
  <c r="BS23" i="138"/>
  <c r="BG23" i="138"/>
  <c r="AU23" i="138"/>
  <c r="AI23" i="138"/>
  <c r="W23" i="138"/>
  <c r="J23" i="138"/>
  <c r="BS22" i="138"/>
  <c r="AU22" i="138"/>
  <c r="W22" i="138"/>
  <c r="J22" i="138"/>
  <c r="BS21" i="138"/>
  <c r="BG21" i="138"/>
  <c r="AU21" i="138"/>
  <c r="AI21" i="138"/>
  <c r="W21" i="138"/>
  <c r="J21" i="138"/>
  <c r="BS20" i="138"/>
  <c r="BG20" i="138"/>
  <c r="AU20" i="138"/>
  <c r="AI20" i="138"/>
  <c r="W20" i="138"/>
  <c r="J20" i="138"/>
  <c r="BS19" i="138"/>
  <c r="BG19" i="138"/>
  <c r="AI19" i="138"/>
  <c r="W19" i="138"/>
  <c r="J19" i="138"/>
  <c r="BS18" i="138"/>
  <c r="BG18" i="138"/>
  <c r="AU18" i="138"/>
  <c r="AI18" i="138"/>
  <c r="W18" i="138"/>
  <c r="J18" i="138"/>
  <c r="BS17" i="138"/>
  <c r="AU17" i="138"/>
  <c r="W17" i="138"/>
  <c r="J17" i="138"/>
  <c r="BS16" i="138"/>
  <c r="BG16" i="138"/>
  <c r="AU16" i="138"/>
  <c r="AI16" i="138"/>
  <c r="W16" i="138"/>
  <c r="J16" i="138"/>
  <c r="BS15" i="138"/>
  <c r="BG15" i="138"/>
  <c r="AU15" i="138"/>
  <c r="AI15" i="138"/>
  <c r="W15" i="138"/>
  <c r="J15" i="138"/>
  <c r="BS14" i="138"/>
  <c r="BG14" i="138"/>
  <c r="BC14" i="138"/>
  <c r="AI14" i="138"/>
  <c r="AE14" i="138"/>
  <c r="W14" i="138"/>
  <c r="J14" i="138"/>
  <c r="BS13" i="138"/>
  <c r="BG13" i="138"/>
  <c r="BC13" i="138"/>
  <c r="AU13" i="138"/>
  <c r="AI13" i="138"/>
  <c r="W13" i="138"/>
  <c r="J13" i="138"/>
  <c r="BS12" i="138"/>
  <c r="BG12" i="138"/>
  <c r="BC12" i="138"/>
  <c r="AU12" i="138"/>
  <c r="AI12" i="138"/>
  <c r="W12" i="138"/>
  <c r="J12" i="138"/>
  <c r="BS11" i="138"/>
  <c r="BC11" i="138"/>
  <c r="AU11" i="138"/>
  <c r="AE11" i="138"/>
  <c r="W11" i="138"/>
  <c r="J11" i="138"/>
  <c r="BS10" i="138"/>
  <c r="BG10" i="138"/>
  <c r="AU10" i="138"/>
  <c r="AI10" i="138"/>
  <c r="W10" i="138"/>
  <c r="J10" i="138"/>
  <c r="BS9" i="138"/>
  <c r="BG9" i="138"/>
  <c r="BC9" i="138"/>
  <c r="AU9" i="138"/>
  <c r="AI9" i="138"/>
  <c r="AE9" i="138"/>
  <c r="W9" i="138"/>
  <c r="J9" i="138"/>
  <c r="BG8" i="138"/>
  <c r="BC8" i="138"/>
  <c r="AU8" i="138"/>
  <c r="AI8" i="138"/>
  <c r="J8" i="138"/>
  <c r="BS7" i="138"/>
  <c r="BG7" i="138"/>
  <c r="BC7" i="138"/>
  <c r="AU7" i="138"/>
  <c r="AI7" i="138"/>
  <c r="W7" i="138"/>
  <c r="J7" i="138"/>
  <c r="BS6" i="138"/>
  <c r="BR6" i="138"/>
  <c r="BQ6" i="138"/>
  <c r="BP6" i="138"/>
  <c r="BG6" i="138"/>
  <c r="BF6" i="138"/>
  <c r="BE6" i="138"/>
  <c r="BD6" i="138"/>
  <c r="AU6" i="138"/>
  <c r="AT6" i="138"/>
  <c r="AS6" i="138"/>
  <c r="AR6" i="138"/>
  <c r="AI6" i="138"/>
  <c r="AH6" i="138"/>
  <c r="AG6" i="138"/>
  <c r="AF6" i="138"/>
  <c r="AC6" i="138"/>
  <c r="AB6" i="138"/>
  <c r="V6" i="138"/>
  <c r="W6" i="138" s="1"/>
  <c r="U6" i="138"/>
  <c r="T6" i="138"/>
  <c r="BP5" i="138"/>
  <c r="BS5" i="138" s="1"/>
  <c r="BD5" i="138"/>
  <c r="BG5" i="138" s="1"/>
  <c r="AU5" i="138"/>
  <c r="AR5" i="138"/>
  <c r="AF5" i="138"/>
  <c r="AI5" i="138" s="1"/>
  <c r="W5" i="138"/>
  <c r="T5" i="138"/>
  <c r="BS4" i="138"/>
  <c r="BW13" i="138" s="1"/>
  <c r="BP4" i="138"/>
  <c r="BO4" i="138"/>
  <c r="BS80" i="138" s="1"/>
  <c r="BK4" i="138"/>
  <c r="BO47" i="138" s="1"/>
  <c r="BG4" i="138"/>
  <c r="BK19" i="138" s="1"/>
  <c r="BD4" i="138"/>
  <c r="BC4" i="138"/>
  <c r="AY4" i="138"/>
  <c r="BC37" i="138" s="1"/>
  <c r="AU4" i="138"/>
  <c r="AY14" i="138" s="1"/>
  <c r="AR4" i="138"/>
  <c r="AQ4" i="138"/>
  <c r="AU65" i="138" s="1"/>
  <c r="AM4" i="138"/>
  <c r="AQ35" i="138" s="1"/>
  <c r="AI4" i="138"/>
  <c r="AM17" i="138" s="1"/>
  <c r="AF4" i="138"/>
  <c r="AE4" i="138"/>
  <c r="AI67" i="138" s="1"/>
  <c r="AA4" i="138"/>
  <c r="AE44" i="138" s="1"/>
  <c r="W4" i="138"/>
  <c r="AA66" i="138" s="1"/>
  <c r="T4" i="138"/>
  <c r="S4" i="138"/>
  <c r="W80" i="138" s="1"/>
  <c r="O4" i="138"/>
  <c r="K4" i="138"/>
  <c r="O78" i="138" s="1"/>
  <c r="J4" i="138"/>
  <c r="BT3" i="138"/>
  <c r="BP3" i="138"/>
  <c r="BL3" i="138"/>
  <c r="BH3" i="138"/>
  <c r="BD3" i="138"/>
  <c r="AZ3" i="138"/>
  <c r="AV3" i="138"/>
  <c r="AR3" i="138"/>
  <c r="AN3" i="138"/>
  <c r="AJ3" i="138"/>
  <c r="AF3" i="138"/>
  <c r="AB3" i="138"/>
  <c r="X3" i="138"/>
  <c r="T3" i="138"/>
  <c r="P3" i="138"/>
  <c r="L3" i="138"/>
  <c r="J3" i="138"/>
  <c r="J2" i="138"/>
  <c r="F1" i="138"/>
  <c r="J82" i="137"/>
  <c r="J81" i="137"/>
  <c r="J80" i="137"/>
  <c r="BS79" i="137"/>
  <c r="AM79" i="137"/>
  <c r="W79" i="137"/>
  <c r="J79" i="137"/>
  <c r="J78" i="137"/>
  <c r="J77" i="137"/>
  <c r="AY76" i="137"/>
  <c r="J76" i="137"/>
  <c r="BS75" i="137"/>
  <c r="J75" i="137"/>
  <c r="J74" i="137"/>
  <c r="AU73" i="137"/>
  <c r="J73" i="137"/>
  <c r="BO72" i="137"/>
  <c r="J72" i="137"/>
  <c r="J71" i="137"/>
  <c r="AA70" i="137"/>
  <c r="J70" i="137"/>
  <c r="AU69" i="137"/>
  <c r="AE69" i="137"/>
  <c r="J69" i="137"/>
  <c r="J68" i="137"/>
  <c r="J67" i="137"/>
  <c r="AQ66" i="137"/>
  <c r="J66" i="137"/>
  <c r="J65" i="137"/>
  <c r="J64" i="137"/>
  <c r="BC63" i="137"/>
  <c r="W63" i="137"/>
  <c r="J63" i="137"/>
  <c r="BW62" i="137"/>
  <c r="J62" i="137"/>
  <c r="J61" i="137"/>
  <c r="S60" i="137"/>
  <c r="J60" i="137"/>
  <c r="BC59" i="137"/>
  <c r="J59" i="137"/>
  <c r="J58" i="137"/>
  <c r="AE57" i="137"/>
  <c r="J57" i="137"/>
  <c r="BO56" i="137"/>
  <c r="AY56" i="137"/>
  <c r="S56" i="137"/>
  <c r="J56" i="137"/>
  <c r="J55" i="137"/>
  <c r="BC54" i="137"/>
  <c r="AY54" i="137"/>
  <c r="AQ54" i="137"/>
  <c r="J54" i="137"/>
  <c r="AA53" i="137"/>
  <c r="W53" i="137"/>
  <c r="J53" i="137"/>
  <c r="BK52" i="137"/>
  <c r="J52" i="137"/>
  <c r="BC51" i="137"/>
  <c r="W51" i="137"/>
  <c r="J51" i="137"/>
  <c r="AA50" i="137"/>
  <c r="J50" i="137"/>
  <c r="BW49" i="137"/>
  <c r="BK49" i="137"/>
  <c r="J49" i="137"/>
  <c r="AU48" i="137"/>
  <c r="AE48" i="137"/>
  <c r="AA48" i="137"/>
  <c r="J48" i="137"/>
  <c r="J47" i="137"/>
  <c r="BW46" i="137"/>
  <c r="BS46" i="137"/>
  <c r="J46" i="137"/>
  <c r="BC45" i="137"/>
  <c r="AU45" i="137"/>
  <c r="AQ45" i="137"/>
  <c r="J45" i="137"/>
  <c r="AY44" i="137"/>
  <c r="AE44" i="137"/>
  <c r="AA44" i="137"/>
  <c r="S44" i="137"/>
  <c r="O44" i="137"/>
  <c r="J44" i="137"/>
  <c r="J43" i="137"/>
  <c r="BS42" i="137"/>
  <c r="BO42" i="137"/>
  <c r="J42" i="137"/>
  <c r="BW41" i="137"/>
  <c r="BS41" i="137"/>
  <c r="AY41" i="137"/>
  <c r="AQ41" i="137"/>
  <c r="J41" i="137"/>
  <c r="AY40" i="137"/>
  <c r="AU40" i="137"/>
  <c r="AQ40" i="137"/>
  <c r="J40" i="137"/>
  <c r="BC39" i="137"/>
  <c r="AQ39" i="137"/>
  <c r="AE39" i="137"/>
  <c r="W39" i="137"/>
  <c r="J39" i="137"/>
  <c r="AA38" i="137"/>
  <c r="O38" i="137"/>
  <c r="J38" i="137"/>
  <c r="AA37" i="137"/>
  <c r="W37" i="137"/>
  <c r="O37" i="137"/>
  <c r="J37" i="137"/>
  <c r="AA36" i="137"/>
  <c r="S36" i="137"/>
  <c r="J36" i="137"/>
  <c r="BW35" i="137"/>
  <c r="BO35" i="137"/>
  <c r="J35" i="137"/>
  <c r="BW34" i="137"/>
  <c r="BS34" i="137"/>
  <c r="BO34" i="137"/>
  <c r="J34" i="137"/>
  <c r="BO33" i="137"/>
  <c r="BC33" i="137"/>
  <c r="AU33" i="137"/>
  <c r="J33" i="137"/>
  <c r="AY32" i="137"/>
  <c r="AM32" i="137"/>
  <c r="AE32" i="137"/>
  <c r="J32" i="137"/>
  <c r="AU31" i="137"/>
  <c r="AE31" i="137"/>
  <c r="W31" i="137"/>
  <c r="J31" i="137"/>
  <c r="AE30" i="137"/>
  <c r="W30" i="137"/>
  <c r="S30" i="137"/>
  <c r="J30" i="137"/>
  <c r="BW29" i="137"/>
  <c r="AA29" i="137"/>
  <c r="W29" i="137"/>
  <c r="S29" i="137"/>
  <c r="O29" i="137"/>
  <c r="J29" i="137"/>
  <c r="AY28" i="137"/>
  <c r="W28" i="137"/>
  <c r="S28" i="137"/>
  <c r="O28" i="137"/>
  <c r="J28" i="137"/>
  <c r="AE27" i="137"/>
  <c r="W27" i="137"/>
  <c r="S27" i="137"/>
  <c r="J27" i="137"/>
  <c r="AE26" i="137"/>
  <c r="AA26" i="137"/>
  <c r="J26" i="137"/>
  <c r="BC25" i="137"/>
  <c r="AY25" i="137"/>
  <c r="AU25" i="137"/>
  <c r="AQ25" i="137"/>
  <c r="J25" i="137"/>
  <c r="BW24" i="137"/>
  <c r="BC24" i="137"/>
  <c r="AY24" i="137"/>
  <c r="AU24" i="137"/>
  <c r="J24" i="137"/>
  <c r="BW23" i="137"/>
  <c r="BS23" i="137"/>
  <c r="BO23" i="137"/>
  <c r="BK23" i="137"/>
  <c r="W23" i="137"/>
  <c r="S23" i="137"/>
  <c r="J23" i="137"/>
  <c r="BW22" i="137"/>
  <c r="BC22" i="137"/>
  <c r="AE22" i="137"/>
  <c r="AA22" i="137"/>
  <c r="W22" i="137"/>
  <c r="J22" i="137"/>
  <c r="BC21" i="137"/>
  <c r="AY21" i="137"/>
  <c r="AU21" i="137"/>
  <c r="AQ21" i="137"/>
  <c r="AM21" i="137"/>
  <c r="J21" i="137"/>
  <c r="BS20" i="137"/>
  <c r="BO20" i="137"/>
  <c r="BC20" i="137"/>
  <c r="AE20" i="137"/>
  <c r="AA20" i="137"/>
  <c r="J20" i="137"/>
  <c r="BW19" i="137"/>
  <c r="BS19" i="137"/>
  <c r="AE19" i="137"/>
  <c r="AA19" i="137"/>
  <c r="W19" i="137"/>
  <c r="S19" i="137"/>
  <c r="J19" i="137"/>
  <c r="BW18" i="137"/>
  <c r="BC18" i="137"/>
  <c r="AY18" i="137"/>
  <c r="AU18" i="137"/>
  <c r="AQ18" i="137"/>
  <c r="AM18" i="137"/>
  <c r="AA18" i="137"/>
  <c r="J18" i="137"/>
  <c r="BW17" i="137"/>
  <c r="BS17" i="137"/>
  <c r="BO17" i="137"/>
  <c r="BK17" i="137"/>
  <c r="AA17" i="137"/>
  <c r="W17" i="137"/>
  <c r="S17" i="137"/>
  <c r="O17" i="137"/>
  <c r="J17" i="137"/>
  <c r="BC16" i="137"/>
  <c r="AY16" i="137"/>
  <c r="AU16" i="137"/>
  <c r="AQ16" i="137"/>
  <c r="AE16" i="137"/>
  <c r="J16" i="137"/>
  <c r="BW15" i="137"/>
  <c r="BC15" i="137"/>
  <c r="AY15" i="137"/>
  <c r="AE15" i="137"/>
  <c r="AA15" i="137"/>
  <c r="J15" i="137"/>
  <c r="BW14" i="137"/>
  <c r="BS14" i="137"/>
  <c r="AY14" i="137"/>
  <c r="AE14" i="137"/>
  <c r="AA14" i="137"/>
  <c r="W14" i="137"/>
  <c r="J14" i="137"/>
  <c r="BC13" i="137"/>
  <c r="AY13" i="137"/>
  <c r="AU13" i="137"/>
  <c r="AQ13" i="137"/>
  <c r="AE13" i="137"/>
  <c r="J13" i="137"/>
  <c r="BW12" i="137"/>
  <c r="BS12" i="137"/>
  <c r="BO12" i="137"/>
  <c r="BK12" i="137"/>
  <c r="AY12" i="137"/>
  <c r="AE12" i="137"/>
  <c r="AA12" i="137"/>
  <c r="W12" i="137"/>
  <c r="S12" i="137"/>
  <c r="O12" i="137"/>
  <c r="J12" i="137"/>
  <c r="BC11" i="137"/>
  <c r="AY11" i="137"/>
  <c r="AU11" i="137"/>
  <c r="AQ11" i="137"/>
  <c r="AM11" i="137"/>
  <c r="J11" i="137"/>
  <c r="BW10" i="137"/>
  <c r="BS10" i="137"/>
  <c r="BO10" i="137"/>
  <c r="BC10" i="137"/>
  <c r="AE10" i="137"/>
  <c r="AA10" i="137"/>
  <c r="W10" i="137"/>
  <c r="S10" i="137"/>
  <c r="J10" i="137"/>
  <c r="BW9" i="137"/>
  <c r="BC9" i="137"/>
  <c r="AY9" i="137"/>
  <c r="AE9" i="137"/>
  <c r="AA9" i="137"/>
  <c r="J9" i="137"/>
  <c r="BW8" i="137"/>
  <c r="BC8" i="137"/>
  <c r="AY8" i="137"/>
  <c r="AU8" i="137"/>
  <c r="AA8" i="137"/>
  <c r="J8" i="137"/>
  <c r="BW7" i="137"/>
  <c r="BS7" i="137"/>
  <c r="BO7" i="137"/>
  <c r="BC7" i="137"/>
  <c r="AE7" i="137"/>
  <c r="AA7" i="137"/>
  <c r="W7" i="137"/>
  <c r="S7" i="137"/>
  <c r="J7" i="137"/>
  <c r="BU6" i="137"/>
  <c r="BT6" i="137"/>
  <c r="BR6" i="137"/>
  <c r="BS6" i="137" s="1"/>
  <c r="BQ6" i="137"/>
  <c r="BP6" i="137"/>
  <c r="BN6" i="137"/>
  <c r="BO6" i="137" s="1"/>
  <c r="BB6" i="137"/>
  <c r="BC6" i="137" s="1"/>
  <c r="AW6" i="137"/>
  <c r="AV6" i="137"/>
  <c r="AT6" i="137"/>
  <c r="AU6" i="137" s="1"/>
  <c r="AS6" i="137"/>
  <c r="AR6" i="137"/>
  <c r="AP6" i="137"/>
  <c r="AQ6" i="137" s="1"/>
  <c r="AD6" i="137"/>
  <c r="AE6" i="137" s="1"/>
  <c r="Y6" i="137"/>
  <c r="X6" i="137"/>
  <c r="V6" i="137"/>
  <c r="W6" i="137" s="1"/>
  <c r="U6" i="137"/>
  <c r="T6" i="137"/>
  <c r="R6" i="137"/>
  <c r="S6" i="137" s="1"/>
  <c r="BT5" i="137"/>
  <c r="BW5" i="137" s="1"/>
  <c r="BP5" i="137"/>
  <c r="BS5" i="137" s="1"/>
  <c r="BL5" i="137"/>
  <c r="BO5" i="137" s="1"/>
  <c r="AZ5" i="137"/>
  <c r="BC5" i="137" s="1"/>
  <c r="AV5" i="137"/>
  <c r="AY5" i="137" s="1"/>
  <c r="AR5" i="137"/>
  <c r="AU5" i="137" s="1"/>
  <c r="AN5" i="137"/>
  <c r="AQ5" i="137" s="1"/>
  <c r="AB5" i="137"/>
  <c r="AE5" i="137" s="1"/>
  <c r="X5" i="137"/>
  <c r="AA5" i="137" s="1"/>
  <c r="T5" i="137"/>
  <c r="W5" i="137" s="1"/>
  <c r="P5" i="137"/>
  <c r="S5" i="137" s="1"/>
  <c r="BT4" i="137"/>
  <c r="BS4" i="137"/>
  <c r="BW32" i="137" s="1"/>
  <c r="BO4" i="137"/>
  <c r="BS51" i="137" s="1"/>
  <c r="BK4" i="137"/>
  <c r="BO47" i="137" s="1"/>
  <c r="BG4" i="137"/>
  <c r="BK29" i="137" s="1"/>
  <c r="BC4" i="137"/>
  <c r="BG78" i="137" s="1"/>
  <c r="AY4" i="137"/>
  <c r="BC36" i="137" s="1"/>
  <c r="AV4" i="137"/>
  <c r="AU4" i="137"/>
  <c r="AY64" i="137" s="1"/>
  <c r="AQ4" i="137"/>
  <c r="AU81" i="137" s="1"/>
  <c r="AM4" i="137"/>
  <c r="AI4" i="137"/>
  <c r="AM55" i="137" s="1"/>
  <c r="AE4" i="137"/>
  <c r="AA4" i="137"/>
  <c r="AE33" i="137" s="1"/>
  <c r="X4" i="137"/>
  <c r="W4" i="137"/>
  <c r="AA58" i="137" s="1"/>
  <c r="S4" i="137"/>
  <c r="W55" i="137" s="1"/>
  <c r="O4" i="137"/>
  <c r="S42" i="137" s="1"/>
  <c r="K4" i="137"/>
  <c r="J4" i="137"/>
  <c r="BT3" i="137"/>
  <c r="BP3" i="137"/>
  <c r="BL3" i="137"/>
  <c r="BH3" i="137"/>
  <c r="BD3" i="137"/>
  <c r="AZ3" i="137"/>
  <c r="AV3" i="137"/>
  <c r="AR3" i="137"/>
  <c r="AN3" i="137"/>
  <c r="AJ3" i="137"/>
  <c r="AF3" i="137"/>
  <c r="AB3" i="137"/>
  <c r="X3" i="137"/>
  <c r="T3" i="137"/>
  <c r="P3" i="137"/>
  <c r="L3" i="137"/>
  <c r="J3" i="137"/>
  <c r="J2" i="137"/>
  <c r="F1" i="137"/>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G37" i="1"/>
  <c r="F36" i="1"/>
  <c r="D37" i="1"/>
  <c r="E37" i="1"/>
  <c r="G36" i="1"/>
  <c r="E36" i="1"/>
  <c r="D36" i="1"/>
  <c r="C11" i="36"/>
  <c r="C10" i="36"/>
  <c r="C29" i="36"/>
  <c r="C31" i="36" s="1"/>
  <c r="J110" i="3"/>
  <c r="AM16" i="145" l="1"/>
  <c r="S80" i="145"/>
  <c r="S68" i="145"/>
  <c r="S56" i="145"/>
  <c r="S44" i="145"/>
  <c r="S75" i="145"/>
  <c r="S63" i="145"/>
  <c r="S51" i="145"/>
  <c r="S39" i="145"/>
  <c r="S82" i="145"/>
  <c r="S70" i="145"/>
  <c r="S58" i="145"/>
  <c r="S46" i="145"/>
  <c r="S77" i="145"/>
  <c r="S65" i="145"/>
  <c r="S53" i="145"/>
  <c r="S41" i="145"/>
  <c r="S29" i="145"/>
  <c r="S72" i="145"/>
  <c r="S60" i="145"/>
  <c r="S48" i="145"/>
  <c r="S36" i="145"/>
  <c r="S79" i="145"/>
  <c r="S67" i="145"/>
  <c r="S55" i="145"/>
  <c r="S43" i="145"/>
  <c r="S31" i="145"/>
  <c r="S74" i="145"/>
  <c r="S62" i="145"/>
  <c r="S50" i="145"/>
  <c r="S38" i="145"/>
  <c r="S81" i="145"/>
  <c r="S69" i="145"/>
  <c r="S57" i="145"/>
  <c r="S45" i="145"/>
  <c r="S76" i="145"/>
  <c r="S64" i="145"/>
  <c r="S52" i="145"/>
  <c r="S40" i="145"/>
  <c r="S28" i="145"/>
  <c r="S71" i="145"/>
  <c r="S59" i="145"/>
  <c r="S47" i="145"/>
  <c r="S35" i="145"/>
  <c r="S23" i="145"/>
  <c r="AQ74" i="145"/>
  <c r="AQ62" i="145"/>
  <c r="AQ50" i="145"/>
  <c r="AQ81" i="145"/>
  <c r="AQ69" i="145"/>
  <c r="AQ57" i="145"/>
  <c r="AQ45" i="145"/>
  <c r="AQ76" i="145"/>
  <c r="AQ64" i="145"/>
  <c r="AQ52" i="145"/>
  <c r="AQ40" i="145"/>
  <c r="AQ71" i="145"/>
  <c r="AQ59" i="145"/>
  <c r="AQ47" i="145"/>
  <c r="AQ35" i="145"/>
  <c r="AQ23" i="145"/>
  <c r="AQ78" i="145"/>
  <c r="AQ66" i="145"/>
  <c r="AQ54" i="145"/>
  <c r="AQ42" i="145"/>
  <c r="AQ73" i="145"/>
  <c r="AQ61" i="145"/>
  <c r="AQ49" i="145"/>
  <c r="AQ37" i="145"/>
  <c r="AQ25" i="145"/>
  <c r="AQ80" i="145"/>
  <c r="AQ68" i="145"/>
  <c r="AQ56" i="145"/>
  <c r="AQ44" i="145"/>
  <c r="AQ75" i="145"/>
  <c r="AQ63" i="145"/>
  <c r="AQ51" i="145"/>
  <c r="AQ82" i="145"/>
  <c r="AQ70" i="145"/>
  <c r="AQ58" i="145"/>
  <c r="AQ46" i="145"/>
  <c r="AQ34" i="145"/>
  <c r="AQ22" i="145"/>
  <c r="AQ77" i="145"/>
  <c r="AQ65" i="145"/>
  <c r="AQ53" i="145"/>
  <c r="AQ41" i="145"/>
  <c r="AQ29" i="145"/>
  <c r="BO80" i="145"/>
  <c r="BO68" i="145"/>
  <c r="BO56" i="145"/>
  <c r="BO44" i="145"/>
  <c r="BO75" i="145"/>
  <c r="BO63" i="145"/>
  <c r="BO51" i="145"/>
  <c r="BO39" i="145"/>
  <c r="BO82" i="145"/>
  <c r="BO70" i="145"/>
  <c r="BO58" i="145"/>
  <c r="BO46" i="145"/>
  <c r="BO77" i="145"/>
  <c r="BO65" i="145"/>
  <c r="BO53" i="145"/>
  <c r="BO41" i="145"/>
  <c r="BO29" i="145"/>
  <c r="BO72" i="145"/>
  <c r="BO60" i="145"/>
  <c r="BO48" i="145"/>
  <c r="BO36" i="145"/>
  <c r="BO79" i="145"/>
  <c r="BO67" i="145"/>
  <c r="BO55" i="145"/>
  <c r="BO43" i="145"/>
  <c r="BO31" i="145"/>
  <c r="BO19" i="145"/>
  <c r="BO74" i="145"/>
  <c r="BO62" i="145"/>
  <c r="BO50" i="145"/>
  <c r="BO38" i="145"/>
  <c r="BO81" i="145"/>
  <c r="BO69" i="145"/>
  <c r="BO57" i="145"/>
  <c r="BO45" i="145"/>
  <c r="BO76" i="145"/>
  <c r="BO64" i="145"/>
  <c r="BO52" i="145"/>
  <c r="BO40" i="145"/>
  <c r="BO28" i="145"/>
  <c r="BO71" i="145"/>
  <c r="BO59" i="145"/>
  <c r="BO47" i="145"/>
  <c r="BO35" i="145"/>
  <c r="BO23" i="145"/>
  <c r="X5" i="145"/>
  <c r="AA5" i="145" s="1"/>
  <c r="AV5" i="145"/>
  <c r="AY5" i="145" s="1"/>
  <c r="BT5" i="145"/>
  <c r="BW5" i="145" s="1"/>
  <c r="V6" i="145"/>
  <c r="W6" i="145" s="1"/>
  <c r="AH6" i="145"/>
  <c r="AI6" i="145" s="1"/>
  <c r="AT6" i="145"/>
  <c r="AU6" i="145" s="1"/>
  <c r="BF6" i="145"/>
  <c r="BG6" i="145" s="1"/>
  <c r="BR6" i="145"/>
  <c r="BS6" i="145" s="1"/>
  <c r="AI7" i="145"/>
  <c r="O8" i="145"/>
  <c r="BK8" i="145"/>
  <c r="AQ9" i="145"/>
  <c r="W10" i="145"/>
  <c r="BS10" i="145"/>
  <c r="AY11" i="145"/>
  <c r="AE12" i="145"/>
  <c r="BG13" i="145"/>
  <c r="AM14" i="145"/>
  <c r="S15" i="145"/>
  <c r="BO15" i="145"/>
  <c r="AU16" i="145"/>
  <c r="AA17" i="145"/>
  <c r="BW17" i="145"/>
  <c r="BC18" i="145"/>
  <c r="AI19" i="145"/>
  <c r="AA20" i="145"/>
  <c r="AE21" i="145"/>
  <c r="AE22" i="145"/>
  <c r="AM23" i="145"/>
  <c r="AM24" i="145"/>
  <c r="AU25" i="145"/>
  <c r="AQ26" i="145"/>
  <c r="AQ27" i="145"/>
  <c r="AU28" i="145"/>
  <c r="AM29" i="145"/>
  <c r="AY30" i="145"/>
  <c r="AU31" i="145"/>
  <c r="BG32" i="145"/>
  <c r="AY33" i="145"/>
  <c r="BO34" i="145"/>
  <c r="BK37" i="145"/>
  <c r="AA39" i="145"/>
  <c r="AM41" i="145"/>
  <c r="W44" i="145"/>
  <c r="BG47" i="145"/>
  <c r="AY50" i="145"/>
  <c r="O54" i="145"/>
  <c r="AQ60" i="145"/>
  <c r="BW63" i="145"/>
  <c r="AE70" i="145"/>
  <c r="BO73" i="145"/>
  <c r="W80" i="145"/>
  <c r="BK35" i="145"/>
  <c r="BK66" i="145"/>
  <c r="AM7" i="145"/>
  <c r="AU9" i="145"/>
  <c r="AA10" i="145"/>
  <c r="BW10" i="145"/>
  <c r="BC11" i="145"/>
  <c r="AI12" i="145"/>
  <c r="O13" i="145"/>
  <c r="BK13" i="145"/>
  <c r="AQ14" i="145"/>
  <c r="BS15" i="145"/>
  <c r="AY16" i="145"/>
  <c r="AE17" i="145"/>
  <c r="BG18" i="145"/>
  <c r="AM19" i="145"/>
  <c r="AM20" i="145"/>
  <c r="AI22" i="145"/>
  <c r="AU23" i="145"/>
  <c r="AQ24" i="145"/>
  <c r="BC25" i="145"/>
  <c r="AU26" i="145"/>
  <c r="AY28" i="145"/>
  <c r="AY29" i="145"/>
  <c r="BC30" i="145"/>
  <c r="BG31" i="145"/>
  <c r="BK32" i="145"/>
  <c r="BC33" i="145"/>
  <c r="BS34" i="145"/>
  <c r="AE36" i="145"/>
  <c r="BO37" i="145"/>
  <c r="AE39" i="145"/>
  <c r="AY41" i="145"/>
  <c r="AA44" i="145"/>
  <c r="BK47" i="145"/>
  <c r="S54" i="145"/>
  <c r="AY57" i="145"/>
  <c r="AQ67" i="145"/>
  <c r="AI70" i="145"/>
  <c r="AI77" i="145"/>
  <c r="AA80" i="145"/>
  <c r="AM79" i="145"/>
  <c r="AM67" i="145"/>
  <c r="AM55" i="145"/>
  <c r="AM43" i="145"/>
  <c r="AM74" i="145"/>
  <c r="AM62" i="145"/>
  <c r="AM50" i="145"/>
  <c r="AM81" i="145"/>
  <c r="AM69" i="145"/>
  <c r="AM57" i="145"/>
  <c r="AM45" i="145"/>
  <c r="AM76" i="145"/>
  <c r="AM64" i="145"/>
  <c r="AM52" i="145"/>
  <c r="AM40" i="145"/>
  <c r="AM28" i="145"/>
  <c r="AM71" i="145"/>
  <c r="AM59" i="145"/>
  <c r="AM47" i="145"/>
  <c r="AM35" i="145"/>
  <c r="AM78" i="145"/>
  <c r="AM66" i="145"/>
  <c r="AM54" i="145"/>
  <c r="AM42" i="145"/>
  <c r="AM30" i="145"/>
  <c r="AM73" i="145"/>
  <c r="AM61" i="145"/>
  <c r="AM49" i="145"/>
  <c r="AM37" i="145"/>
  <c r="AM80" i="145"/>
  <c r="AM68" i="145"/>
  <c r="AM56" i="145"/>
  <c r="AM44" i="145"/>
  <c r="AM75" i="145"/>
  <c r="AM63" i="145"/>
  <c r="AM51" i="145"/>
  <c r="AM39" i="145"/>
  <c r="AM27" i="145"/>
  <c r="AM82" i="145"/>
  <c r="AM70" i="145"/>
  <c r="AM58" i="145"/>
  <c r="AM46" i="145"/>
  <c r="AM34" i="145"/>
  <c r="AM22" i="145"/>
  <c r="BK15" i="145"/>
  <c r="W75" i="145"/>
  <c r="W63" i="145"/>
  <c r="W51" i="145"/>
  <c r="W82" i="145"/>
  <c r="W70" i="145"/>
  <c r="W58" i="145"/>
  <c r="W46" i="145"/>
  <c r="W77" i="145"/>
  <c r="W65" i="145"/>
  <c r="W53" i="145"/>
  <c r="W41" i="145"/>
  <c r="W72" i="145"/>
  <c r="W60" i="145"/>
  <c r="W48" i="145"/>
  <c r="W36" i="145"/>
  <c r="W24" i="145"/>
  <c r="W79" i="145"/>
  <c r="W67" i="145"/>
  <c r="W55" i="145"/>
  <c r="W43" i="145"/>
  <c r="W74" i="145"/>
  <c r="W62" i="145"/>
  <c r="W50" i="145"/>
  <c r="W38" i="145"/>
  <c r="W26" i="145"/>
  <c r="W81" i="145"/>
  <c r="W69" i="145"/>
  <c r="W57" i="145"/>
  <c r="W45" i="145"/>
  <c r="W76" i="145"/>
  <c r="W64" i="145"/>
  <c r="W52" i="145"/>
  <c r="W71" i="145"/>
  <c r="W59" i="145"/>
  <c r="W47" i="145"/>
  <c r="W35" i="145"/>
  <c r="W23" i="145"/>
  <c r="W78" i="145"/>
  <c r="W66" i="145"/>
  <c r="W54" i="145"/>
  <c r="W42" i="145"/>
  <c r="W30" i="145"/>
  <c r="AU81" i="145"/>
  <c r="AU69" i="145"/>
  <c r="AU57" i="145"/>
  <c r="AU45" i="145"/>
  <c r="AU76" i="145"/>
  <c r="AU64" i="145"/>
  <c r="AU52" i="145"/>
  <c r="AU40" i="145"/>
  <c r="AU71" i="145"/>
  <c r="AU59" i="145"/>
  <c r="AU47" i="145"/>
  <c r="AU35" i="145"/>
  <c r="AU78" i="145"/>
  <c r="AU66" i="145"/>
  <c r="AU54" i="145"/>
  <c r="AU42" i="145"/>
  <c r="AU30" i="145"/>
  <c r="AU73" i="145"/>
  <c r="AU61" i="145"/>
  <c r="AU49" i="145"/>
  <c r="AU37" i="145"/>
  <c r="AU80" i="145"/>
  <c r="AU68" i="145"/>
  <c r="AU56" i="145"/>
  <c r="AU44" i="145"/>
  <c r="AU32" i="145"/>
  <c r="AU20" i="145"/>
  <c r="AU75" i="145"/>
  <c r="AU63" i="145"/>
  <c r="AU51" i="145"/>
  <c r="AU39" i="145"/>
  <c r="AU82" i="145"/>
  <c r="AU70" i="145"/>
  <c r="AU58" i="145"/>
  <c r="AU46" i="145"/>
  <c r="AU77" i="145"/>
  <c r="AU65" i="145"/>
  <c r="AU53" i="145"/>
  <c r="AU41" i="145"/>
  <c r="AU29" i="145"/>
  <c r="AU72" i="145"/>
  <c r="AU60" i="145"/>
  <c r="AU48" i="145"/>
  <c r="AU36" i="145"/>
  <c r="AU24" i="145"/>
  <c r="BS75" i="145"/>
  <c r="BS63" i="145"/>
  <c r="BS51" i="145"/>
  <c r="BS82" i="145"/>
  <c r="BS70" i="145"/>
  <c r="BS58" i="145"/>
  <c r="BS46" i="145"/>
  <c r="BS77" i="145"/>
  <c r="BS65" i="145"/>
  <c r="BS53" i="145"/>
  <c r="BS41" i="145"/>
  <c r="BS72" i="145"/>
  <c r="BS60" i="145"/>
  <c r="BS48" i="145"/>
  <c r="BS36" i="145"/>
  <c r="BS24" i="145"/>
  <c r="BS79" i="145"/>
  <c r="BS67" i="145"/>
  <c r="BS55" i="145"/>
  <c r="BS43" i="145"/>
  <c r="BS74" i="145"/>
  <c r="BS62" i="145"/>
  <c r="BS50" i="145"/>
  <c r="BS38" i="145"/>
  <c r="BS26" i="145"/>
  <c r="BS81" i="145"/>
  <c r="BS69" i="145"/>
  <c r="BS57" i="145"/>
  <c r="BS45" i="145"/>
  <c r="BS76" i="145"/>
  <c r="BS64" i="145"/>
  <c r="BS52" i="145"/>
  <c r="BS71" i="145"/>
  <c r="BS59" i="145"/>
  <c r="BS47" i="145"/>
  <c r="BS35" i="145"/>
  <c r="BS23" i="145"/>
  <c r="BS78" i="145"/>
  <c r="BS66" i="145"/>
  <c r="BS54" i="145"/>
  <c r="BS42" i="145"/>
  <c r="BS30" i="145"/>
  <c r="L6" i="145"/>
  <c r="X6" i="145"/>
  <c r="AJ6" i="145"/>
  <c r="AV6" i="145"/>
  <c r="BH6" i="145"/>
  <c r="BT6" i="145"/>
  <c r="W8" i="145"/>
  <c r="BS8" i="145"/>
  <c r="AY9" i="145"/>
  <c r="AE10" i="145"/>
  <c r="BG11" i="145"/>
  <c r="AM12" i="145"/>
  <c r="S13" i="145"/>
  <c r="AU14" i="145"/>
  <c r="AA15" i="145"/>
  <c r="BW15" i="145"/>
  <c r="BC16" i="145"/>
  <c r="AI17" i="145"/>
  <c r="O18" i="145"/>
  <c r="BK18" i="145"/>
  <c r="AQ19" i="145"/>
  <c r="AQ20" i="145"/>
  <c r="AQ21" i="145"/>
  <c r="AU22" i="145"/>
  <c r="AY23" i="145"/>
  <c r="BC24" i="145"/>
  <c r="BG25" i="145"/>
  <c r="AY26" i="145"/>
  <c r="BC27" i="145"/>
  <c r="BC28" i="145"/>
  <c r="BC29" i="145"/>
  <c r="BG30" i="145"/>
  <c r="BK31" i="145"/>
  <c r="BO32" i="145"/>
  <c r="BO33" i="145"/>
  <c r="BW34" i="145"/>
  <c r="AI36" i="145"/>
  <c r="BS37" i="145"/>
  <c r="AQ39" i="145"/>
  <c r="BS44" i="145"/>
  <c r="AA51" i="145"/>
  <c r="BK54" i="145"/>
  <c r="BC57" i="145"/>
  <c r="S61" i="145"/>
  <c r="BC64" i="145"/>
  <c r="AU67" i="145"/>
  <c r="AM77" i="145"/>
  <c r="BS80" i="145"/>
  <c r="O15" i="145"/>
  <c r="M6" i="145"/>
  <c r="Y6" i="145"/>
  <c r="AK6" i="145"/>
  <c r="AW6" i="145"/>
  <c r="BI6" i="145"/>
  <c r="BU6" i="145"/>
  <c r="BW8" i="145"/>
  <c r="AI10" i="145"/>
  <c r="O11" i="145"/>
  <c r="BK11" i="145"/>
  <c r="AY14" i="145"/>
  <c r="BG16" i="145"/>
  <c r="AM17" i="145"/>
  <c r="AY20" i="145"/>
  <c r="BG24" i="145"/>
  <c r="BK25" i="145"/>
  <c r="BK26" i="145"/>
  <c r="BK27" i="145"/>
  <c r="BG28" i="145"/>
  <c r="BK29" i="145"/>
  <c r="BK30" i="145"/>
  <c r="BS31" i="145"/>
  <c r="BS32" i="145"/>
  <c r="BS33" i="145"/>
  <c r="AM36" i="145"/>
  <c r="BS39" i="145"/>
  <c r="O42" i="145"/>
  <c r="BW44" i="145"/>
  <c r="AM48" i="145"/>
  <c r="AE51" i="145"/>
  <c r="BO54" i="145"/>
  <c r="W61" i="145"/>
  <c r="BG64" i="145"/>
  <c r="O71" i="145"/>
  <c r="AU74" i="145"/>
  <c r="BH4" i="145"/>
  <c r="AA82" i="145"/>
  <c r="AA70" i="145"/>
  <c r="AA58" i="145"/>
  <c r="AA46" i="145"/>
  <c r="AA77" i="145"/>
  <c r="AA65" i="145"/>
  <c r="AA53" i="145"/>
  <c r="AA41" i="145"/>
  <c r="AA72" i="145"/>
  <c r="AA60" i="145"/>
  <c r="AA48" i="145"/>
  <c r="AA36" i="145"/>
  <c r="AA79" i="145"/>
  <c r="AA67" i="145"/>
  <c r="AA55" i="145"/>
  <c r="AA43" i="145"/>
  <c r="AA31" i="145"/>
  <c r="AA74" i="145"/>
  <c r="AA62" i="145"/>
  <c r="AA50" i="145"/>
  <c r="AA38" i="145"/>
  <c r="AA81" i="145"/>
  <c r="AA69" i="145"/>
  <c r="AA57" i="145"/>
  <c r="AA45" i="145"/>
  <c r="AA33" i="145"/>
  <c r="AA21" i="145"/>
  <c r="AA76" i="145"/>
  <c r="AA64" i="145"/>
  <c r="AA52" i="145"/>
  <c r="AA40" i="145"/>
  <c r="AA71" i="145"/>
  <c r="AA59" i="145"/>
  <c r="AA47" i="145"/>
  <c r="AA78" i="145"/>
  <c r="AA66" i="145"/>
  <c r="AA54" i="145"/>
  <c r="AA42" i="145"/>
  <c r="AA30" i="145"/>
  <c r="AA73" i="145"/>
  <c r="AA61" i="145"/>
  <c r="AA49" i="145"/>
  <c r="AA37" i="145"/>
  <c r="AA25" i="145"/>
  <c r="AY76" i="145"/>
  <c r="AY64" i="145"/>
  <c r="AY52" i="145"/>
  <c r="AY40" i="145"/>
  <c r="AY71" i="145"/>
  <c r="AY59" i="145"/>
  <c r="AY47" i="145"/>
  <c r="AY78" i="145"/>
  <c r="AY66" i="145"/>
  <c r="AY54" i="145"/>
  <c r="AY42" i="145"/>
  <c r="AY73" i="145"/>
  <c r="AY61" i="145"/>
  <c r="AY49" i="145"/>
  <c r="AY37" i="145"/>
  <c r="AY25" i="145"/>
  <c r="AY80" i="145"/>
  <c r="AY68" i="145"/>
  <c r="AY56" i="145"/>
  <c r="AY44" i="145"/>
  <c r="AY75" i="145"/>
  <c r="AY63" i="145"/>
  <c r="AY51" i="145"/>
  <c r="AY39" i="145"/>
  <c r="AY27" i="145"/>
  <c r="AY82" i="145"/>
  <c r="AY70" i="145"/>
  <c r="AY58" i="145"/>
  <c r="AY46" i="145"/>
  <c r="AY77" i="145"/>
  <c r="AY65" i="145"/>
  <c r="AY53" i="145"/>
  <c r="AY72" i="145"/>
  <c r="AY60" i="145"/>
  <c r="AY48" i="145"/>
  <c r="AY36" i="145"/>
  <c r="AY24" i="145"/>
  <c r="AY79" i="145"/>
  <c r="AY67" i="145"/>
  <c r="AY55" i="145"/>
  <c r="AY43" i="145"/>
  <c r="AY31" i="145"/>
  <c r="BW82" i="145"/>
  <c r="BW70" i="145"/>
  <c r="BW58" i="145"/>
  <c r="BW46" i="145"/>
  <c r="BW77" i="145"/>
  <c r="BW65" i="145"/>
  <c r="BW53" i="145"/>
  <c r="BW41" i="145"/>
  <c r="BW72" i="145"/>
  <c r="BW60" i="145"/>
  <c r="BW48" i="145"/>
  <c r="BW36" i="145"/>
  <c r="BW79" i="145"/>
  <c r="BW67" i="145"/>
  <c r="BW55" i="145"/>
  <c r="BW43" i="145"/>
  <c r="BW31" i="145"/>
  <c r="BW19" i="145"/>
  <c r="BW74" i="145"/>
  <c r="BW62" i="145"/>
  <c r="BW50" i="145"/>
  <c r="BW38" i="145"/>
  <c r="BW81" i="145"/>
  <c r="BW69" i="145"/>
  <c r="BW57" i="145"/>
  <c r="BW45" i="145"/>
  <c r="BW33" i="145"/>
  <c r="BW21" i="145"/>
  <c r="BW76" i="145"/>
  <c r="BW64" i="145"/>
  <c r="BW52" i="145"/>
  <c r="BW40" i="145"/>
  <c r="BW71" i="145"/>
  <c r="BW59" i="145"/>
  <c r="BW47" i="145"/>
  <c r="BW78" i="145"/>
  <c r="BW66" i="145"/>
  <c r="BW54" i="145"/>
  <c r="BW42" i="145"/>
  <c r="BW30" i="145"/>
  <c r="BW73" i="145"/>
  <c r="BW61" i="145"/>
  <c r="BW49" i="145"/>
  <c r="BW37" i="145"/>
  <c r="BW25" i="145"/>
  <c r="AF5" i="145"/>
  <c r="AI5" i="145" s="1"/>
  <c r="BD5" i="145"/>
  <c r="BG5" i="145" s="1"/>
  <c r="N6" i="145"/>
  <c r="O6" i="145" s="1"/>
  <c r="Z6" i="145"/>
  <c r="AA6" i="145" s="1"/>
  <c r="AL6" i="145"/>
  <c r="AM6" i="145" s="1"/>
  <c r="AX6" i="145"/>
  <c r="AY6" i="145" s="1"/>
  <c r="BJ6" i="145"/>
  <c r="BK6" i="145" s="1"/>
  <c r="BV6" i="145"/>
  <c r="BW6" i="145" s="1"/>
  <c r="AY7" i="145"/>
  <c r="BG9" i="145"/>
  <c r="AM10" i="145"/>
  <c r="AA13" i="145"/>
  <c r="BW13" i="145"/>
  <c r="AI15" i="145"/>
  <c r="O16" i="145"/>
  <c r="BK16" i="145"/>
  <c r="AY19" i="145"/>
  <c r="BG20" i="145"/>
  <c r="AY21" i="145"/>
  <c r="BG22" i="145"/>
  <c r="BG23" i="145"/>
  <c r="BW32" i="145"/>
  <c r="O35" i="145"/>
  <c r="O38" i="145"/>
  <c r="BW39" i="145"/>
  <c r="S42" i="145"/>
  <c r="AQ48" i="145"/>
  <c r="BW51" i="145"/>
  <c r="AE58" i="145"/>
  <c r="BO61" i="145"/>
  <c r="W68" i="145"/>
  <c r="BG71" i="145"/>
  <c r="AY74" i="145"/>
  <c r="O78" i="145"/>
  <c r="BK10" i="145"/>
  <c r="AM25" i="145"/>
  <c r="O47" i="145"/>
  <c r="X4" i="145"/>
  <c r="AV4" i="145"/>
  <c r="BT4" i="145"/>
  <c r="AI8" i="145"/>
  <c r="O9" i="145"/>
  <c r="BK9" i="145"/>
  <c r="AY12" i="145"/>
  <c r="BG14" i="145"/>
  <c r="AM15" i="145"/>
  <c r="AU17" i="145"/>
  <c r="AA18" i="145"/>
  <c r="BW18" i="145"/>
  <c r="BG19" i="145"/>
  <c r="BK20" i="145"/>
  <c r="BK23" i="145"/>
  <c r="BW24" i="145"/>
  <c r="BS25" i="145"/>
  <c r="BW26" i="145"/>
  <c r="BS27" i="145"/>
  <c r="BW28" i="145"/>
  <c r="BW29" i="145"/>
  <c r="S34" i="145"/>
  <c r="AA35" i="145"/>
  <c r="AM38" i="145"/>
  <c r="AY45" i="145"/>
  <c r="AQ55" i="145"/>
  <c r="AI58" i="145"/>
  <c r="BS61" i="145"/>
  <c r="AI65" i="145"/>
  <c r="AA68" i="145"/>
  <c r="BK71" i="145"/>
  <c r="S78" i="145"/>
  <c r="AY81" i="145"/>
  <c r="O73" i="145"/>
  <c r="O61" i="145"/>
  <c r="O49" i="145"/>
  <c r="O80" i="145"/>
  <c r="O68" i="145"/>
  <c r="O56" i="145"/>
  <c r="O44" i="145"/>
  <c r="O75" i="145"/>
  <c r="O63" i="145"/>
  <c r="O51" i="145"/>
  <c r="O39" i="145"/>
  <c r="O82" i="145"/>
  <c r="O70" i="145"/>
  <c r="O58" i="145"/>
  <c r="O46" i="145"/>
  <c r="O34" i="145"/>
  <c r="O22" i="145"/>
  <c r="O77" i="145"/>
  <c r="O65" i="145"/>
  <c r="O53" i="145"/>
  <c r="O41" i="145"/>
  <c r="O72" i="145"/>
  <c r="O60" i="145"/>
  <c r="O48" i="145"/>
  <c r="O36" i="145"/>
  <c r="O24" i="145"/>
  <c r="O79" i="145"/>
  <c r="O67" i="145"/>
  <c r="O55" i="145"/>
  <c r="O43" i="145"/>
  <c r="O74" i="145"/>
  <c r="O62" i="145"/>
  <c r="O50" i="145"/>
  <c r="O81" i="145"/>
  <c r="O69" i="145"/>
  <c r="O57" i="145"/>
  <c r="O45" i="145"/>
  <c r="O33" i="145"/>
  <c r="O21" i="145"/>
  <c r="O76" i="145"/>
  <c r="O64" i="145"/>
  <c r="O52" i="145"/>
  <c r="O40" i="145"/>
  <c r="O28" i="145"/>
  <c r="O10" i="145"/>
  <c r="AJ4" i="145"/>
  <c r="AE77" i="145"/>
  <c r="AE65" i="145"/>
  <c r="AE53" i="145"/>
  <c r="AE41" i="145"/>
  <c r="AE72" i="145"/>
  <c r="AE60" i="145"/>
  <c r="AE48" i="145"/>
  <c r="AE79" i="145"/>
  <c r="AE67" i="145"/>
  <c r="AE55" i="145"/>
  <c r="AE43" i="145"/>
  <c r="AE74" i="145"/>
  <c r="AE62" i="145"/>
  <c r="AE50" i="145"/>
  <c r="AE38" i="145"/>
  <c r="AE26" i="145"/>
  <c r="AE81" i="145"/>
  <c r="AE69" i="145"/>
  <c r="AE57" i="145"/>
  <c r="AE45" i="145"/>
  <c r="AE76" i="145"/>
  <c r="AE64" i="145"/>
  <c r="AE52" i="145"/>
  <c r="AE40" i="145"/>
  <c r="AE28" i="145"/>
  <c r="AE71" i="145"/>
  <c r="AE59" i="145"/>
  <c r="AE47" i="145"/>
  <c r="AE78" i="145"/>
  <c r="AE66" i="145"/>
  <c r="AE54" i="145"/>
  <c r="AE73" i="145"/>
  <c r="AE61" i="145"/>
  <c r="AE49" i="145"/>
  <c r="AE37" i="145"/>
  <c r="AE25" i="145"/>
  <c r="AE80" i="145"/>
  <c r="AE68" i="145"/>
  <c r="AE56" i="145"/>
  <c r="AE44" i="145"/>
  <c r="AE32" i="145"/>
  <c r="AE20" i="145"/>
  <c r="BC71" i="145"/>
  <c r="BC59" i="145"/>
  <c r="BC47" i="145"/>
  <c r="BC78" i="145"/>
  <c r="BC66" i="145"/>
  <c r="BC54" i="145"/>
  <c r="BC42" i="145"/>
  <c r="BC73" i="145"/>
  <c r="BC61" i="145"/>
  <c r="BC49" i="145"/>
  <c r="BC37" i="145"/>
  <c r="BC80" i="145"/>
  <c r="BC68" i="145"/>
  <c r="BC56" i="145"/>
  <c r="BC44" i="145"/>
  <c r="BC32" i="145"/>
  <c r="BC20" i="145"/>
  <c r="BC75" i="145"/>
  <c r="BC63" i="145"/>
  <c r="BC51" i="145"/>
  <c r="BC39" i="145"/>
  <c r="BC82" i="145"/>
  <c r="BC70" i="145"/>
  <c r="BC58" i="145"/>
  <c r="BC46" i="145"/>
  <c r="BC34" i="145"/>
  <c r="BC22" i="145"/>
  <c r="BC77" i="145"/>
  <c r="BC65" i="145"/>
  <c r="BC53" i="145"/>
  <c r="BC41" i="145"/>
  <c r="BC72" i="145"/>
  <c r="BC60" i="145"/>
  <c r="BC48" i="145"/>
  <c r="BC79" i="145"/>
  <c r="BC67" i="145"/>
  <c r="BC55" i="145"/>
  <c r="BC43" i="145"/>
  <c r="BC31" i="145"/>
  <c r="BC19" i="145"/>
  <c r="BC74" i="145"/>
  <c r="BC62" i="145"/>
  <c r="BC50" i="145"/>
  <c r="BC38" i="145"/>
  <c r="BC26" i="145"/>
  <c r="L5" i="145"/>
  <c r="O5" i="145" s="1"/>
  <c r="AJ5" i="145"/>
  <c r="AM5" i="145" s="1"/>
  <c r="BH5" i="145"/>
  <c r="BK5" i="145" s="1"/>
  <c r="P6" i="145"/>
  <c r="AB6" i="145"/>
  <c r="AN6" i="145"/>
  <c r="AZ6" i="145"/>
  <c r="BL6" i="145"/>
  <c r="BG7" i="145"/>
  <c r="AM8" i="145"/>
  <c r="S9" i="145"/>
  <c r="BO9" i="145"/>
  <c r="AU10" i="145"/>
  <c r="AA11" i="145"/>
  <c r="BW11" i="145"/>
  <c r="BC12" i="145"/>
  <c r="AI13" i="145"/>
  <c r="O14" i="145"/>
  <c r="BK14" i="145"/>
  <c r="AQ15" i="145"/>
  <c r="W16" i="145"/>
  <c r="BS16" i="145"/>
  <c r="AY17" i="145"/>
  <c r="AE18" i="145"/>
  <c r="BK19" i="145"/>
  <c r="BO20" i="145"/>
  <c r="BO21" i="145"/>
  <c r="BS22" i="145"/>
  <c r="BW23" i="145"/>
  <c r="BW27" i="145"/>
  <c r="O31" i="145"/>
  <c r="S32" i="145"/>
  <c r="S33" i="145"/>
  <c r="W34" i="145"/>
  <c r="AE35" i="145"/>
  <c r="AQ38" i="145"/>
  <c r="W40" i="145"/>
  <c r="BK42" i="145"/>
  <c r="BC45" i="145"/>
  <c r="S49" i="145"/>
  <c r="BC52" i="145"/>
  <c r="AU55" i="145"/>
  <c r="AM65" i="145"/>
  <c r="BS68" i="145"/>
  <c r="AA75" i="145"/>
  <c r="BC81" i="145"/>
  <c r="BK73" i="145"/>
  <c r="BK61" i="145"/>
  <c r="BK49" i="145"/>
  <c r="BK80" i="145"/>
  <c r="BK68" i="145"/>
  <c r="BK56" i="145"/>
  <c r="BK44" i="145"/>
  <c r="BK75" i="145"/>
  <c r="BK63" i="145"/>
  <c r="BK51" i="145"/>
  <c r="BK39" i="145"/>
  <c r="BK82" i="145"/>
  <c r="BK70" i="145"/>
  <c r="BK58" i="145"/>
  <c r="BK46" i="145"/>
  <c r="BK34" i="145"/>
  <c r="BK22" i="145"/>
  <c r="BK77" i="145"/>
  <c r="BK65" i="145"/>
  <c r="BK53" i="145"/>
  <c r="BK41" i="145"/>
  <c r="BK72" i="145"/>
  <c r="BK60" i="145"/>
  <c r="BK48" i="145"/>
  <c r="BK36" i="145"/>
  <c r="BK24" i="145"/>
  <c r="BK79" i="145"/>
  <c r="BK67" i="145"/>
  <c r="BK55" i="145"/>
  <c r="BK43" i="145"/>
  <c r="BK74" i="145"/>
  <c r="BK62" i="145"/>
  <c r="BK50" i="145"/>
  <c r="BK81" i="145"/>
  <c r="BK69" i="145"/>
  <c r="BK57" i="145"/>
  <c r="BK45" i="145"/>
  <c r="BK33" i="145"/>
  <c r="BK21" i="145"/>
  <c r="BK76" i="145"/>
  <c r="BK64" i="145"/>
  <c r="BK52" i="145"/>
  <c r="BK40" i="145"/>
  <c r="BK28" i="145"/>
  <c r="AM31" i="145"/>
  <c r="L4" i="145"/>
  <c r="AM9" i="145"/>
  <c r="AB4" i="145"/>
  <c r="AZ4" i="145"/>
  <c r="Q6" i="145"/>
  <c r="AC6" i="145"/>
  <c r="AO6" i="145"/>
  <c r="BA6" i="145"/>
  <c r="BM6" i="145"/>
  <c r="O7" i="145"/>
  <c r="BK7" i="145"/>
  <c r="AQ8" i="145"/>
  <c r="W9" i="145"/>
  <c r="BS9" i="145"/>
  <c r="AY10" i="145"/>
  <c r="AE11" i="145"/>
  <c r="BG12" i="145"/>
  <c r="AM13" i="145"/>
  <c r="S14" i="145"/>
  <c r="BO14" i="145"/>
  <c r="AU15" i="145"/>
  <c r="AA16" i="145"/>
  <c r="BW16" i="145"/>
  <c r="BC17" i="145"/>
  <c r="O19" i="145"/>
  <c r="BS19" i="145"/>
  <c r="BS20" i="145"/>
  <c r="BS21" i="145"/>
  <c r="BW22" i="145"/>
  <c r="O25" i="145"/>
  <c r="O26" i="145"/>
  <c r="O27" i="145"/>
  <c r="O29" i="145"/>
  <c r="O30" i="145"/>
  <c r="W31" i="145"/>
  <c r="W32" i="145"/>
  <c r="W33" i="145"/>
  <c r="AA34" i="145"/>
  <c r="AY35" i="145"/>
  <c r="O37" i="145"/>
  <c r="AU38" i="145"/>
  <c r="BC40" i="145"/>
  <c r="BO42" i="145"/>
  <c r="W49" i="145"/>
  <c r="O59" i="145"/>
  <c r="AU62" i="145"/>
  <c r="BW68" i="145"/>
  <c r="AM72" i="145"/>
  <c r="AE75" i="145"/>
  <c r="BO78" i="145"/>
  <c r="AM26" i="145"/>
  <c r="AM60" i="145"/>
  <c r="AI72" i="145"/>
  <c r="AI60" i="145"/>
  <c r="AI48" i="145"/>
  <c r="AI79" i="145"/>
  <c r="AI67" i="145"/>
  <c r="AI55" i="145"/>
  <c r="AI43" i="145"/>
  <c r="AI74" i="145"/>
  <c r="AI62" i="145"/>
  <c r="AI50" i="145"/>
  <c r="AI38" i="145"/>
  <c r="AI81" i="145"/>
  <c r="AI69" i="145"/>
  <c r="AI57" i="145"/>
  <c r="AI45" i="145"/>
  <c r="AI33" i="145"/>
  <c r="AI21" i="145"/>
  <c r="AI76" i="145"/>
  <c r="AI64" i="145"/>
  <c r="AI52" i="145"/>
  <c r="AI40" i="145"/>
  <c r="AI71" i="145"/>
  <c r="AI59" i="145"/>
  <c r="AI47" i="145"/>
  <c r="AI35" i="145"/>
  <c r="AI23" i="145"/>
  <c r="AI78" i="145"/>
  <c r="AI66" i="145"/>
  <c r="AI54" i="145"/>
  <c r="AI42" i="145"/>
  <c r="AI73" i="145"/>
  <c r="AI61" i="145"/>
  <c r="AI49" i="145"/>
  <c r="AI80" i="145"/>
  <c r="AI68" i="145"/>
  <c r="AI56" i="145"/>
  <c r="AI44" i="145"/>
  <c r="AI32" i="145"/>
  <c r="AI20" i="145"/>
  <c r="AI75" i="145"/>
  <c r="AI63" i="145"/>
  <c r="AI51" i="145"/>
  <c r="AI39" i="145"/>
  <c r="AI27" i="145"/>
  <c r="BG78" i="145"/>
  <c r="BG66" i="145"/>
  <c r="BG54" i="145"/>
  <c r="BG42" i="145"/>
  <c r="BG73" i="145"/>
  <c r="BG61" i="145"/>
  <c r="BG49" i="145"/>
  <c r="BG80" i="145"/>
  <c r="BG68" i="145"/>
  <c r="BG56" i="145"/>
  <c r="BG44" i="145"/>
  <c r="BG75" i="145"/>
  <c r="BG63" i="145"/>
  <c r="BG51" i="145"/>
  <c r="BG39" i="145"/>
  <c r="BG27" i="145"/>
  <c r="BG82" i="145"/>
  <c r="BG70" i="145"/>
  <c r="BG58" i="145"/>
  <c r="BG46" i="145"/>
  <c r="BG34" i="145"/>
  <c r="BG77" i="145"/>
  <c r="BG65" i="145"/>
  <c r="BG53" i="145"/>
  <c r="BG41" i="145"/>
  <c r="BG29" i="145"/>
  <c r="BG72" i="145"/>
  <c r="BG60" i="145"/>
  <c r="BG48" i="145"/>
  <c r="BG36" i="145"/>
  <c r="BG79" i="145"/>
  <c r="BG67" i="145"/>
  <c r="BG55" i="145"/>
  <c r="BG43" i="145"/>
  <c r="BG74" i="145"/>
  <c r="BG62" i="145"/>
  <c r="BG50" i="145"/>
  <c r="BG38" i="145"/>
  <c r="BG26" i="145"/>
  <c r="BG81" i="145"/>
  <c r="BG69" i="145"/>
  <c r="BG57" i="145"/>
  <c r="BG45" i="145"/>
  <c r="BG33" i="145"/>
  <c r="BG21" i="145"/>
  <c r="AA9" i="145"/>
  <c r="BW9" i="145"/>
  <c r="AI11" i="145"/>
  <c r="O12" i="145"/>
  <c r="BK12" i="145"/>
  <c r="AY15" i="145"/>
  <c r="BG17" i="145"/>
  <c r="AM18" i="145"/>
  <c r="BW20" i="145"/>
  <c r="W28" i="145"/>
  <c r="W29" i="145"/>
  <c r="AE31" i="145"/>
  <c r="AA32" i="145"/>
  <c r="AE33" i="145"/>
  <c r="AE34" i="145"/>
  <c r="BC35" i="145"/>
  <c r="S37" i="145"/>
  <c r="AY38" i="145"/>
  <c r="BG40" i="145"/>
  <c r="AE46" i="145"/>
  <c r="BO49" i="145"/>
  <c r="W56" i="145"/>
  <c r="BG59" i="145"/>
  <c r="AY62" i="145"/>
  <c r="O66" i="145"/>
  <c r="AQ72" i="145"/>
  <c r="BW75" i="145"/>
  <c r="AE82" i="145"/>
  <c r="AF4" i="145"/>
  <c r="BD4" i="145"/>
  <c r="AY8" i="145"/>
  <c r="BG10" i="145"/>
  <c r="AM11" i="145"/>
  <c r="AA14" i="145"/>
  <c r="BW14" i="145"/>
  <c r="AI16" i="145"/>
  <c r="O17" i="145"/>
  <c r="BK17" i="145"/>
  <c r="O20" i="145"/>
  <c r="O23" i="145"/>
  <c r="AA24" i="145"/>
  <c r="W25" i="145"/>
  <c r="AA26" i="145"/>
  <c r="W27" i="145"/>
  <c r="AA28" i="145"/>
  <c r="AA29" i="145"/>
  <c r="AI31" i="145"/>
  <c r="AM32" i="145"/>
  <c r="AM33" i="145"/>
  <c r="AI34" i="145"/>
  <c r="BG35" i="145"/>
  <c r="W37" i="145"/>
  <c r="BK38" i="145"/>
  <c r="BS40" i="145"/>
  <c r="AI46" i="145"/>
  <c r="BS49" i="145"/>
  <c r="AI53" i="145"/>
  <c r="AA56" i="145"/>
  <c r="BK59" i="145"/>
  <c r="S66" i="145"/>
  <c r="AY69" i="145"/>
  <c r="AQ79" i="145"/>
  <c r="AI82" i="145"/>
  <c r="AB4" i="144"/>
  <c r="AZ4" i="144"/>
  <c r="Q6" i="144"/>
  <c r="AC6" i="144"/>
  <c r="AO6" i="144"/>
  <c r="BA6" i="144"/>
  <c r="BM6" i="144"/>
  <c r="O7" i="144"/>
  <c r="BK7" i="144"/>
  <c r="AQ8" i="144"/>
  <c r="W9" i="144"/>
  <c r="BS9" i="144"/>
  <c r="AY10" i="144"/>
  <c r="AE11" i="144"/>
  <c r="AM13" i="144"/>
  <c r="S14" i="144"/>
  <c r="BO14" i="144"/>
  <c r="AU15" i="144"/>
  <c r="AA16" i="144"/>
  <c r="BW16" i="144"/>
  <c r="BC17" i="144"/>
  <c r="O19" i="144"/>
  <c r="BK19" i="144"/>
  <c r="AU20" i="144"/>
  <c r="AE21" i="144"/>
  <c r="O22" i="144"/>
  <c r="BO22" i="144"/>
  <c r="AY23" i="144"/>
  <c r="AM24" i="144"/>
  <c r="W25" i="144"/>
  <c r="BS26" i="144"/>
  <c r="BK27" i="144"/>
  <c r="BC28" i="144"/>
  <c r="AY29" i="144"/>
  <c r="AY30" i="144"/>
  <c r="BC31" i="144"/>
  <c r="BK32" i="144"/>
  <c r="O34" i="144"/>
  <c r="W35" i="144"/>
  <c r="AE36" i="144"/>
  <c r="AU38" i="144"/>
  <c r="W44" i="144"/>
  <c r="BO47" i="144"/>
  <c r="AU62" i="144"/>
  <c r="AQ67" i="144"/>
  <c r="AI72" i="144"/>
  <c r="AI60" i="144"/>
  <c r="AI48" i="144"/>
  <c r="AI36" i="144"/>
  <c r="AI24" i="144"/>
  <c r="AI79" i="144"/>
  <c r="AI67" i="144"/>
  <c r="AI55" i="144"/>
  <c r="AI43" i="144"/>
  <c r="AI74" i="144"/>
  <c r="AI62" i="144"/>
  <c r="AI50" i="144"/>
  <c r="AI38" i="144"/>
  <c r="AI81" i="144"/>
  <c r="AI69" i="144"/>
  <c r="AI57" i="144"/>
  <c r="AI45" i="144"/>
  <c r="AI76" i="144"/>
  <c r="AI64" i="144"/>
  <c r="AI52" i="144"/>
  <c r="AI40" i="144"/>
  <c r="AI71" i="144"/>
  <c r="AI59" i="144"/>
  <c r="AI47" i="144"/>
  <c r="AI35" i="144"/>
  <c r="AI78" i="144"/>
  <c r="AI66" i="144"/>
  <c r="AI54" i="144"/>
  <c r="AI42" i="144"/>
  <c r="AI30" i="144"/>
  <c r="AI73" i="144"/>
  <c r="AI61" i="144"/>
  <c r="AI49" i="144"/>
  <c r="AI37" i="144"/>
  <c r="AI80" i="144"/>
  <c r="AI68" i="144"/>
  <c r="AI56" i="144"/>
  <c r="AI44" i="144"/>
  <c r="AI75" i="144"/>
  <c r="AI63" i="144"/>
  <c r="AI51" i="144"/>
  <c r="AI82" i="144"/>
  <c r="AI70" i="144"/>
  <c r="AI58" i="144"/>
  <c r="AI46" i="144"/>
  <c r="AI34" i="144"/>
  <c r="BG78" i="144"/>
  <c r="BG66" i="144"/>
  <c r="BG54" i="144"/>
  <c r="BG42" i="144"/>
  <c r="BG30" i="144"/>
  <c r="BG73" i="144"/>
  <c r="BG61" i="144"/>
  <c r="BG49" i="144"/>
  <c r="BG80" i="144"/>
  <c r="BG68" i="144"/>
  <c r="BG56" i="144"/>
  <c r="BG44" i="144"/>
  <c r="BG75" i="144"/>
  <c r="BG63" i="144"/>
  <c r="BG51" i="144"/>
  <c r="BG39" i="144"/>
  <c r="BG82" i="144"/>
  <c r="BG70" i="144"/>
  <c r="BG58" i="144"/>
  <c r="BG46" i="144"/>
  <c r="BG77" i="144"/>
  <c r="BG65" i="144"/>
  <c r="BG53" i="144"/>
  <c r="BG41" i="144"/>
  <c r="BG29" i="144"/>
  <c r="BG72" i="144"/>
  <c r="BG60" i="144"/>
  <c r="BG48" i="144"/>
  <c r="BG36" i="144"/>
  <c r="BG79" i="144"/>
  <c r="BG67" i="144"/>
  <c r="BG55" i="144"/>
  <c r="BG43" i="144"/>
  <c r="BG74" i="144"/>
  <c r="BG62" i="144"/>
  <c r="BG50" i="144"/>
  <c r="BG38" i="144"/>
  <c r="BG81" i="144"/>
  <c r="BG69" i="144"/>
  <c r="BG57" i="144"/>
  <c r="BG76" i="144"/>
  <c r="BG64" i="144"/>
  <c r="BG52" i="144"/>
  <c r="BG40" i="144"/>
  <c r="BG28" i="144"/>
  <c r="P5" i="144"/>
  <c r="S5" i="144" s="1"/>
  <c r="AN5" i="144"/>
  <c r="AQ5" i="144" s="1"/>
  <c r="BL5" i="144"/>
  <c r="BO5" i="144" s="1"/>
  <c r="R6" i="144"/>
  <c r="S6" i="144" s="1"/>
  <c r="AD6" i="144"/>
  <c r="AE6" i="144" s="1"/>
  <c r="AP6" i="144"/>
  <c r="AQ6" i="144" s="1"/>
  <c r="BB6" i="144"/>
  <c r="BC6" i="144" s="1"/>
  <c r="BN6" i="144"/>
  <c r="BO6" i="144" s="1"/>
  <c r="S7" i="144"/>
  <c r="BO7" i="144"/>
  <c r="AU8" i="144"/>
  <c r="AA9" i="144"/>
  <c r="BW9" i="144"/>
  <c r="BC10" i="144"/>
  <c r="AI11" i="144"/>
  <c r="O12" i="144"/>
  <c r="BK12" i="144"/>
  <c r="AQ13" i="144"/>
  <c r="W14" i="144"/>
  <c r="BS14" i="144"/>
  <c r="AY15" i="144"/>
  <c r="AE16" i="144"/>
  <c r="BG17" i="144"/>
  <c r="AM18" i="144"/>
  <c r="S19" i="144"/>
  <c r="BO19" i="144"/>
  <c r="AY20" i="144"/>
  <c r="AI21" i="144"/>
  <c r="S22" i="144"/>
  <c r="BS22" i="144"/>
  <c r="BG23" i="144"/>
  <c r="AQ24" i="144"/>
  <c r="AA25" i="144"/>
  <c r="O26" i="144"/>
  <c r="BW26" i="144"/>
  <c r="BO27" i="144"/>
  <c r="BK28" i="144"/>
  <c r="BK29" i="144"/>
  <c r="BC30" i="144"/>
  <c r="BG31" i="144"/>
  <c r="BS32" i="144"/>
  <c r="S34" i="144"/>
  <c r="AM35" i="144"/>
  <c r="AM36" i="144"/>
  <c r="BC38" i="144"/>
  <c r="AI41" i="144"/>
  <c r="AE44" i="144"/>
  <c r="BC52" i="144"/>
  <c r="AY57" i="144"/>
  <c r="S73" i="144"/>
  <c r="O78" i="144"/>
  <c r="AF4" i="144"/>
  <c r="W7" i="144"/>
  <c r="BS7" i="144"/>
  <c r="AY8" i="144"/>
  <c r="AE9" i="144"/>
  <c r="BG10" i="144"/>
  <c r="AM11" i="144"/>
  <c r="S12" i="144"/>
  <c r="BO12" i="144"/>
  <c r="AU13" i="144"/>
  <c r="AA14" i="144"/>
  <c r="BW14" i="144"/>
  <c r="BC15" i="144"/>
  <c r="AI16" i="144"/>
  <c r="BK17" i="144"/>
  <c r="AQ18" i="144"/>
  <c r="W19" i="144"/>
  <c r="BS19" i="144"/>
  <c r="BC20" i="144"/>
  <c r="AM21" i="144"/>
  <c r="W22" i="144"/>
  <c r="BK23" i="144"/>
  <c r="AU24" i="144"/>
  <c r="AE25" i="144"/>
  <c r="S26" i="144"/>
  <c r="BW27" i="144"/>
  <c r="BO28" i="144"/>
  <c r="BO29" i="144"/>
  <c r="BK30" i="144"/>
  <c r="BS31" i="144"/>
  <c r="W34" i="144"/>
  <c r="AQ35" i="144"/>
  <c r="AU36" i="144"/>
  <c r="AQ41" i="144"/>
  <c r="BS44" i="144"/>
  <c r="AA63" i="144"/>
  <c r="W68" i="144"/>
  <c r="BO73" i="144"/>
  <c r="O73" i="144"/>
  <c r="O61" i="144"/>
  <c r="O49" i="144"/>
  <c r="O37" i="144"/>
  <c r="O25" i="144"/>
  <c r="O80" i="144"/>
  <c r="O68" i="144"/>
  <c r="O56" i="144"/>
  <c r="O44" i="144"/>
  <c r="O75" i="144"/>
  <c r="O63" i="144"/>
  <c r="O51" i="144"/>
  <c r="O39" i="144"/>
  <c r="O82" i="144"/>
  <c r="O70" i="144"/>
  <c r="O58" i="144"/>
  <c r="O46" i="144"/>
  <c r="O77" i="144"/>
  <c r="O65" i="144"/>
  <c r="O53" i="144"/>
  <c r="O41" i="144"/>
  <c r="O72" i="144"/>
  <c r="O60" i="144"/>
  <c r="O48" i="144"/>
  <c r="O36" i="144"/>
  <c r="O79" i="144"/>
  <c r="O67" i="144"/>
  <c r="O55" i="144"/>
  <c r="O43" i="144"/>
  <c r="O31" i="144"/>
  <c r="O74" i="144"/>
  <c r="O62" i="144"/>
  <c r="O50" i="144"/>
  <c r="O38" i="144"/>
  <c r="O81" i="144"/>
  <c r="O69" i="144"/>
  <c r="O57" i="144"/>
  <c r="O45" i="144"/>
  <c r="O76" i="144"/>
  <c r="O64" i="144"/>
  <c r="O52" i="144"/>
  <c r="O71" i="144"/>
  <c r="O59" i="144"/>
  <c r="O47" i="144"/>
  <c r="O35" i="144"/>
  <c r="AM79" i="144"/>
  <c r="AM67" i="144"/>
  <c r="AM55" i="144"/>
  <c r="AM43" i="144"/>
  <c r="AM31" i="144"/>
  <c r="AM74" i="144"/>
  <c r="AM62" i="144"/>
  <c r="AM50" i="144"/>
  <c r="AM81" i="144"/>
  <c r="AM69" i="144"/>
  <c r="AM57" i="144"/>
  <c r="AM45" i="144"/>
  <c r="AM76" i="144"/>
  <c r="AM64" i="144"/>
  <c r="AM52" i="144"/>
  <c r="AM40" i="144"/>
  <c r="AM71" i="144"/>
  <c r="AM59" i="144"/>
  <c r="AM47" i="144"/>
  <c r="AM78" i="144"/>
  <c r="AM66" i="144"/>
  <c r="AM54" i="144"/>
  <c r="AM42" i="144"/>
  <c r="AM30" i="144"/>
  <c r="AM73" i="144"/>
  <c r="AM61" i="144"/>
  <c r="AM49" i="144"/>
  <c r="AM37" i="144"/>
  <c r="AM80" i="144"/>
  <c r="AM68" i="144"/>
  <c r="AM56" i="144"/>
  <c r="AM44" i="144"/>
  <c r="AM32" i="144"/>
  <c r="AM75" i="144"/>
  <c r="AM63" i="144"/>
  <c r="AM51" i="144"/>
  <c r="AM39" i="144"/>
  <c r="AM82" i="144"/>
  <c r="AM70" i="144"/>
  <c r="AM58" i="144"/>
  <c r="AM77" i="144"/>
  <c r="AM65" i="144"/>
  <c r="AM53" i="144"/>
  <c r="AM41" i="144"/>
  <c r="AM29" i="144"/>
  <c r="BK73" i="144"/>
  <c r="BK61" i="144"/>
  <c r="BK49" i="144"/>
  <c r="BK37" i="144"/>
  <c r="BK25" i="144"/>
  <c r="BK80" i="144"/>
  <c r="BK68" i="144"/>
  <c r="BK56" i="144"/>
  <c r="BK44" i="144"/>
  <c r="BK75" i="144"/>
  <c r="BK63" i="144"/>
  <c r="BK51" i="144"/>
  <c r="BK39" i="144"/>
  <c r="BK82" i="144"/>
  <c r="BK70" i="144"/>
  <c r="BK58" i="144"/>
  <c r="BK46" i="144"/>
  <c r="BK77" i="144"/>
  <c r="BK65" i="144"/>
  <c r="BK53" i="144"/>
  <c r="BK41" i="144"/>
  <c r="BK72" i="144"/>
  <c r="BK60" i="144"/>
  <c r="BK48" i="144"/>
  <c r="BK36" i="144"/>
  <c r="BK79" i="144"/>
  <c r="BK67" i="144"/>
  <c r="BK55" i="144"/>
  <c r="BK43" i="144"/>
  <c r="BK31" i="144"/>
  <c r="BK74" i="144"/>
  <c r="BK62" i="144"/>
  <c r="BK50" i="144"/>
  <c r="BK38" i="144"/>
  <c r="BK81" i="144"/>
  <c r="BK69" i="144"/>
  <c r="BK57" i="144"/>
  <c r="BK45" i="144"/>
  <c r="BK76" i="144"/>
  <c r="BK64" i="144"/>
  <c r="BK52" i="144"/>
  <c r="BK71" i="144"/>
  <c r="BK59" i="144"/>
  <c r="BK47" i="144"/>
  <c r="BK35" i="144"/>
  <c r="T5" i="144"/>
  <c r="W5" i="144" s="1"/>
  <c r="AR5" i="144"/>
  <c r="AU5" i="144" s="1"/>
  <c r="BP5" i="144"/>
  <c r="BS5" i="144" s="1"/>
  <c r="T6" i="144"/>
  <c r="AF6" i="144"/>
  <c r="AR6" i="144"/>
  <c r="BD6" i="144"/>
  <c r="BP6" i="144"/>
  <c r="AA7" i="144"/>
  <c r="BW7" i="144"/>
  <c r="BC8" i="144"/>
  <c r="AI9" i="144"/>
  <c r="O10" i="144"/>
  <c r="BK10" i="144"/>
  <c r="AQ11" i="144"/>
  <c r="W12" i="144"/>
  <c r="BS12" i="144"/>
  <c r="AY13" i="144"/>
  <c r="AE14" i="144"/>
  <c r="BG15" i="144"/>
  <c r="AM16" i="144"/>
  <c r="S17" i="144"/>
  <c r="BO17" i="144"/>
  <c r="AU18" i="144"/>
  <c r="AA19" i="144"/>
  <c r="BW19" i="144"/>
  <c r="BG20" i="144"/>
  <c r="AQ21" i="144"/>
  <c r="AE22" i="144"/>
  <c r="O23" i="144"/>
  <c r="BO23" i="144"/>
  <c r="AY24" i="144"/>
  <c r="AI25" i="144"/>
  <c r="W26" i="144"/>
  <c r="O27" i="144"/>
  <c r="BS28" i="144"/>
  <c r="BS29" i="144"/>
  <c r="BS30" i="144"/>
  <c r="BW31" i="144"/>
  <c r="O33" i="144"/>
  <c r="AE34" i="144"/>
  <c r="AU35" i="144"/>
  <c r="AY36" i="144"/>
  <c r="S39" i="144"/>
  <c r="AU48" i="144"/>
  <c r="AI53" i="144"/>
  <c r="AE58" i="144"/>
  <c r="BW63" i="144"/>
  <c r="BS68" i="144"/>
  <c r="L4" i="144"/>
  <c r="AJ4" i="144"/>
  <c r="BH4" i="144"/>
  <c r="U6" i="144"/>
  <c r="AG6" i="144"/>
  <c r="AS6" i="144"/>
  <c r="BE6" i="144"/>
  <c r="BQ6" i="144"/>
  <c r="AE7" i="144"/>
  <c r="BG8" i="144"/>
  <c r="AM9" i="144"/>
  <c r="S10" i="144"/>
  <c r="AU11" i="144"/>
  <c r="AA12" i="144"/>
  <c r="BW12" i="144"/>
  <c r="BC13" i="144"/>
  <c r="AI14" i="144"/>
  <c r="O15" i="144"/>
  <c r="BK15" i="144"/>
  <c r="AQ16" i="144"/>
  <c r="W17" i="144"/>
  <c r="BS17" i="144"/>
  <c r="AY18" i="144"/>
  <c r="AE19" i="144"/>
  <c r="BK20" i="144"/>
  <c r="AY21" i="144"/>
  <c r="AI22" i="144"/>
  <c r="S23" i="144"/>
  <c r="BS23" i="144"/>
  <c r="BC24" i="144"/>
  <c r="AM25" i="144"/>
  <c r="AA26" i="144"/>
  <c r="O28" i="144"/>
  <c r="BW29" i="144"/>
  <c r="BW30" i="144"/>
  <c r="AE33" i="144"/>
  <c r="AM34" i="144"/>
  <c r="AY35" i="144"/>
  <c r="AA39" i="144"/>
  <c r="O42" i="144"/>
  <c r="AY45" i="144"/>
  <c r="AU74" i="144"/>
  <c r="S80" i="144"/>
  <c r="S68" i="144"/>
  <c r="S56" i="144"/>
  <c r="S44" i="144"/>
  <c r="S32" i="144"/>
  <c r="S20" i="144"/>
  <c r="S75" i="144"/>
  <c r="S63" i="144"/>
  <c r="S51" i="144"/>
  <c r="S82" i="144"/>
  <c r="S70" i="144"/>
  <c r="S58" i="144"/>
  <c r="S46" i="144"/>
  <c r="S77" i="144"/>
  <c r="S65" i="144"/>
  <c r="S53" i="144"/>
  <c r="S41" i="144"/>
  <c r="S72" i="144"/>
  <c r="S60" i="144"/>
  <c r="S48" i="144"/>
  <c r="S79" i="144"/>
  <c r="S67" i="144"/>
  <c r="S55" i="144"/>
  <c r="S43" i="144"/>
  <c r="S31" i="144"/>
  <c r="S74" i="144"/>
  <c r="S62" i="144"/>
  <c r="S50" i="144"/>
  <c r="S38" i="144"/>
  <c r="S81" i="144"/>
  <c r="S69" i="144"/>
  <c r="S57" i="144"/>
  <c r="S45" i="144"/>
  <c r="S33" i="144"/>
  <c r="S76" i="144"/>
  <c r="S64" i="144"/>
  <c r="S52" i="144"/>
  <c r="S40" i="144"/>
  <c r="S71" i="144"/>
  <c r="S59" i="144"/>
  <c r="S78" i="144"/>
  <c r="S66" i="144"/>
  <c r="S54" i="144"/>
  <c r="S42" i="144"/>
  <c r="S30" i="144"/>
  <c r="AQ74" i="144"/>
  <c r="AQ62" i="144"/>
  <c r="AQ50" i="144"/>
  <c r="AQ38" i="144"/>
  <c r="AQ26" i="144"/>
  <c r="AQ81" i="144"/>
  <c r="AQ69" i="144"/>
  <c r="AQ57" i="144"/>
  <c r="AQ45" i="144"/>
  <c r="AQ76" i="144"/>
  <c r="AQ64" i="144"/>
  <c r="AQ52" i="144"/>
  <c r="AQ40" i="144"/>
  <c r="AQ71" i="144"/>
  <c r="AQ59" i="144"/>
  <c r="AQ47" i="144"/>
  <c r="AQ78" i="144"/>
  <c r="AQ66" i="144"/>
  <c r="AQ54" i="144"/>
  <c r="AQ42" i="144"/>
  <c r="AQ73" i="144"/>
  <c r="AQ61" i="144"/>
  <c r="AQ49" i="144"/>
  <c r="AQ37" i="144"/>
  <c r="AQ80" i="144"/>
  <c r="AQ68" i="144"/>
  <c r="AQ56" i="144"/>
  <c r="AQ44" i="144"/>
  <c r="AQ32" i="144"/>
  <c r="AQ75" i="144"/>
  <c r="AQ63" i="144"/>
  <c r="AQ51" i="144"/>
  <c r="AQ39" i="144"/>
  <c r="AQ82" i="144"/>
  <c r="AQ70" i="144"/>
  <c r="AQ58" i="144"/>
  <c r="AQ46" i="144"/>
  <c r="AQ77" i="144"/>
  <c r="AQ65" i="144"/>
  <c r="AQ53" i="144"/>
  <c r="AQ72" i="144"/>
  <c r="AQ60" i="144"/>
  <c r="AQ48" i="144"/>
  <c r="AQ36" i="144"/>
  <c r="BO80" i="144"/>
  <c r="BO68" i="144"/>
  <c r="BO56" i="144"/>
  <c r="BO44" i="144"/>
  <c r="BO32" i="144"/>
  <c r="BO20" i="144"/>
  <c r="BO75" i="144"/>
  <c r="BO63" i="144"/>
  <c r="BO51" i="144"/>
  <c r="BO82" i="144"/>
  <c r="BO70" i="144"/>
  <c r="BO58" i="144"/>
  <c r="BO46" i="144"/>
  <c r="BO77" i="144"/>
  <c r="BO65" i="144"/>
  <c r="BO53" i="144"/>
  <c r="BO41" i="144"/>
  <c r="BO72" i="144"/>
  <c r="BO60" i="144"/>
  <c r="BO48" i="144"/>
  <c r="BO36" i="144"/>
  <c r="BO79" i="144"/>
  <c r="BO67" i="144"/>
  <c r="BO55" i="144"/>
  <c r="BO43" i="144"/>
  <c r="BO31" i="144"/>
  <c r="BO74" i="144"/>
  <c r="BO62" i="144"/>
  <c r="BO50" i="144"/>
  <c r="BO38" i="144"/>
  <c r="BO26" i="144"/>
  <c r="BO81" i="144"/>
  <c r="BO69" i="144"/>
  <c r="BO57" i="144"/>
  <c r="BO45" i="144"/>
  <c r="BO33" i="144"/>
  <c r="BO76" i="144"/>
  <c r="BO64" i="144"/>
  <c r="BO52" i="144"/>
  <c r="BO40" i="144"/>
  <c r="BO71" i="144"/>
  <c r="BO59" i="144"/>
  <c r="BO78" i="144"/>
  <c r="BO66" i="144"/>
  <c r="BO54" i="144"/>
  <c r="BO42" i="144"/>
  <c r="BO30" i="144"/>
  <c r="X5" i="144"/>
  <c r="AA5" i="144" s="1"/>
  <c r="AV5" i="144"/>
  <c r="AY5" i="144" s="1"/>
  <c r="BT5" i="144"/>
  <c r="BW5" i="144" s="1"/>
  <c r="V6" i="144"/>
  <c r="W6" i="144" s="1"/>
  <c r="AH6" i="144"/>
  <c r="AI6" i="144" s="1"/>
  <c r="AT6" i="144"/>
  <c r="AU6" i="144" s="1"/>
  <c r="BF6" i="144"/>
  <c r="BG6" i="144" s="1"/>
  <c r="BR6" i="144"/>
  <c r="BS6" i="144" s="1"/>
  <c r="AI7" i="144"/>
  <c r="O8" i="144"/>
  <c r="BK8" i="144"/>
  <c r="AQ9" i="144"/>
  <c r="W10" i="144"/>
  <c r="BS10" i="144"/>
  <c r="AY11" i="144"/>
  <c r="AE12" i="144"/>
  <c r="BG13" i="144"/>
  <c r="AM14" i="144"/>
  <c r="S15" i="144"/>
  <c r="BO15" i="144"/>
  <c r="AU16" i="144"/>
  <c r="AA17" i="144"/>
  <c r="BW17" i="144"/>
  <c r="BC18" i="144"/>
  <c r="AI19" i="144"/>
  <c r="O20" i="144"/>
  <c r="BS20" i="144"/>
  <c r="BC21" i="144"/>
  <c r="AM22" i="144"/>
  <c r="W23" i="144"/>
  <c r="BW23" i="144"/>
  <c r="BG24" i="144"/>
  <c r="AQ25" i="144"/>
  <c r="AE26" i="144"/>
  <c r="AA27" i="144"/>
  <c r="S28" i="144"/>
  <c r="O29" i="144"/>
  <c r="O32" i="144"/>
  <c r="AI33" i="144"/>
  <c r="AQ34" i="144"/>
  <c r="BG35" i="144"/>
  <c r="S37" i="144"/>
  <c r="AI39" i="144"/>
  <c r="W42" i="144"/>
  <c r="BG45" i="144"/>
  <c r="S49" i="144"/>
  <c r="O54" i="144"/>
  <c r="BG59" i="144"/>
  <c r="BC64" i="144"/>
  <c r="AY69" i="144"/>
  <c r="P4" i="144"/>
  <c r="AN4" i="144"/>
  <c r="BL4" i="144"/>
  <c r="AM7" i="144"/>
  <c r="S8" i="144"/>
  <c r="BO8" i="144"/>
  <c r="AU9" i="144"/>
  <c r="AA10" i="144"/>
  <c r="BW10" i="144"/>
  <c r="BC11" i="144"/>
  <c r="AI12" i="144"/>
  <c r="O13" i="144"/>
  <c r="BK13" i="144"/>
  <c r="AQ14" i="144"/>
  <c r="W15" i="144"/>
  <c r="AY16" i="144"/>
  <c r="AE17" i="144"/>
  <c r="BG18" i="144"/>
  <c r="AM19" i="144"/>
  <c r="W20" i="144"/>
  <c r="BW20" i="144"/>
  <c r="BG21" i="144"/>
  <c r="AQ22" i="144"/>
  <c r="AA23" i="144"/>
  <c r="BK24" i="144"/>
  <c r="AI26" i="144"/>
  <c r="AI27" i="144"/>
  <c r="W28" i="144"/>
  <c r="S29" i="144"/>
  <c r="O30" i="144"/>
  <c r="W31" i="144"/>
  <c r="W32" i="144"/>
  <c r="AM33" i="144"/>
  <c r="BG34" i="144"/>
  <c r="BO35" i="144"/>
  <c r="AA37" i="144"/>
  <c r="BO39" i="144"/>
  <c r="BK42" i="144"/>
  <c r="BO49" i="144"/>
  <c r="BK54" i="144"/>
  <c r="AA75" i="144"/>
  <c r="W75" i="144"/>
  <c r="W63" i="144"/>
  <c r="W51" i="144"/>
  <c r="W39" i="144"/>
  <c r="W27" i="144"/>
  <c r="W82" i="144"/>
  <c r="W70" i="144"/>
  <c r="W58" i="144"/>
  <c r="W46" i="144"/>
  <c r="W77" i="144"/>
  <c r="W65" i="144"/>
  <c r="W53" i="144"/>
  <c r="W41" i="144"/>
  <c r="W72" i="144"/>
  <c r="W60" i="144"/>
  <c r="W48" i="144"/>
  <c r="W79" i="144"/>
  <c r="W67" i="144"/>
  <c r="W55" i="144"/>
  <c r="W43" i="144"/>
  <c r="W74" i="144"/>
  <c r="W62" i="144"/>
  <c r="W50" i="144"/>
  <c r="W38" i="144"/>
  <c r="W81" i="144"/>
  <c r="W69" i="144"/>
  <c r="W57" i="144"/>
  <c r="W45" i="144"/>
  <c r="W33" i="144"/>
  <c r="W76" i="144"/>
  <c r="W64" i="144"/>
  <c r="W52" i="144"/>
  <c r="W40" i="144"/>
  <c r="W71" i="144"/>
  <c r="W59" i="144"/>
  <c r="W47" i="144"/>
  <c r="W78" i="144"/>
  <c r="W66" i="144"/>
  <c r="W54" i="144"/>
  <c r="W73" i="144"/>
  <c r="W61" i="144"/>
  <c r="W49" i="144"/>
  <c r="W37" i="144"/>
  <c r="AU81" i="144"/>
  <c r="AU69" i="144"/>
  <c r="AU57" i="144"/>
  <c r="AU45" i="144"/>
  <c r="AU33" i="144"/>
  <c r="AU21" i="144"/>
  <c r="AU76" i="144"/>
  <c r="AU64" i="144"/>
  <c r="AU52" i="144"/>
  <c r="AU40" i="144"/>
  <c r="AU71" i="144"/>
  <c r="AU59" i="144"/>
  <c r="AU47" i="144"/>
  <c r="AU78" i="144"/>
  <c r="AU66" i="144"/>
  <c r="AU54" i="144"/>
  <c r="AU42" i="144"/>
  <c r="AU73" i="144"/>
  <c r="AU61" i="144"/>
  <c r="AU49" i="144"/>
  <c r="AU37" i="144"/>
  <c r="AU80" i="144"/>
  <c r="AU68" i="144"/>
  <c r="AU56" i="144"/>
  <c r="AU44" i="144"/>
  <c r="AU32" i="144"/>
  <c r="AU75" i="144"/>
  <c r="AU63" i="144"/>
  <c r="AU51" i="144"/>
  <c r="AU39" i="144"/>
  <c r="AU27" i="144"/>
  <c r="AU82" i="144"/>
  <c r="AU70" i="144"/>
  <c r="AU58" i="144"/>
  <c r="AU46" i="144"/>
  <c r="AU34" i="144"/>
  <c r="AU77" i="144"/>
  <c r="AU65" i="144"/>
  <c r="AU53" i="144"/>
  <c r="AU41" i="144"/>
  <c r="AU72" i="144"/>
  <c r="AU60" i="144"/>
  <c r="AU79" i="144"/>
  <c r="AU67" i="144"/>
  <c r="AU55" i="144"/>
  <c r="AU43" i="144"/>
  <c r="AU31" i="144"/>
  <c r="BS75" i="144"/>
  <c r="BS63" i="144"/>
  <c r="BS51" i="144"/>
  <c r="BS39" i="144"/>
  <c r="BS27" i="144"/>
  <c r="BS82" i="144"/>
  <c r="BS70" i="144"/>
  <c r="BS58" i="144"/>
  <c r="BS46" i="144"/>
  <c r="BS77" i="144"/>
  <c r="BS65" i="144"/>
  <c r="BS53" i="144"/>
  <c r="BS41" i="144"/>
  <c r="BS72" i="144"/>
  <c r="BS60" i="144"/>
  <c r="BS48" i="144"/>
  <c r="BS36" i="144"/>
  <c r="BS79" i="144"/>
  <c r="BS67" i="144"/>
  <c r="BS55" i="144"/>
  <c r="BS43" i="144"/>
  <c r="BS74" i="144"/>
  <c r="BS62" i="144"/>
  <c r="BS50" i="144"/>
  <c r="BS38" i="144"/>
  <c r="BS81" i="144"/>
  <c r="BS69" i="144"/>
  <c r="BS57" i="144"/>
  <c r="BS45" i="144"/>
  <c r="BS33" i="144"/>
  <c r="BS76" i="144"/>
  <c r="BS64" i="144"/>
  <c r="BS52" i="144"/>
  <c r="BS40" i="144"/>
  <c r="BS71" i="144"/>
  <c r="BS59" i="144"/>
  <c r="BS47" i="144"/>
  <c r="BS78" i="144"/>
  <c r="BS66" i="144"/>
  <c r="BS54" i="144"/>
  <c r="BS73" i="144"/>
  <c r="BS61" i="144"/>
  <c r="BS49" i="144"/>
  <c r="BS37" i="144"/>
  <c r="BS25" i="144"/>
  <c r="L6" i="144"/>
  <c r="X6" i="144"/>
  <c r="AJ6" i="144"/>
  <c r="AV6" i="144"/>
  <c r="BH6" i="144"/>
  <c r="BT6" i="144"/>
  <c r="AQ7" i="144"/>
  <c r="W8" i="144"/>
  <c r="BS8" i="144"/>
  <c r="AY9" i="144"/>
  <c r="AE10" i="144"/>
  <c r="BG11" i="144"/>
  <c r="AM12" i="144"/>
  <c r="S13" i="144"/>
  <c r="BO13" i="144"/>
  <c r="AU14" i="144"/>
  <c r="AA15" i="144"/>
  <c r="BW15" i="144"/>
  <c r="BC16" i="144"/>
  <c r="AI17" i="144"/>
  <c r="O18" i="144"/>
  <c r="BK18" i="144"/>
  <c r="AQ19" i="144"/>
  <c r="AA20" i="144"/>
  <c r="BK21" i="144"/>
  <c r="AU22" i="144"/>
  <c r="AE23" i="144"/>
  <c r="O24" i="144"/>
  <c r="BO24" i="144"/>
  <c r="AY25" i="144"/>
  <c r="AM26" i="144"/>
  <c r="AM27" i="144"/>
  <c r="AE28" i="144"/>
  <c r="W29" i="144"/>
  <c r="W30" i="144"/>
  <c r="AA31" i="144"/>
  <c r="AE32" i="144"/>
  <c r="AQ33" i="144"/>
  <c r="BK34" i="144"/>
  <c r="BS35" i="144"/>
  <c r="BG37" i="144"/>
  <c r="BW39" i="144"/>
  <c r="BS42" i="144"/>
  <c r="AE46" i="144"/>
  <c r="AM60" i="144"/>
  <c r="AI65" i="144"/>
  <c r="AE70" i="144"/>
  <c r="BW75" i="144"/>
  <c r="BS80" i="144"/>
  <c r="T4" i="144"/>
  <c r="AR4" i="144"/>
  <c r="BP4" i="144"/>
  <c r="M6" i="144"/>
  <c r="Y6" i="144"/>
  <c r="AK6" i="144"/>
  <c r="AW6" i="144"/>
  <c r="BI6" i="144"/>
  <c r="BU6" i="144"/>
  <c r="AU7" i="144"/>
  <c r="AA8" i="144"/>
  <c r="BC9" i="144"/>
  <c r="AI10" i="144"/>
  <c r="O11" i="144"/>
  <c r="BK11" i="144"/>
  <c r="AQ12" i="144"/>
  <c r="W13" i="144"/>
  <c r="BS13" i="144"/>
  <c r="AY14" i="144"/>
  <c r="AE15" i="144"/>
  <c r="BG16" i="144"/>
  <c r="AM17" i="144"/>
  <c r="S18" i="144"/>
  <c r="BO18" i="144"/>
  <c r="AU19" i="144"/>
  <c r="AE20" i="144"/>
  <c r="O21" i="144"/>
  <c r="BO21" i="144"/>
  <c r="AY22" i="144"/>
  <c r="AI23" i="144"/>
  <c r="S24" i="144"/>
  <c r="BS24" i="144"/>
  <c r="BC25" i="144"/>
  <c r="AU26" i="144"/>
  <c r="AQ27" i="144"/>
  <c r="AI28" i="144"/>
  <c r="AA29" i="144"/>
  <c r="AE31" i="144"/>
  <c r="AI32" i="144"/>
  <c r="BO34" i="144"/>
  <c r="BO37" i="144"/>
  <c r="AM46" i="144"/>
  <c r="AU50" i="144"/>
  <c r="AQ55" i="144"/>
  <c r="AA82" i="144"/>
  <c r="AA70" i="144"/>
  <c r="AA58" i="144"/>
  <c r="AA46" i="144"/>
  <c r="AA34" i="144"/>
  <c r="AA22" i="144"/>
  <c r="AA77" i="144"/>
  <c r="AA65" i="144"/>
  <c r="AA53" i="144"/>
  <c r="AA41" i="144"/>
  <c r="AA72" i="144"/>
  <c r="AA60" i="144"/>
  <c r="AA48" i="144"/>
  <c r="AA79" i="144"/>
  <c r="AA67" i="144"/>
  <c r="AA55" i="144"/>
  <c r="AA43" i="144"/>
  <c r="AA74" i="144"/>
  <c r="AA62" i="144"/>
  <c r="AA50" i="144"/>
  <c r="AA38" i="144"/>
  <c r="AA81" i="144"/>
  <c r="AA69" i="144"/>
  <c r="AA57" i="144"/>
  <c r="AA45" i="144"/>
  <c r="AA33" i="144"/>
  <c r="AA76" i="144"/>
  <c r="AA64" i="144"/>
  <c r="AA52" i="144"/>
  <c r="AA40" i="144"/>
  <c r="AA28" i="144"/>
  <c r="AA71" i="144"/>
  <c r="AA59" i="144"/>
  <c r="AA47" i="144"/>
  <c r="AA35" i="144"/>
  <c r="AA78" i="144"/>
  <c r="AA66" i="144"/>
  <c r="AA54" i="144"/>
  <c r="AA42" i="144"/>
  <c r="AA73" i="144"/>
  <c r="AA61" i="144"/>
  <c r="AA49" i="144"/>
  <c r="AA80" i="144"/>
  <c r="AA68" i="144"/>
  <c r="AA56" i="144"/>
  <c r="AA44" i="144"/>
  <c r="AA32" i="144"/>
  <c r="AY76" i="144"/>
  <c r="AY64" i="144"/>
  <c r="AY52" i="144"/>
  <c r="AY40" i="144"/>
  <c r="AY28" i="144"/>
  <c r="AY71" i="144"/>
  <c r="AY59" i="144"/>
  <c r="AY47" i="144"/>
  <c r="AY78" i="144"/>
  <c r="AY66" i="144"/>
  <c r="AY54" i="144"/>
  <c r="AY42" i="144"/>
  <c r="AY73" i="144"/>
  <c r="AY61" i="144"/>
  <c r="AY49" i="144"/>
  <c r="AY37" i="144"/>
  <c r="AY80" i="144"/>
  <c r="AY68" i="144"/>
  <c r="AY56" i="144"/>
  <c r="AY44" i="144"/>
  <c r="AY75" i="144"/>
  <c r="AY63" i="144"/>
  <c r="AY51" i="144"/>
  <c r="AY39" i="144"/>
  <c r="AY82" i="144"/>
  <c r="AY70" i="144"/>
  <c r="AY58" i="144"/>
  <c r="AY46" i="144"/>
  <c r="AY34" i="144"/>
  <c r="AY77" i="144"/>
  <c r="AY65" i="144"/>
  <c r="AY53" i="144"/>
  <c r="AY41" i="144"/>
  <c r="AY72" i="144"/>
  <c r="AY60" i="144"/>
  <c r="AY48" i="144"/>
  <c r="AY79" i="144"/>
  <c r="AY67" i="144"/>
  <c r="AY55" i="144"/>
  <c r="AY74" i="144"/>
  <c r="AY62" i="144"/>
  <c r="AY50" i="144"/>
  <c r="AY38" i="144"/>
  <c r="AY26" i="144"/>
  <c r="BW82" i="144"/>
  <c r="BW70" i="144"/>
  <c r="BW58" i="144"/>
  <c r="BW46" i="144"/>
  <c r="BW34" i="144"/>
  <c r="BW22" i="144"/>
  <c r="BW77" i="144"/>
  <c r="BW65" i="144"/>
  <c r="BW53" i="144"/>
  <c r="BW41" i="144"/>
  <c r="BW72" i="144"/>
  <c r="BW60" i="144"/>
  <c r="BW48" i="144"/>
  <c r="BW36" i="144"/>
  <c r="BW79" i="144"/>
  <c r="BW67" i="144"/>
  <c r="BW55" i="144"/>
  <c r="BW43" i="144"/>
  <c r="BW74" i="144"/>
  <c r="BW62" i="144"/>
  <c r="BW50" i="144"/>
  <c r="BW38" i="144"/>
  <c r="BW81" i="144"/>
  <c r="BW69" i="144"/>
  <c r="BW57" i="144"/>
  <c r="BW45" i="144"/>
  <c r="BW33" i="144"/>
  <c r="BW76" i="144"/>
  <c r="BW64" i="144"/>
  <c r="BW52" i="144"/>
  <c r="BW40" i="144"/>
  <c r="BW28" i="144"/>
  <c r="BW71" i="144"/>
  <c r="BW59" i="144"/>
  <c r="BW47" i="144"/>
  <c r="BW35" i="144"/>
  <c r="BW78" i="144"/>
  <c r="BW66" i="144"/>
  <c r="BW54" i="144"/>
  <c r="BW42" i="144"/>
  <c r="BW73" i="144"/>
  <c r="BW61" i="144"/>
  <c r="BW49" i="144"/>
  <c r="BW80" i="144"/>
  <c r="BW68" i="144"/>
  <c r="BW56" i="144"/>
  <c r="BW44" i="144"/>
  <c r="BW32" i="144"/>
  <c r="AF5" i="144"/>
  <c r="AI5" i="144" s="1"/>
  <c r="BD5" i="144"/>
  <c r="BG5" i="144" s="1"/>
  <c r="N6" i="144"/>
  <c r="O6" i="144" s="1"/>
  <c r="Z6" i="144"/>
  <c r="AA6" i="144" s="1"/>
  <c r="AL6" i="144"/>
  <c r="AM6" i="144" s="1"/>
  <c r="AX6" i="144"/>
  <c r="AY6" i="144" s="1"/>
  <c r="BJ6" i="144"/>
  <c r="BK6" i="144" s="1"/>
  <c r="BV6" i="144"/>
  <c r="BW6" i="144" s="1"/>
  <c r="AY7" i="144"/>
  <c r="AE8" i="144"/>
  <c r="BG9" i="144"/>
  <c r="AM10" i="144"/>
  <c r="S11" i="144"/>
  <c r="BO11" i="144"/>
  <c r="AU12" i="144"/>
  <c r="AA13" i="144"/>
  <c r="BW13" i="144"/>
  <c r="BC14" i="144"/>
  <c r="AI15" i="144"/>
  <c r="O16" i="144"/>
  <c r="BK16" i="144"/>
  <c r="AQ17" i="144"/>
  <c r="W18" i="144"/>
  <c r="BS18" i="144"/>
  <c r="AY19" i="144"/>
  <c r="AI20" i="144"/>
  <c r="S21" i="144"/>
  <c r="BS21" i="144"/>
  <c r="BC22" i="144"/>
  <c r="AM23" i="144"/>
  <c r="W24" i="144"/>
  <c r="BW24" i="144"/>
  <c r="BG25" i="144"/>
  <c r="BC26" i="144"/>
  <c r="AY27" i="144"/>
  <c r="AM28" i="144"/>
  <c r="AI29" i="144"/>
  <c r="AE30" i="144"/>
  <c r="AI31" i="144"/>
  <c r="AY32" i="144"/>
  <c r="BG33" i="144"/>
  <c r="BS34" i="144"/>
  <c r="S36" i="144"/>
  <c r="BW37" i="144"/>
  <c r="O40" i="144"/>
  <c r="AQ43" i="144"/>
  <c r="S61" i="144"/>
  <c r="O66" i="144"/>
  <c r="BG71" i="144"/>
  <c r="BC76" i="144"/>
  <c r="AY81" i="144"/>
  <c r="X4" i="144"/>
  <c r="AV4" i="144"/>
  <c r="BT4" i="144"/>
  <c r="BC7" i="144"/>
  <c r="AI8" i="144"/>
  <c r="O9" i="144"/>
  <c r="BK9" i="144"/>
  <c r="AQ10" i="144"/>
  <c r="W11" i="144"/>
  <c r="BS11" i="144"/>
  <c r="AY12" i="144"/>
  <c r="BG14" i="144"/>
  <c r="AM15" i="144"/>
  <c r="S16" i="144"/>
  <c r="BO16" i="144"/>
  <c r="AU17" i="144"/>
  <c r="AA18" i="144"/>
  <c r="BW18" i="144"/>
  <c r="BC19" i="144"/>
  <c r="AM20" i="144"/>
  <c r="W21" i="144"/>
  <c r="BW21" i="144"/>
  <c r="BG22" i="144"/>
  <c r="AQ23" i="144"/>
  <c r="AA24" i="144"/>
  <c r="BO25" i="144"/>
  <c r="BG26" i="144"/>
  <c r="BC27" i="144"/>
  <c r="AQ28" i="144"/>
  <c r="AQ29" i="144"/>
  <c r="AQ30" i="144"/>
  <c r="AQ31" i="144"/>
  <c r="BC32" i="144"/>
  <c r="BK33" i="144"/>
  <c r="W36" i="144"/>
  <c r="AY43" i="144"/>
  <c r="S47" i="144"/>
  <c r="AA51" i="144"/>
  <c r="W56" i="144"/>
  <c r="BO61" i="144"/>
  <c r="BK66" i="144"/>
  <c r="AE77" i="144"/>
  <c r="AE65" i="144"/>
  <c r="AE53" i="144"/>
  <c r="AE41" i="144"/>
  <c r="AE29" i="144"/>
  <c r="AE72" i="144"/>
  <c r="AE60" i="144"/>
  <c r="AE48" i="144"/>
  <c r="AE79" i="144"/>
  <c r="AE67" i="144"/>
  <c r="AE55" i="144"/>
  <c r="AE43" i="144"/>
  <c r="AE74" i="144"/>
  <c r="AE62" i="144"/>
  <c r="AE50" i="144"/>
  <c r="AE38" i="144"/>
  <c r="AE81" i="144"/>
  <c r="AE69" i="144"/>
  <c r="AE57" i="144"/>
  <c r="AE45" i="144"/>
  <c r="AE76" i="144"/>
  <c r="AE64" i="144"/>
  <c r="AE52" i="144"/>
  <c r="AE40" i="144"/>
  <c r="AE71" i="144"/>
  <c r="AE59" i="144"/>
  <c r="AE47" i="144"/>
  <c r="AE35" i="144"/>
  <c r="AE78" i="144"/>
  <c r="AE66" i="144"/>
  <c r="AE54" i="144"/>
  <c r="AE42" i="144"/>
  <c r="AE73" i="144"/>
  <c r="AE61" i="144"/>
  <c r="AE49" i="144"/>
  <c r="AE37" i="144"/>
  <c r="AE80" i="144"/>
  <c r="AE68" i="144"/>
  <c r="AE56" i="144"/>
  <c r="AE75" i="144"/>
  <c r="AE63" i="144"/>
  <c r="AE51" i="144"/>
  <c r="AE39" i="144"/>
  <c r="AE27" i="144"/>
  <c r="BC71" i="144"/>
  <c r="BC59" i="144"/>
  <c r="BC47" i="144"/>
  <c r="BC35" i="144"/>
  <c r="BC23" i="144"/>
  <c r="BC78" i="144"/>
  <c r="BC66" i="144"/>
  <c r="BC54" i="144"/>
  <c r="BC42" i="144"/>
  <c r="BC73" i="144"/>
  <c r="BC61" i="144"/>
  <c r="BC49" i="144"/>
  <c r="BC37" i="144"/>
  <c r="BC80" i="144"/>
  <c r="BC68" i="144"/>
  <c r="BC56" i="144"/>
  <c r="BC44" i="144"/>
  <c r="BC75" i="144"/>
  <c r="BC63" i="144"/>
  <c r="BC51" i="144"/>
  <c r="BC39" i="144"/>
  <c r="BC82" i="144"/>
  <c r="BC70" i="144"/>
  <c r="BC58" i="144"/>
  <c r="BC46" i="144"/>
  <c r="BC34" i="144"/>
  <c r="BC77" i="144"/>
  <c r="BC65" i="144"/>
  <c r="BC53" i="144"/>
  <c r="BC41" i="144"/>
  <c r="BC29" i="144"/>
  <c r="BC72" i="144"/>
  <c r="BC60" i="144"/>
  <c r="BC48" i="144"/>
  <c r="BC36" i="144"/>
  <c r="BC79" i="144"/>
  <c r="BC67" i="144"/>
  <c r="BC55" i="144"/>
  <c r="BC43" i="144"/>
  <c r="BC74" i="144"/>
  <c r="BC62" i="144"/>
  <c r="BC50" i="144"/>
  <c r="BC81" i="144"/>
  <c r="BC69" i="144"/>
  <c r="BC57" i="144"/>
  <c r="BC45" i="144"/>
  <c r="BC33" i="144"/>
  <c r="L5" i="144"/>
  <c r="O5" i="144" s="1"/>
  <c r="AJ5" i="144"/>
  <c r="AM5" i="144" s="1"/>
  <c r="BH5" i="144"/>
  <c r="BK5" i="144" s="1"/>
  <c r="P6" i="144"/>
  <c r="AB6" i="144"/>
  <c r="AN6" i="144"/>
  <c r="AZ6" i="144"/>
  <c r="BL6" i="144"/>
  <c r="BG7" i="144"/>
  <c r="AM8" i="144"/>
  <c r="S9" i="144"/>
  <c r="BO9" i="144"/>
  <c r="AU10" i="144"/>
  <c r="AA11" i="144"/>
  <c r="BW11" i="144"/>
  <c r="BC12" i="144"/>
  <c r="AI13" i="144"/>
  <c r="O14" i="144"/>
  <c r="BK14" i="144"/>
  <c r="AQ15" i="144"/>
  <c r="W16" i="144"/>
  <c r="BS16" i="144"/>
  <c r="AY17" i="144"/>
  <c r="AE18" i="144"/>
  <c r="BG19" i="144"/>
  <c r="AQ20" i="144"/>
  <c r="AA21" i="144"/>
  <c r="BK22" i="144"/>
  <c r="AU23" i="144"/>
  <c r="AE24" i="144"/>
  <c r="S25" i="144"/>
  <c r="BW25" i="144"/>
  <c r="BK26" i="144"/>
  <c r="BG27" i="144"/>
  <c r="AU28" i="144"/>
  <c r="AU29" i="144"/>
  <c r="AU30" i="144"/>
  <c r="AY31" i="144"/>
  <c r="BG32" i="144"/>
  <c r="S35" i="144"/>
  <c r="AA36" i="144"/>
  <c r="AM38" i="144"/>
  <c r="BK40" i="144"/>
  <c r="BG47" i="144"/>
  <c r="BW51" i="144"/>
  <c r="BS56" i="144"/>
  <c r="AM72" i="144"/>
  <c r="AI77" i="144"/>
  <c r="AE82" i="144"/>
  <c r="AE70" i="143"/>
  <c r="AA82" i="143"/>
  <c r="AA70" i="143"/>
  <c r="AA58" i="143"/>
  <c r="AA46" i="143"/>
  <c r="AA77" i="143"/>
  <c r="AA65" i="143"/>
  <c r="AA53" i="143"/>
  <c r="AA41" i="143"/>
  <c r="AA72" i="143"/>
  <c r="AA60" i="143"/>
  <c r="AA48" i="143"/>
  <c r="AA36" i="143"/>
  <c r="AA24" i="143"/>
  <c r="AA79" i="143"/>
  <c r="AA67" i="143"/>
  <c r="AA55" i="143"/>
  <c r="AA43" i="143"/>
  <c r="AA31" i="143"/>
  <c r="AA74" i="143"/>
  <c r="AA62" i="143"/>
  <c r="AA50" i="143"/>
  <c r="AA38" i="143"/>
  <c r="AA81" i="143"/>
  <c r="AA69" i="143"/>
  <c r="AA57" i="143"/>
  <c r="AA45" i="143"/>
  <c r="AA33" i="143"/>
  <c r="AA21" i="143"/>
  <c r="AA76" i="143"/>
  <c r="AA64" i="143"/>
  <c r="AA52" i="143"/>
  <c r="AA40" i="143"/>
  <c r="AA71" i="143"/>
  <c r="AA59" i="143"/>
  <c r="AA47" i="143"/>
  <c r="AA78" i="143"/>
  <c r="AA66" i="143"/>
  <c r="AA54" i="143"/>
  <c r="AA42" i="143"/>
  <c r="AA30" i="143"/>
  <c r="AA73" i="143"/>
  <c r="AA61" i="143"/>
  <c r="AA49" i="143"/>
  <c r="AA37" i="143"/>
  <c r="AA25" i="143"/>
  <c r="AY76" i="143"/>
  <c r="AY64" i="143"/>
  <c r="AY52" i="143"/>
  <c r="AY40" i="143"/>
  <c r="AY71" i="143"/>
  <c r="AY59" i="143"/>
  <c r="AY47" i="143"/>
  <c r="AY35" i="143"/>
  <c r="AY78" i="143"/>
  <c r="AY66" i="143"/>
  <c r="AY54" i="143"/>
  <c r="AY42" i="143"/>
  <c r="AY30" i="143"/>
  <c r="AY73" i="143"/>
  <c r="AY61" i="143"/>
  <c r="AY49" i="143"/>
  <c r="AY37" i="143"/>
  <c r="AY25" i="143"/>
  <c r="AY80" i="143"/>
  <c r="AY68" i="143"/>
  <c r="AY56" i="143"/>
  <c r="AY44" i="143"/>
  <c r="AY32" i="143"/>
  <c r="AY75" i="143"/>
  <c r="AY63" i="143"/>
  <c r="AY51" i="143"/>
  <c r="AY39" i="143"/>
  <c r="AY27" i="143"/>
  <c r="AY82" i="143"/>
  <c r="AY70" i="143"/>
  <c r="AY58" i="143"/>
  <c r="AY46" i="143"/>
  <c r="AY34" i="143"/>
  <c r="AY77" i="143"/>
  <c r="AY65" i="143"/>
  <c r="AY53" i="143"/>
  <c r="AY41" i="143"/>
  <c r="AY72" i="143"/>
  <c r="AY60" i="143"/>
  <c r="AY48" i="143"/>
  <c r="AY36" i="143"/>
  <c r="AY79" i="143"/>
  <c r="AY67" i="143"/>
  <c r="AY55" i="143"/>
  <c r="AY43" i="143"/>
  <c r="AY31" i="143"/>
  <c r="BW82" i="143"/>
  <c r="BW70" i="143"/>
  <c r="BW58" i="143"/>
  <c r="BW46" i="143"/>
  <c r="BW34" i="143"/>
  <c r="BW77" i="143"/>
  <c r="BW65" i="143"/>
  <c r="BW53" i="143"/>
  <c r="BW41" i="143"/>
  <c r="BW72" i="143"/>
  <c r="BW60" i="143"/>
  <c r="BW48" i="143"/>
  <c r="BW36" i="143"/>
  <c r="BW24" i="143"/>
  <c r="BW79" i="143"/>
  <c r="BW67" i="143"/>
  <c r="BW55" i="143"/>
  <c r="BW43" i="143"/>
  <c r="BW31" i="143"/>
  <c r="BW74" i="143"/>
  <c r="BW62" i="143"/>
  <c r="BW50" i="143"/>
  <c r="BW38" i="143"/>
  <c r="BW81" i="143"/>
  <c r="BW69" i="143"/>
  <c r="BW57" i="143"/>
  <c r="BW45" i="143"/>
  <c r="BW33" i="143"/>
  <c r="BW21" i="143"/>
  <c r="BW76" i="143"/>
  <c r="BW64" i="143"/>
  <c r="BW52" i="143"/>
  <c r="BW40" i="143"/>
  <c r="BW71" i="143"/>
  <c r="BW59" i="143"/>
  <c r="BW47" i="143"/>
  <c r="BW78" i="143"/>
  <c r="BW66" i="143"/>
  <c r="BW54" i="143"/>
  <c r="BW42" i="143"/>
  <c r="BW30" i="143"/>
  <c r="BW73" i="143"/>
  <c r="BW61" i="143"/>
  <c r="BW49" i="143"/>
  <c r="BW37" i="143"/>
  <c r="BW25" i="143"/>
  <c r="AF5" i="143"/>
  <c r="AI5" i="143" s="1"/>
  <c r="BD5" i="143"/>
  <c r="BG5" i="143" s="1"/>
  <c r="N6" i="143"/>
  <c r="O6" i="143" s="1"/>
  <c r="Z6" i="143"/>
  <c r="AA6" i="143" s="1"/>
  <c r="AL6" i="143"/>
  <c r="AM6" i="143" s="1"/>
  <c r="AX6" i="143"/>
  <c r="AY6" i="143" s="1"/>
  <c r="BJ6" i="143"/>
  <c r="BK6" i="143" s="1"/>
  <c r="BV6" i="143"/>
  <c r="BW6" i="143" s="1"/>
  <c r="AY7" i="143"/>
  <c r="AE8" i="143"/>
  <c r="BG9" i="143"/>
  <c r="AM10" i="143"/>
  <c r="AU12" i="143"/>
  <c r="AA13" i="143"/>
  <c r="BW13" i="143"/>
  <c r="BC14" i="143"/>
  <c r="AI15" i="143"/>
  <c r="O16" i="143"/>
  <c r="BK16" i="143"/>
  <c r="W18" i="143"/>
  <c r="BS18" i="143"/>
  <c r="AY19" i="143"/>
  <c r="AI20" i="143"/>
  <c r="BW22" i="143"/>
  <c r="BS23" i="143"/>
  <c r="O26" i="143"/>
  <c r="W27" i="143"/>
  <c r="AI28" i="143"/>
  <c r="AM29" i="143"/>
  <c r="BG30" i="143"/>
  <c r="BS31" i="143"/>
  <c r="AU34" i="143"/>
  <c r="S37" i="143"/>
  <c r="BC40" i="143"/>
  <c r="AU43" i="143"/>
  <c r="AM53" i="143"/>
  <c r="BS56" i="143"/>
  <c r="AA63" i="143"/>
  <c r="BK66" i="143"/>
  <c r="BC69" i="143"/>
  <c r="S73" i="143"/>
  <c r="BC76" i="143"/>
  <c r="AU79" i="143"/>
  <c r="BC12" i="143"/>
  <c r="AE27" i="143"/>
  <c r="BC29" i="143"/>
  <c r="AB4" i="143"/>
  <c r="AZ4" i="143"/>
  <c r="Q6" i="143"/>
  <c r="AC6" i="143"/>
  <c r="AO6" i="143"/>
  <c r="BA6" i="143"/>
  <c r="BM6" i="143"/>
  <c r="O7" i="143"/>
  <c r="BK7" i="143"/>
  <c r="AQ8" i="143"/>
  <c r="W9" i="143"/>
  <c r="BS9" i="143"/>
  <c r="AY10" i="143"/>
  <c r="AE11" i="143"/>
  <c r="AM13" i="143"/>
  <c r="S14" i="143"/>
  <c r="BO14" i="143"/>
  <c r="AU15" i="143"/>
  <c r="AA16" i="143"/>
  <c r="BW16" i="143"/>
  <c r="BC17" i="143"/>
  <c r="AI18" i="143"/>
  <c r="O19" i="143"/>
  <c r="BK19" i="143"/>
  <c r="AY20" i="143"/>
  <c r="AI21" i="143"/>
  <c r="AA22" i="143"/>
  <c r="W23" i="143"/>
  <c r="S24" i="143"/>
  <c r="W25" i="143"/>
  <c r="AM26" i="143"/>
  <c r="AQ27" i="143"/>
  <c r="BC28" i="143"/>
  <c r="BK29" i="143"/>
  <c r="S32" i="143"/>
  <c r="AU33" i="143"/>
  <c r="O35" i="143"/>
  <c r="BS37" i="143"/>
  <c r="AI41" i="143"/>
  <c r="AA44" i="143"/>
  <c r="BK47" i="143"/>
  <c r="S54" i="143"/>
  <c r="AY57" i="143"/>
  <c r="AQ67" i="143"/>
  <c r="AI70" i="143"/>
  <c r="BS73" i="143"/>
  <c r="AA80" i="143"/>
  <c r="AI72" i="143"/>
  <c r="AI60" i="143"/>
  <c r="AI48" i="143"/>
  <c r="AI36" i="143"/>
  <c r="AI79" i="143"/>
  <c r="AI67" i="143"/>
  <c r="AI55" i="143"/>
  <c r="AI43" i="143"/>
  <c r="AI74" i="143"/>
  <c r="AI62" i="143"/>
  <c r="AI50" i="143"/>
  <c r="AI38" i="143"/>
  <c r="AI26" i="143"/>
  <c r="AI81" i="143"/>
  <c r="AI69" i="143"/>
  <c r="AI57" i="143"/>
  <c r="AI45" i="143"/>
  <c r="AI33" i="143"/>
  <c r="AI76" i="143"/>
  <c r="AI64" i="143"/>
  <c r="AI52" i="143"/>
  <c r="AI40" i="143"/>
  <c r="AI71" i="143"/>
  <c r="AI59" i="143"/>
  <c r="AI47" i="143"/>
  <c r="AI35" i="143"/>
  <c r="AI23" i="143"/>
  <c r="AI78" i="143"/>
  <c r="AI66" i="143"/>
  <c r="AI54" i="143"/>
  <c r="AI42" i="143"/>
  <c r="AI73" i="143"/>
  <c r="AI61" i="143"/>
  <c r="AI49" i="143"/>
  <c r="AI37" i="143"/>
  <c r="AI80" i="143"/>
  <c r="AI68" i="143"/>
  <c r="AI56" i="143"/>
  <c r="AI44" i="143"/>
  <c r="AI32" i="143"/>
  <c r="AI75" i="143"/>
  <c r="AI63" i="143"/>
  <c r="AI51" i="143"/>
  <c r="AI39" i="143"/>
  <c r="AI27" i="143"/>
  <c r="BG78" i="143"/>
  <c r="BG66" i="143"/>
  <c r="BG54" i="143"/>
  <c r="BG42" i="143"/>
  <c r="BG73" i="143"/>
  <c r="BG61" i="143"/>
  <c r="BG49" i="143"/>
  <c r="BG37" i="143"/>
  <c r="BG80" i="143"/>
  <c r="BG68" i="143"/>
  <c r="BG56" i="143"/>
  <c r="BG44" i="143"/>
  <c r="BG32" i="143"/>
  <c r="BG75" i="143"/>
  <c r="BG63" i="143"/>
  <c r="BG51" i="143"/>
  <c r="BG39" i="143"/>
  <c r="BG27" i="143"/>
  <c r="BG82" i="143"/>
  <c r="BG70" i="143"/>
  <c r="BG58" i="143"/>
  <c r="BG46" i="143"/>
  <c r="BG34" i="143"/>
  <c r="BG77" i="143"/>
  <c r="BG65" i="143"/>
  <c r="BG53" i="143"/>
  <c r="BG41" i="143"/>
  <c r="BG29" i="143"/>
  <c r="BG72" i="143"/>
  <c r="BG60" i="143"/>
  <c r="BG48" i="143"/>
  <c r="BG36" i="143"/>
  <c r="BG79" i="143"/>
  <c r="BG67" i="143"/>
  <c r="BG55" i="143"/>
  <c r="BG43" i="143"/>
  <c r="BG74" i="143"/>
  <c r="BG62" i="143"/>
  <c r="BG50" i="143"/>
  <c r="BG38" i="143"/>
  <c r="BG26" i="143"/>
  <c r="BG81" i="143"/>
  <c r="BG69" i="143"/>
  <c r="BG57" i="143"/>
  <c r="BG45" i="143"/>
  <c r="BG33" i="143"/>
  <c r="BG21" i="143"/>
  <c r="AD6" i="143"/>
  <c r="AE6" i="143" s="1"/>
  <c r="BB6" i="143"/>
  <c r="BC6" i="143" s="1"/>
  <c r="AU8" i="143"/>
  <c r="BC10" i="143"/>
  <c r="AI11" i="143"/>
  <c r="W14" i="143"/>
  <c r="BS14" i="143"/>
  <c r="AY15" i="143"/>
  <c r="AE16" i="143"/>
  <c r="BG17" i="143"/>
  <c r="AM18" i="143"/>
  <c r="BS19" i="143"/>
  <c r="BC20" i="143"/>
  <c r="AM21" i="143"/>
  <c r="AE22" i="143"/>
  <c r="AA23" i="143"/>
  <c r="AE24" i="143"/>
  <c r="AI25" i="143"/>
  <c r="AU27" i="143"/>
  <c r="BG28" i="143"/>
  <c r="BW29" i="143"/>
  <c r="O31" i="143"/>
  <c r="W32" i="143"/>
  <c r="AY33" i="143"/>
  <c r="AA35" i="143"/>
  <c r="AM41" i="143"/>
  <c r="BS44" i="143"/>
  <c r="AA51" i="143"/>
  <c r="BK54" i="143"/>
  <c r="BC57" i="143"/>
  <c r="S61" i="143"/>
  <c r="BC64" i="143"/>
  <c r="AU67" i="143"/>
  <c r="AM77" i="143"/>
  <c r="BS80" i="143"/>
  <c r="AZ6" i="143"/>
  <c r="AF4" i="143"/>
  <c r="BD4" i="143"/>
  <c r="W7" i="143"/>
  <c r="BS7" i="143"/>
  <c r="AY8" i="143"/>
  <c r="AE9" i="143"/>
  <c r="BG10" i="143"/>
  <c r="AM11" i="143"/>
  <c r="AU13" i="143"/>
  <c r="AA14" i="143"/>
  <c r="BW14" i="143"/>
  <c r="BC15" i="143"/>
  <c r="AI16" i="143"/>
  <c r="O17" i="143"/>
  <c r="W19" i="143"/>
  <c r="BW19" i="143"/>
  <c r="BG20" i="143"/>
  <c r="AI22" i="143"/>
  <c r="AE23" i="143"/>
  <c r="AI24" i="143"/>
  <c r="AM25" i="143"/>
  <c r="AU26" i="143"/>
  <c r="BC27" i="143"/>
  <c r="BS28" i="143"/>
  <c r="W31" i="143"/>
  <c r="AA32" i="143"/>
  <c r="BG35" i="143"/>
  <c r="AU38" i="143"/>
  <c r="BW44" i="143"/>
  <c r="AE51" i="143"/>
  <c r="BO54" i="143"/>
  <c r="W61" i="143"/>
  <c r="BG64" i="143"/>
  <c r="AU74" i="143"/>
  <c r="BW80" i="143"/>
  <c r="BC71" i="143"/>
  <c r="BC59" i="143"/>
  <c r="BC47" i="143"/>
  <c r="BC35" i="143"/>
  <c r="BC78" i="143"/>
  <c r="BC66" i="143"/>
  <c r="BC54" i="143"/>
  <c r="BC42" i="143"/>
  <c r="BC73" i="143"/>
  <c r="BC61" i="143"/>
  <c r="BC49" i="143"/>
  <c r="BC37" i="143"/>
  <c r="BC25" i="143"/>
  <c r="BC80" i="143"/>
  <c r="BC68" i="143"/>
  <c r="BC56" i="143"/>
  <c r="BC44" i="143"/>
  <c r="BC32" i="143"/>
  <c r="BC75" i="143"/>
  <c r="BC63" i="143"/>
  <c r="BC51" i="143"/>
  <c r="BC39" i="143"/>
  <c r="BC82" i="143"/>
  <c r="BC70" i="143"/>
  <c r="BC58" i="143"/>
  <c r="BC46" i="143"/>
  <c r="BC34" i="143"/>
  <c r="BC22" i="143"/>
  <c r="BC77" i="143"/>
  <c r="BC65" i="143"/>
  <c r="BC53" i="143"/>
  <c r="BC41" i="143"/>
  <c r="BC72" i="143"/>
  <c r="BC60" i="143"/>
  <c r="BC48" i="143"/>
  <c r="BC36" i="143"/>
  <c r="BC79" i="143"/>
  <c r="BC67" i="143"/>
  <c r="BC55" i="143"/>
  <c r="BC43" i="143"/>
  <c r="BC31" i="143"/>
  <c r="BC74" i="143"/>
  <c r="BC62" i="143"/>
  <c r="BC50" i="143"/>
  <c r="BC38" i="143"/>
  <c r="BC26" i="143"/>
  <c r="O73" i="143"/>
  <c r="O61" i="143"/>
  <c r="O49" i="143"/>
  <c r="O37" i="143"/>
  <c r="O80" i="143"/>
  <c r="O68" i="143"/>
  <c r="O56" i="143"/>
  <c r="O44" i="143"/>
  <c r="O75" i="143"/>
  <c r="O63" i="143"/>
  <c r="O51" i="143"/>
  <c r="O39" i="143"/>
  <c r="O27" i="143"/>
  <c r="O82" i="143"/>
  <c r="O70" i="143"/>
  <c r="O58" i="143"/>
  <c r="O46" i="143"/>
  <c r="O34" i="143"/>
  <c r="O22" i="143"/>
  <c r="O77" i="143"/>
  <c r="O65" i="143"/>
  <c r="O53" i="143"/>
  <c r="O41" i="143"/>
  <c r="O72" i="143"/>
  <c r="O60" i="143"/>
  <c r="O48" i="143"/>
  <c r="O36" i="143"/>
  <c r="O24" i="143"/>
  <c r="O79" i="143"/>
  <c r="O67" i="143"/>
  <c r="O55" i="143"/>
  <c r="O43" i="143"/>
  <c r="O74" i="143"/>
  <c r="O62" i="143"/>
  <c r="O50" i="143"/>
  <c r="O38" i="143"/>
  <c r="O81" i="143"/>
  <c r="O69" i="143"/>
  <c r="O57" i="143"/>
  <c r="O45" i="143"/>
  <c r="O33" i="143"/>
  <c r="O76" i="143"/>
  <c r="O64" i="143"/>
  <c r="O52" i="143"/>
  <c r="O40" i="143"/>
  <c r="O28" i="143"/>
  <c r="AM79" i="143"/>
  <c r="AM67" i="143"/>
  <c r="AM55" i="143"/>
  <c r="AM43" i="143"/>
  <c r="AM74" i="143"/>
  <c r="AM62" i="143"/>
  <c r="AM50" i="143"/>
  <c r="AM38" i="143"/>
  <c r="AM81" i="143"/>
  <c r="AM69" i="143"/>
  <c r="AM57" i="143"/>
  <c r="AM45" i="143"/>
  <c r="AM33" i="143"/>
  <c r="AM76" i="143"/>
  <c r="AM64" i="143"/>
  <c r="AM52" i="143"/>
  <c r="AM40" i="143"/>
  <c r="AM28" i="143"/>
  <c r="AM71" i="143"/>
  <c r="AM59" i="143"/>
  <c r="AM47" i="143"/>
  <c r="AM35" i="143"/>
  <c r="AM78" i="143"/>
  <c r="AM66" i="143"/>
  <c r="AM54" i="143"/>
  <c r="AM42" i="143"/>
  <c r="AM30" i="143"/>
  <c r="AM73" i="143"/>
  <c r="AM61" i="143"/>
  <c r="AM49" i="143"/>
  <c r="AM37" i="143"/>
  <c r="AM80" i="143"/>
  <c r="AM68" i="143"/>
  <c r="AM56" i="143"/>
  <c r="AM44" i="143"/>
  <c r="AM75" i="143"/>
  <c r="AM63" i="143"/>
  <c r="AM51" i="143"/>
  <c r="AM39" i="143"/>
  <c r="AM27" i="143"/>
  <c r="AM82" i="143"/>
  <c r="AM70" i="143"/>
  <c r="AM58" i="143"/>
  <c r="AM46" i="143"/>
  <c r="AM34" i="143"/>
  <c r="AM22" i="143"/>
  <c r="BK73" i="143"/>
  <c r="BK61" i="143"/>
  <c r="BK49" i="143"/>
  <c r="BK37" i="143"/>
  <c r="BK80" i="143"/>
  <c r="BK68" i="143"/>
  <c r="BK56" i="143"/>
  <c r="BK44" i="143"/>
  <c r="BK75" i="143"/>
  <c r="BK63" i="143"/>
  <c r="BK51" i="143"/>
  <c r="BK39" i="143"/>
  <c r="BK27" i="143"/>
  <c r="BK82" i="143"/>
  <c r="BK70" i="143"/>
  <c r="BK58" i="143"/>
  <c r="BK46" i="143"/>
  <c r="BK34" i="143"/>
  <c r="BK22" i="143"/>
  <c r="BK77" i="143"/>
  <c r="BK65" i="143"/>
  <c r="BK53" i="143"/>
  <c r="BK41" i="143"/>
  <c r="BK72" i="143"/>
  <c r="BK60" i="143"/>
  <c r="BK48" i="143"/>
  <c r="BK36" i="143"/>
  <c r="BK24" i="143"/>
  <c r="BK79" i="143"/>
  <c r="BK67" i="143"/>
  <c r="BK55" i="143"/>
  <c r="BK43" i="143"/>
  <c r="BK74" i="143"/>
  <c r="BK62" i="143"/>
  <c r="BK50" i="143"/>
  <c r="BK38" i="143"/>
  <c r="BK81" i="143"/>
  <c r="BK69" i="143"/>
  <c r="BK57" i="143"/>
  <c r="BK45" i="143"/>
  <c r="BK33" i="143"/>
  <c r="BK76" i="143"/>
  <c r="BK64" i="143"/>
  <c r="BK52" i="143"/>
  <c r="BK40" i="143"/>
  <c r="BK28" i="143"/>
  <c r="T5" i="143"/>
  <c r="W5" i="143" s="1"/>
  <c r="AR5" i="143"/>
  <c r="AU5" i="143" s="1"/>
  <c r="BP5" i="143"/>
  <c r="BS5" i="143" s="1"/>
  <c r="T6" i="143"/>
  <c r="AF6" i="143"/>
  <c r="AR6" i="143"/>
  <c r="BD6" i="143"/>
  <c r="BP6" i="143"/>
  <c r="AA7" i="143"/>
  <c r="BW7" i="143"/>
  <c r="BC8" i="143"/>
  <c r="AI9" i="143"/>
  <c r="O10" i="143"/>
  <c r="BK10" i="143"/>
  <c r="W12" i="143"/>
  <c r="BS12" i="143"/>
  <c r="AY13" i="143"/>
  <c r="AE14" i="143"/>
  <c r="BG15" i="143"/>
  <c r="AM16" i="143"/>
  <c r="AU18" i="143"/>
  <c r="AA19" i="143"/>
  <c r="BK20" i="143"/>
  <c r="AU21" i="143"/>
  <c r="AQ22" i="143"/>
  <c r="AM23" i="143"/>
  <c r="AM24" i="143"/>
  <c r="AU25" i="143"/>
  <c r="AY26" i="143"/>
  <c r="BO27" i="143"/>
  <c r="BW28" i="143"/>
  <c r="O30" i="143"/>
  <c r="AI31" i="143"/>
  <c r="AM32" i="143"/>
  <c r="BO33" i="143"/>
  <c r="BK35" i="143"/>
  <c r="AY38" i="143"/>
  <c r="O42" i="143"/>
  <c r="AQ48" i="143"/>
  <c r="BW51" i="143"/>
  <c r="AE58" i="143"/>
  <c r="W68" i="143"/>
  <c r="BG71" i="143"/>
  <c r="AY74" i="143"/>
  <c r="O78" i="143"/>
  <c r="L4" i="143"/>
  <c r="AJ4" i="143"/>
  <c r="BH4" i="143"/>
  <c r="U6" i="143"/>
  <c r="AG6" i="143"/>
  <c r="AS6" i="143"/>
  <c r="BE6" i="143"/>
  <c r="BQ6" i="143"/>
  <c r="AE7" i="143"/>
  <c r="BG8" i="143"/>
  <c r="AM9" i="143"/>
  <c r="AU11" i="143"/>
  <c r="AA12" i="143"/>
  <c r="BW12" i="143"/>
  <c r="BC13" i="143"/>
  <c r="AI14" i="143"/>
  <c r="O15" i="143"/>
  <c r="BK15" i="143"/>
  <c r="W17" i="143"/>
  <c r="BS17" i="143"/>
  <c r="AY18" i="143"/>
  <c r="AE19" i="143"/>
  <c r="O20" i="143"/>
  <c r="AY21" i="143"/>
  <c r="AU22" i="143"/>
  <c r="AU23" i="143"/>
  <c r="AQ24" i="143"/>
  <c r="BG25" i="143"/>
  <c r="BK26" i="143"/>
  <c r="BS27" i="143"/>
  <c r="S30" i="143"/>
  <c r="AM31" i="143"/>
  <c r="AQ32" i="143"/>
  <c r="BW35" i="143"/>
  <c r="S42" i="143"/>
  <c r="AY45" i="143"/>
  <c r="AI58" i="143"/>
  <c r="BS61" i="143"/>
  <c r="AI65" i="143"/>
  <c r="AA68" i="143"/>
  <c r="BK71" i="143"/>
  <c r="AY81" i="143"/>
  <c r="AE18" i="143"/>
  <c r="AE21" i="143"/>
  <c r="S80" i="143"/>
  <c r="S68" i="143"/>
  <c r="S56" i="143"/>
  <c r="S44" i="143"/>
  <c r="S75" i="143"/>
  <c r="S63" i="143"/>
  <c r="S51" i="143"/>
  <c r="S39" i="143"/>
  <c r="S82" i="143"/>
  <c r="S70" i="143"/>
  <c r="S58" i="143"/>
  <c r="S46" i="143"/>
  <c r="S34" i="143"/>
  <c r="S77" i="143"/>
  <c r="S65" i="143"/>
  <c r="S53" i="143"/>
  <c r="S41" i="143"/>
  <c r="S29" i="143"/>
  <c r="S72" i="143"/>
  <c r="S60" i="143"/>
  <c r="S48" i="143"/>
  <c r="S36" i="143"/>
  <c r="S79" i="143"/>
  <c r="S67" i="143"/>
  <c r="S55" i="143"/>
  <c r="S43" i="143"/>
  <c r="S31" i="143"/>
  <c r="S74" i="143"/>
  <c r="S62" i="143"/>
  <c r="S50" i="143"/>
  <c r="S38" i="143"/>
  <c r="S81" i="143"/>
  <c r="S69" i="143"/>
  <c r="S57" i="143"/>
  <c r="S45" i="143"/>
  <c r="S76" i="143"/>
  <c r="S64" i="143"/>
  <c r="S52" i="143"/>
  <c r="S40" i="143"/>
  <c r="S28" i="143"/>
  <c r="S71" i="143"/>
  <c r="S59" i="143"/>
  <c r="S47" i="143"/>
  <c r="S35" i="143"/>
  <c r="S23" i="143"/>
  <c r="AQ74" i="143"/>
  <c r="AQ62" i="143"/>
  <c r="AQ50" i="143"/>
  <c r="AQ38" i="143"/>
  <c r="AQ81" i="143"/>
  <c r="AQ69" i="143"/>
  <c r="AQ57" i="143"/>
  <c r="AQ45" i="143"/>
  <c r="AQ76" i="143"/>
  <c r="AQ64" i="143"/>
  <c r="AQ52" i="143"/>
  <c r="AQ40" i="143"/>
  <c r="AQ28" i="143"/>
  <c r="AQ71" i="143"/>
  <c r="AQ59" i="143"/>
  <c r="AQ47" i="143"/>
  <c r="AQ35" i="143"/>
  <c r="AQ23" i="143"/>
  <c r="AQ78" i="143"/>
  <c r="AQ66" i="143"/>
  <c r="AQ54" i="143"/>
  <c r="AQ42" i="143"/>
  <c r="AQ73" i="143"/>
  <c r="AQ61" i="143"/>
  <c r="AQ49" i="143"/>
  <c r="AQ37" i="143"/>
  <c r="AQ25" i="143"/>
  <c r="AQ80" i="143"/>
  <c r="AQ68" i="143"/>
  <c r="AQ56" i="143"/>
  <c r="AQ44" i="143"/>
  <c r="AQ75" i="143"/>
  <c r="AQ63" i="143"/>
  <c r="AQ51" i="143"/>
  <c r="AQ39" i="143"/>
  <c r="AQ82" i="143"/>
  <c r="AQ70" i="143"/>
  <c r="AQ58" i="143"/>
  <c r="AQ46" i="143"/>
  <c r="AQ34" i="143"/>
  <c r="AQ77" i="143"/>
  <c r="AQ65" i="143"/>
  <c r="AQ53" i="143"/>
  <c r="AQ41" i="143"/>
  <c r="AQ29" i="143"/>
  <c r="BO80" i="143"/>
  <c r="BO68" i="143"/>
  <c r="BO56" i="143"/>
  <c r="BO44" i="143"/>
  <c r="BO75" i="143"/>
  <c r="BO63" i="143"/>
  <c r="BO51" i="143"/>
  <c r="BO39" i="143"/>
  <c r="BO82" i="143"/>
  <c r="BO70" i="143"/>
  <c r="BO58" i="143"/>
  <c r="BO46" i="143"/>
  <c r="BO34" i="143"/>
  <c r="BO77" i="143"/>
  <c r="BO65" i="143"/>
  <c r="BO53" i="143"/>
  <c r="BO41" i="143"/>
  <c r="BO29" i="143"/>
  <c r="BO72" i="143"/>
  <c r="BO60" i="143"/>
  <c r="BO48" i="143"/>
  <c r="BO36" i="143"/>
  <c r="BO79" i="143"/>
  <c r="BO67" i="143"/>
  <c r="BO55" i="143"/>
  <c r="BO43" i="143"/>
  <c r="BO31" i="143"/>
  <c r="BO19" i="143"/>
  <c r="BO74" i="143"/>
  <c r="BO62" i="143"/>
  <c r="BO50" i="143"/>
  <c r="BO38" i="143"/>
  <c r="BO81" i="143"/>
  <c r="BO69" i="143"/>
  <c r="BO57" i="143"/>
  <c r="BO45" i="143"/>
  <c r="BO76" i="143"/>
  <c r="BO64" i="143"/>
  <c r="BO52" i="143"/>
  <c r="BO40" i="143"/>
  <c r="BO28" i="143"/>
  <c r="BO71" i="143"/>
  <c r="BO59" i="143"/>
  <c r="BO47" i="143"/>
  <c r="BO35" i="143"/>
  <c r="BO23" i="143"/>
  <c r="X5" i="143"/>
  <c r="AA5" i="143" s="1"/>
  <c r="AV5" i="143"/>
  <c r="AY5" i="143" s="1"/>
  <c r="BT5" i="143"/>
  <c r="BW5" i="143" s="1"/>
  <c r="V6" i="143"/>
  <c r="W6" i="143" s="1"/>
  <c r="AH6" i="143"/>
  <c r="AI6" i="143" s="1"/>
  <c r="AT6" i="143"/>
  <c r="AU6" i="143" s="1"/>
  <c r="BF6" i="143"/>
  <c r="BG6" i="143" s="1"/>
  <c r="BR6" i="143"/>
  <c r="BS6" i="143" s="1"/>
  <c r="AI7" i="143"/>
  <c r="O8" i="143"/>
  <c r="BK8" i="143"/>
  <c r="AQ9" i="143"/>
  <c r="W10" i="143"/>
  <c r="BS10" i="143"/>
  <c r="AY11" i="143"/>
  <c r="AE12" i="143"/>
  <c r="BG13" i="143"/>
  <c r="AM14" i="143"/>
  <c r="S15" i="143"/>
  <c r="BO15" i="143"/>
  <c r="AU16" i="143"/>
  <c r="AA17" i="143"/>
  <c r="BW17" i="143"/>
  <c r="BC18" i="143"/>
  <c r="AI19" i="143"/>
  <c r="S20" i="143"/>
  <c r="BS20" i="143"/>
  <c r="BC21" i="143"/>
  <c r="AY22" i="143"/>
  <c r="AY23" i="143"/>
  <c r="AY24" i="143"/>
  <c r="BK25" i="143"/>
  <c r="BO26" i="143"/>
  <c r="BW27" i="143"/>
  <c r="O29" i="143"/>
  <c r="AE30" i="143"/>
  <c r="AQ31" i="143"/>
  <c r="BK32" i="143"/>
  <c r="W34" i="143"/>
  <c r="AA39" i="143"/>
  <c r="BK42" i="143"/>
  <c r="BC45" i="143"/>
  <c r="S49" i="143"/>
  <c r="BC52" i="143"/>
  <c r="AU55" i="143"/>
  <c r="AM65" i="143"/>
  <c r="BS68" i="143"/>
  <c r="AA75" i="143"/>
  <c r="BK78" i="143"/>
  <c r="BC81" i="143"/>
  <c r="AM7" i="143"/>
  <c r="S8" i="143"/>
  <c r="BO8" i="143"/>
  <c r="AU9" i="143"/>
  <c r="AA10" i="143"/>
  <c r="BW10" i="143"/>
  <c r="BC11" i="143"/>
  <c r="AI12" i="143"/>
  <c r="O13" i="143"/>
  <c r="BK13" i="143"/>
  <c r="AQ14" i="143"/>
  <c r="W15" i="143"/>
  <c r="AY16" i="143"/>
  <c r="AE17" i="143"/>
  <c r="BG18" i="143"/>
  <c r="AM19" i="143"/>
  <c r="W20" i="143"/>
  <c r="BW20" i="143"/>
  <c r="BK21" i="143"/>
  <c r="BG22" i="143"/>
  <c r="BC23" i="143"/>
  <c r="BC24" i="143"/>
  <c r="BO25" i="143"/>
  <c r="BW26" i="143"/>
  <c r="AA29" i="143"/>
  <c r="AI30" i="143"/>
  <c r="AU31" i="143"/>
  <c r="BO32" i="143"/>
  <c r="AA34" i="143"/>
  <c r="AM36" i="143"/>
  <c r="AE39" i="143"/>
  <c r="BO42" i="143"/>
  <c r="BG52" i="143"/>
  <c r="O59" i="143"/>
  <c r="BW68" i="143"/>
  <c r="AM72" i="143"/>
  <c r="AE75" i="143"/>
  <c r="BO78" i="143"/>
  <c r="W75" i="143"/>
  <c r="W63" i="143"/>
  <c r="W51" i="143"/>
  <c r="W39" i="143"/>
  <c r="W82" i="143"/>
  <c r="W70" i="143"/>
  <c r="W58" i="143"/>
  <c r="W46" i="143"/>
  <c r="W77" i="143"/>
  <c r="W65" i="143"/>
  <c r="W53" i="143"/>
  <c r="W41" i="143"/>
  <c r="W29" i="143"/>
  <c r="W72" i="143"/>
  <c r="W60" i="143"/>
  <c r="W48" i="143"/>
  <c r="W36" i="143"/>
  <c r="W24" i="143"/>
  <c r="W79" i="143"/>
  <c r="W67" i="143"/>
  <c r="W55" i="143"/>
  <c r="W43" i="143"/>
  <c r="W74" i="143"/>
  <c r="W62" i="143"/>
  <c r="W50" i="143"/>
  <c r="W38" i="143"/>
  <c r="W26" i="143"/>
  <c r="W81" i="143"/>
  <c r="W69" i="143"/>
  <c r="W57" i="143"/>
  <c r="W45" i="143"/>
  <c r="W33" i="143"/>
  <c r="W76" i="143"/>
  <c r="W64" i="143"/>
  <c r="W52" i="143"/>
  <c r="W40" i="143"/>
  <c r="W71" i="143"/>
  <c r="W59" i="143"/>
  <c r="W47" i="143"/>
  <c r="W35" i="143"/>
  <c r="W78" i="143"/>
  <c r="W66" i="143"/>
  <c r="W54" i="143"/>
  <c r="W42" i="143"/>
  <c r="W30" i="143"/>
  <c r="AU81" i="143"/>
  <c r="AU69" i="143"/>
  <c r="AU57" i="143"/>
  <c r="AU45" i="143"/>
  <c r="AU76" i="143"/>
  <c r="AU64" i="143"/>
  <c r="AU52" i="143"/>
  <c r="AU40" i="143"/>
  <c r="AU71" i="143"/>
  <c r="AU59" i="143"/>
  <c r="AU47" i="143"/>
  <c r="AU35" i="143"/>
  <c r="AU78" i="143"/>
  <c r="AU66" i="143"/>
  <c r="AU54" i="143"/>
  <c r="AU42" i="143"/>
  <c r="AU30" i="143"/>
  <c r="AU73" i="143"/>
  <c r="AU61" i="143"/>
  <c r="AU49" i="143"/>
  <c r="AU37" i="143"/>
  <c r="AU80" i="143"/>
  <c r="AU68" i="143"/>
  <c r="AU56" i="143"/>
  <c r="AU44" i="143"/>
  <c r="AU32" i="143"/>
  <c r="AU20" i="143"/>
  <c r="AU75" i="143"/>
  <c r="AU63" i="143"/>
  <c r="AU51" i="143"/>
  <c r="AU39" i="143"/>
  <c r="AU82" i="143"/>
  <c r="AU70" i="143"/>
  <c r="AU58" i="143"/>
  <c r="AU46" i="143"/>
  <c r="AU77" i="143"/>
  <c r="AU65" i="143"/>
  <c r="AU53" i="143"/>
  <c r="AU41" i="143"/>
  <c r="AU29" i="143"/>
  <c r="AU72" i="143"/>
  <c r="AU60" i="143"/>
  <c r="AU48" i="143"/>
  <c r="AU36" i="143"/>
  <c r="AU24" i="143"/>
  <c r="BS75" i="143"/>
  <c r="BS63" i="143"/>
  <c r="BS51" i="143"/>
  <c r="BS39" i="143"/>
  <c r="BS82" i="143"/>
  <c r="BS70" i="143"/>
  <c r="BS58" i="143"/>
  <c r="BS46" i="143"/>
  <c r="BS77" i="143"/>
  <c r="BS65" i="143"/>
  <c r="BS53" i="143"/>
  <c r="BS41" i="143"/>
  <c r="BS29" i="143"/>
  <c r="BS72" i="143"/>
  <c r="BS60" i="143"/>
  <c r="BS48" i="143"/>
  <c r="BS36" i="143"/>
  <c r="BS24" i="143"/>
  <c r="BS79" i="143"/>
  <c r="BS67" i="143"/>
  <c r="BS55" i="143"/>
  <c r="BS43" i="143"/>
  <c r="BS74" i="143"/>
  <c r="BS62" i="143"/>
  <c r="BS50" i="143"/>
  <c r="BS38" i="143"/>
  <c r="BS26" i="143"/>
  <c r="BS81" i="143"/>
  <c r="BS69" i="143"/>
  <c r="BS57" i="143"/>
  <c r="BS45" i="143"/>
  <c r="BS33" i="143"/>
  <c r="BS76" i="143"/>
  <c r="BS64" i="143"/>
  <c r="BS52" i="143"/>
  <c r="BS40" i="143"/>
  <c r="BS71" i="143"/>
  <c r="BS59" i="143"/>
  <c r="BS47" i="143"/>
  <c r="BS35" i="143"/>
  <c r="BS78" i="143"/>
  <c r="BS66" i="143"/>
  <c r="BS54" i="143"/>
  <c r="BS42" i="143"/>
  <c r="BS30" i="143"/>
  <c r="AB5" i="143"/>
  <c r="AE5" i="143" s="1"/>
  <c r="AZ5" i="143"/>
  <c r="BC5" i="143" s="1"/>
  <c r="W8" i="143"/>
  <c r="BS8" i="143"/>
  <c r="AE10" i="143"/>
  <c r="BG11" i="143"/>
  <c r="AU14" i="143"/>
  <c r="AA15" i="143"/>
  <c r="BW15" i="143"/>
  <c r="BC16" i="143"/>
  <c r="AI17" i="143"/>
  <c r="O18" i="143"/>
  <c r="BK18" i="143"/>
  <c r="AA20" i="143"/>
  <c r="BG23" i="143"/>
  <c r="BG24" i="143"/>
  <c r="BS25" i="143"/>
  <c r="W28" i="143"/>
  <c r="AE29" i="143"/>
  <c r="AQ30" i="143"/>
  <c r="BG31" i="143"/>
  <c r="BS32" i="143"/>
  <c r="AE34" i="143"/>
  <c r="AQ36" i="143"/>
  <c r="BW39" i="143"/>
  <c r="AE46" i="143"/>
  <c r="BO49" i="143"/>
  <c r="W56" i="143"/>
  <c r="BG59" i="143"/>
  <c r="AY62" i="143"/>
  <c r="O66" i="143"/>
  <c r="AQ72" i="143"/>
  <c r="BW75" i="143"/>
  <c r="AE77" i="143"/>
  <c r="AE65" i="143"/>
  <c r="AE53" i="143"/>
  <c r="AE41" i="143"/>
  <c r="AE72" i="143"/>
  <c r="AE60" i="143"/>
  <c r="AE48" i="143"/>
  <c r="AE36" i="143"/>
  <c r="AE79" i="143"/>
  <c r="AE67" i="143"/>
  <c r="AE55" i="143"/>
  <c r="AE43" i="143"/>
  <c r="AE31" i="143"/>
  <c r="AE74" i="143"/>
  <c r="AE62" i="143"/>
  <c r="AE50" i="143"/>
  <c r="AE38" i="143"/>
  <c r="AE26" i="143"/>
  <c r="AE81" i="143"/>
  <c r="AE69" i="143"/>
  <c r="AE57" i="143"/>
  <c r="AE45" i="143"/>
  <c r="AE33" i="143"/>
  <c r="AE76" i="143"/>
  <c r="AE64" i="143"/>
  <c r="AE52" i="143"/>
  <c r="AE40" i="143"/>
  <c r="AE28" i="143"/>
  <c r="AE71" i="143"/>
  <c r="AE59" i="143"/>
  <c r="AE47" i="143"/>
  <c r="AE35" i="143"/>
  <c r="AE78" i="143"/>
  <c r="AE66" i="143"/>
  <c r="AE54" i="143"/>
  <c r="AE42" i="143"/>
  <c r="AE73" i="143"/>
  <c r="AE61" i="143"/>
  <c r="AE49" i="143"/>
  <c r="AE37" i="143"/>
  <c r="AE25" i="143"/>
  <c r="AE80" i="143"/>
  <c r="AE68" i="143"/>
  <c r="AE56" i="143"/>
  <c r="AE44" i="143"/>
  <c r="AE32" i="143"/>
  <c r="AB6" i="143"/>
  <c r="T4" i="143"/>
  <c r="AR4" i="143"/>
  <c r="BP4" i="143"/>
  <c r="M6" i="143"/>
  <c r="Y6" i="143"/>
  <c r="AK6" i="143"/>
  <c r="AW6" i="143"/>
  <c r="BI6" i="143"/>
  <c r="BU6" i="143"/>
  <c r="AU7" i="143"/>
  <c r="AA8" i="143"/>
  <c r="BW8" i="143"/>
  <c r="BC9" i="143"/>
  <c r="AI10" i="143"/>
  <c r="O11" i="143"/>
  <c r="BK11" i="143"/>
  <c r="W13" i="143"/>
  <c r="BS13" i="143"/>
  <c r="AY14" i="143"/>
  <c r="AE15" i="143"/>
  <c r="BG16" i="143"/>
  <c r="AM17" i="143"/>
  <c r="AU19" i="143"/>
  <c r="AE20" i="143"/>
  <c r="O21" i="143"/>
  <c r="BS21" i="143"/>
  <c r="BS22" i="143"/>
  <c r="BK23" i="143"/>
  <c r="BO24" i="143"/>
  <c r="S27" i="143"/>
  <c r="AA28" i="143"/>
  <c r="AI29" i="143"/>
  <c r="BC30" i="143"/>
  <c r="BK31" i="143"/>
  <c r="BW32" i="143"/>
  <c r="AI34" i="143"/>
  <c r="AQ43" i="143"/>
  <c r="AI46" i="143"/>
  <c r="BS49" i="143"/>
  <c r="AI53" i="143"/>
  <c r="AA56" i="143"/>
  <c r="BK59" i="143"/>
  <c r="S66" i="143"/>
  <c r="AY69" i="143"/>
  <c r="AQ79" i="143"/>
  <c r="AI82" i="143"/>
  <c r="O73" i="142"/>
  <c r="O61" i="142"/>
  <c r="O49" i="142"/>
  <c r="O37" i="142"/>
  <c r="O80" i="142"/>
  <c r="O68" i="142"/>
  <c r="O56" i="142"/>
  <c r="O75" i="142"/>
  <c r="O63" i="142"/>
  <c r="O51" i="142"/>
  <c r="O82" i="142"/>
  <c r="O70" i="142"/>
  <c r="O58" i="142"/>
  <c r="O46" i="142"/>
  <c r="O34" i="142"/>
  <c r="O77" i="142"/>
  <c r="O65" i="142"/>
  <c r="O53" i="142"/>
  <c r="O41" i="142"/>
  <c r="O29" i="142"/>
  <c r="O72" i="142"/>
  <c r="O60" i="142"/>
  <c r="O48" i="142"/>
  <c r="O36" i="142"/>
  <c r="O24" i="142"/>
  <c r="O79" i="142"/>
  <c r="O67" i="142"/>
  <c r="O55" i="142"/>
  <c r="O74" i="142"/>
  <c r="O62" i="142"/>
  <c r="O50" i="142"/>
  <c r="O38" i="142"/>
  <c r="O81" i="142"/>
  <c r="O69" i="142"/>
  <c r="O57" i="142"/>
  <c r="O76" i="142"/>
  <c r="O64" i="142"/>
  <c r="O52" i="142"/>
  <c r="O71" i="142"/>
  <c r="O59" i="142"/>
  <c r="O47" i="142"/>
  <c r="O35" i="142"/>
  <c r="O23" i="142"/>
  <c r="AM79" i="142"/>
  <c r="AM67" i="142"/>
  <c r="AM55" i="142"/>
  <c r="AM43" i="142"/>
  <c r="AM31" i="142"/>
  <c r="AM74" i="142"/>
  <c r="AM62" i="142"/>
  <c r="AM50" i="142"/>
  <c r="AM81" i="142"/>
  <c r="AM69" i="142"/>
  <c r="AM57" i="142"/>
  <c r="AM76" i="142"/>
  <c r="AM64" i="142"/>
  <c r="AM52" i="142"/>
  <c r="AM40" i="142"/>
  <c r="AM71" i="142"/>
  <c r="AM59" i="142"/>
  <c r="AM47" i="142"/>
  <c r="AM35" i="142"/>
  <c r="AM23" i="142"/>
  <c r="AM78" i="142"/>
  <c r="AM66" i="142"/>
  <c r="AM54" i="142"/>
  <c r="AM42" i="142"/>
  <c r="AM30" i="142"/>
  <c r="AM73" i="142"/>
  <c r="AM61" i="142"/>
  <c r="AM80" i="142"/>
  <c r="AM68" i="142"/>
  <c r="AM56" i="142"/>
  <c r="AM44" i="142"/>
  <c r="AM32" i="142"/>
  <c r="AM75" i="142"/>
  <c r="AM63" i="142"/>
  <c r="AM51" i="142"/>
  <c r="AM82" i="142"/>
  <c r="AM70" i="142"/>
  <c r="AM58" i="142"/>
  <c r="AM77" i="142"/>
  <c r="AM65" i="142"/>
  <c r="AM53" i="142"/>
  <c r="AM41" i="142"/>
  <c r="AM29" i="142"/>
  <c r="BK73" i="142"/>
  <c r="BK61" i="142"/>
  <c r="BK49" i="142"/>
  <c r="BK37" i="142"/>
  <c r="BK80" i="142"/>
  <c r="BK68" i="142"/>
  <c r="BK56" i="142"/>
  <c r="BK75" i="142"/>
  <c r="BK63" i="142"/>
  <c r="BK51" i="142"/>
  <c r="BK82" i="142"/>
  <c r="BK70" i="142"/>
  <c r="BK58" i="142"/>
  <c r="BK46" i="142"/>
  <c r="BK34" i="142"/>
  <c r="BK77" i="142"/>
  <c r="BK65" i="142"/>
  <c r="BK53" i="142"/>
  <c r="BK41" i="142"/>
  <c r="BK29" i="142"/>
  <c r="BK72" i="142"/>
  <c r="BK60" i="142"/>
  <c r="BK48" i="142"/>
  <c r="BK36" i="142"/>
  <c r="BK24" i="142"/>
  <c r="BK79" i="142"/>
  <c r="BK67" i="142"/>
  <c r="BK55" i="142"/>
  <c r="BK74" i="142"/>
  <c r="BK62" i="142"/>
  <c r="BK50" i="142"/>
  <c r="BK38" i="142"/>
  <c r="BK81" i="142"/>
  <c r="BK69" i="142"/>
  <c r="BK57" i="142"/>
  <c r="BK76" i="142"/>
  <c r="BK64" i="142"/>
  <c r="BK52" i="142"/>
  <c r="BK71" i="142"/>
  <c r="BK59" i="142"/>
  <c r="BK47" i="142"/>
  <c r="BK35" i="142"/>
  <c r="BK23" i="142"/>
  <c r="O10" i="142"/>
  <c r="BK10" i="142"/>
  <c r="AM16" i="142"/>
  <c r="O22" i="142"/>
  <c r="BK25" i="142"/>
  <c r="AM38" i="142"/>
  <c r="BK39" i="142"/>
  <c r="S80" i="142"/>
  <c r="S68" i="142"/>
  <c r="S56" i="142"/>
  <c r="S44" i="142"/>
  <c r="S32" i="142"/>
  <c r="S75" i="142"/>
  <c r="S63" i="142"/>
  <c r="S51" i="142"/>
  <c r="S82" i="142"/>
  <c r="S70" i="142"/>
  <c r="S58" i="142"/>
  <c r="S77" i="142"/>
  <c r="S65" i="142"/>
  <c r="S53" i="142"/>
  <c r="S41" i="142"/>
  <c r="S72" i="142"/>
  <c r="S60" i="142"/>
  <c r="S48" i="142"/>
  <c r="S36" i="142"/>
  <c r="S24" i="142"/>
  <c r="S79" i="142"/>
  <c r="S67" i="142"/>
  <c r="S55" i="142"/>
  <c r="S43" i="142"/>
  <c r="S31" i="142"/>
  <c r="S74" i="142"/>
  <c r="S62" i="142"/>
  <c r="S81" i="142"/>
  <c r="S69" i="142"/>
  <c r="S57" i="142"/>
  <c r="S45" i="142"/>
  <c r="S33" i="142"/>
  <c r="S76" i="142"/>
  <c r="S64" i="142"/>
  <c r="S52" i="142"/>
  <c r="S71" i="142"/>
  <c r="S59" i="142"/>
  <c r="S78" i="142"/>
  <c r="S66" i="142"/>
  <c r="S54" i="142"/>
  <c r="S42" i="142"/>
  <c r="S30" i="142"/>
  <c r="AQ74" i="142"/>
  <c r="AQ62" i="142"/>
  <c r="AQ50" i="142"/>
  <c r="AQ38" i="142"/>
  <c r="AQ81" i="142"/>
  <c r="AQ69" i="142"/>
  <c r="AQ57" i="142"/>
  <c r="AQ76" i="142"/>
  <c r="AQ64" i="142"/>
  <c r="AQ52" i="142"/>
  <c r="AQ71" i="142"/>
  <c r="AQ59" i="142"/>
  <c r="AQ47" i="142"/>
  <c r="AQ35" i="142"/>
  <c r="AQ78" i="142"/>
  <c r="AQ66" i="142"/>
  <c r="AQ54" i="142"/>
  <c r="AQ42" i="142"/>
  <c r="AQ30" i="142"/>
  <c r="AQ73" i="142"/>
  <c r="AQ61" i="142"/>
  <c r="AQ49" i="142"/>
  <c r="AQ37" i="142"/>
  <c r="AQ25" i="142"/>
  <c r="AQ80" i="142"/>
  <c r="AQ68" i="142"/>
  <c r="AQ56" i="142"/>
  <c r="AQ75" i="142"/>
  <c r="AQ63" i="142"/>
  <c r="AQ51" i="142"/>
  <c r="AQ39" i="142"/>
  <c r="AQ82" i="142"/>
  <c r="AQ70" i="142"/>
  <c r="AQ58" i="142"/>
  <c r="AQ77" i="142"/>
  <c r="AQ65" i="142"/>
  <c r="AQ53" i="142"/>
  <c r="AQ72" i="142"/>
  <c r="AQ60" i="142"/>
  <c r="AQ48" i="142"/>
  <c r="AQ36" i="142"/>
  <c r="AQ24" i="142"/>
  <c r="BO80" i="142"/>
  <c r="BO68" i="142"/>
  <c r="BO56" i="142"/>
  <c r="BO44" i="142"/>
  <c r="BO32" i="142"/>
  <c r="BO75" i="142"/>
  <c r="BO63" i="142"/>
  <c r="BO51" i="142"/>
  <c r="BO82" i="142"/>
  <c r="BO70" i="142"/>
  <c r="BO58" i="142"/>
  <c r="BO77" i="142"/>
  <c r="BO65" i="142"/>
  <c r="BO53" i="142"/>
  <c r="BO41" i="142"/>
  <c r="BO72" i="142"/>
  <c r="BO60" i="142"/>
  <c r="BO48" i="142"/>
  <c r="BO36" i="142"/>
  <c r="BO24" i="142"/>
  <c r="BO79" i="142"/>
  <c r="BO67" i="142"/>
  <c r="BO55" i="142"/>
  <c r="BO43" i="142"/>
  <c r="BO31" i="142"/>
  <c r="BO19" i="142"/>
  <c r="BO74" i="142"/>
  <c r="BO62" i="142"/>
  <c r="BO50" i="142"/>
  <c r="BO81" i="142"/>
  <c r="BO69" i="142"/>
  <c r="BO57" i="142"/>
  <c r="BO45" i="142"/>
  <c r="BO33" i="142"/>
  <c r="BO76" i="142"/>
  <c r="BO64" i="142"/>
  <c r="BO52" i="142"/>
  <c r="BO71" i="142"/>
  <c r="BO59" i="142"/>
  <c r="BO78" i="142"/>
  <c r="BO66" i="142"/>
  <c r="BO54" i="142"/>
  <c r="BO42" i="142"/>
  <c r="BO30" i="142"/>
  <c r="X5" i="142"/>
  <c r="AA5" i="142" s="1"/>
  <c r="AV5" i="142"/>
  <c r="AY5" i="142" s="1"/>
  <c r="BT5" i="142"/>
  <c r="BW5" i="142" s="1"/>
  <c r="V6" i="142"/>
  <c r="W6" i="142" s="1"/>
  <c r="AH6" i="142"/>
  <c r="AI6" i="142" s="1"/>
  <c r="AT6" i="142"/>
  <c r="AU6" i="142" s="1"/>
  <c r="BF6" i="142"/>
  <c r="BG6" i="142" s="1"/>
  <c r="BR6" i="142"/>
  <c r="BS6" i="142" s="1"/>
  <c r="AI7" i="142"/>
  <c r="O8" i="142"/>
  <c r="BK8" i="142"/>
  <c r="AQ9" i="142"/>
  <c r="W10" i="142"/>
  <c r="BS10" i="142"/>
  <c r="AY11" i="142"/>
  <c r="AE12" i="142"/>
  <c r="BG13" i="142"/>
  <c r="AM14" i="142"/>
  <c r="S15" i="142"/>
  <c r="BO15" i="142"/>
  <c r="AU16" i="142"/>
  <c r="AA17" i="142"/>
  <c r="BW17" i="142"/>
  <c r="BC18" i="142"/>
  <c r="AM19" i="142"/>
  <c r="AI20" i="142"/>
  <c r="AI21" i="142"/>
  <c r="W22" i="142"/>
  <c r="S23" i="142"/>
  <c r="BW25" i="142"/>
  <c r="BO26" i="142"/>
  <c r="BO27" i="142"/>
  <c r="BC28" i="142"/>
  <c r="AU29" i="142"/>
  <c r="AY30" i="142"/>
  <c r="BC31" i="142"/>
  <c r="O33" i="142"/>
  <c r="AM34" i="142"/>
  <c r="BO35" i="142"/>
  <c r="AA37" i="142"/>
  <c r="BC38" i="142"/>
  <c r="BW39" i="142"/>
  <c r="W41" i="142"/>
  <c r="AI42" i="142"/>
  <c r="BC43" i="142"/>
  <c r="O45" i="142"/>
  <c r="AM46" i="142"/>
  <c r="BO47" i="142"/>
  <c r="BC49" i="142"/>
  <c r="AA63" i="142"/>
  <c r="W68" i="142"/>
  <c r="BO73" i="142"/>
  <c r="BK78" i="142"/>
  <c r="AM7" i="142"/>
  <c r="S8" i="142"/>
  <c r="BO8" i="142"/>
  <c r="AA10" i="142"/>
  <c r="BW10" i="142"/>
  <c r="BC11" i="142"/>
  <c r="AI12" i="142"/>
  <c r="O13" i="142"/>
  <c r="BK13" i="142"/>
  <c r="AQ14" i="142"/>
  <c r="W15" i="142"/>
  <c r="BS15" i="142"/>
  <c r="AY16" i="142"/>
  <c r="AE17" i="142"/>
  <c r="BG18" i="142"/>
  <c r="AQ19" i="142"/>
  <c r="AM20" i="142"/>
  <c r="AM21" i="142"/>
  <c r="AA22" i="142"/>
  <c r="W23" i="142"/>
  <c r="W24" i="142"/>
  <c r="O25" i="142"/>
  <c r="BS27" i="142"/>
  <c r="BK28" i="142"/>
  <c r="AY29" i="142"/>
  <c r="BC30" i="142"/>
  <c r="BK31" i="142"/>
  <c r="W33" i="142"/>
  <c r="AQ34" i="142"/>
  <c r="BS35" i="142"/>
  <c r="AE37" i="142"/>
  <c r="BG38" i="142"/>
  <c r="AA41" i="142"/>
  <c r="AY42" i="142"/>
  <c r="BK43" i="142"/>
  <c r="AQ46" i="142"/>
  <c r="BG49" i="142"/>
  <c r="AI53" i="142"/>
  <c r="AE58" i="142"/>
  <c r="BW63" i="142"/>
  <c r="W75" i="142"/>
  <c r="W63" i="142"/>
  <c r="W51" i="142"/>
  <c r="W39" i="142"/>
  <c r="W82" i="142"/>
  <c r="W70" i="142"/>
  <c r="W58" i="142"/>
  <c r="W77" i="142"/>
  <c r="W65" i="142"/>
  <c r="W53" i="142"/>
  <c r="W72" i="142"/>
  <c r="W60" i="142"/>
  <c r="W48" i="142"/>
  <c r="W36" i="142"/>
  <c r="W79" i="142"/>
  <c r="W67" i="142"/>
  <c r="W55" i="142"/>
  <c r="W43" i="142"/>
  <c r="W31" i="142"/>
  <c r="W19" i="142"/>
  <c r="W74" i="142"/>
  <c r="W62" i="142"/>
  <c r="W50" i="142"/>
  <c r="W38" i="142"/>
  <c r="W26" i="142"/>
  <c r="W81" i="142"/>
  <c r="W69" i="142"/>
  <c r="W57" i="142"/>
  <c r="W76" i="142"/>
  <c r="W64" i="142"/>
  <c r="W52" i="142"/>
  <c r="W40" i="142"/>
  <c r="W71" i="142"/>
  <c r="W59" i="142"/>
  <c r="W78" i="142"/>
  <c r="W66" i="142"/>
  <c r="W54" i="142"/>
  <c r="W73" i="142"/>
  <c r="W61" i="142"/>
  <c r="W49" i="142"/>
  <c r="W37" i="142"/>
  <c r="W25" i="142"/>
  <c r="AU81" i="142"/>
  <c r="AU69" i="142"/>
  <c r="AU57" i="142"/>
  <c r="AU45" i="142"/>
  <c r="AU33" i="142"/>
  <c r="AU76" i="142"/>
  <c r="AU64" i="142"/>
  <c r="AU52" i="142"/>
  <c r="AU71" i="142"/>
  <c r="AU59" i="142"/>
  <c r="AU78" i="142"/>
  <c r="AU66" i="142"/>
  <c r="AU54" i="142"/>
  <c r="AU42" i="142"/>
  <c r="AU73" i="142"/>
  <c r="AU61" i="142"/>
  <c r="AU49" i="142"/>
  <c r="AU37" i="142"/>
  <c r="AU25" i="142"/>
  <c r="AU80" i="142"/>
  <c r="AU68" i="142"/>
  <c r="AU56" i="142"/>
  <c r="AU44" i="142"/>
  <c r="AU32" i="142"/>
  <c r="AU20" i="142"/>
  <c r="AU75" i="142"/>
  <c r="AU63" i="142"/>
  <c r="AU51" i="142"/>
  <c r="AU82" i="142"/>
  <c r="AU70" i="142"/>
  <c r="AU58" i="142"/>
  <c r="AU46" i="142"/>
  <c r="AU34" i="142"/>
  <c r="AU77" i="142"/>
  <c r="AU65" i="142"/>
  <c r="AU53" i="142"/>
  <c r="AU72" i="142"/>
  <c r="AU60" i="142"/>
  <c r="AU79" i="142"/>
  <c r="AU67" i="142"/>
  <c r="AU55" i="142"/>
  <c r="AU43" i="142"/>
  <c r="AU31" i="142"/>
  <c r="AU19" i="142"/>
  <c r="BS75" i="142"/>
  <c r="BS63" i="142"/>
  <c r="BS51" i="142"/>
  <c r="BS39" i="142"/>
  <c r="BS82" i="142"/>
  <c r="BS70" i="142"/>
  <c r="BS58" i="142"/>
  <c r="BS77" i="142"/>
  <c r="BS65" i="142"/>
  <c r="BS53" i="142"/>
  <c r="BS72" i="142"/>
  <c r="BS60" i="142"/>
  <c r="BS48" i="142"/>
  <c r="BS36" i="142"/>
  <c r="BS79" i="142"/>
  <c r="BS67" i="142"/>
  <c r="BS55" i="142"/>
  <c r="BS43" i="142"/>
  <c r="BS31" i="142"/>
  <c r="BS19" i="142"/>
  <c r="BS74" i="142"/>
  <c r="BS62" i="142"/>
  <c r="BS50" i="142"/>
  <c r="BS38" i="142"/>
  <c r="BS26" i="142"/>
  <c r="BS81" i="142"/>
  <c r="BS69" i="142"/>
  <c r="BS57" i="142"/>
  <c r="BS76" i="142"/>
  <c r="BS64" i="142"/>
  <c r="BS52" i="142"/>
  <c r="BS40" i="142"/>
  <c r="BS71" i="142"/>
  <c r="BS59" i="142"/>
  <c r="BS47" i="142"/>
  <c r="BS78" i="142"/>
  <c r="BS66" i="142"/>
  <c r="BS54" i="142"/>
  <c r="BS73" i="142"/>
  <c r="BS61" i="142"/>
  <c r="BS49" i="142"/>
  <c r="BS37" i="142"/>
  <c r="BS25" i="142"/>
  <c r="L6" i="142"/>
  <c r="X6" i="142"/>
  <c r="AJ6" i="142"/>
  <c r="AV6" i="142"/>
  <c r="BH6" i="142"/>
  <c r="BT6" i="142"/>
  <c r="W8" i="142"/>
  <c r="BS8" i="142"/>
  <c r="AY9" i="142"/>
  <c r="BG11" i="142"/>
  <c r="AM12" i="142"/>
  <c r="AU14" i="142"/>
  <c r="AA15" i="142"/>
  <c r="BW15" i="142"/>
  <c r="AI17" i="142"/>
  <c r="O18" i="142"/>
  <c r="BK18" i="142"/>
  <c r="AY19" i="142"/>
  <c r="AA23" i="142"/>
  <c r="AA24" i="142"/>
  <c r="O26" i="142"/>
  <c r="O27" i="142"/>
  <c r="BW27" i="142"/>
  <c r="BC29" i="142"/>
  <c r="BK30" i="142"/>
  <c r="AM33" i="142"/>
  <c r="AY34" i="142"/>
  <c r="AM37" i="142"/>
  <c r="BO38" i="142"/>
  <c r="O40" i="142"/>
  <c r="AI41" i="142"/>
  <c r="BC42" i="142"/>
  <c r="AM45" i="142"/>
  <c r="AY46" i="142"/>
  <c r="AA48" i="142"/>
  <c r="BO49" i="142"/>
  <c r="AU74" i="142"/>
  <c r="AQ79" i="142"/>
  <c r="T4" i="142"/>
  <c r="AR4" i="142"/>
  <c r="BP4" i="142"/>
  <c r="M6" i="142"/>
  <c r="Y6" i="142"/>
  <c r="AK6" i="142"/>
  <c r="AW6" i="142"/>
  <c r="BI6" i="142"/>
  <c r="BU6" i="142"/>
  <c r="AU7" i="142"/>
  <c r="AA8" i="142"/>
  <c r="AI10" i="142"/>
  <c r="O11" i="142"/>
  <c r="BK11" i="142"/>
  <c r="W13" i="142"/>
  <c r="BS13" i="142"/>
  <c r="AY14" i="142"/>
  <c r="AE15" i="142"/>
  <c r="BG16" i="142"/>
  <c r="AM17" i="142"/>
  <c r="S18" i="142"/>
  <c r="BO18" i="142"/>
  <c r="BC19" i="142"/>
  <c r="BC20" i="142"/>
  <c r="AU21" i="142"/>
  <c r="AM22" i="142"/>
  <c r="AE23" i="142"/>
  <c r="AE24" i="142"/>
  <c r="AA25" i="142"/>
  <c r="S26" i="142"/>
  <c r="S27" i="142"/>
  <c r="BS28" i="142"/>
  <c r="BO29" i="142"/>
  <c r="BS30" i="142"/>
  <c r="O32" i="142"/>
  <c r="AQ33" i="142"/>
  <c r="BO34" i="142"/>
  <c r="BC37" i="142"/>
  <c r="S40" i="142"/>
  <c r="AQ41" i="142"/>
  <c r="BK42" i="142"/>
  <c r="O44" i="142"/>
  <c r="AQ45" i="142"/>
  <c r="BO46" i="142"/>
  <c r="AE48" i="142"/>
  <c r="O54" i="142"/>
  <c r="BG59" i="142"/>
  <c r="BC64" i="142"/>
  <c r="O15" i="142"/>
  <c r="O78" i="142"/>
  <c r="AA82" i="142"/>
  <c r="AA70" i="142"/>
  <c r="AA58" i="142"/>
  <c r="AA46" i="142"/>
  <c r="AA34" i="142"/>
  <c r="AA77" i="142"/>
  <c r="AA65" i="142"/>
  <c r="AA53" i="142"/>
  <c r="AA72" i="142"/>
  <c r="AA60" i="142"/>
  <c r="AA79" i="142"/>
  <c r="AA67" i="142"/>
  <c r="AA55" i="142"/>
  <c r="AA43" i="142"/>
  <c r="AA74" i="142"/>
  <c r="AA62" i="142"/>
  <c r="AA50" i="142"/>
  <c r="AA38" i="142"/>
  <c r="AA26" i="142"/>
  <c r="AA81" i="142"/>
  <c r="AA69" i="142"/>
  <c r="AA57" i="142"/>
  <c r="AA45" i="142"/>
  <c r="AA33" i="142"/>
  <c r="AA21" i="142"/>
  <c r="AA76" i="142"/>
  <c r="AA64" i="142"/>
  <c r="AA52" i="142"/>
  <c r="AA71" i="142"/>
  <c r="AA59" i="142"/>
  <c r="AA47" i="142"/>
  <c r="AA35" i="142"/>
  <c r="AA78" i="142"/>
  <c r="AA66" i="142"/>
  <c r="AA54" i="142"/>
  <c r="AA73" i="142"/>
  <c r="AA61" i="142"/>
  <c r="AA80" i="142"/>
  <c r="AA68" i="142"/>
  <c r="AA56" i="142"/>
  <c r="AA44" i="142"/>
  <c r="AA32" i="142"/>
  <c r="AA20" i="142"/>
  <c r="AY76" i="142"/>
  <c r="AY64" i="142"/>
  <c r="AY52" i="142"/>
  <c r="AY40" i="142"/>
  <c r="AY71" i="142"/>
  <c r="AY59" i="142"/>
  <c r="AY78" i="142"/>
  <c r="AY66" i="142"/>
  <c r="AY54" i="142"/>
  <c r="AY73" i="142"/>
  <c r="AY61" i="142"/>
  <c r="AY49" i="142"/>
  <c r="AY37" i="142"/>
  <c r="AY80" i="142"/>
  <c r="AY68" i="142"/>
  <c r="AY56" i="142"/>
  <c r="AY44" i="142"/>
  <c r="AY32" i="142"/>
  <c r="AY20" i="142"/>
  <c r="AY75" i="142"/>
  <c r="AY63" i="142"/>
  <c r="AY51" i="142"/>
  <c r="AY39" i="142"/>
  <c r="AY27" i="142"/>
  <c r="AY82" i="142"/>
  <c r="AY70" i="142"/>
  <c r="AY58" i="142"/>
  <c r="AY77" i="142"/>
  <c r="AY65" i="142"/>
  <c r="AY53" i="142"/>
  <c r="AY41" i="142"/>
  <c r="AY72" i="142"/>
  <c r="AY60" i="142"/>
  <c r="AY48" i="142"/>
  <c r="AY79" i="142"/>
  <c r="AY67" i="142"/>
  <c r="AY55" i="142"/>
  <c r="AY74" i="142"/>
  <c r="AY62" i="142"/>
  <c r="AY50" i="142"/>
  <c r="AY38" i="142"/>
  <c r="AY26" i="142"/>
  <c r="BW82" i="142"/>
  <c r="BW70" i="142"/>
  <c r="BW58" i="142"/>
  <c r="BW46" i="142"/>
  <c r="BW34" i="142"/>
  <c r="BW77" i="142"/>
  <c r="BW65" i="142"/>
  <c r="BW53" i="142"/>
  <c r="BW72" i="142"/>
  <c r="BW60" i="142"/>
  <c r="BW79" i="142"/>
  <c r="BW67" i="142"/>
  <c r="BW55" i="142"/>
  <c r="BW43" i="142"/>
  <c r="BW31" i="142"/>
  <c r="BW74" i="142"/>
  <c r="BW62" i="142"/>
  <c r="BW50" i="142"/>
  <c r="BW38" i="142"/>
  <c r="BW26" i="142"/>
  <c r="BW81" i="142"/>
  <c r="BW69" i="142"/>
  <c r="BW57" i="142"/>
  <c r="BW45" i="142"/>
  <c r="BW33" i="142"/>
  <c r="BW21" i="142"/>
  <c r="BW76" i="142"/>
  <c r="BW64" i="142"/>
  <c r="BW52" i="142"/>
  <c r="BW71" i="142"/>
  <c r="BW59" i="142"/>
  <c r="BW47" i="142"/>
  <c r="BW35" i="142"/>
  <c r="BW78" i="142"/>
  <c r="BW66" i="142"/>
  <c r="BW54" i="142"/>
  <c r="BW73" i="142"/>
  <c r="BW61" i="142"/>
  <c r="BW49" i="142"/>
  <c r="BW80" i="142"/>
  <c r="BW68" i="142"/>
  <c r="BW56" i="142"/>
  <c r="BW44" i="142"/>
  <c r="BW32" i="142"/>
  <c r="BW20" i="142"/>
  <c r="AF5" i="142"/>
  <c r="AI5" i="142" s="1"/>
  <c r="BD5" i="142"/>
  <c r="BG5" i="142" s="1"/>
  <c r="N6" i="142"/>
  <c r="O6" i="142" s="1"/>
  <c r="Z6" i="142"/>
  <c r="AA6" i="142" s="1"/>
  <c r="AL6" i="142"/>
  <c r="AM6" i="142" s="1"/>
  <c r="AX6" i="142"/>
  <c r="AY6" i="142" s="1"/>
  <c r="BJ6" i="142"/>
  <c r="BK6" i="142" s="1"/>
  <c r="BV6" i="142"/>
  <c r="BW6" i="142" s="1"/>
  <c r="AY7" i="142"/>
  <c r="AE8" i="142"/>
  <c r="BG9" i="142"/>
  <c r="AM10" i="142"/>
  <c r="S11" i="142"/>
  <c r="BO11" i="142"/>
  <c r="AU12" i="142"/>
  <c r="AA13" i="142"/>
  <c r="BW13" i="142"/>
  <c r="BC14" i="142"/>
  <c r="AI15" i="142"/>
  <c r="O16" i="142"/>
  <c r="BK16" i="142"/>
  <c r="AQ17" i="142"/>
  <c r="W18" i="142"/>
  <c r="BS18" i="142"/>
  <c r="BG19" i="142"/>
  <c r="BG20" i="142"/>
  <c r="AY21" i="142"/>
  <c r="AQ22" i="142"/>
  <c r="AQ23" i="142"/>
  <c r="AI24" i="142"/>
  <c r="AE25" i="142"/>
  <c r="AE26" i="142"/>
  <c r="W27" i="142"/>
  <c r="O28" i="142"/>
  <c r="BW28" i="142"/>
  <c r="BS29" i="142"/>
  <c r="BW30" i="142"/>
  <c r="W32" i="142"/>
  <c r="AY33" i="142"/>
  <c r="BS34" i="142"/>
  <c r="AE36" i="142"/>
  <c r="BG37" i="142"/>
  <c r="O39" i="142"/>
  <c r="AA40" i="142"/>
  <c r="AU41" i="142"/>
  <c r="BS42" i="142"/>
  <c r="W44" i="142"/>
  <c r="AY45" i="142"/>
  <c r="BS46" i="142"/>
  <c r="AM48" i="142"/>
  <c r="S50" i="142"/>
  <c r="BK54" i="142"/>
  <c r="AA75" i="142"/>
  <c r="W80" i="142"/>
  <c r="X4" i="142"/>
  <c r="AV4" i="142"/>
  <c r="BT4" i="142"/>
  <c r="BC7" i="142"/>
  <c r="AI8" i="142"/>
  <c r="O9" i="142"/>
  <c r="BK9" i="142"/>
  <c r="AQ10" i="142"/>
  <c r="W11" i="142"/>
  <c r="BS11" i="142"/>
  <c r="AY12" i="142"/>
  <c r="AE13" i="142"/>
  <c r="BG14" i="142"/>
  <c r="AM15" i="142"/>
  <c r="S16" i="142"/>
  <c r="BO16" i="142"/>
  <c r="AU17" i="142"/>
  <c r="AA18" i="142"/>
  <c r="BW18" i="142"/>
  <c r="BK19" i="142"/>
  <c r="BK20" i="142"/>
  <c r="BG21" i="142"/>
  <c r="AU22" i="142"/>
  <c r="AU23" i="142"/>
  <c r="AM24" i="142"/>
  <c r="AI25" i="142"/>
  <c r="AI26" i="142"/>
  <c r="AA27" i="142"/>
  <c r="S28" i="142"/>
  <c r="BW29" i="142"/>
  <c r="AE32" i="142"/>
  <c r="BG33" i="142"/>
  <c r="AM36" i="142"/>
  <c r="BO37" i="142"/>
  <c r="S39" i="142"/>
  <c r="AQ40" i="142"/>
  <c r="BW42" i="142"/>
  <c r="AE44" i="142"/>
  <c r="BG45" i="142"/>
  <c r="AU48" i="142"/>
  <c r="AI50" i="142"/>
  <c r="AM60" i="142"/>
  <c r="AI65" i="142"/>
  <c r="BW75" i="142"/>
  <c r="BS80" i="142"/>
  <c r="AJ4" i="142"/>
  <c r="BK15" i="142"/>
  <c r="BK26" i="142"/>
  <c r="BK27" i="142"/>
  <c r="AE77" i="142"/>
  <c r="AE65" i="142"/>
  <c r="AE53" i="142"/>
  <c r="AE41" i="142"/>
  <c r="AE72" i="142"/>
  <c r="AE60" i="142"/>
  <c r="AE79" i="142"/>
  <c r="AE67" i="142"/>
  <c r="AE55" i="142"/>
  <c r="AE74" i="142"/>
  <c r="AE62" i="142"/>
  <c r="AE50" i="142"/>
  <c r="AE38" i="142"/>
  <c r="AE81" i="142"/>
  <c r="AE69" i="142"/>
  <c r="AE57" i="142"/>
  <c r="AE45" i="142"/>
  <c r="AE33" i="142"/>
  <c r="AE21" i="142"/>
  <c r="AE76" i="142"/>
  <c r="AE64" i="142"/>
  <c r="AE52" i="142"/>
  <c r="AE40" i="142"/>
  <c r="AE28" i="142"/>
  <c r="AE71" i="142"/>
  <c r="AE59" i="142"/>
  <c r="AE78" i="142"/>
  <c r="AE66" i="142"/>
  <c r="AE54" i="142"/>
  <c r="AE42" i="142"/>
  <c r="AE30" i="142"/>
  <c r="AE73" i="142"/>
  <c r="AE61" i="142"/>
  <c r="AE49" i="142"/>
  <c r="AE80" i="142"/>
  <c r="AE68" i="142"/>
  <c r="AE56" i="142"/>
  <c r="AE75" i="142"/>
  <c r="AE63" i="142"/>
  <c r="AE51" i="142"/>
  <c r="AE39" i="142"/>
  <c r="AE27" i="142"/>
  <c r="BC71" i="142"/>
  <c r="BC59" i="142"/>
  <c r="BC47" i="142"/>
  <c r="BC35" i="142"/>
  <c r="BC78" i="142"/>
  <c r="BC66" i="142"/>
  <c r="BC54" i="142"/>
  <c r="BC73" i="142"/>
  <c r="BC61" i="142"/>
  <c r="BC80" i="142"/>
  <c r="BC68" i="142"/>
  <c r="BC56" i="142"/>
  <c r="BC44" i="142"/>
  <c r="BC32" i="142"/>
  <c r="BC75" i="142"/>
  <c r="BC63" i="142"/>
  <c r="BC51" i="142"/>
  <c r="BC39" i="142"/>
  <c r="BC27" i="142"/>
  <c r="BC82" i="142"/>
  <c r="BC70" i="142"/>
  <c r="BC58" i="142"/>
  <c r="BC46" i="142"/>
  <c r="BC34" i="142"/>
  <c r="BC22" i="142"/>
  <c r="BC77" i="142"/>
  <c r="BC65" i="142"/>
  <c r="BC53" i="142"/>
  <c r="BC72" i="142"/>
  <c r="BC60" i="142"/>
  <c r="BC48" i="142"/>
  <c r="BC36" i="142"/>
  <c r="BC79" i="142"/>
  <c r="BC67" i="142"/>
  <c r="BC55" i="142"/>
  <c r="BC74" i="142"/>
  <c r="BC62" i="142"/>
  <c r="BC50" i="142"/>
  <c r="BC81" i="142"/>
  <c r="BC69" i="142"/>
  <c r="BC57" i="142"/>
  <c r="BC45" i="142"/>
  <c r="BC33" i="142"/>
  <c r="BC21" i="142"/>
  <c r="L5" i="142"/>
  <c r="O5" i="142" s="1"/>
  <c r="AJ5" i="142"/>
  <c r="AM5" i="142" s="1"/>
  <c r="BH5" i="142"/>
  <c r="BK5" i="142" s="1"/>
  <c r="P6" i="142"/>
  <c r="AB6" i="142"/>
  <c r="AN6" i="142"/>
  <c r="AZ6" i="142"/>
  <c r="BL6" i="142"/>
  <c r="BG7" i="142"/>
  <c r="AM8" i="142"/>
  <c r="S9" i="142"/>
  <c r="BO9" i="142"/>
  <c r="AU10" i="142"/>
  <c r="AA11" i="142"/>
  <c r="BW11" i="142"/>
  <c r="BC12" i="142"/>
  <c r="AI13" i="142"/>
  <c r="O14" i="142"/>
  <c r="BK14" i="142"/>
  <c r="AQ15" i="142"/>
  <c r="W16" i="142"/>
  <c r="BS16" i="142"/>
  <c r="AY17" i="142"/>
  <c r="AE18" i="142"/>
  <c r="BW19" i="142"/>
  <c r="BO20" i="142"/>
  <c r="BK21" i="142"/>
  <c r="AY22" i="142"/>
  <c r="AY23" i="142"/>
  <c r="AU24" i="142"/>
  <c r="AM25" i="142"/>
  <c r="AM26" i="142"/>
  <c r="AI27" i="142"/>
  <c r="W28" i="142"/>
  <c r="S29" i="142"/>
  <c r="O31" i="142"/>
  <c r="AI32" i="142"/>
  <c r="BK33" i="142"/>
  <c r="S35" i="142"/>
  <c r="AU36" i="142"/>
  <c r="BW37" i="142"/>
  <c r="AA39" i="142"/>
  <c r="AU40" i="142"/>
  <c r="BS41" i="142"/>
  <c r="AI44" i="142"/>
  <c r="BK45" i="142"/>
  <c r="S47" i="142"/>
  <c r="BG48" i="142"/>
  <c r="AU50" i="142"/>
  <c r="AQ55" i="142"/>
  <c r="L4" i="142"/>
  <c r="BH4" i="142"/>
  <c r="AM9" i="142"/>
  <c r="AM49" i="142"/>
  <c r="AB4" i="142"/>
  <c r="AZ4" i="142"/>
  <c r="Q6" i="142"/>
  <c r="AC6" i="142"/>
  <c r="AO6" i="142"/>
  <c r="BA6" i="142"/>
  <c r="BM6" i="142"/>
  <c r="O7" i="142"/>
  <c r="BK7" i="142"/>
  <c r="AQ8" i="142"/>
  <c r="W9" i="142"/>
  <c r="BS9" i="142"/>
  <c r="AY10" i="142"/>
  <c r="AE11" i="142"/>
  <c r="BG12" i="142"/>
  <c r="AM13" i="142"/>
  <c r="S14" i="142"/>
  <c r="BO14" i="142"/>
  <c r="AU15" i="142"/>
  <c r="AA16" i="142"/>
  <c r="BW16" i="142"/>
  <c r="BC17" i="142"/>
  <c r="AI18" i="142"/>
  <c r="O19" i="142"/>
  <c r="BS20" i="142"/>
  <c r="BO21" i="142"/>
  <c r="BK22" i="142"/>
  <c r="BC23" i="142"/>
  <c r="AY24" i="142"/>
  <c r="AY25" i="142"/>
  <c r="AQ26" i="142"/>
  <c r="AM27" i="142"/>
  <c r="AA28" i="142"/>
  <c r="W29" i="142"/>
  <c r="O30" i="142"/>
  <c r="AA31" i="142"/>
  <c r="AQ32" i="142"/>
  <c r="BS33" i="142"/>
  <c r="W35" i="142"/>
  <c r="AY36" i="142"/>
  <c r="BC40" i="142"/>
  <c r="BW41" i="142"/>
  <c r="O43" i="142"/>
  <c r="AQ44" i="142"/>
  <c r="BS45" i="142"/>
  <c r="W47" i="142"/>
  <c r="BW48" i="142"/>
  <c r="S61" i="142"/>
  <c r="O66" i="142"/>
  <c r="BC76" i="142"/>
  <c r="AY81" i="142"/>
  <c r="AI72" i="142"/>
  <c r="AI60" i="142"/>
  <c r="AI48" i="142"/>
  <c r="AI36" i="142"/>
  <c r="AI79" i="142"/>
  <c r="AI67" i="142"/>
  <c r="AI55" i="142"/>
  <c r="AI74" i="142"/>
  <c r="AI62" i="142"/>
  <c r="AI81" i="142"/>
  <c r="AI69" i="142"/>
  <c r="AI57" i="142"/>
  <c r="AI45" i="142"/>
  <c r="AI33" i="142"/>
  <c r="AI76" i="142"/>
  <c r="AI64" i="142"/>
  <c r="AI52" i="142"/>
  <c r="AI40" i="142"/>
  <c r="AI28" i="142"/>
  <c r="AI71" i="142"/>
  <c r="AI59" i="142"/>
  <c r="AI47" i="142"/>
  <c r="AI35" i="142"/>
  <c r="AI23" i="142"/>
  <c r="AI78" i="142"/>
  <c r="AI66" i="142"/>
  <c r="AI54" i="142"/>
  <c r="AI73" i="142"/>
  <c r="AI61" i="142"/>
  <c r="AI49" i="142"/>
  <c r="AI37" i="142"/>
  <c r="AI80" i="142"/>
  <c r="AI68" i="142"/>
  <c r="AI56" i="142"/>
  <c r="AI75" i="142"/>
  <c r="AI63" i="142"/>
  <c r="AI51" i="142"/>
  <c r="AI82" i="142"/>
  <c r="AI70" i="142"/>
  <c r="AI58" i="142"/>
  <c r="AI46" i="142"/>
  <c r="AI34" i="142"/>
  <c r="AI22" i="142"/>
  <c r="BG78" i="142"/>
  <c r="BG66" i="142"/>
  <c r="BG54" i="142"/>
  <c r="BG42" i="142"/>
  <c r="BG30" i="142"/>
  <c r="BG73" i="142"/>
  <c r="BG61" i="142"/>
  <c r="BG80" i="142"/>
  <c r="BG68" i="142"/>
  <c r="BG56" i="142"/>
  <c r="BG75" i="142"/>
  <c r="BG63" i="142"/>
  <c r="BG51" i="142"/>
  <c r="BG39" i="142"/>
  <c r="BG82" i="142"/>
  <c r="BG70" i="142"/>
  <c r="BG58" i="142"/>
  <c r="BG46" i="142"/>
  <c r="BG34" i="142"/>
  <c r="BG22" i="142"/>
  <c r="BG77" i="142"/>
  <c r="BG65" i="142"/>
  <c r="BG53" i="142"/>
  <c r="BG41" i="142"/>
  <c r="BG29" i="142"/>
  <c r="BG72" i="142"/>
  <c r="BG60" i="142"/>
  <c r="BG79" i="142"/>
  <c r="BG67" i="142"/>
  <c r="BG55" i="142"/>
  <c r="BG43" i="142"/>
  <c r="BG31" i="142"/>
  <c r="BG74" i="142"/>
  <c r="BG62" i="142"/>
  <c r="BG50" i="142"/>
  <c r="BG81" i="142"/>
  <c r="BG69" i="142"/>
  <c r="BG57" i="142"/>
  <c r="BG76" i="142"/>
  <c r="BG64" i="142"/>
  <c r="BG52" i="142"/>
  <c r="BG40" i="142"/>
  <c r="BG28" i="142"/>
  <c r="AU8" i="142"/>
  <c r="AA9" i="142"/>
  <c r="BW9" i="142"/>
  <c r="AI11" i="142"/>
  <c r="O12" i="142"/>
  <c r="BK12" i="142"/>
  <c r="W14" i="142"/>
  <c r="BS14" i="142"/>
  <c r="AY15" i="142"/>
  <c r="BG17" i="142"/>
  <c r="AM18" i="142"/>
  <c r="O20" i="142"/>
  <c r="BS21" i="142"/>
  <c r="BO22" i="142"/>
  <c r="BG23" i="142"/>
  <c r="BC24" i="142"/>
  <c r="BC25" i="142"/>
  <c r="AU26" i="142"/>
  <c r="AQ27" i="142"/>
  <c r="AM28" i="142"/>
  <c r="AA29" i="142"/>
  <c r="W30" i="142"/>
  <c r="AE31" i="142"/>
  <c r="BG32" i="142"/>
  <c r="AE35" i="142"/>
  <c r="BG36" i="142"/>
  <c r="S38" i="142"/>
  <c r="AM39" i="142"/>
  <c r="BK40" i="142"/>
  <c r="AE43" i="142"/>
  <c r="BG44" i="142"/>
  <c r="AE47" i="142"/>
  <c r="AA51" i="142"/>
  <c r="W56" i="142"/>
  <c r="BO61" i="142"/>
  <c r="BK66" i="142"/>
  <c r="AF4" i="142"/>
  <c r="BD4" i="142"/>
  <c r="W7" i="142"/>
  <c r="BS7" i="142"/>
  <c r="AY8" i="142"/>
  <c r="AE9" i="142"/>
  <c r="BG10" i="142"/>
  <c r="AM11" i="142"/>
  <c r="S12" i="142"/>
  <c r="BO12" i="142"/>
  <c r="AU13" i="142"/>
  <c r="AA14" i="142"/>
  <c r="BW14" i="142"/>
  <c r="BC15" i="142"/>
  <c r="AI16" i="142"/>
  <c r="O17" i="142"/>
  <c r="BK17" i="142"/>
  <c r="AQ18" i="142"/>
  <c r="AA19" i="142"/>
  <c r="S20" i="142"/>
  <c r="O21" i="142"/>
  <c r="BS22" i="142"/>
  <c r="BO23" i="142"/>
  <c r="BG24" i="142"/>
  <c r="BG25" i="142"/>
  <c r="BC26" i="142"/>
  <c r="AU27" i="142"/>
  <c r="AQ28" i="142"/>
  <c r="AE29" i="142"/>
  <c r="AA30" i="142"/>
  <c r="AI31" i="142"/>
  <c r="BK32" i="142"/>
  <c r="S34" i="142"/>
  <c r="AU35" i="142"/>
  <c r="BW36" i="142"/>
  <c r="AI38" i="142"/>
  <c r="AU39" i="142"/>
  <c r="BO40" i="142"/>
  <c r="O42" i="142"/>
  <c r="AI43" i="142"/>
  <c r="BK44" i="142"/>
  <c r="S46" i="142"/>
  <c r="AU47" i="142"/>
  <c r="S49" i="142"/>
  <c r="BW51" i="142"/>
  <c r="BS56" i="142"/>
  <c r="AM72" i="142"/>
  <c r="AI77" i="142"/>
  <c r="AE82" i="142"/>
  <c r="BT4" i="141"/>
  <c r="AY12" i="141"/>
  <c r="BW18" i="141"/>
  <c r="AE77" i="141"/>
  <c r="AE65" i="141"/>
  <c r="AE53" i="141"/>
  <c r="AE41" i="141"/>
  <c r="AE29" i="141"/>
  <c r="AE72" i="141"/>
  <c r="AE60" i="141"/>
  <c r="AE48" i="141"/>
  <c r="AE79" i="141"/>
  <c r="AE67" i="141"/>
  <c r="AE55" i="141"/>
  <c r="AE43" i="141"/>
  <c r="AE74" i="141"/>
  <c r="AE62" i="141"/>
  <c r="AE50" i="141"/>
  <c r="AE81" i="141"/>
  <c r="AE69" i="141"/>
  <c r="AE57" i="141"/>
  <c r="AE76" i="141"/>
  <c r="AE64" i="141"/>
  <c r="AE52" i="141"/>
  <c r="AE71" i="141"/>
  <c r="AE59" i="141"/>
  <c r="AE47" i="141"/>
  <c r="AE35" i="141"/>
  <c r="AE23" i="141"/>
  <c r="AE78" i="141"/>
  <c r="AE66" i="141"/>
  <c r="AE54" i="141"/>
  <c r="AE73" i="141"/>
  <c r="AE61" i="141"/>
  <c r="AE49" i="141"/>
  <c r="AE80" i="141"/>
  <c r="AE68" i="141"/>
  <c r="AE56" i="141"/>
  <c r="AE75" i="141"/>
  <c r="AE63" i="141"/>
  <c r="AE51" i="141"/>
  <c r="BC71" i="141"/>
  <c r="BC59" i="141"/>
  <c r="BC47" i="141"/>
  <c r="BC35" i="141"/>
  <c r="BC23" i="141"/>
  <c r="BC78" i="141"/>
  <c r="BC66" i="141"/>
  <c r="BC54" i="141"/>
  <c r="BC73" i="141"/>
  <c r="BC61" i="141"/>
  <c r="BC49" i="141"/>
  <c r="BC37" i="141"/>
  <c r="BC80" i="141"/>
  <c r="BC68" i="141"/>
  <c r="BC56" i="141"/>
  <c r="BC44" i="141"/>
  <c r="BC75" i="141"/>
  <c r="BC63" i="141"/>
  <c r="BC51" i="141"/>
  <c r="BC82" i="141"/>
  <c r="BC70" i="141"/>
  <c r="BC58" i="141"/>
  <c r="BC77" i="141"/>
  <c r="BC65" i="141"/>
  <c r="BC53" i="141"/>
  <c r="BC41" i="141"/>
  <c r="BC29" i="141"/>
  <c r="BC72" i="141"/>
  <c r="BC60" i="141"/>
  <c r="BC48" i="141"/>
  <c r="BC79" i="141"/>
  <c r="BC67" i="141"/>
  <c r="BC55" i="141"/>
  <c r="BC74" i="141"/>
  <c r="BC62" i="141"/>
  <c r="BC50" i="141"/>
  <c r="BC81" i="141"/>
  <c r="BC69" i="141"/>
  <c r="BC57" i="141"/>
  <c r="L5" i="141"/>
  <c r="O5" i="141" s="1"/>
  <c r="AJ5" i="141"/>
  <c r="AM5" i="141" s="1"/>
  <c r="BH5" i="141"/>
  <c r="BK5" i="141" s="1"/>
  <c r="P6" i="141"/>
  <c r="AB6" i="141"/>
  <c r="AN6" i="141"/>
  <c r="AZ6" i="141"/>
  <c r="BL6" i="141"/>
  <c r="BG7" i="141"/>
  <c r="AM8" i="141"/>
  <c r="S9" i="141"/>
  <c r="BO9" i="141"/>
  <c r="AU10" i="141"/>
  <c r="AA11" i="141"/>
  <c r="BW11" i="141"/>
  <c r="BC12" i="141"/>
  <c r="AI13" i="141"/>
  <c r="O14" i="141"/>
  <c r="BK14" i="141"/>
  <c r="AQ15" i="141"/>
  <c r="W16" i="141"/>
  <c r="BS16" i="141"/>
  <c r="AY17" i="141"/>
  <c r="AE18" i="141"/>
  <c r="BG19" i="141"/>
  <c r="AY20" i="141"/>
  <c r="AM21" i="141"/>
  <c r="AE22" i="141"/>
  <c r="S23" i="141"/>
  <c r="BW23" i="141"/>
  <c r="BK24" i="141"/>
  <c r="AY25" i="141"/>
  <c r="AM26" i="141"/>
  <c r="AE27" i="141"/>
  <c r="S28" i="141"/>
  <c r="BO29" i="141"/>
  <c r="AY30" i="141"/>
  <c r="AQ31" i="141"/>
  <c r="AE32" i="141"/>
  <c r="AA33" i="141"/>
  <c r="W34" i="141"/>
  <c r="S35" i="141"/>
  <c r="BS36" i="141"/>
  <c r="BS37" i="141"/>
  <c r="BK38" i="141"/>
  <c r="BG39" i="141"/>
  <c r="BG40" i="141"/>
  <c r="AY41" i="141"/>
  <c r="AQ42" i="141"/>
  <c r="AY43" i="141"/>
  <c r="BS44" i="141"/>
  <c r="BG46" i="141"/>
  <c r="AA63" i="141"/>
  <c r="W68" i="141"/>
  <c r="BO73" i="141"/>
  <c r="BK78" i="141"/>
  <c r="BW13" i="141"/>
  <c r="AY19" i="141"/>
  <c r="AV4" i="141"/>
  <c r="BW35" i="141"/>
  <c r="W9" i="141"/>
  <c r="BS9" i="141"/>
  <c r="AY10" i="141"/>
  <c r="BG12" i="141"/>
  <c r="S14" i="141"/>
  <c r="BO14" i="141"/>
  <c r="AU15" i="141"/>
  <c r="AA16" i="141"/>
  <c r="BW16" i="141"/>
  <c r="BC17" i="141"/>
  <c r="AI18" i="141"/>
  <c r="O19" i="141"/>
  <c r="BO19" i="141"/>
  <c r="BC20" i="141"/>
  <c r="AQ21" i="141"/>
  <c r="AI22" i="141"/>
  <c r="W23" i="141"/>
  <c r="BO24" i="141"/>
  <c r="BC25" i="141"/>
  <c r="AU26" i="141"/>
  <c r="AI27" i="141"/>
  <c r="W28" i="141"/>
  <c r="O29" i="141"/>
  <c r="BS29" i="141"/>
  <c r="BC30" i="141"/>
  <c r="AU31" i="141"/>
  <c r="AI32" i="141"/>
  <c r="AE33" i="141"/>
  <c r="AE34" i="141"/>
  <c r="W35" i="141"/>
  <c r="O36" i="141"/>
  <c r="BW37" i="141"/>
  <c r="BS38" i="141"/>
  <c r="BO39" i="141"/>
  <c r="BK40" i="141"/>
  <c r="BC42" i="141"/>
  <c r="BC43" i="141"/>
  <c r="BW44" i="141"/>
  <c r="S49" i="141"/>
  <c r="AE58" i="141"/>
  <c r="BW63" i="141"/>
  <c r="BS68" i="141"/>
  <c r="X4" i="141"/>
  <c r="AI72" i="141"/>
  <c r="AI60" i="141"/>
  <c r="AI48" i="141"/>
  <c r="AI36" i="141"/>
  <c r="AI24" i="141"/>
  <c r="AI79" i="141"/>
  <c r="AI67" i="141"/>
  <c r="AI55" i="141"/>
  <c r="AI74" i="141"/>
  <c r="AI62" i="141"/>
  <c r="AI50" i="141"/>
  <c r="AI38" i="141"/>
  <c r="AI81" i="141"/>
  <c r="AI69" i="141"/>
  <c r="AI57" i="141"/>
  <c r="AI45" i="141"/>
  <c r="AI76" i="141"/>
  <c r="AI64" i="141"/>
  <c r="AI52" i="141"/>
  <c r="AI71" i="141"/>
  <c r="AI59" i="141"/>
  <c r="AI78" i="141"/>
  <c r="AI66" i="141"/>
  <c r="AI54" i="141"/>
  <c r="AI42" i="141"/>
  <c r="AI30" i="141"/>
  <c r="AI73" i="141"/>
  <c r="AI61" i="141"/>
  <c r="AI49" i="141"/>
  <c r="AI80" i="141"/>
  <c r="AI68" i="141"/>
  <c r="AI56" i="141"/>
  <c r="AI75" i="141"/>
  <c r="AI63" i="141"/>
  <c r="AI51" i="141"/>
  <c r="AI82" i="141"/>
  <c r="AI70" i="141"/>
  <c r="AI58" i="141"/>
  <c r="BG78" i="141"/>
  <c r="BG66" i="141"/>
  <c r="BG54" i="141"/>
  <c r="BG42" i="141"/>
  <c r="BG30" i="141"/>
  <c r="BG73" i="141"/>
  <c r="BG61" i="141"/>
  <c r="BG49" i="141"/>
  <c r="BG80" i="141"/>
  <c r="BG68" i="141"/>
  <c r="BG56" i="141"/>
  <c r="BG44" i="141"/>
  <c r="BG32" i="141"/>
  <c r="BG75" i="141"/>
  <c r="BG63" i="141"/>
  <c r="BG51" i="141"/>
  <c r="BG82" i="141"/>
  <c r="BG70" i="141"/>
  <c r="BG58" i="141"/>
  <c r="BG77" i="141"/>
  <c r="BG65" i="141"/>
  <c r="BG53" i="141"/>
  <c r="BG72" i="141"/>
  <c r="BG60" i="141"/>
  <c r="BG48" i="141"/>
  <c r="BG36" i="141"/>
  <c r="BG24" i="141"/>
  <c r="BG79" i="141"/>
  <c r="BG67" i="141"/>
  <c r="BG55" i="141"/>
  <c r="BG74" i="141"/>
  <c r="BG62" i="141"/>
  <c r="BG50" i="141"/>
  <c r="BG81" i="141"/>
  <c r="BG69" i="141"/>
  <c r="BG57" i="141"/>
  <c r="BG45" i="141"/>
  <c r="BG76" i="141"/>
  <c r="BG64" i="141"/>
  <c r="BG52" i="141"/>
  <c r="AU8" i="141"/>
  <c r="AA9" i="141"/>
  <c r="BW9" i="141"/>
  <c r="AI11" i="141"/>
  <c r="W14" i="141"/>
  <c r="BS14" i="141"/>
  <c r="AY15" i="141"/>
  <c r="BG17" i="141"/>
  <c r="BS19" i="141"/>
  <c r="BG20" i="141"/>
  <c r="AY21" i="141"/>
  <c r="AA23" i="141"/>
  <c r="BS24" i="141"/>
  <c r="BG25" i="141"/>
  <c r="AY26" i="141"/>
  <c r="S29" i="141"/>
  <c r="BW29" i="141"/>
  <c r="AY31" i="141"/>
  <c r="AI33" i="141"/>
  <c r="AI34" i="141"/>
  <c r="AA35" i="141"/>
  <c r="S36" i="141"/>
  <c r="S37" i="141"/>
  <c r="BW38" i="141"/>
  <c r="BW39" i="141"/>
  <c r="BO40" i="141"/>
  <c r="BK41" i="141"/>
  <c r="BK42" i="141"/>
  <c r="BG43" i="141"/>
  <c r="O47" i="141"/>
  <c r="W49" i="141"/>
  <c r="AU74" i="141"/>
  <c r="AQ79" i="141"/>
  <c r="BV6" i="141"/>
  <c r="BW6" i="141" s="1"/>
  <c r="AY57" i="141"/>
  <c r="AF4" i="141"/>
  <c r="BD4" i="141"/>
  <c r="W7" i="141"/>
  <c r="BS7" i="141"/>
  <c r="AY8" i="141"/>
  <c r="BG10" i="141"/>
  <c r="AM11" i="141"/>
  <c r="S12" i="141"/>
  <c r="BO12" i="141"/>
  <c r="AU13" i="141"/>
  <c r="AA14" i="141"/>
  <c r="BW14" i="141"/>
  <c r="BC15" i="141"/>
  <c r="AI16" i="141"/>
  <c r="O17" i="141"/>
  <c r="BK17" i="141"/>
  <c r="AQ18" i="141"/>
  <c r="W19" i="141"/>
  <c r="BW19" i="141"/>
  <c r="BC21" i="141"/>
  <c r="AQ22" i="141"/>
  <c r="AI23" i="141"/>
  <c r="S24" i="141"/>
  <c r="BW24" i="141"/>
  <c r="BO25" i="141"/>
  <c r="BC26" i="141"/>
  <c r="AQ27" i="141"/>
  <c r="AI28" i="141"/>
  <c r="W29" i="141"/>
  <c r="BO30" i="141"/>
  <c r="BC31" i="141"/>
  <c r="AU32" i="141"/>
  <c r="AQ33" i="141"/>
  <c r="AI35" i="141"/>
  <c r="W36" i="141"/>
  <c r="W37" i="141"/>
  <c r="O38" i="141"/>
  <c r="BS40" i="141"/>
  <c r="BO41" i="141"/>
  <c r="BO42" i="141"/>
  <c r="BO43" i="141"/>
  <c r="AA45" i="141"/>
  <c r="AI47" i="141"/>
  <c r="BO49" i="141"/>
  <c r="BG59" i="141"/>
  <c r="BC64" i="141"/>
  <c r="AY76" i="141"/>
  <c r="AY64" i="141"/>
  <c r="AY52" i="141"/>
  <c r="AY40" i="141"/>
  <c r="AY28" i="141"/>
  <c r="AY71" i="141"/>
  <c r="AY59" i="141"/>
  <c r="AY47" i="141"/>
  <c r="AY78" i="141"/>
  <c r="AY66" i="141"/>
  <c r="AY54" i="141"/>
  <c r="AY42" i="141"/>
  <c r="AY73" i="141"/>
  <c r="AY61" i="141"/>
  <c r="AY49" i="141"/>
  <c r="AY80" i="141"/>
  <c r="AY68" i="141"/>
  <c r="AY56" i="141"/>
  <c r="AY75" i="141"/>
  <c r="AY63" i="141"/>
  <c r="AY51" i="141"/>
  <c r="AY82" i="141"/>
  <c r="AY70" i="141"/>
  <c r="AY58" i="141"/>
  <c r="AY46" i="141"/>
  <c r="AY34" i="141"/>
  <c r="AY22" i="141"/>
  <c r="AY77" i="141"/>
  <c r="AY65" i="141"/>
  <c r="AY53" i="141"/>
  <c r="AY72" i="141"/>
  <c r="AY60" i="141"/>
  <c r="AY48" i="141"/>
  <c r="AY79" i="141"/>
  <c r="AY67" i="141"/>
  <c r="AY55" i="141"/>
  <c r="AY74" i="141"/>
  <c r="AY62" i="141"/>
  <c r="AY50" i="141"/>
  <c r="AX6" i="141"/>
  <c r="AY6" i="141" s="1"/>
  <c r="AY24" i="141"/>
  <c r="AY39" i="141"/>
  <c r="AY44" i="141"/>
  <c r="O73" i="141"/>
  <c r="O61" i="141"/>
  <c r="O49" i="141"/>
  <c r="O37" i="141"/>
  <c r="O25" i="141"/>
  <c r="O80" i="141"/>
  <c r="O68" i="141"/>
  <c r="O56" i="141"/>
  <c r="O44" i="141"/>
  <c r="O75" i="141"/>
  <c r="O63" i="141"/>
  <c r="O51" i="141"/>
  <c r="O39" i="141"/>
  <c r="O82" i="141"/>
  <c r="O70" i="141"/>
  <c r="O58" i="141"/>
  <c r="O46" i="141"/>
  <c r="O77" i="141"/>
  <c r="O65" i="141"/>
  <c r="O53" i="141"/>
  <c r="O72" i="141"/>
  <c r="O60" i="141"/>
  <c r="O79" i="141"/>
  <c r="O67" i="141"/>
  <c r="O55" i="141"/>
  <c r="O43" i="141"/>
  <c r="O31" i="141"/>
  <c r="O74" i="141"/>
  <c r="O62" i="141"/>
  <c r="O50" i="141"/>
  <c r="O81" i="141"/>
  <c r="O69" i="141"/>
  <c r="O57" i="141"/>
  <c r="O45" i="141"/>
  <c r="O76" i="141"/>
  <c r="O64" i="141"/>
  <c r="O52" i="141"/>
  <c r="O71" i="141"/>
  <c r="O59" i="141"/>
  <c r="AM79" i="141"/>
  <c r="AM67" i="141"/>
  <c r="AM55" i="141"/>
  <c r="AM43" i="141"/>
  <c r="AM31" i="141"/>
  <c r="AM74" i="141"/>
  <c r="AM62" i="141"/>
  <c r="AM50" i="141"/>
  <c r="AM81" i="141"/>
  <c r="AM69" i="141"/>
  <c r="AM57" i="141"/>
  <c r="AM45" i="141"/>
  <c r="AM33" i="141"/>
  <c r="AM76" i="141"/>
  <c r="AM64" i="141"/>
  <c r="AM52" i="141"/>
  <c r="AM71" i="141"/>
  <c r="AM59" i="141"/>
  <c r="AM78" i="141"/>
  <c r="AM66" i="141"/>
  <c r="AM54" i="141"/>
  <c r="AM73" i="141"/>
  <c r="AM61" i="141"/>
  <c r="AM49" i="141"/>
  <c r="AM37" i="141"/>
  <c r="AM25" i="141"/>
  <c r="AM80" i="141"/>
  <c r="AM68" i="141"/>
  <c r="AM56" i="141"/>
  <c r="AM44" i="141"/>
  <c r="AM75" i="141"/>
  <c r="AM63" i="141"/>
  <c r="AM51" i="141"/>
  <c r="AM82" i="141"/>
  <c r="AM70" i="141"/>
  <c r="AM58" i="141"/>
  <c r="AM46" i="141"/>
  <c r="AM77" i="141"/>
  <c r="AM65" i="141"/>
  <c r="AM53" i="141"/>
  <c r="BK73" i="141"/>
  <c r="BK61" i="141"/>
  <c r="BK49" i="141"/>
  <c r="BK37" i="141"/>
  <c r="BK25" i="141"/>
  <c r="BK80" i="141"/>
  <c r="BK68" i="141"/>
  <c r="BK56" i="141"/>
  <c r="BK44" i="141"/>
  <c r="BK75" i="141"/>
  <c r="BK63" i="141"/>
  <c r="BK51" i="141"/>
  <c r="BK39" i="141"/>
  <c r="BK82" i="141"/>
  <c r="BK70" i="141"/>
  <c r="BK58" i="141"/>
  <c r="BK46" i="141"/>
  <c r="BK77" i="141"/>
  <c r="BK65" i="141"/>
  <c r="BK53" i="141"/>
  <c r="BK72" i="141"/>
  <c r="BK60" i="141"/>
  <c r="BK48" i="141"/>
  <c r="BK79" i="141"/>
  <c r="BK67" i="141"/>
  <c r="BK55" i="141"/>
  <c r="BK43" i="141"/>
  <c r="BK31" i="141"/>
  <c r="BK19" i="141"/>
  <c r="BK74" i="141"/>
  <c r="BK62" i="141"/>
  <c r="BK50" i="141"/>
  <c r="BK81" i="141"/>
  <c r="BK69" i="141"/>
  <c r="BK57" i="141"/>
  <c r="BK45" i="141"/>
  <c r="BK76" i="141"/>
  <c r="BK64" i="141"/>
  <c r="BK52" i="141"/>
  <c r="BK71" i="141"/>
  <c r="BK59" i="141"/>
  <c r="T5" i="141"/>
  <c r="W5" i="141" s="1"/>
  <c r="AR5" i="141"/>
  <c r="AU5" i="141" s="1"/>
  <c r="BP5" i="141"/>
  <c r="BS5" i="141" s="1"/>
  <c r="T6" i="141"/>
  <c r="AF6" i="141"/>
  <c r="AR6" i="141"/>
  <c r="BD6" i="141"/>
  <c r="BP6" i="141"/>
  <c r="AA7" i="141"/>
  <c r="BW7" i="141"/>
  <c r="BC8" i="141"/>
  <c r="AI9" i="141"/>
  <c r="O10" i="141"/>
  <c r="BK10" i="141"/>
  <c r="AQ11" i="141"/>
  <c r="W12" i="141"/>
  <c r="BS12" i="141"/>
  <c r="AY13" i="141"/>
  <c r="AE14" i="141"/>
  <c r="BG15" i="141"/>
  <c r="AM16" i="141"/>
  <c r="S17" i="141"/>
  <c r="BO17" i="141"/>
  <c r="AU18" i="141"/>
  <c r="AA19" i="141"/>
  <c r="BS20" i="141"/>
  <c r="BG21" i="141"/>
  <c r="AU22" i="141"/>
  <c r="AM23" i="141"/>
  <c r="W24" i="141"/>
  <c r="BS25" i="141"/>
  <c r="BG26" i="141"/>
  <c r="AY27" i="141"/>
  <c r="AM28" i="141"/>
  <c r="AA29" i="141"/>
  <c r="O30" i="141"/>
  <c r="BS30" i="141"/>
  <c r="BG31" i="141"/>
  <c r="AY32" i="141"/>
  <c r="AY33" i="141"/>
  <c r="AQ34" i="141"/>
  <c r="AM35" i="141"/>
  <c r="AE36" i="141"/>
  <c r="AA37" i="141"/>
  <c r="W38" i="141"/>
  <c r="S39" i="141"/>
  <c r="O40" i="141"/>
  <c r="BW41" i="141"/>
  <c r="BS42" i="141"/>
  <c r="BS43" i="141"/>
  <c r="AE45" i="141"/>
  <c r="AM47" i="141"/>
  <c r="BS49" i="141"/>
  <c r="BK54" i="141"/>
  <c r="AA75" i="141"/>
  <c r="W80" i="141"/>
  <c r="U6" i="141"/>
  <c r="AG6" i="141"/>
  <c r="AS6" i="141"/>
  <c r="BE6" i="141"/>
  <c r="BQ6" i="141"/>
  <c r="BG8" i="141"/>
  <c r="AU11" i="141"/>
  <c r="AA12" i="141"/>
  <c r="BW12" i="141"/>
  <c r="AI14" i="141"/>
  <c r="AQ16" i="141"/>
  <c r="W17" i="141"/>
  <c r="BS17" i="141"/>
  <c r="AY18" i="141"/>
  <c r="AE19" i="141"/>
  <c r="O20" i="141"/>
  <c r="BW20" i="141"/>
  <c r="BK21" i="141"/>
  <c r="BC22" i="141"/>
  <c r="AQ23" i="141"/>
  <c r="AA24" i="141"/>
  <c r="S25" i="141"/>
  <c r="BW25" i="141"/>
  <c r="BK26" i="141"/>
  <c r="BC27" i="141"/>
  <c r="AQ28" i="141"/>
  <c r="AI29" i="141"/>
  <c r="S30" i="141"/>
  <c r="BW30" i="141"/>
  <c r="BC32" i="141"/>
  <c r="BC33" i="141"/>
  <c r="AU34" i="141"/>
  <c r="AM36" i="141"/>
  <c r="AE37" i="141"/>
  <c r="AA38" i="141"/>
  <c r="AA39" i="141"/>
  <c r="O41" i="141"/>
  <c r="BW42" i="141"/>
  <c r="AY45" i="141"/>
  <c r="BG47" i="141"/>
  <c r="AM60" i="141"/>
  <c r="AI65" i="141"/>
  <c r="AE70" i="141"/>
  <c r="BS80" i="141"/>
  <c r="BW82" i="141"/>
  <c r="BW70" i="141"/>
  <c r="BW58" i="141"/>
  <c r="BW46" i="141"/>
  <c r="BW34" i="141"/>
  <c r="BW22" i="141"/>
  <c r="BW77" i="141"/>
  <c r="BW65" i="141"/>
  <c r="BW53" i="141"/>
  <c r="BW72" i="141"/>
  <c r="BW60" i="141"/>
  <c r="BW48" i="141"/>
  <c r="BW36" i="141"/>
  <c r="BW79" i="141"/>
  <c r="BW67" i="141"/>
  <c r="BW55" i="141"/>
  <c r="BW43" i="141"/>
  <c r="BW74" i="141"/>
  <c r="BW62" i="141"/>
  <c r="BW50" i="141"/>
  <c r="BW81" i="141"/>
  <c r="BW69" i="141"/>
  <c r="BW57" i="141"/>
  <c r="BW76" i="141"/>
  <c r="BW64" i="141"/>
  <c r="BW52" i="141"/>
  <c r="BW40" i="141"/>
  <c r="BW28" i="141"/>
  <c r="BW71" i="141"/>
  <c r="BW59" i="141"/>
  <c r="BW47" i="141"/>
  <c r="BW78" i="141"/>
  <c r="BW66" i="141"/>
  <c r="BW54" i="141"/>
  <c r="BW73" i="141"/>
  <c r="BW61" i="141"/>
  <c r="BW49" i="141"/>
  <c r="BW80" i="141"/>
  <c r="BW68" i="141"/>
  <c r="BW56" i="141"/>
  <c r="AA18" i="141"/>
  <c r="AA27" i="141"/>
  <c r="AA32" i="141"/>
  <c r="S80" i="141"/>
  <c r="S68" i="141"/>
  <c r="S56" i="141"/>
  <c r="S44" i="141"/>
  <c r="S32" i="141"/>
  <c r="S20" i="141"/>
  <c r="S75" i="141"/>
  <c r="S63" i="141"/>
  <c r="S51" i="141"/>
  <c r="S82" i="141"/>
  <c r="S70" i="141"/>
  <c r="S58" i="141"/>
  <c r="S46" i="141"/>
  <c r="S34" i="141"/>
  <c r="S77" i="141"/>
  <c r="S65" i="141"/>
  <c r="S53" i="141"/>
  <c r="S72" i="141"/>
  <c r="S60" i="141"/>
  <c r="S79" i="141"/>
  <c r="S67" i="141"/>
  <c r="S55" i="141"/>
  <c r="S74" i="141"/>
  <c r="S62" i="141"/>
  <c r="S50" i="141"/>
  <c r="S38" i="141"/>
  <c r="S26" i="141"/>
  <c r="S81" i="141"/>
  <c r="S69" i="141"/>
  <c r="S57" i="141"/>
  <c r="S45" i="141"/>
  <c r="S76" i="141"/>
  <c r="S64" i="141"/>
  <c r="S52" i="141"/>
  <c r="S71" i="141"/>
  <c r="S59" i="141"/>
  <c r="S47" i="141"/>
  <c r="S78" i="141"/>
  <c r="S66" i="141"/>
  <c r="S54" i="141"/>
  <c r="AQ74" i="141"/>
  <c r="AQ62" i="141"/>
  <c r="AQ50" i="141"/>
  <c r="AQ38" i="141"/>
  <c r="AQ26" i="141"/>
  <c r="AQ81" i="141"/>
  <c r="AQ69" i="141"/>
  <c r="AQ57" i="141"/>
  <c r="AQ45" i="141"/>
  <c r="AQ76" i="141"/>
  <c r="AQ64" i="141"/>
  <c r="AQ52" i="141"/>
  <c r="AQ40" i="141"/>
  <c r="AQ71" i="141"/>
  <c r="AQ59" i="141"/>
  <c r="AQ47" i="141"/>
  <c r="AQ78" i="141"/>
  <c r="AQ66" i="141"/>
  <c r="AQ54" i="141"/>
  <c r="AQ73" i="141"/>
  <c r="AQ61" i="141"/>
  <c r="AQ49" i="141"/>
  <c r="AQ80" i="141"/>
  <c r="AQ68" i="141"/>
  <c r="AQ56" i="141"/>
  <c r="AQ44" i="141"/>
  <c r="AQ32" i="141"/>
  <c r="AQ20" i="141"/>
  <c r="AQ75" i="141"/>
  <c r="AQ63" i="141"/>
  <c r="AQ51" i="141"/>
  <c r="AQ82" i="141"/>
  <c r="AQ70" i="141"/>
  <c r="AQ58" i="141"/>
  <c r="AQ46" i="141"/>
  <c r="AQ77" i="141"/>
  <c r="AQ65" i="141"/>
  <c r="AQ53" i="141"/>
  <c r="AQ72" i="141"/>
  <c r="AQ60" i="141"/>
  <c r="BO80" i="141"/>
  <c r="BO68" i="141"/>
  <c r="BO56" i="141"/>
  <c r="BO44" i="141"/>
  <c r="BO32" i="141"/>
  <c r="BO20" i="141"/>
  <c r="BO75" i="141"/>
  <c r="BO63" i="141"/>
  <c r="BO51" i="141"/>
  <c r="BO82" i="141"/>
  <c r="BO70" i="141"/>
  <c r="BO58" i="141"/>
  <c r="BO46" i="141"/>
  <c r="BO34" i="141"/>
  <c r="BO77" i="141"/>
  <c r="BO65" i="141"/>
  <c r="BO53" i="141"/>
  <c r="BO72" i="141"/>
  <c r="BO60" i="141"/>
  <c r="BO48" i="141"/>
  <c r="BO79" i="141"/>
  <c r="BO67" i="141"/>
  <c r="BO55" i="141"/>
  <c r="BO74" i="141"/>
  <c r="BO62" i="141"/>
  <c r="BO50" i="141"/>
  <c r="BO38" i="141"/>
  <c r="BO26" i="141"/>
  <c r="BO81" i="141"/>
  <c r="BO69" i="141"/>
  <c r="BO57" i="141"/>
  <c r="BO45" i="141"/>
  <c r="BO76" i="141"/>
  <c r="BO64" i="141"/>
  <c r="BO52" i="141"/>
  <c r="BO71" i="141"/>
  <c r="BO59" i="141"/>
  <c r="BO47" i="141"/>
  <c r="BO78" i="141"/>
  <c r="BO66" i="141"/>
  <c r="BO54" i="141"/>
  <c r="X5" i="141"/>
  <c r="AA5" i="141" s="1"/>
  <c r="AV5" i="141"/>
  <c r="AY5" i="141" s="1"/>
  <c r="BT5" i="141"/>
  <c r="BW5" i="141" s="1"/>
  <c r="V6" i="141"/>
  <c r="W6" i="141" s="1"/>
  <c r="AH6" i="141"/>
  <c r="AI6" i="141" s="1"/>
  <c r="AT6" i="141"/>
  <c r="AU6" i="141" s="1"/>
  <c r="BF6" i="141"/>
  <c r="BG6" i="141" s="1"/>
  <c r="BR6" i="141"/>
  <c r="BS6" i="141" s="1"/>
  <c r="AI7" i="141"/>
  <c r="O8" i="141"/>
  <c r="BK8" i="141"/>
  <c r="AQ9" i="141"/>
  <c r="W10" i="141"/>
  <c r="BS10" i="141"/>
  <c r="AY11" i="141"/>
  <c r="AE12" i="141"/>
  <c r="BG13" i="141"/>
  <c r="AM14" i="141"/>
  <c r="S15" i="141"/>
  <c r="BO15" i="141"/>
  <c r="AU16" i="141"/>
  <c r="AA17" i="141"/>
  <c r="BW17" i="141"/>
  <c r="BC18" i="141"/>
  <c r="AI19" i="141"/>
  <c r="W20" i="141"/>
  <c r="BO21" i="141"/>
  <c r="BG22" i="141"/>
  <c r="AU23" i="141"/>
  <c r="AE24" i="141"/>
  <c r="W25" i="141"/>
  <c r="BS26" i="141"/>
  <c r="BG27" i="141"/>
  <c r="AU28" i="141"/>
  <c r="AM29" i="141"/>
  <c r="W30" i="141"/>
  <c r="BS31" i="141"/>
  <c r="BK32" i="141"/>
  <c r="BG33" i="141"/>
  <c r="BC34" i="141"/>
  <c r="AY35" i="141"/>
  <c r="AQ36" i="141"/>
  <c r="AI37" i="141"/>
  <c r="AE38" i="141"/>
  <c r="AE39" i="141"/>
  <c r="W40" i="141"/>
  <c r="S41" i="141"/>
  <c r="O42" i="141"/>
  <c r="W44" i="141"/>
  <c r="BC45" i="141"/>
  <c r="BK47" i="141"/>
  <c r="AU50" i="141"/>
  <c r="AQ55" i="141"/>
  <c r="AA13" i="141"/>
  <c r="S8" i="141"/>
  <c r="BO8" i="141"/>
  <c r="AU9" i="141"/>
  <c r="AA10" i="141"/>
  <c r="BW10" i="141"/>
  <c r="AI12" i="141"/>
  <c r="O13" i="141"/>
  <c r="BK13" i="141"/>
  <c r="AQ14" i="141"/>
  <c r="BS15" i="141"/>
  <c r="AY16" i="141"/>
  <c r="AE17" i="141"/>
  <c r="BG18" i="141"/>
  <c r="AM19" i="141"/>
  <c r="AA20" i="141"/>
  <c r="O21" i="141"/>
  <c r="BW21" i="141"/>
  <c r="BK22" i="141"/>
  <c r="AY23" i="141"/>
  <c r="AM24" i="141"/>
  <c r="AA25" i="141"/>
  <c r="O26" i="141"/>
  <c r="BW26" i="141"/>
  <c r="BK27" i="141"/>
  <c r="BC28" i="141"/>
  <c r="AQ29" i="141"/>
  <c r="AA30" i="141"/>
  <c r="S31" i="141"/>
  <c r="BW31" i="141"/>
  <c r="BK33" i="141"/>
  <c r="BG34" i="141"/>
  <c r="BG35" i="141"/>
  <c r="AQ37" i="141"/>
  <c r="AM38" i="141"/>
  <c r="AI39" i="141"/>
  <c r="AE40" i="141"/>
  <c r="AA41" i="141"/>
  <c r="S42" i="141"/>
  <c r="S43" i="141"/>
  <c r="AA44" i="141"/>
  <c r="BW45" i="141"/>
  <c r="S61" i="141"/>
  <c r="O66" i="141"/>
  <c r="BG71" i="141"/>
  <c r="BC76" i="141"/>
  <c r="AY81" i="141"/>
  <c r="W75" i="141"/>
  <c r="W63" i="141"/>
  <c r="W51" i="141"/>
  <c r="W39" i="141"/>
  <c r="W27" i="141"/>
  <c r="W82" i="141"/>
  <c r="W70" i="141"/>
  <c r="W58" i="141"/>
  <c r="W46" i="141"/>
  <c r="W77" i="141"/>
  <c r="W65" i="141"/>
  <c r="W53" i="141"/>
  <c r="W41" i="141"/>
  <c r="W72" i="141"/>
  <c r="W60" i="141"/>
  <c r="W48" i="141"/>
  <c r="W79" i="141"/>
  <c r="W67" i="141"/>
  <c r="W55" i="141"/>
  <c r="W74" i="141"/>
  <c r="W62" i="141"/>
  <c r="W50" i="141"/>
  <c r="W81" i="141"/>
  <c r="W69" i="141"/>
  <c r="W57" i="141"/>
  <c r="W45" i="141"/>
  <c r="W33" i="141"/>
  <c r="W21" i="141"/>
  <c r="W76" i="141"/>
  <c r="W64" i="141"/>
  <c r="W52" i="141"/>
  <c r="W71" i="141"/>
  <c r="W59" i="141"/>
  <c r="W47" i="141"/>
  <c r="W78" i="141"/>
  <c r="W66" i="141"/>
  <c r="W54" i="141"/>
  <c r="W73" i="141"/>
  <c r="W61" i="141"/>
  <c r="AU81" i="141"/>
  <c r="AU69" i="141"/>
  <c r="AU57" i="141"/>
  <c r="AU45" i="141"/>
  <c r="AU33" i="141"/>
  <c r="AU21" i="141"/>
  <c r="AU76" i="141"/>
  <c r="AU64" i="141"/>
  <c r="AU52" i="141"/>
  <c r="AU71" i="141"/>
  <c r="AU59" i="141"/>
  <c r="AU47" i="141"/>
  <c r="AU35" i="141"/>
  <c r="AU78" i="141"/>
  <c r="AU66" i="141"/>
  <c r="AU54" i="141"/>
  <c r="AU42" i="141"/>
  <c r="AU73" i="141"/>
  <c r="AU61" i="141"/>
  <c r="AU49" i="141"/>
  <c r="AU80" i="141"/>
  <c r="AU68" i="141"/>
  <c r="AU56" i="141"/>
  <c r="AU75" i="141"/>
  <c r="AU63" i="141"/>
  <c r="AU51" i="141"/>
  <c r="AU39" i="141"/>
  <c r="AU27" i="141"/>
  <c r="AU82" i="141"/>
  <c r="AU70" i="141"/>
  <c r="AU58" i="141"/>
  <c r="AU46" i="141"/>
  <c r="AU77" i="141"/>
  <c r="AU65" i="141"/>
  <c r="AU53" i="141"/>
  <c r="AU72" i="141"/>
  <c r="AU60" i="141"/>
  <c r="AU48" i="141"/>
  <c r="AU79" i="141"/>
  <c r="AU67" i="141"/>
  <c r="AU55" i="141"/>
  <c r="BS75" i="141"/>
  <c r="BS63" i="141"/>
  <c r="BS51" i="141"/>
  <c r="BS39" i="141"/>
  <c r="BS27" i="141"/>
  <c r="BS82" i="141"/>
  <c r="BS70" i="141"/>
  <c r="BS58" i="141"/>
  <c r="BS46" i="141"/>
  <c r="BS77" i="141"/>
  <c r="BS65" i="141"/>
  <c r="BS53" i="141"/>
  <c r="BS41" i="141"/>
  <c r="BS72" i="141"/>
  <c r="BS60" i="141"/>
  <c r="BS48" i="141"/>
  <c r="BS79" i="141"/>
  <c r="BS67" i="141"/>
  <c r="BS55" i="141"/>
  <c r="BS74" i="141"/>
  <c r="BS62" i="141"/>
  <c r="BS50" i="141"/>
  <c r="BS81" i="141"/>
  <c r="BS69" i="141"/>
  <c r="BS57" i="141"/>
  <c r="BS45" i="141"/>
  <c r="BS33" i="141"/>
  <c r="BS21" i="141"/>
  <c r="BS76" i="141"/>
  <c r="BS64" i="141"/>
  <c r="BS52" i="141"/>
  <c r="BS71" i="141"/>
  <c r="BS59" i="141"/>
  <c r="BS47" i="141"/>
  <c r="BS78" i="141"/>
  <c r="BS66" i="141"/>
  <c r="BS54" i="141"/>
  <c r="BS73" i="141"/>
  <c r="BS61" i="141"/>
  <c r="X6" i="141"/>
  <c r="AV6" i="141"/>
  <c r="BT6" i="141"/>
  <c r="W8" i="141"/>
  <c r="BS8" i="141"/>
  <c r="AY9" i="141"/>
  <c r="BG11" i="141"/>
  <c r="AU14" i="141"/>
  <c r="AA15" i="141"/>
  <c r="BW15" i="141"/>
  <c r="AI17" i="141"/>
  <c r="BG23" i="141"/>
  <c r="W26" i="141"/>
  <c r="BG28" i="141"/>
  <c r="AU29" i="141"/>
  <c r="W31" i="141"/>
  <c r="BW32" i="141"/>
  <c r="BO33" i="141"/>
  <c r="BK35" i="141"/>
  <c r="AY36" i="141"/>
  <c r="AU37" i="141"/>
  <c r="AU38" i="141"/>
  <c r="AM39" i="141"/>
  <c r="AI40" i="141"/>
  <c r="AI41" i="141"/>
  <c r="W42" i="141"/>
  <c r="W43" i="141"/>
  <c r="AE44" i="141"/>
  <c r="O48" i="141"/>
  <c r="W56" i="141"/>
  <c r="BO61" i="141"/>
  <c r="BK66" i="141"/>
  <c r="AA82" i="141"/>
  <c r="AA70" i="141"/>
  <c r="AA58" i="141"/>
  <c r="AA46" i="141"/>
  <c r="AA34" i="141"/>
  <c r="AA22" i="141"/>
  <c r="AA77" i="141"/>
  <c r="AA65" i="141"/>
  <c r="AA53" i="141"/>
  <c r="AA72" i="141"/>
  <c r="AA60" i="141"/>
  <c r="AA48" i="141"/>
  <c r="AA36" i="141"/>
  <c r="AA79" i="141"/>
  <c r="AA67" i="141"/>
  <c r="AA55" i="141"/>
  <c r="AA43" i="141"/>
  <c r="AA74" i="141"/>
  <c r="AA62" i="141"/>
  <c r="AA50" i="141"/>
  <c r="AA81" i="141"/>
  <c r="AA69" i="141"/>
  <c r="AA57" i="141"/>
  <c r="AA76" i="141"/>
  <c r="AA64" i="141"/>
  <c r="AA52" i="141"/>
  <c r="AA40" i="141"/>
  <c r="AA28" i="141"/>
  <c r="AA71" i="141"/>
  <c r="AA59" i="141"/>
  <c r="AA47" i="141"/>
  <c r="AA78" i="141"/>
  <c r="AA66" i="141"/>
  <c r="AA54" i="141"/>
  <c r="AA73" i="141"/>
  <c r="AA61" i="141"/>
  <c r="AA49" i="141"/>
  <c r="AA80" i="141"/>
  <c r="AA68" i="141"/>
  <c r="AA56" i="141"/>
  <c r="Z6" i="141"/>
  <c r="AA6" i="141" s="1"/>
  <c r="AY7" i="141"/>
  <c r="T4" i="141"/>
  <c r="AR4" i="141"/>
  <c r="BP4" i="141"/>
  <c r="Y6" i="141"/>
  <c r="AW6" i="141"/>
  <c r="BU6" i="141"/>
  <c r="AU7" i="141"/>
  <c r="AA8" i="141"/>
  <c r="BW8" i="141"/>
  <c r="AI10" i="141"/>
  <c r="O11" i="141"/>
  <c r="AQ12" i="141"/>
  <c r="W13" i="141"/>
  <c r="BS13" i="141"/>
  <c r="AY14" i="141"/>
  <c r="AE15" i="141"/>
  <c r="BG16" i="141"/>
  <c r="AM17" i="141"/>
  <c r="S18" i="141"/>
  <c r="BO18" i="141"/>
  <c r="AU19" i="141"/>
  <c r="AI20" i="141"/>
  <c r="AA21" i="141"/>
  <c r="O22" i="141"/>
  <c r="BS22" i="141"/>
  <c r="BK23" i="141"/>
  <c r="AU24" i="141"/>
  <c r="AI25" i="141"/>
  <c r="AA26" i="141"/>
  <c r="O27" i="141"/>
  <c r="BW27" i="141"/>
  <c r="BK28" i="141"/>
  <c r="AY29" i="141"/>
  <c r="AM30" i="141"/>
  <c r="AA31" i="141"/>
  <c r="O32" i="141"/>
  <c r="BW33" i="141"/>
  <c r="BS34" i="141"/>
  <c r="BO35" i="141"/>
  <c r="BC36" i="141"/>
  <c r="AY37" i="141"/>
  <c r="AY38" i="141"/>
  <c r="AQ39" i="141"/>
  <c r="AM40" i="141"/>
  <c r="AM41" i="141"/>
  <c r="AA42" i="141"/>
  <c r="AI43" i="141"/>
  <c r="AI44" i="141"/>
  <c r="AE46" i="141"/>
  <c r="S48" i="141"/>
  <c r="BW51" i="141"/>
  <c r="BS56" i="141"/>
  <c r="AM72" i="141"/>
  <c r="AI77" i="141"/>
  <c r="AE82" i="141"/>
  <c r="S80" i="140"/>
  <c r="S68" i="140"/>
  <c r="S56" i="140"/>
  <c r="S75" i="140"/>
  <c r="S63" i="140"/>
  <c r="S51" i="140"/>
  <c r="S39" i="140"/>
  <c r="S82" i="140"/>
  <c r="S70" i="140"/>
  <c r="S58" i="140"/>
  <c r="S77" i="140"/>
  <c r="S65" i="140"/>
  <c r="S53" i="140"/>
  <c r="S41" i="140"/>
  <c r="S72" i="140"/>
  <c r="S60" i="140"/>
  <c r="S48" i="140"/>
  <c r="S36" i="140"/>
  <c r="S79" i="140"/>
  <c r="S67" i="140"/>
  <c r="S55" i="140"/>
  <c r="S43" i="140"/>
  <c r="S31" i="140"/>
  <c r="S74" i="140"/>
  <c r="S62" i="140"/>
  <c r="S50" i="140"/>
  <c r="S81" i="140"/>
  <c r="S69" i="140"/>
  <c r="S57" i="140"/>
  <c r="S45" i="140"/>
  <c r="S33" i="140"/>
  <c r="S76" i="140"/>
  <c r="S64" i="140"/>
  <c r="S52" i="140"/>
  <c r="S40" i="140"/>
  <c r="S71" i="140"/>
  <c r="S59" i="140"/>
  <c r="S78" i="140"/>
  <c r="S66" i="140"/>
  <c r="S54" i="140"/>
  <c r="S42" i="140"/>
  <c r="S30" i="140"/>
  <c r="AQ74" i="140"/>
  <c r="AQ62" i="140"/>
  <c r="AQ50" i="140"/>
  <c r="AQ81" i="140"/>
  <c r="AQ69" i="140"/>
  <c r="AQ57" i="140"/>
  <c r="AQ45" i="140"/>
  <c r="AQ33" i="140"/>
  <c r="AQ76" i="140"/>
  <c r="AQ64" i="140"/>
  <c r="AQ52" i="140"/>
  <c r="AQ71" i="140"/>
  <c r="AQ59" i="140"/>
  <c r="AQ47" i="140"/>
  <c r="AQ78" i="140"/>
  <c r="AQ66" i="140"/>
  <c r="AQ54" i="140"/>
  <c r="AQ42" i="140"/>
  <c r="AQ30" i="140"/>
  <c r="AQ73" i="140"/>
  <c r="AQ61" i="140"/>
  <c r="AQ49" i="140"/>
  <c r="AQ37" i="140"/>
  <c r="AQ25" i="140"/>
  <c r="AQ80" i="140"/>
  <c r="AQ68" i="140"/>
  <c r="AQ56" i="140"/>
  <c r="AQ44" i="140"/>
  <c r="AQ75" i="140"/>
  <c r="AQ63" i="140"/>
  <c r="AQ51" i="140"/>
  <c r="AQ39" i="140"/>
  <c r="AQ82" i="140"/>
  <c r="AQ70" i="140"/>
  <c r="AQ58" i="140"/>
  <c r="AQ46" i="140"/>
  <c r="AQ77" i="140"/>
  <c r="AQ65" i="140"/>
  <c r="AQ53" i="140"/>
  <c r="AQ72" i="140"/>
  <c r="AQ60" i="140"/>
  <c r="AQ48" i="140"/>
  <c r="AQ36" i="140"/>
  <c r="AQ24" i="140"/>
  <c r="BO80" i="140"/>
  <c r="BO68" i="140"/>
  <c r="BO56" i="140"/>
  <c r="BO75" i="140"/>
  <c r="BO63" i="140"/>
  <c r="BO51" i="140"/>
  <c r="BO39" i="140"/>
  <c r="BO82" i="140"/>
  <c r="BO70" i="140"/>
  <c r="BO58" i="140"/>
  <c r="BO77" i="140"/>
  <c r="BO65" i="140"/>
  <c r="BO53" i="140"/>
  <c r="BO41" i="140"/>
  <c r="BO72" i="140"/>
  <c r="BO60" i="140"/>
  <c r="BO48" i="140"/>
  <c r="BO36" i="140"/>
  <c r="BO79" i="140"/>
  <c r="BO67" i="140"/>
  <c r="BO55" i="140"/>
  <c r="BO43" i="140"/>
  <c r="BO31" i="140"/>
  <c r="BO74" i="140"/>
  <c r="BO62" i="140"/>
  <c r="BO50" i="140"/>
  <c r="BO81" i="140"/>
  <c r="BO69" i="140"/>
  <c r="BO57" i="140"/>
  <c r="BO45" i="140"/>
  <c r="BO33" i="140"/>
  <c r="BO76" i="140"/>
  <c r="BO64" i="140"/>
  <c r="BO52" i="140"/>
  <c r="BO40" i="140"/>
  <c r="BO71" i="140"/>
  <c r="BO59" i="140"/>
  <c r="BO78" i="140"/>
  <c r="BO66" i="140"/>
  <c r="BO54" i="140"/>
  <c r="BO42" i="140"/>
  <c r="BO30" i="140"/>
  <c r="X5" i="140"/>
  <c r="AA5" i="140" s="1"/>
  <c r="AV5" i="140"/>
  <c r="AY5" i="140" s="1"/>
  <c r="BT5" i="140"/>
  <c r="BW5" i="140" s="1"/>
  <c r="V6" i="140"/>
  <c r="W6" i="140" s="1"/>
  <c r="AH6" i="140"/>
  <c r="AI6" i="140" s="1"/>
  <c r="AT6" i="140"/>
  <c r="AU6" i="140" s="1"/>
  <c r="BF6" i="140"/>
  <c r="BG6" i="140" s="1"/>
  <c r="BR6" i="140"/>
  <c r="BS6" i="140" s="1"/>
  <c r="AI7" i="140"/>
  <c r="O8" i="140"/>
  <c r="BK8" i="140"/>
  <c r="AQ9" i="140"/>
  <c r="W10" i="140"/>
  <c r="BS10" i="140"/>
  <c r="AY11" i="140"/>
  <c r="AE12" i="140"/>
  <c r="BG13" i="140"/>
  <c r="AM14" i="140"/>
  <c r="S15" i="140"/>
  <c r="BO15" i="140"/>
  <c r="AU16" i="140"/>
  <c r="AA17" i="140"/>
  <c r="BW17" i="140"/>
  <c r="BC18" i="140"/>
  <c r="AI19" i="140"/>
  <c r="S20" i="140"/>
  <c r="BG21" i="140"/>
  <c r="AQ22" i="140"/>
  <c r="AA23" i="140"/>
  <c r="S24" i="140"/>
  <c r="BW24" i="140"/>
  <c r="BK25" i="140"/>
  <c r="BC26" i="140"/>
  <c r="AU27" i="140"/>
  <c r="AQ28" i="140"/>
  <c r="AQ29" i="140"/>
  <c r="BG30" i="140"/>
  <c r="BK31" i="140"/>
  <c r="S34" i="140"/>
  <c r="AE35" i="140"/>
  <c r="AU36" i="140"/>
  <c r="BK37" i="140"/>
  <c r="O39" i="140"/>
  <c r="AY40" i="140"/>
  <c r="O42" i="140"/>
  <c r="S44" i="140"/>
  <c r="S46" i="140"/>
  <c r="AQ67" i="140"/>
  <c r="AU81" i="140"/>
  <c r="AU69" i="140"/>
  <c r="AU57" i="140"/>
  <c r="AU76" i="140"/>
  <c r="AU64" i="140"/>
  <c r="AU52" i="140"/>
  <c r="AU40" i="140"/>
  <c r="AU28" i="140"/>
  <c r="AU71" i="140"/>
  <c r="AU59" i="140"/>
  <c r="AU47" i="140"/>
  <c r="AU78" i="140"/>
  <c r="AU66" i="140"/>
  <c r="AU54" i="140"/>
  <c r="AU42" i="140"/>
  <c r="AU73" i="140"/>
  <c r="AU61" i="140"/>
  <c r="AU49" i="140"/>
  <c r="AU37" i="140"/>
  <c r="AU80" i="140"/>
  <c r="AU68" i="140"/>
  <c r="AU56" i="140"/>
  <c r="AU44" i="140"/>
  <c r="AU32" i="140"/>
  <c r="AU75" i="140"/>
  <c r="AU63" i="140"/>
  <c r="AU51" i="140"/>
  <c r="AU82" i="140"/>
  <c r="AU70" i="140"/>
  <c r="AU58" i="140"/>
  <c r="AU46" i="140"/>
  <c r="AU34" i="140"/>
  <c r="AU77" i="140"/>
  <c r="AU65" i="140"/>
  <c r="AU53" i="140"/>
  <c r="AU41" i="140"/>
  <c r="AU72" i="140"/>
  <c r="AU60" i="140"/>
  <c r="AU79" i="140"/>
  <c r="AU67" i="140"/>
  <c r="AU55" i="140"/>
  <c r="AU43" i="140"/>
  <c r="AU31" i="140"/>
  <c r="AU19" i="140"/>
  <c r="BS75" i="140"/>
  <c r="BS63" i="140"/>
  <c r="BS51" i="140"/>
  <c r="BS82" i="140"/>
  <c r="BS70" i="140"/>
  <c r="BS58" i="140"/>
  <c r="BS46" i="140"/>
  <c r="BS34" i="140"/>
  <c r="BS77" i="140"/>
  <c r="BS65" i="140"/>
  <c r="BS53" i="140"/>
  <c r="BS72" i="140"/>
  <c r="BS60" i="140"/>
  <c r="BS48" i="140"/>
  <c r="BS79" i="140"/>
  <c r="BS67" i="140"/>
  <c r="BS55" i="140"/>
  <c r="BS43" i="140"/>
  <c r="BS31" i="140"/>
  <c r="BS74" i="140"/>
  <c r="BS62" i="140"/>
  <c r="BS50" i="140"/>
  <c r="BS38" i="140"/>
  <c r="BS26" i="140"/>
  <c r="BS81" i="140"/>
  <c r="BS69" i="140"/>
  <c r="BS57" i="140"/>
  <c r="BS45" i="140"/>
  <c r="BS76" i="140"/>
  <c r="BS64" i="140"/>
  <c r="BS52" i="140"/>
  <c r="BS40" i="140"/>
  <c r="BS71" i="140"/>
  <c r="BS59" i="140"/>
  <c r="BS47" i="140"/>
  <c r="BS78" i="140"/>
  <c r="BS66" i="140"/>
  <c r="BS54" i="140"/>
  <c r="BS73" i="140"/>
  <c r="BS61" i="140"/>
  <c r="BS49" i="140"/>
  <c r="BS37" i="140"/>
  <c r="BS25" i="140"/>
  <c r="AJ6" i="140"/>
  <c r="BH6" i="140"/>
  <c r="W8" i="140"/>
  <c r="BS8" i="140"/>
  <c r="AY9" i="140"/>
  <c r="BG11" i="140"/>
  <c r="AM12" i="140"/>
  <c r="AU14" i="140"/>
  <c r="AA15" i="140"/>
  <c r="BW15" i="140"/>
  <c r="AI17" i="140"/>
  <c r="O18" i="140"/>
  <c r="BK18" i="140"/>
  <c r="O21" i="140"/>
  <c r="AY22" i="140"/>
  <c r="AM23" i="140"/>
  <c r="AA24" i="140"/>
  <c r="O25" i="140"/>
  <c r="BW25" i="140"/>
  <c r="BK26" i="140"/>
  <c r="BK27" i="140"/>
  <c r="BS30" i="140"/>
  <c r="W33" i="140"/>
  <c r="AU35" i="140"/>
  <c r="BG36" i="140"/>
  <c r="BW37" i="140"/>
  <c r="AA39" i="140"/>
  <c r="BK40" i="140"/>
  <c r="AY42" i="140"/>
  <c r="AA49" i="140"/>
  <c r="AA63" i="140"/>
  <c r="W68" i="140"/>
  <c r="BK78" i="140"/>
  <c r="T4" i="140"/>
  <c r="AR4" i="140"/>
  <c r="BP4" i="140"/>
  <c r="BI6" i="140"/>
  <c r="AU7" i="140"/>
  <c r="BW8" i="140"/>
  <c r="AI10" i="140"/>
  <c r="O11" i="140"/>
  <c r="BK11" i="140"/>
  <c r="W13" i="140"/>
  <c r="BS13" i="140"/>
  <c r="AY14" i="140"/>
  <c r="BG16" i="140"/>
  <c r="AM17" i="140"/>
  <c r="AI20" i="140"/>
  <c r="BS21" i="140"/>
  <c r="BK28" i="140"/>
  <c r="BW30" i="140"/>
  <c r="AI33" i="140"/>
  <c r="AM34" i="140"/>
  <c r="BS36" i="140"/>
  <c r="AI39" i="140"/>
  <c r="BW40" i="140"/>
  <c r="BG42" i="140"/>
  <c r="BG44" i="140"/>
  <c r="AM46" i="140"/>
  <c r="AI53" i="140"/>
  <c r="BS68" i="140"/>
  <c r="AA82" i="140"/>
  <c r="AA70" i="140"/>
  <c r="AA58" i="140"/>
  <c r="AA77" i="140"/>
  <c r="AA65" i="140"/>
  <c r="AA53" i="140"/>
  <c r="AA41" i="140"/>
  <c r="AA29" i="140"/>
  <c r="AA72" i="140"/>
  <c r="AA60" i="140"/>
  <c r="AA48" i="140"/>
  <c r="AA79" i="140"/>
  <c r="AA67" i="140"/>
  <c r="AA55" i="140"/>
  <c r="AA43" i="140"/>
  <c r="AA74" i="140"/>
  <c r="AA62" i="140"/>
  <c r="AA50" i="140"/>
  <c r="AA38" i="140"/>
  <c r="AA81" i="140"/>
  <c r="AA69" i="140"/>
  <c r="AA57" i="140"/>
  <c r="AA45" i="140"/>
  <c r="AA33" i="140"/>
  <c r="AA76" i="140"/>
  <c r="AA64" i="140"/>
  <c r="AA52" i="140"/>
  <c r="AA71" i="140"/>
  <c r="AA59" i="140"/>
  <c r="AA47" i="140"/>
  <c r="AA35" i="140"/>
  <c r="AA78" i="140"/>
  <c r="AA66" i="140"/>
  <c r="AA54" i="140"/>
  <c r="AA42" i="140"/>
  <c r="AA73" i="140"/>
  <c r="AA61" i="140"/>
  <c r="AA80" i="140"/>
  <c r="AA68" i="140"/>
  <c r="AA56" i="140"/>
  <c r="AA44" i="140"/>
  <c r="AA32" i="140"/>
  <c r="AA20" i="140"/>
  <c r="AY76" i="140"/>
  <c r="AY64" i="140"/>
  <c r="AY52" i="140"/>
  <c r="AY71" i="140"/>
  <c r="AY59" i="140"/>
  <c r="AY47" i="140"/>
  <c r="AY35" i="140"/>
  <c r="AY78" i="140"/>
  <c r="AY66" i="140"/>
  <c r="AY54" i="140"/>
  <c r="AY73" i="140"/>
  <c r="AY61" i="140"/>
  <c r="AY49" i="140"/>
  <c r="AY80" i="140"/>
  <c r="AY68" i="140"/>
  <c r="AY56" i="140"/>
  <c r="AY44" i="140"/>
  <c r="AY32" i="140"/>
  <c r="AY75" i="140"/>
  <c r="AY63" i="140"/>
  <c r="AY51" i="140"/>
  <c r="AY39" i="140"/>
  <c r="AY27" i="140"/>
  <c r="AY82" i="140"/>
  <c r="AY70" i="140"/>
  <c r="AY58" i="140"/>
  <c r="AY46" i="140"/>
  <c r="AY77" i="140"/>
  <c r="AY65" i="140"/>
  <c r="AY53" i="140"/>
  <c r="AY41" i="140"/>
  <c r="AY29" i="140"/>
  <c r="AY72" i="140"/>
  <c r="AY60" i="140"/>
  <c r="AY48" i="140"/>
  <c r="AY79" i="140"/>
  <c r="AY67" i="140"/>
  <c r="AY55" i="140"/>
  <c r="AY74" i="140"/>
  <c r="AY62" i="140"/>
  <c r="AY50" i="140"/>
  <c r="AY38" i="140"/>
  <c r="AY26" i="140"/>
  <c r="BW82" i="140"/>
  <c r="BW70" i="140"/>
  <c r="BW58" i="140"/>
  <c r="BW46" i="140"/>
  <c r="BW77" i="140"/>
  <c r="BW65" i="140"/>
  <c r="BW53" i="140"/>
  <c r="BW41" i="140"/>
  <c r="BW29" i="140"/>
  <c r="BW72" i="140"/>
  <c r="BW60" i="140"/>
  <c r="BW48" i="140"/>
  <c r="BW79" i="140"/>
  <c r="BW67" i="140"/>
  <c r="BW55" i="140"/>
  <c r="BW43" i="140"/>
  <c r="BW74" i="140"/>
  <c r="BW62" i="140"/>
  <c r="BW50" i="140"/>
  <c r="BW38" i="140"/>
  <c r="BW26" i="140"/>
  <c r="BW81" i="140"/>
  <c r="BW69" i="140"/>
  <c r="BW57" i="140"/>
  <c r="BW45" i="140"/>
  <c r="BW33" i="140"/>
  <c r="BW76" i="140"/>
  <c r="BW64" i="140"/>
  <c r="BW52" i="140"/>
  <c r="BW71" i="140"/>
  <c r="BW59" i="140"/>
  <c r="BW47" i="140"/>
  <c r="BW35" i="140"/>
  <c r="BW78" i="140"/>
  <c r="BW66" i="140"/>
  <c r="BW54" i="140"/>
  <c r="BW42" i="140"/>
  <c r="BW73" i="140"/>
  <c r="BW61" i="140"/>
  <c r="BW80" i="140"/>
  <c r="BW68" i="140"/>
  <c r="BW56" i="140"/>
  <c r="BW44" i="140"/>
  <c r="BW32" i="140"/>
  <c r="BW20" i="140"/>
  <c r="AF5" i="140"/>
  <c r="AI5" i="140" s="1"/>
  <c r="BD5" i="140"/>
  <c r="BG5" i="140" s="1"/>
  <c r="N6" i="140"/>
  <c r="O6" i="140" s="1"/>
  <c r="BJ6" i="140"/>
  <c r="BK6" i="140" s="1"/>
  <c r="BV6" i="140"/>
  <c r="BW6" i="140" s="1"/>
  <c r="AY7" i="140"/>
  <c r="BG9" i="140"/>
  <c r="AM10" i="140"/>
  <c r="AU12" i="140"/>
  <c r="AA13" i="140"/>
  <c r="BW13" i="140"/>
  <c r="AI15" i="140"/>
  <c r="O16" i="140"/>
  <c r="BK16" i="140"/>
  <c r="W18" i="140"/>
  <c r="BS18" i="140"/>
  <c r="AM20" i="140"/>
  <c r="W21" i="140"/>
  <c r="BW21" i="140"/>
  <c r="BG22" i="140"/>
  <c r="AU23" i="140"/>
  <c r="AI24" i="140"/>
  <c r="AA25" i="140"/>
  <c r="O26" i="140"/>
  <c r="BS27" i="140"/>
  <c r="BS29" i="140"/>
  <c r="AM33" i="140"/>
  <c r="BG35" i="140"/>
  <c r="BW36" i="140"/>
  <c r="AU39" i="140"/>
  <c r="BK42" i="140"/>
  <c r="BW49" i="140"/>
  <c r="AU74" i="140"/>
  <c r="AQ79" i="140"/>
  <c r="W75" i="140"/>
  <c r="W63" i="140"/>
  <c r="W51" i="140"/>
  <c r="W82" i="140"/>
  <c r="W70" i="140"/>
  <c r="W58" i="140"/>
  <c r="W46" i="140"/>
  <c r="W34" i="140"/>
  <c r="W77" i="140"/>
  <c r="W65" i="140"/>
  <c r="W53" i="140"/>
  <c r="W72" i="140"/>
  <c r="W60" i="140"/>
  <c r="W48" i="140"/>
  <c r="W79" i="140"/>
  <c r="W67" i="140"/>
  <c r="W55" i="140"/>
  <c r="W43" i="140"/>
  <c r="W31" i="140"/>
  <c r="W74" i="140"/>
  <c r="W62" i="140"/>
  <c r="W50" i="140"/>
  <c r="W38" i="140"/>
  <c r="W26" i="140"/>
  <c r="W81" i="140"/>
  <c r="W69" i="140"/>
  <c r="W57" i="140"/>
  <c r="W45" i="140"/>
  <c r="W76" i="140"/>
  <c r="W64" i="140"/>
  <c r="W52" i="140"/>
  <c r="W40" i="140"/>
  <c r="W71" i="140"/>
  <c r="W59" i="140"/>
  <c r="W47" i="140"/>
  <c r="W78" i="140"/>
  <c r="W66" i="140"/>
  <c r="W54" i="140"/>
  <c r="W73" i="140"/>
  <c r="W61" i="140"/>
  <c r="W49" i="140"/>
  <c r="W37" i="140"/>
  <c r="W25" i="140"/>
  <c r="AX6" i="140"/>
  <c r="AY6" i="140" s="1"/>
  <c r="X4" i="140"/>
  <c r="AV4" i="140"/>
  <c r="BT4" i="140"/>
  <c r="BC7" i="140"/>
  <c r="AI8" i="140"/>
  <c r="O9" i="140"/>
  <c r="BK9" i="140"/>
  <c r="AQ10" i="140"/>
  <c r="W11" i="140"/>
  <c r="BS11" i="140"/>
  <c r="AY12" i="140"/>
  <c r="AE13" i="140"/>
  <c r="BG14" i="140"/>
  <c r="AM15" i="140"/>
  <c r="S16" i="140"/>
  <c r="BO16" i="140"/>
  <c r="AU17" i="140"/>
  <c r="AA18" i="140"/>
  <c r="BW18" i="140"/>
  <c r="BG19" i="140"/>
  <c r="AQ20" i="140"/>
  <c r="AA21" i="140"/>
  <c r="BK22" i="140"/>
  <c r="AY23" i="140"/>
  <c r="AM24" i="140"/>
  <c r="AE25" i="140"/>
  <c r="S26" i="140"/>
  <c r="O27" i="140"/>
  <c r="BW27" i="140"/>
  <c r="BS28" i="140"/>
  <c r="O31" i="140"/>
  <c r="AE32" i="140"/>
  <c r="AU33" i="140"/>
  <c r="AY34" i="140"/>
  <c r="BO35" i="140"/>
  <c r="BK39" i="140"/>
  <c r="W41" i="140"/>
  <c r="BS42" i="140"/>
  <c r="BS44" i="140"/>
  <c r="O54" i="140"/>
  <c r="BG59" i="140"/>
  <c r="AY69" i="140"/>
  <c r="AL6" i="140"/>
  <c r="AM6" i="140" s="1"/>
  <c r="AE77" i="140"/>
  <c r="AE65" i="140"/>
  <c r="AE53" i="140"/>
  <c r="AE72" i="140"/>
  <c r="AE60" i="140"/>
  <c r="AE48" i="140"/>
  <c r="AE36" i="140"/>
  <c r="AE79" i="140"/>
  <c r="AE67" i="140"/>
  <c r="AE55" i="140"/>
  <c r="AE74" i="140"/>
  <c r="AE62" i="140"/>
  <c r="AE50" i="140"/>
  <c r="AE81" i="140"/>
  <c r="AE69" i="140"/>
  <c r="AE57" i="140"/>
  <c r="AE45" i="140"/>
  <c r="AE33" i="140"/>
  <c r="AE76" i="140"/>
  <c r="AE64" i="140"/>
  <c r="AE52" i="140"/>
  <c r="AE40" i="140"/>
  <c r="AE28" i="140"/>
  <c r="AE71" i="140"/>
  <c r="AE59" i="140"/>
  <c r="AE47" i="140"/>
  <c r="AE78" i="140"/>
  <c r="AE66" i="140"/>
  <c r="AE54" i="140"/>
  <c r="AE42" i="140"/>
  <c r="AE30" i="140"/>
  <c r="AE73" i="140"/>
  <c r="AE61" i="140"/>
  <c r="AE49" i="140"/>
  <c r="AE37" i="140"/>
  <c r="AE80" i="140"/>
  <c r="AE68" i="140"/>
  <c r="AE56" i="140"/>
  <c r="AE75" i="140"/>
  <c r="AE63" i="140"/>
  <c r="AE51" i="140"/>
  <c r="AE39" i="140"/>
  <c r="AE27" i="140"/>
  <c r="BC71" i="140"/>
  <c r="BC59" i="140"/>
  <c r="BC47" i="140"/>
  <c r="BC78" i="140"/>
  <c r="BC66" i="140"/>
  <c r="BC54" i="140"/>
  <c r="BC42" i="140"/>
  <c r="BC30" i="140"/>
  <c r="BC73" i="140"/>
  <c r="BC61" i="140"/>
  <c r="BC49" i="140"/>
  <c r="BC80" i="140"/>
  <c r="BC68" i="140"/>
  <c r="BC56" i="140"/>
  <c r="BC44" i="140"/>
  <c r="BC75" i="140"/>
  <c r="BC63" i="140"/>
  <c r="BC51" i="140"/>
  <c r="BC39" i="140"/>
  <c r="BC27" i="140"/>
  <c r="BC82" i="140"/>
  <c r="BC70" i="140"/>
  <c r="BC58" i="140"/>
  <c r="BC46" i="140"/>
  <c r="BC34" i="140"/>
  <c r="BC77" i="140"/>
  <c r="BC65" i="140"/>
  <c r="BC53" i="140"/>
  <c r="BC72" i="140"/>
  <c r="BC60" i="140"/>
  <c r="BC48" i="140"/>
  <c r="BC36" i="140"/>
  <c r="BC79" i="140"/>
  <c r="BC67" i="140"/>
  <c r="BC55" i="140"/>
  <c r="BC43" i="140"/>
  <c r="BC74" i="140"/>
  <c r="BC62" i="140"/>
  <c r="BC81" i="140"/>
  <c r="BC69" i="140"/>
  <c r="BC57" i="140"/>
  <c r="BC45" i="140"/>
  <c r="BC33" i="140"/>
  <c r="BC21" i="140"/>
  <c r="L5" i="140"/>
  <c r="O5" i="140" s="1"/>
  <c r="AJ5" i="140"/>
  <c r="AM5" i="140" s="1"/>
  <c r="BH5" i="140"/>
  <c r="BK5" i="140" s="1"/>
  <c r="P6" i="140"/>
  <c r="AB6" i="140"/>
  <c r="AN6" i="140"/>
  <c r="AZ6" i="140"/>
  <c r="BL6" i="140"/>
  <c r="BG7" i="140"/>
  <c r="AM8" i="140"/>
  <c r="S9" i="140"/>
  <c r="BO9" i="140"/>
  <c r="AU10" i="140"/>
  <c r="AA11" i="140"/>
  <c r="BW11" i="140"/>
  <c r="BC12" i="140"/>
  <c r="AI13" i="140"/>
  <c r="O14" i="140"/>
  <c r="BK14" i="140"/>
  <c r="AQ15" i="140"/>
  <c r="W16" i="140"/>
  <c r="BS16" i="140"/>
  <c r="AY17" i="140"/>
  <c r="AE18" i="140"/>
  <c r="BK19" i="140"/>
  <c r="AU20" i="140"/>
  <c r="AE21" i="140"/>
  <c r="O22" i="140"/>
  <c r="BO22" i="140"/>
  <c r="BC23" i="140"/>
  <c r="AU24" i="140"/>
  <c r="AI25" i="140"/>
  <c r="AA26" i="140"/>
  <c r="S27" i="140"/>
  <c r="BW28" i="140"/>
  <c r="O30" i="140"/>
  <c r="AA31" i="140"/>
  <c r="AI32" i="140"/>
  <c r="AY33" i="140"/>
  <c r="BK34" i="140"/>
  <c r="BS35" i="140"/>
  <c r="O37" i="140"/>
  <c r="AI38" i="140"/>
  <c r="BS39" i="140"/>
  <c r="AE41" i="140"/>
  <c r="S47" i="140"/>
  <c r="AU50" i="140"/>
  <c r="BK54" i="140"/>
  <c r="AA75" i="140"/>
  <c r="W80" i="140"/>
  <c r="Z6" i="140"/>
  <c r="AA6" i="140" s="1"/>
  <c r="AB4" i="140"/>
  <c r="AZ4" i="140"/>
  <c r="Q6" i="140"/>
  <c r="AC6" i="140"/>
  <c r="AO6" i="140"/>
  <c r="BA6" i="140"/>
  <c r="BM6" i="140"/>
  <c r="O7" i="140"/>
  <c r="BK7" i="140"/>
  <c r="AQ8" i="140"/>
  <c r="W9" i="140"/>
  <c r="BS9" i="140"/>
  <c r="AY10" i="140"/>
  <c r="AE11" i="140"/>
  <c r="BG12" i="140"/>
  <c r="AM13" i="140"/>
  <c r="S14" i="140"/>
  <c r="BO14" i="140"/>
  <c r="AU15" i="140"/>
  <c r="AA16" i="140"/>
  <c r="BW16" i="140"/>
  <c r="BC17" i="140"/>
  <c r="AI18" i="140"/>
  <c r="O19" i="140"/>
  <c r="BO19" i="140"/>
  <c r="AY20" i="140"/>
  <c r="AI21" i="140"/>
  <c r="S22" i="140"/>
  <c r="BS22" i="140"/>
  <c r="BG23" i="140"/>
  <c r="AY24" i="140"/>
  <c r="AM25" i="140"/>
  <c r="AE26" i="140"/>
  <c r="W27" i="140"/>
  <c r="O28" i="140"/>
  <c r="W30" i="140"/>
  <c r="AE31" i="140"/>
  <c r="AQ32" i="140"/>
  <c r="BG33" i="140"/>
  <c r="BO34" i="140"/>
  <c r="S37" i="140"/>
  <c r="AQ38" i="140"/>
  <c r="BW39" i="140"/>
  <c r="AI41" i="140"/>
  <c r="AE43" i="140"/>
  <c r="AM45" i="140"/>
  <c r="BC50" i="140"/>
  <c r="AM60" i="140"/>
  <c r="AE70" i="140"/>
  <c r="BW75" i="140"/>
  <c r="BS80" i="140"/>
  <c r="AI72" i="140"/>
  <c r="AI60" i="140"/>
  <c r="AI48" i="140"/>
  <c r="AI79" i="140"/>
  <c r="AI67" i="140"/>
  <c r="AI55" i="140"/>
  <c r="AI43" i="140"/>
  <c r="AI31" i="140"/>
  <c r="AI74" i="140"/>
  <c r="AI62" i="140"/>
  <c r="AI50" i="140"/>
  <c r="AI81" i="140"/>
  <c r="AI69" i="140"/>
  <c r="AI57" i="140"/>
  <c r="AI45" i="140"/>
  <c r="AI76" i="140"/>
  <c r="AI64" i="140"/>
  <c r="AI52" i="140"/>
  <c r="AI40" i="140"/>
  <c r="AI28" i="140"/>
  <c r="AI71" i="140"/>
  <c r="AI59" i="140"/>
  <c r="AI47" i="140"/>
  <c r="AI35" i="140"/>
  <c r="AI23" i="140"/>
  <c r="AI78" i="140"/>
  <c r="AI66" i="140"/>
  <c r="AI54" i="140"/>
  <c r="AI42" i="140"/>
  <c r="AI73" i="140"/>
  <c r="AI61" i="140"/>
  <c r="AI49" i="140"/>
  <c r="AI37" i="140"/>
  <c r="AI80" i="140"/>
  <c r="AI68" i="140"/>
  <c r="AI56" i="140"/>
  <c r="AI44" i="140"/>
  <c r="AI75" i="140"/>
  <c r="AI63" i="140"/>
  <c r="AI82" i="140"/>
  <c r="AI70" i="140"/>
  <c r="AI58" i="140"/>
  <c r="AI46" i="140"/>
  <c r="AI34" i="140"/>
  <c r="AI22" i="140"/>
  <c r="BG78" i="140"/>
  <c r="BG66" i="140"/>
  <c r="BG54" i="140"/>
  <c r="BG73" i="140"/>
  <c r="BG61" i="140"/>
  <c r="BG49" i="140"/>
  <c r="BG37" i="140"/>
  <c r="BG80" i="140"/>
  <c r="BG68" i="140"/>
  <c r="BG56" i="140"/>
  <c r="BG75" i="140"/>
  <c r="BG63" i="140"/>
  <c r="BG51" i="140"/>
  <c r="BG39" i="140"/>
  <c r="BG82" i="140"/>
  <c r="BG70" i="140"/>
  <c r="BG58" i="140"/>
  <c r="BG46" i="140"/>
  <c r="BG34" i="140"/>
  <c r="BG77" i="140"/>
  <c r="BG65" i="140"/>
  <c r="BG53" i="140"/>
  <c r="BG41" i="140"/>
  <c r="BG29" i="140"/>
  <c r="BG72" i="140"/>
  <c r="BG60" i="140"/>
  <c r="BG48" i="140"/>
  <c r="BG79" i="140"/>
  <c r="BG67" i="140"/>
  <c r="BG55" i="140"/>
  <c r="BG43" i="140"/>
  <c r="BG31" i="140"/>
  <c r="BG74" i="140"/>
  <c r="BG62" i="140"/>
  <c r="BG50" i="140"/>
  <c r="BG38" i="140"/>
  <c r="BG81" i="140"/>
  <c r="BG69" i="140"/>
  <c r="BG57" i="140"/>
  <c r="BG76" i="140"/>
  <c r="BG64" i="140"/>
  <c r="BG52" i="140"/>
  <c r="BG40" i="140"/>
  <c r="BG28" i="140"/>
  <c r="AU8" i="140"/>
  <c r="AA9" i="140"/>
  <c r="BW9" i="140"/>
  <c r="AI11" i="140"/>
  <c r="O12" i="140"/>
  <c r="BK12" i="140"/>
  <c r="W14" i="140"/>
  <c r="BS14" i="140"/>
  <c r="AY15" i="140"/>
  <c r="BG17" i="140"/>
  <c r="AM18" i="140"/>
  <c r="BS19" i="140"/>
  <c r="AM21" i="140"/>
  <c r="W22" i="140"/>
  <c r="BW22" i="140"/>
  <c r="AU25" i="140"/>
  <c r="AI26" i="140"/>
  <c r="AA27" i="140"/>
  <c r="AA30" i="140"/>
  <c r="AM31" i="140"/>
  <c r="BK33" i="140"/>
  <c r="BW34" i="140"/>
  <c r="W36" i="140"/>
  <c r="AA37" i="140"/>
  <c r="AU38" i="140"/>
  <c r="AM43" i="140"/>
  <c r="AU45" i="140"/>
  <c r="AF4" i="140"/>
  <c r="BD4" i="140"/>
  <c r="W7" i="140"/>
  <c r="BS7" i="140"/>
  <c r="AY8" i="140"/>
  <c r="BG10" i="140"/>
  <c r="AM11" i="140"/>
  <c r="AU13" i="140"/>
  <c r="AA14" i="140"/>
  <c r="BW14" i="140"/>
  <c r="AI16" i="140"/>
  <c r="O17" i="140"/>
  <c r="W19" i="140"/>
  <c r="BW19" i="140"/>
  <c r="BG20" i="140"/>
  <c r="AA22" i="140"/>
  <c r="BS23" i="140"/>
  <c r="BG24" i="140"/>
  <c r="AY25" i="140"/>
  <c r="AM26" i="140"/>
  <c r="AI27" i="140"/>
  <c r="W28" i="140"/>
  <c r="W29" i="140"/>
  <c r="AI30" i="140"/>
  <c r="BG32" i="140"/>
  <c r="BS33" i="140"/>
  <c r="AA36" i="140"/>
  <c r="O40" i="140"/>
  <c r="AY45" i="140"/>
  <c r="AA51" i="140"/>
  <c r="BG71" i="140"/>
  <c r="AY81" i="140"/>
  <c r="O73" i="140"/>
  <c r="O61" i="140"/>
  <c r="O49" i="140"/>
  <c r="O80" i="140"/>
  <c r="O68" i="140"/>
  <c r="O56" i="140"/>
  <c r="O44" i="140"/>
  <c r="O32" i="140"/>
  <c r="O75" i="140"/>
  <c r="O63" i="140"/>
  <c r="O51" i="140"/>
  <c r="O82" i="140"/>
  <c r="O70" i="140"/>
  <c r="O58" i="140"/>
  <c r="O46" i="140"/>
  <c r="O77" i="140"/>
  <c r="O65" i="140"/>
  <c r="O53" i="140"/>
  <c r="O41" i="140"/>
  <c r="O29" i="140"/>
  <c r="O72" i="140"/>
  <c r="O60" i="140"/>
  <c r="O48" i="140"/>
  <c r="O36" i="140"/>
  <c r="O24" i="140"/>
  <c r="O79" i="140"/>
  <c r="O67" i="140"/>
  <c r="O55" i="140"/>
  <c r="O43" i="140"/>
  <c r="O74" i="140"/>
  <c r="O62" i="140"/>
  <c r="O50" i="140"/>
  <c r="O38" i="140"/>
  <c r="O81" i="140"/>
  <c r="O69" i="140"/>
  <c r="O57" i="140"/>
  <c r="O45" i="140"/>
  <c r="O76" i="140"/>
  <c r="O64" i="140"/>
  <c r="O52" i="140"/>
  <c r="O71" i="140"/>
  <c r="O59" i="140"/>
  <c r="O47" i="140"/>
  <c r="O35" i="140"/>
  <c r="O23" i="140"/>
  <c r="AM79" i="140"/>
  <c r="AM67" i="140"/>
  <c r="AM55" i="140"/>
  <c r="AM74" i="140"/>
  <c r="AM62" i="140"/>
  <c r="AM50" i="140"/>
  <c r="AM38" i="140"/>
  <c r="AM81" i="140"/>
  <c r="AM69" i="140"/>
  <c r="AM57" i="140"/>
  <c r="AM76" i="140"/>
  <c r="AM64" i="140"/>
  <c r="AM52" i="140"/>
  <c r="AM40" i="140"/>
  <c r="AM71" i="140"/>
  <c r="AM59" i="140"/>
  <c r="AM47" i="140"/>
  <c r="AM35" i="140"/>
  <c r="AM78" i="140"/>
  <c r="AM66" i="140"/>
  <c r="AM54" i="140"/>
  <c r="AM42" i="140"/>
  <c r="AM30" i="140"/>
  <c r="AM73" i="140"/>
  <c r="AM61" i="140"/>
  <c r="AM49" i="140"/>
  <c r="AM80" i="140"/>
  <c r="AM68" i="140"/>
  <c r="AM56" i="140"/>
  <c r="AM44" i="140"/>
  <c r="AM32" i="140"/>
  <c r="AM75" i="140"/>
  <c r="AM63" i="140"/>
  <c r="AM51" i="140"/>
  <c r="AM39" i="140"/>
  <c r="AM82" i="140"/>
  <c r="AM70" i="140"/>
  <c r="AM58" i="140"/>
  <c r="AM77" i="140"/>
  <c r="AM65" i="140"/>
  <c r="AM53" i="140"/>
  <c r="AM41" i="140"/>
  <c r="AM29" i="140"/>
  <c r="BK73" i="140"/>
  <c r="BK61" i="140"/>
  <c r="BK49" i="140"/>
  <c r="BK80" i="140"/>
  <c r="BK68" i="140"/>
  <c r="BK56" i="140"/>
  <c r="BK44" i="140"/>
  <c r="BK32" i="140"/>
  <c r="BK75" i="140"/>
  <c r="BK63" i="140"/>
  <c r="BK51" i="140"/>
  <c r="BK82" i="140"/>
  <c r="BK70" i="140"/>
  <c r="BK58" i="140"/>
  <c r="BK46" i="140"/>
  <c r="BK77" i="140"/>
  <c r="BK65" i="140"/>
  <c r="BK53" i="140"/>
  <c r="BK41" i="140"/>
  <c r="BK29" i="140"/>
  <c r="BK72" i="140"/>
  <c r="BK60" i="140"/>
  <c r="BK48" i="140"/>
  <c r="BK36" i="140"/>
  <c r="BK24" i="140"/>
  <c r="BK79" i="140"/>
  <c r="BK67" i="140"/>
  <c r="BK55" i="140"/>
  <c r="BK43" i="140"/>
  <c r="BK74" i="140"/>
  <c r="BK62" i="140"/>
  <c r="BK50" i="140"/>
  <c r="BK38" i="140"/>
  <c r="BK81" i="140"/>
  <c r="BK69" i="140"/>
  <c r="BK57" i="140"/>
  <c r="BK45" i="140"/>
  <c r="BK76" i="140"/>
  <c r="BK64" i="140"/>
  <c r="BK52" i="140"/>
  <c r="BK71" i="140"/>
  <c r="BK59" i="140"/>
  <c r="BK47" i="140"/>
  <c r="BK35" i="140"/>
  <c r="BK23" i="140"/>
  <c r="T5" i="140"/>
  <c r="W5" i="140" s="1"/>
  <c r="AR5" i="140"/>
  <c r="AU5" i="140" s="1"/>
  <c r="BP5" i="140"/>
  <c r="BS5" i="140" s="1"/>
  <c r="T6" i="140"/>
  <c r="AF6" i="140"/>
  <c r="AR6" i="140"/>
  <c r="BD6" i="140"/>
  <c r="BP6" i="140"/>
  <c r="AA7" i="140"/>
  <c r="BW7" i="140"/>
  <c r="AI9" i="140"/>
  <c r="O10" i="140"/>
  <c r="BK10" i="140"/>
  <c r="W12" i="140"/>
  <c r="BS12" i="140"/>
  <c r="AY13" i="140"/>
  <c r="BG15" i="140"/>
  <c r="AM16" i="140"/>
  <c r="AU18" i="140"/>
  <c r="AA19" i="140"/>
  <c r="BK20" i="140"/>
  <c r="AU21" i="140"/>
  <c r="BW23" i="140"/>
  <c r="AM27" i="140"/>
  <c r="AA28" i="140"/>
  <c r="AU30" i="140"/>
  <c r="AY31" i="140"/>
  <c r="AI36" i="140"/>
  <c r="AY37" i="140"/>
  <c r="AA40" i="140"/>
  <c r="BS41" i="140"/>
  <c r="AY43" i="140"/>
  <c r="BG45" i="140"/>
  <c r="AM48" i="140"/>
  <c r="AI51" i="140"/>
  <c r="W56" i="140"/>
  <c r="BK66" i="140"/>
  <c r="L4" i="140"/>
  <c r="AJ4" i="140"/>
  <c r="BH4" i="140"/>
  <c r="U6" i="140"/>
  <c r="AG6" i="140"/>
  <c r="AS6" i="140"/>
  <c r="BE6" i="140"/>
  <c r="BQ6" i="140"/>
  <c r="AE7" i="140"/>
  <c r="BG8" i="140"/>
  <c r="AM9" i="140"/>
  <c r="S10" i="140"/>
  <c r="BO10" i="140"/>
  <c r="AU11" i="140"/>
  <c r="AA12" i="140"/>
  <c r="BW12" i="140"/>
  <c r="BC13" i="140"/>
  <c r="AI14" i="140"/>
  <c r="O15" i="140"/>
  <c r="BK15" i="140"/>
  <c r="AQ16" i="140"/>
  <c r="W17" i="140"/>
  <c r="BS17" i="140"/>
  <c r="AY18" i="140"/>
  <c r="AE19" i="140"/>
  <c r="O20" i="140"/>
  <c r="BO20" i="140"/>
  <c r="AY21" i="140"/>
  <c r="AM22" i="140"/>
  <c r="W23" i="140"/>
  <c r="BS24" i="140"/>
  <c r="BG25" i="140"/>
  <c r="AU26" i="140"/>
  <c r="AQ27" i="140"/>
  <c r="AM28" i="140"/>
  <c r="AI29" i="140"/>
  <c r="AY30" i="140"/>
  <c r="BC31" i="140"/>
  <c r="BS32" i="140"/>
  <c r="O34" i="140"/>
  <c r="W35" i="140"/>
  <c r="AM36" i="140"/>
  <c r="BC37" i="140"/>
  <c r="AQ40" i="140"/>
  <c r="AU48" i="140"/>
  <c r="BW51" i="140"/>
  <c r="BS56" i="140"/>
  <c r="AM72" i="140"/>
  <c r="AI77" i="140"/>
  <c r="AE82" i="140"/>
  <c r="W75" i="139"/>
  <c r="W63" i="139"/>
  <c r="W82" i="139"/>
  <c r="W70" i="139"/>
  <c r="W58" i="139"/>
  <c r="W46" i="139"/>
  <c r="W34" i="139"/>
  <c r="W77" i="139"/>
  <c r="W65" i="139"/>
  <c r="W53" i="139"/>
  <c r="W41" i="139"/>
  <c r="W29" i="139"/>
  <c r="W72" i="139"/>
  <c r="W60" i="139"/>
  <c r="W48" i="139"/>
  <c r="W36" i="139"/>
  <c r="W79" i="139"/>
  <c r="W67" i="139"/>
  <c r="W74" i="139"/>
  <c r="W81" i="139"/>
  <c r="W69" i="139"/>
  <c r="W76" i="139"/>
  <c r="W64" i="139"/>
  <c r="W52" i="139"/>
  <c r="W40" i="139"/>
  <c r="W28" i="139"/>
  <c r="W71" i="139"/>
  <c r="W59" i="139"/>
  <c r="W47" i="139"/>
  <c r="W35" i="139"/>
  <c r="W78" i="139"/>
  <c r="W66" i="139"/>
  <c r="W73" i="139"/>
  <c r="AU81" i="139"/>
  <c r="AU69" i="139"/>
  <c r="AU57" i="139"/>
  <c r="AU76" i="139"/>
  <c r="AU64" i="139"/>
  <c r="AU52" i="139"/>
  <c r="AU40" i="139"/>
  <c r="AU28" i="139"/>
  <c r="AU71" i="139"/>
  <c r="AU59" i="139"/>
  <c r="AU47" i="139"/>
  <c r="AU35" i="139"/>
  <c r="AU23" i="139"/>
  <c r="AU78" i="139"/>
  <c r="AU66" i="139"/>
  <c r="AU54" i="139"/>
  <c r="AU42" i="139"/>
  <c r="AU73" i="139"/>
  <c r="AU61" i="139"/>
  <c r="AU80" i="139"/>
  <c r="AU68" i="139"/>
  <c r="AU75" i="139"/>
  <c r="AU63" i="139"/>
  <c r="AU82" i="139"/>
  <c r="AU70" i="139"/>
  <c r="AU58" i="139"/>
  <c r="AU46" i="139"/>
  <c r="AU34" i="139"/>
  <c r="AU22" i="139"/>
  <c r="AU77" i="139"/>
  <c r="AU65" i="139"/>
  <c r="AU53" i="139"/>
  <c r="AU41" i="139"/>
  <c r="AU29" i="139"/>
  <c r="AU72" i="139"/>
  <c r="AU79" i="139"/>
  <c r="AU67" i="139"/>
  <c r="BS75" i="139"/>
  <c r="BS63" i="139"/>
  <c r="BS82" i="139"/>
  <c r="BS70" i="139"/>
  <c r="BS58" i="139"/>
  <c r="BS46" i="139"/>
  <c r="BS34" i="139"/>
  <c r="BS77" i="139"/>
  <c r="BS65" i="139"/>
  <c r="BS53" i="139"/>
  <c r="BS41" i="139"/>
  <c r="BS29" i="139"/>
  <c r="BS72" i="139"/>
  <c r="BS60" i="139"/>
  <c r="BS48" i="139"/>
  <c r="BS36" i="139"/>
  <c r="BS79" i="139"/>
  <c r="BS67" i="139"/>
  <c r="BS74" i="139"/>
  <c r="BS81" i="139"/>
  <c r="BS69" i="139"/>
  <c r="BS76" i="139"/>
  <c r="BS64" i="139"/>
  <c r="BS52" i="139"/>
  <c r="BS40" i="139"/>
  <c r="BS28" i="139"/>
  <c r="BS71" i="139"/>
  <c r="BS59" i="139"/>
  <c r="BS47" i="139"/>
  <c r="BS35" i="139"/>
  <c r="BS23" i="139"/>
  <c r="BS78" i="139"/>
  <c r="BS66" i="139"/>
  <c r="BS73" i="139"/>
  <c r="AB5" i="139"/>
  <c r="AE5" i="139" s="1"/>
  <c r="AZ5" i="139"/>
  <c r="BC5" i="139" s="1"/>
  <c r="L6" i="139"/>
  <c r="X6" i="139"/>
  <c r="AJ6" i="139"/>
  <c r="AV6" i="139"/>
  <c r="BH6" i="139"/>
  <c r="BT6" i="139"/>
  <c r="AQ7" i="139"/>
  <c r="W8" i="139"/>
  <c r="BS8" i="139"/>
  <c r="AY9" i="139"/>
  <c r="AE10" i="139"/>
  <c r="BG11" i="139"/>
  <c r="AM12" i="139"/>
  <c r="S13" i="139"/>
  <c r="BO13" i="139"/>
  <c r="AU14" i="139"/>
  <c r="AA15" i="139"/>
  <c r="BW15" i="139"/>
  <c r="BC16" i="139"/>
  <c r="AI17" i="139"/>
  <c r="O18" i="139"/>
  <c r="BK18" i="139"/>
  <c r="AQ19" i="139"/>
  <c r="AA20" i="139"/>
  <c r="BK21" i="139"/>
  <c r="AY22" i="139"/>
  <c r="AI23" i="139"/>
  <c r="AI24" i="139"/>
  <c r="AA25" i="139"/>
  <c r="AE27" i="139"/>
  <c r="AI28" i="139"/>
  <c r="AM29" i="139"/>
  <c r="AQ30" i="139"/>
  <c r="AQ31" i="139"/>
  <c r="AQ32" i="139"/>
  <c r="AU33" i="139"/>
  <c r="AY34" i="139"/>
  <c r="BC35" i="139"/>
  <c r="BK36" i="139"/>
  <c r="BS37" i="139"/>
  <c r="BW38" i="139"/>
  <c r="O40" i="139"/>
  <c r="AI41" i="139"/>
  <c r="AQ42" i="139"/>
  <c r="AY43" i="139"/>
  <c r="BO44" i="139"/>
  <c r="BW45" i="139"/>
  <c r="S47" i="139"/>
  <c r="AM48" i="139"/>
  <c r="AQ49" i="139"/>
  <c r="BC51" i="139"/>
  <c r="S54" i="139"/>
  <c r="W55" i="139"/>
  <c r="AE56" i="139"/>
  <c r="BC57" i="139"/>
  <c r="S59" i="139"/>
  <c r="AQ67" i="139"/>
  <c r="AA82" i="139"/>
  <c r="AA70" i="139"/>
  <c r="AA58" i="139"/>
  <c r="AA77" i="139"/>
  <c r="AA65" i="139"/>
  <c r="AA53" i="139"/>
  <c r="AA41" i="139"/>
  <c r="AA29" i="139"/>
  <c r="AA72" i="139"/>
  <c r="AA60" i="139"/>
  <c r="AA48" i="139"/>
  <c r="AA36" i="139"/>
  <c r="AA24" i="139"/>
  <c r="AA79" i="139"/>
  <c r="AA67" i="139"/>
  <c r="AA55" i="139"/>
  <c r="AA43" i="139"/>
  <c r="AA74" i="139"/>
  <c r="AA62" i="139"/>
  <c r="AA81" i="139"/>
  <c r="AA69" i="139"/>
  <c r="AA76" i="139"/>
  <c r="AA64" i="139"/>
  <c r="AA71" i="139"/>
  <c r="AA59" i="139"/>
  <c r="AA47" i="139"/>
  <c r="AA35" i="139"/>
  <c r="AA23" i="139"/>
  <c r="AA78" i="139"/>
  <c r="AA66" i="139"/>
  <c r="AA54" i="139"/>
  <c r="AA42" i="139"/>
  <c r="AA30" i="139"/>
  <c r="AA73" i="139"/>
  <c r="AA80" i="139"/>
  <c r="AA68" i="139"/>
  <c r="AY76" i="139"/>
  <c r="AY64" i="139"/>
  <c r="AY71" i="139"/>
  <c r="AY59" i="139"/>
  <c r="AY47" i="139"/>
  <c r="AY35" i="139"/>
  <c r="AY78" i="139"/>
  <c r="AY66" i="139"/>
  <c r="AY54" i="139"/>
  <c r="AY42" i="139"/>
  <c r="AY30" i="139"/>
  <c r="AY73" i="139"/>
  <c r="AY61" i="139"/>
  <c r="AY49" i="139"/>
  <c r="AY37" i="139"/>
  <c r="AY80" i="139"/>
  <c r="AY68" i="139"/>
  <c r="AY75" i="139"/>
  <c r="AY82" i="139"/>
  <c r="AY70" i="139"/>
  <c r="AY77" i="139"/>
  <c r="AY65" i="139"/>
  <c r="AY53" i="139"/>
  <c r="AY41" i="139"/>
  <c r="AY29" i="139"/>
  <c r="AY72" i="139"/>
  <c r="AY60" i="139"/>
  <c r="AY48" i="139"/>
  <c r="AY36" i="139"/>
  <c r="AY24" i="139"/>
  <c r="AY79" i="139"/>
  <c r="AY67" i="139"/>
  <c r="AY74" i="139"/>
  <c r="BW82" i="139"/>
  <c r="BW70" i="139"/>
  <c r="BW58" i="139"/>
  <c r="BW77" i="139"/>
  <c r="BW65" i="139"/>
  <c r="BW53" i="139"/>
  <c r="BW41" i="139"/>
  <c r="BW29" i="139"/>
  <c r="BW72" i="139"/>
  <c r="BW60" i="139"/>
  <c r="BW48" i="139"/>
  <c r="BW36" i="139"/>
  <c r="BW24" i="139"/>
  <c r="BW79" i="139"/>
  <c r="BW67" i="139"/>
  <c r="BW55" i="139"/>
  <c r="BW43" i="139"/>
  <c r="BW74" i="139"/>
  <c r="BW62" i="139"/>
  <c r="BW81" i="139"/>
  <c r="BW69" i="139"/>
  <c r="BW76" i="139"/>
  <c r="BW64" i="139"/>
  <c r="BW71" i="139"/>
  <c r="BW59" i="139"/>
  <c r="BW47" i="139"/>
  <c r="BW35" i="139"/>
  <c r="BW23" i="139"/>
  <c r="BW78" i="139"/>
  <c r="BW66" i="139"/>
  <c r="BW54" i="139"/>
  <c r="BW42" i="139"/>
  <c r="BW30" i="139"/>
  <c r="BW73" i="139"/>
  <c r="BW61" i="139"/>
  <c r="BW80" i="139"/>
  <c r="BW68" i="139"/>
  <c r="AF5" i="139"/>
  <c r="AI5" i="139" s="1"/>
  <c r="BD5" i="139"/>
  <c r="BG5" i="139" s="1"/>
  <c r="N6" i="139"/>
  <c r="O6" i="139" s="1"/>
  <c r="Z6" i="139"/>
  <c r="AA6" i="139" s="1"/>
  <c r="AL6" i="139"/>
  <c r="AM6" i="139" s="1"/>
  <c r="AX6" i="139"/>
  <c r="AY6" i="139" s="1"/>
  <c r="BJ6" i="139"/>
  <c r="BK6" i="139" s="1"/>
  <c r="BV6" i="139"/>
  <c r="BW6" i="139" s="1"/>
  <c r="AY7" i="139"/>
  <c r="AE8" i="139"/>
  <c r="BG9" i="139"/>
  <c r="AM10" i="139"/>
  <c r="S11" i="139"/>
  <c r="BO11" i="139"/>
  <c r="AA13" i="139"/>
  <c r="BW13" i="139"/>
  <c r="BC14" i="139"/>
  <c r="AI15" i="139"/>
  <c r="O16" i="139"/>
  <c r="BK16" i="139"/>
  <c r="AQ17" i="139"/>
  <c r="W18" i="139"/>
  <c r="BS18" i="139"/>
  <c r="AY19" i="139"/>
  <c r="AI20" i="139"/>
  <c r="W21" i="139"/>
  <c r="BW21" i="139"/>
  <c r="BG22" i="139"/>
  <c r="AQ23" i="139"/>
  <c r="AQ24" i="139"/>
  <c r="AQ25" i="139"/>
  <c r="AQ26" i="139"/>
  <c r="AU27" i="139"/>
  <c r="AY28" i="139"/>
  <c r="BC29" i="139"/>
  <c r="BG30" i="139"/>
  <c r="AY31" i="139"/>
  <c r="AY32" i="139"/>
  <c r="BC33" i="139"/>
  <c r="BG34" i="139"/>
  <c r="BK35" i="139"/>
  <c r="W39" i="139"/>
  <c r="AE40" i="139"/>
  <c r="AQ41" i="139"/>
  <c r="BK42" i="139"/>
  <c r="BO43" i="139"/>
  <c r="BW44" i="139"/>
  <c r="AA46" i="139"/>
  <c r="AI47" i="139"/>
  <c r="AU48" i="139"/>
  <c r="BK49" i="139"/>
  <c r="BO50" i="139"/>
  <c r="BW51" i="139"/>
  <c r="O53" i="139"/>
  <c r="AI54" i="139"/>
  <c r="AQ55" i="139"/>
  <c r="AU56" i="139"/>
  <c r="BS57" i="139"/>
  <c r="AI59" i="139"/>
  <c r="W61" i="139"/>
  <c r="AY63" i="139"/>
  <c r="W68" i="139"/>
  <c r="BO73" i="139"/>
  <c r="BK78" i="139"/>
  <c r="AI8" i="139"/>
  <c r="BG14" i="139"/>
  <c r="S16" i="139"/>
  <c r="BO16" i="139"/>
  <c r="AA18" i="139"/>
  <c r="AQ20" i="139"/>
  <c r="AA21" i="139"/>
  <c r="BK22" i="139"/>
  <c r="AY23" i="139"/>
  <c r="AY27" i="139"/>
  <c r="BC28" i="139"/>
  <c r="BG29" i="139"/>
  <c r="BK30" i="139"/>
  <c r="BK31" i="139"/>
  <c r="BC32" i="139"/>
  <c r="BG33" i="139"/>
  <c r="BK34" i="139"/>
  <c r="BO35" i="139"/>
  <c r="O37" i="139"/>
  <c r="S38" i="139"/>
  <c r="AA39" i="139"/>
  <c r="AI40" i="139"/>
  <c r="BO42" i="139"/>
  <c r="BS43" i="139"/>
  <c r="AE46" i="139"/>
  <c r="AM47" i="139"/>
  <c r="BG48" i="139"/>
  <c r="BO49" i="139"/>
  <c r="BS50" i="139"/>
  <c r="AM54" i="139"/>
  <c r="AU55" i="139"/>
  <c r="AY56" i="139"/>
  <c r="BW57" i="139"/>
  <c r="BG59" i="139"/>
  <c r="AA61" i="139"/>
  <c r="BW63" i="139"/>
  <c r="BS68" i="139"/>
  <c r="AE77" i="139"/>
  <c r="AE65" i="139"/>
  <c r="AE72" i="139"/>
  <c r="AE60" i="139"/>
  <c r="AE48" i="139"/>
  <c r="AE36" i="139"/>
  <c r="AE24" i="139"/>
  <c r="AE79" i="139"/>
  <c r="AE67" i="139"/>
  <c r="AE55" i="139"/>
  <c r="AE43" i="139"/>
  <c r="AE31" i="139"/>
  <c r="AE74" i="139"/>
  <c r="AE62" i="139"/>
  <c r="AE50" i="139"/>
  <c r="AE38" i="139"/>
  <c r="AE81" i="139"/>
  <c r="AE69" i="139"/>
  <c r="AE76" i="139"/>
  <c r="AE64" i="139"/>
  <c r="AE71" i="139"/>
  <c r="AE78" i="139"/>
  <c r="AE66" i="139"/>
  <c r="AE54" i="139"/>
  <c r="AE42" i="139"/>
  <c r="AE30" i="139"/>
  <c r="AE73" i="139"/>
  <c r="AE61" i="139"/>
  <c r="AE49" i="139"/>
  <c r="AE37" i="139"/>
  <c r="AE25" i="139"/>
  <c r="AE80" i="139"/>
  <c r="AE68" i="139"/>
  <c r="AE75" i="139"/>
  <c r="AE63" i="139"/>
  <c r="BC71" i="139"/>
  <c r="BC59" i="139"/>
  <c r="BC78" i="139"/>
  <c r="BC66" i="139"/>
  <c r="BC54" i="139"/>
  <c r="BC42" i="139"/>
  <c r="BC30" i="139"/>
  <c r="BC73" i="139"/>
  <c r="BC61" i="139"/>
  <c r="BC49" i="139"/>
  <c r="BC37" i="139"/>
  <c r="BC25" i="139"/>
  <c r="BC80" i="139"/>
  <c r="BC68" i="139"/>
  <c r="BC56" i="139"/>
  <c r="BC44" i="139"/>
  <c r="BC75" i="139"/>
  <c r="BC63" i="139"/>
  <c r="BC82" i="139"/>
  <c r="BC70" i="139"/>
  <c r="BC77" i="139"/>
  <c r="BC65" i="139"/>
  <c r="BC72" i="139"/>
  <c r="BC60" i="139"/>
  <c r="BC48" i="139"/>
  <c r="BC36" i="139"/>
  <c r="BC24" i="139"/>
  <c r="BC79" i="139"/>
  <c r="BC67" i="139"/>
  <c r="BC55" i="139"/>
  <c r="BC43" i="139"/>
  <c r="BC31" i="139"/>
  <c r="BC74" i="139"/>
  <c r="BC62" i="139"/>
  <c r="BC81" i="139"/>
  <c r="BC69" i="139"/>
  <c r="L5" i="139"/>
  <c r="O5" i="139" s="1"/>
  <c r="AJ5" i="139"/>
  <c r="AM5" i="139" s="1"/>
  <c r="BH5" i="139"/>
  <c r="BK5" i="139" s="1"/>
  <c r="P6" i="139"/>
  <c r="AB6" i="139"/>
  <c r="AN6" i="139"/>
  <c r="AZ6" i="139"/>
  <c r="BL6" i="139"/>
  <c r="BG7" i="139"/>
  <c r="AM8" i="139"/>
  <c r="S9" i="139"/>
  <c r="BO9" i="139"/>
  <c r="AA11" i="139"/>
  <c r="BW11" i="139"/>
  <c r="BC12" i="139"/>
  <c r="AI13" i="139"/>
  <c r="O14" i="139"/>
  <c r="BK14" i="139"/>
  <c r="AQ15" i="139"/>
  <c r="W16" i="139"/>
  <c r="BS16" i="139"/>
  <c r="AY17" i="139"/>
  <c r="AE18" i="139"/>
  <c r="BK19" i="139"/>
  <c r="AU20" i="139"/>
  <c r="AE21" i="139"/>
  <c r="O22" i="139"/>
  <c r="BO22" i="139"/>
  <c r="BC23" i="139"/>
  <c r="BG24" i="139"/>
  <c r="AY25" i="139"/>
  <c r="AY26" i="139"/>
  <c r="BC27" i="139"/>
  <c r="BG28" i="139"/>
  <c r="BK29" i="139"/>
  <c r="BO30" i="139"/>
  <c r="BO31" i="139"/>
  <c r="BO32" i="139"/>
  <c r="BS33" i="139"/>
  <c r="BW34" i="139"/>
  <c r="S37" i="139"/>
  <c r="W38" i="139"/>
  <c r="AE39" i="139"/>
  <c r="AY40" i="139"/>
  <c r="BG41" i="139"/>
  <c r="BS42" i="139"/>
  <c r="W45" i="139"/>
  <c r="AI46" i="139"/>
  <c r="BC47" i="139"/>
  <c r="BK48" i="139"/>
  <c r="BS49" i="139"/>
  <c r="BW50" i="139"/>
  <c r="O52" i="139"/>
  <c r="AI53" i="139"/>
  <c r="AQ54" i="139"/>
  <c r="AY55" i="139"/>
  <c r="BO56" i="139"/>
  <c r="BK59" i="139"/>
  <c r="AQ61" i="139"/>
  <c r="AU74" i="139"/>
  <c r="AQ79" i="139"/>
  <c r="AB4" i="139"/>
  <c r="AZ4" i="139"/>
  <c r="Q6" i="139"/>
  <c r="AC6" i="139"/>
  <c r="AO6" i="139"/>
  <c r="BA6" i="139"/>
  <c r="BM6" i="139"/>
  <c r="O7" i="139"/>
  <c r="BK7" i="139"/>
  <c r="AQ8" i="139"/>
  <c r="W9" i="139"/>
  <c r="BS9" i="139"/>
  <c r="AY10" i="139"/>
  <c r="AE11" i="139"/>
  <c r="BG12" i="139"/>
  <c r="AM13" i="139"/>
  <c r="S14" i="139"/>
  <c r="BO14" i="139"/>
  <c r="AU15" i="139"/>
  <c r="AA16" i="139"/>
  <c r="BW16" i="139"/>
  <c r="BC17" i="139"/>
  <c r="AI18" i="139"/>
  <c r="O19" i="139"/>
  <c r="BO19" i="139"/>
  <c r="AY20" i="139"/>
  <c r="AI21" i="139"/>
  <c r="S22" i="139"/>
  <c r="BS22" i="139"/>
  <c r="BG23" i="139"/>
  <c r="BK24" i="139"/>
  <c r="BK25" i="139"/>
  <c r="BC26" i="139"/>
  <c r="BG27" i="139"/>
  <c r="BK28" i="139"/>
  <c r="BO29" i="139"/>
  <c r="BS30" i="139"/>
  <c r="BS31" i="139"/>
  <c r="BS32" i="139"/>
  <c r="BW33" i="139"/>
  <c r="O36" i="139"/>
  <c r="W37" i="139"/>
  <c r="AA38" i="139"/>
  <c r="BC40" i="139"/>
  <c r="BK41" i="139"/>
  <c r="S44" i="139"/>
  <c r="AA45" i="139"/>
  <c r="AM46" i="139"/>
  <c r="BG47" i="139"/>
  <c r="BO48" i="139"/>
  <c r="BW49" i="139"/>
  <c r="AA52" i="139"/>
  <c r="AM53" i="139"/>
  <c r="BK55" i="139"/>
  <c r="BS56" i="139"/>
  <c r="AE58" i="139"/>
  <c r="BO59" i="139"/>
  <c r="BO61" i="139"/>
  <c r="BC64" i="139"/>
  <c r="AY69" i="139"/>
  <c r="AI72" i="139"/>
  <c r="AI60" i="139"/>
  <c r="AI79" i="139"/>
  <c r="AI67" i="139"/>
  <c r="AI55" i="139"/>
  <c r="AI43" i="139"/>
  <c r="AI31" i="139"/>
  <c r="AI74" i="139"/>
  <c r="AI62" i="139"/>
  <c r="AI50" i="139"/>
  <c r="AI38" i="139"/>
  <c r="AI26" i="139"/>
  <c r="AI81" i="139"/>
  <c r="AI69" i="139"/>
  <c r="AI57" i="139"/>
  <c r="AI45" i="139"/>
  <c r="AI76" i="139"/>
  <c r="AI64" i="139"/>
  <c r="AI71" i="139"/>
  <c r="AI78" i="139"/>
  <c r="AI66" i="139"/>
  <c r="AI73" i="139"/>
  <c r="AI61" i="139"/>
  <c r="AI49" i="139"/>
  <c r="AI37" i="139"/>
  <c r="AI25" i="139"/>
  <c r="AI80" i="139"/>
  <c r="AI68" i="139"/>
  <c r="AI56" i="139"/>
  <c r="AI44" i="139"/>
  <c r="AI32" i="139"/>
  <c r="AI75" i="139"/>
  <c r="AI63" i="139"/>
  <c r="AI82" i="139"/>
  <c r="AI70" i="139"/>
  <c r="BG78" i="139"/>
  <c r="BG66" i="139"/>
  <c r="BG73" i="139"/>
  <c r="BG61" i="139"/>
  <c r="BG49" i="139"/>
  <c r="BG37" i="139"/>
  <c r="BG25" i="139"/>
  <c r="BG80" i="139"/>
  <c r="BG68" i="139"/>
  <c r="BG56" i="139"/>
  <c r="BG44" i="139"/>
  <c r="BG32" i="139"/>
  <c r="BG75" i="139"/>
  <c r="BG63" i="139"/>
  <c r="BG51" i="139"/>
  <c r="BG39" i="139"/>
  <c r="BG82" i="139"/>
  <c r="BG70" i="139"/>
  <c r="BG58" i="139"/>
  <c r="BG77" i="139"/>
  <c r="BG65" i="139"/>
  <c r="BG72" i="139"/>
  <c r="BG60" i="139"/>
  <c r="BG79" i="139"/>
  <c r="BG67" i="139"/>
  <c r="BG55" i="139"/>
  <c r="BG43" i="139"/>
  <c r="BG31" i="139"/>
  <c r="BG19" i="139"/>
  <c r="BG74" i="139"/>
  <c r="BG62" i="139"/>
  <c r="BG50" i="139"/>
  <c r="BG38" i="139"/>
  <c r="BG26" i="139"/>
  <c r="BG81" i="139"/>
  <c r="BG69" i="139"/>
  <c r="BG76" i="139"/>
  <c r="BG64" i="139"/>
  <c r="AI11" i="139"/>
  <c r="AQ13" i="139"/>
  <c r="AY15" i="139"/>
  <c r="AE16" i="139"/>
  <c r="BG17" i="139"/>
  <c r="AM18" i="139"/>
  <c r="S19" i="139"/>
  <c r="BC20" i="139"/>
  <c r="AM21" i="139"/>
  <c r="BW22" i="139"/>
  <c r="BK23" i="139"/>
  <c r="BO24" i="139"/>
  <c r="BO25" i="139"/>
  <c r="BO26" i="139"/>
  <c r="BW28" i="139"/>
  <c r="BW31" i="139"/>
  <c r="BW32" i="139"/>
  <c r="O35" i="139"/>
  <c r="S36" i="139"/>
  <c r="AA37" i="139"/>
  <c r="AQ38" i="139"/>
  <c r="AU39" i="139"/>
  <c r="BG40" i="139"/>
  <c r="O43" i="139"/>
  <c r="W44" i="139"/>
  <c r="AE45" i="139"/>
  <c r="AY46" i="139"/>
  <c r="BK47" i="139"/>
  <c r="W51" i="139"/>
  <c r="AE52" i="139"/>
  <c r="AQ53" i="139"/>
  <c r="BK54" i="139"/>
  <c r="BO55" i="139"/>
  <c r="BW56" i="139"/>
  <c r="AI58" i="139"/>
  <c r="BS61" i="139"/>
  <c r="AA75" i="139"/>
  <c r="W80" i="139"/>
  <c r="AF4" i="139"/>
  <c r="BD4" i="139"/>
  <c r="W7" i="139"/>
  <c r="BS7" i="139"/>
  <c r="AY8" i="139"/>
  <c r="AE9" i="139"/>
  <c r="BG10" i="139"/>
  <c r="AM11" i="139"/>
  <c r="S12" i="139"/>
  <c r="BO12" i="139"/>
  <c r="AU13" i="139"/>
  <c r="AA14" i="139"/>
  <c r="BW14" i="139"/>
  <c r="BC15" i="139"/>
  <c r="AI16" i="139"/>
  <c r="O17" i="139"/>
  <c r="BK17" i="139"/>
  <c r="AQ18" i="139"/>
  <c r="W19" i="139"/>
  <c r="BW19" i="139"/>
  <c r="BG20" i="139"/>
  <c r="AQ21" i="139"/>
  <c r="AA22" i="139"/>
  <c r="BO23" i="139"/>
  <c r="BS24" i="139"/>
  <c r="BS25" i="139"/>
  <c r="BS26" i="139"/>
  <c r="BW27" i="139"/>
  <c r="O30" i="139"/>
  <c r="O31" i="139"/>
  <c r="O34" i="139"/>
  <c r="S35" i="139"/>
  <c r="AI36" i="139"/>
  <c r="AM37" i="139"/>
  <c r="AU38" i="139"/>
  <c r="AY39" i="139"/>
  <c r="O42" i="139"/>
  <c r="S43" i="139"/>
  <c r="AA44" i="139"/>
  <c r="AU45" i="139"/>
  <c r="BC46" i="139"/>
  <c r="BO47" i="139"/>
  <c r="O49" i="139"/>
  <c r="S50" i="139"/>
  <c r="AA51" i="139"/>
  <c r="AI52" i="139"/>
  <c r="BC53" i="139"/>
  <c r="BO54" i="139"/>
  <c r="BS55" i="139"/>
  <c r="AI65" i="139"/>
  <c r="AE70" i="139"/>
  <c r="BW75" i="139"/>
  <c r="BS80" i="139"/>
  <c r="O73" i="139"/>
  <c r="O61" i="139"/>
  <c r="O80" i="139"/>
  <c r="O68" i="139"/>
  <c r="O56" i="139"/>
  <c r="O44" i="139"/>
  <c r="O32" i="139"/>
  <c r="O75" i="139"/>
  <c r="O63" i="139"/>
  <c r="O51" i="139"/>
  <c r="O39" i="139"/>
  <c r="O27" i="139"/>
  <c r="O82" i="139"/>
  <c r="O70" i="139"/>
  <c r="O58" i="139"/>
  <c r="O46" i="139"/>
  <c r="O77" i="139"/>
  <c r="O65" i="139"/>
  <c r="O72" i="139"/>
  <c r="O79" i="139"/>
  <c r="O67" i="139"/>
  <c r="O74" i="139"/>
  <c r="O62" i="139"/>
  <c r="O50" i="139"/>
  <c r="O38" i="139"/>
  <c r="O26" i="139"/>
  <c r="O81" i="139"/>
  <c r="O69" i="139"/>
  <c r="O57" i="139"/>
  <c r="O45" i="139"/>
  <c r="O33" i="139"/>
  <c r="O76" i="139"/>
  <c r="O64" i="139"/>
  <c r="O71" i="139"/>
  <c r="AM79" i="139"/>
  <c r="AM67" i="139"/>
  <c r="AM74" i="139"/>
  <c r="AM62" i="139"/>
  <c r="AM50" i="139"/>
  <c r="AM38" i="139"/>
  <c r="AM26" i="139"/>
  <c r="AM81" i="139"/>
  <c r="AM69" i="139"/>
  <c r="AM57" i="139"/>
  <c r="AM45" i="139"/>
  <c r="AM33" i="139"/>
  <c r="AM76" i="139"/>
  <c r="AM64" i="139"/>
  <c r="AM52" i="139"/>
  <c r="AM40" i="139"/>
  <c r="AM71" i="139"/>
  <c r="AM59" i="139"/>
  <c r="AM78" i="139"/>
  <c r="AM66" i="139"/>
  <c r="AM73" i="139"/>
  <c r="AM61" i="139"/>
  <c r="AM80" i="139"/>
  <c r="AM68" i="139"/>
  <c r="AM56" i="139"/>
  <c r="AM44" i="139"/>
  <c r="AM32" i="139"/>
  <c r="AM20" i="139"/>
  <c r="AM75" i="139"/>
  <c r="AM63" i="139"/>
  <c r="AM51" i="139"/>
  <c r="AM39" i="139"/>
  <c r="AM27" i="139"/>
  <c r="AM82" i="139"/>
  <c r="AM70" i="139"/>
  <c r="AM77" i="139"/>
  <c r="AM65" i="139"/>
  <c r="BK73" i="139"/>
  <c r="BK61" i="139"/>
  <c r="BK80" i="139"/>
  <c r="BK68" i="139"/>
  <c r="BK56" i="139"/>
  <c r="BK44" i="139"/>
  <c r="BK32" i="139"/>
  <c r="BK75" i="139"/>
  <c r="BK63" i="139"/>
  <c r="BK51" i="139"/>
  <c r="BK39" i="139"/>
  <c r="BK27" i="139"/>
  <c r="BK82" i="139"/>
  <c r="BK70" i="139"/>
  <c r="BK58" i="139"/>
  <c r="BK46" i="139"/>
  <c r="BK77" i="139"/>
  <c r="BK65" i="139"/>
  <c r="BK72" i="139"/>
  <c r="BK79" i="139"/>
  <c r="BK67" i="139"/>
  <c r="BK74" i="139"/>
  <c r="BK62" i="139"/>
  <c r="BK50" i="139"/>
  <c r="BK38" i="139"/>
  <c r="BK26" i="139"/>
  <c r="BK81" i="139"/>
  <c r="BK69" i="139"/>
  <c r="BK57" i="139"/>
  <c r="BK45" i="139"/>
  <c r="BK33" i="139"/>
  <c r="BK76" i="139"/>
  <c r="BK64" i="139"/>
  <c r="BK71" i="139"/>
  <c r="AF6" i="139"/>
  <c r="BD6" i="139"/>
  <c r="AA7" i="139"/>
  <c r="BW7" i="139"/>
  <c r="BC8" i="139"/>
  <c r="AI9" i="139"/>
  <c r="O10" i="139"/>
  <c r="BK10" i="139"/>
  <c r="AQ11" i="139"/>
  <c r="AY13" i="139"/>
  <c r="AE14" i="139"/>
  <c r="BG15" i="139"/>
  <c r="AM16" i="139"/>
  <c r="S17" i="139"/>
  <c r="BO17" i="139"/>
  <c r="AU18" i="139"/>
  <c r="AA19" i="139"/>
  <c r="BK20" i="139"/>
  <c r="AU21" i="139"/>
  <c r="AE22" i="139"/>
  <c r="O23" i="139"/>
  <c r="BW25" i="139"/>
  <c r="BW26" i="139"/>
  <c r="O29" i="139"/>
  <c r="S30" i="139"/>
  <c r="S31" i="139"/>
  <c r="S32" i="139"/>
  <c r="W33" i="139"/>
  <c r="AA34" i="139"/>
  <c r="AE35" i="139"/>
  <c r="AM36" i="139"/>
  <c r="AQ37" i="139"/>
  <c r="AY38" i="139"/>
  <c r="BC39" i="139"/>
  <c r="BW40" i="139"/>
  <c r="S42" i="139"/>
  <c r="W43" i="139"/>
  <c r="AE44" i="139"/>
  <c r="AY45" i="139"/>
  <c r="BG46" i="139"/>
  <c r="S49" i="139"/>
  <c r="W50" i="139"/>
  <c r="AE51" i="139"/>
  <c r="AY52" i="139"/>
  <c r="BG53" i="139"/>
  <c r="BS54" i="139"/>
  <c r="W57" i="139"/>
  <c r="AY58" i="139"/>
  <c r="AM60" i="139"/>
  <c r="W62" i="139"/>
  <c r="AG6" i="139"/>
  <c r="BE6" i="139"/>
  <c r="BG8" i="139"/>
  <c r="AI14" i="139"/>
  <c r="O15" i="139"/>
  <c r="BK15" i="139"/>
  <c r="AQ16" i="139"/>
  <c r="AY18" i="139"/>
  <c r="AE19" i="139"/>
  <c r="O20" i="139"/>
  <c r="AY21" i="139"/>
  <c r="AI22" i="139"/>
  <c r="S23" i="139"/>
  <c r="O24" i="139"/>
  <c r="O25" i="139"/>
  <c r="O28" i="139"/>
  <c r="S29" i="139"/>
  <c r="W30" i="139"/>
  <c r="W31" i="139"/>
  <c r="W32" i="139"/>
  <c r="AA33" i="139"/>
  <c r="AE34" i="139"/>
  <c r="AI35" i="139"/>
  <c r="AQ36" i="139"/>
  <c r="AU37" i="139"/>
  <c r="BC38" i="139"/>
  <c r="BS39" i="139"/>
  <c r="W42" i="139"/>
  <c r="AM43" i="139"/>
  <c r="AQ44" i="139"/>
  <c r="BC45" i="139"/>
  <c r="BW46" i="139"/>
  <c r="O48" i="139"/>
  <c r="W49" i="139"/>
  <c r="AA50" i="139"/>
  <c r="AI51" i="139"/>
  <c r="BC52" i="139"/>
  <c r="BK53" i="139"/>
  <c r="AA57" i="139"/>
  <c r="BC58" i="139"/>
  <c r="AU62" i="139"/>
  <c r="O66" i="139"/>
  <c r="BG71" i="139"/>
  <c r="BC76" i="139"/>
  <c r="AY81" i="139"/>
  <c r="S80" i="139"/>
  <c r="S68" i="139"/>
  <c r="S75" i="139"/>
  <c r="S63" i="139"/>
  <c r="S51" i="139"/>
  <c r="S39" i="139"/>
  <c r="S27" i="139"/>
  <c r="S82" i="139"/>
  <c r="S70" i="139"/>
  <c r="S58" i="139"/>
  <c r="S46" i="139"/>
  <c r="S34" i="139"/>
  <c r="S77" i="139"/>
  <c r="S65" i="139"/>
  <c r="S53" i="139"/>
  <c r="S41" i="139"/>
  <c r="S72" i="139"/>
  <c r="S60" i="139"/>
  <c r="S79" i="139"/>
  <c r="S67" i="139"/>
  <c r="S74" i="139"/>
  <c r="S62" i="139"/>
  <c r="S81" i="139"/>
  <c r="S69" i="139"/>
  <c r="S57" i="139"/>
  <c r="S45" i="139"/>
  <c r="S33" i="139"/>
  <c r="S21" i="139"/>
  <c r="S76" i="139"/>
  <c r="S64" i="139"/>
  <c r="S52" i="139"/>
  <c r="S40" i="139"/>
  <c r="S28" i="139"/>
  <c r="S71" i="139"/>
  <c r="S78" i="139"/>
  <c r="S66" i="139"/>
  <c r="AQ74" i="139"/>
  <c r="AQ62" i="139"/>
  <c r="AQ81" i="139"/>
  <c r="AQ69" i="139"/>
  <c r="AQ57" i="139"/>
  <c r="AQ45" i="139"/>
  <c r="AQ33" i="139"/>
  <c r="AQ76" i="139"/>
  <c r="AQ64" i="139"/>
  <c r="AQ52" i="139"/>
  <c r="AQ40" i="139"/>
  <c r="AQ28" i="139"/>
  <c r="AQ71" i="139"/>
  <c r="AQ59" i="139"/>
  <c r="AQ47" i="139"/>
  <c r="AQ78" i="139"/>
  <c r="AQ66" i="139"/>
  <c r="AQ73" i="139"/>
  <c r="AQ80" i="139"/>
  <c r="AQ68" i="139"/>
  <c r="AQ75" i="139"/>
  <c r="AQ63" i="139"/>
  <c r="AQ51" i="139"/>
  <c r="AQ39" i="139"/>
  <c r="AQ27" i="139"/>
  <c r="AQ82" i="139"/>
  <c r="AQ70" i="139"/>
  <c r="AQ58" i="139"/>
  <c r="AQ46" i="139"/>
  <c r="AQ34" i="139"/>
  <c r="AQ77" i="139"/>
  <c r="AQ65" i="139"/>
  <c r="AQ72" i="139"/>
  <c r="BO80" i="139"/>
  <c r="BO68" i="139"/>
  <c r="BO75" i="139"/>
  <c r="BO63" i="139"/>
  <c r="BO51" i="139"/>
  <c r="BO39" i="139"/>
  <c r="BO27" i="139"/>
  <c r="BO82" i="139"/>
  <c r="BO70" i="139"/>
  <c r="BO58" i="139"/>
  <c r="BO46" i="139"/>
  <c r="BO34" i="139"/>
  <c r="BO77" i="139"/>
  <c r="BO65" i="139"/>
  <c r="BO53" i="139"/>
  <c r="BO41" i="139"/>
  <c r="BO72" i="139"/>
  <c r="BO60" i="139"/>
  <c r="BO79" i="139"/>
  <c r="BO67" i="139"/>
  <c r="BO74" i="139"/>
  <c r="BO62" i="139"/>
  <c r="BO81" i="139"/>
  <c r="BO69" i="139"/>
  <c r="BO57" i="139"/>
  <c r="BO45" i="139"/>
  <c r="BO33" i="139"/>
  <c r="BO21" i="139"/>
  <c r="BO76" i="139"/>
  <c r="BO64" i="139"/>
  <c r="BO52" i="139"/>
  <c r="BO40" i="139"/>
  <c r="BO28" i="139"/>
  <c r="BO71" i="139"/>
  <c r="BO78" i="139"/>
  <c r="BO66" i="139"/>
  <c r="AH6" i="139"/>
  <c r="AI6" i="139" s="1"/>
  <c r="BF6" i="139"/>
  <c r="BG6" i="139" s="1"/>
  <c r="AI7" i="139"/>
  <c r="O8" i="139"/>
  <c r="BK8" i="139"/>
  <c r="AQ9" i="139"/>
  <c r="AY11" i="139"/>
  <c r="AE12" i="139"/>
  <c r="BG13" i="139"/>
  <c r="AM14" i="139"/>
  <c r="S15" i="139"/>
  <c r="BO15" i="139"/>
  <c r="AU16" i="139"/>
  <c r="AA17" i="139"/>
  <c r="BW17" i="139"/>
  <c r="BC18" i="139"/>
  <c r="AI19" i="139"/>
  <c r="S20" i="139"/>
  <c r="BS20" i="139"/>
  <c r="BC21" i="139"/>
  <c r="AM22" i="139"/>
  <c r="W23" i="139"/>
  <c r="S24" i="139"/>
  <c r="S25" i="139"/>
  <c r="S26" i="139"/>
  <c r="W27" i="139"/>
  <c r="AA28" i="139"/>
  <c r="AE29" i="139"/>
  <c r="AI30" i="139"/>
  <c r="AA31" i="139"/>
  <c r="AA32" i="139"/>
  <c r="AE33" i="139"/>
  <c r="AI34" i="139"/>
  <c r="AM35" i="139"/>
  <c r="AU36" i="139"/>
  <c r="BK37" i="139"/>
  <c r="BO38" i="139"/>
  <c r="BW39" i="139"/>
  <c r="O41" i="139"/>
  <c r="AI42" i="139"/>
  <c r="AQ43" i="139"/>
  <c r="AU44" i="139"/>
  <c r="BG45" i="139"/>
  <c r="S48" i="139"/>
  <c r="AA49" i="139"/>
  <c r="AQ50" i="139"/>
  <c r="AU51" i="139"/>
  <c r="BG52" i="139"/>
  <c r="O55" i="139"/>
  <c r="W56" i="139"/>
  <c r="AE57" i="139"/>
  <c r="AU60" i="139"/>
  <c r="AY62" i="139"/>
  <c r="BK66" i="139"/>
  <c r="P4" i="139"/>
  <c r="AN4" i="139"/>
  <c r="BL4" i="139"/>
  <c r="AM7" i="139"/>
  <c r="S8" i="139"/>
  <c r="BO8" i="139"/>
  <c r="AA10" i="139"/>
  <c r="BW10" i="139"/>
  <c r="BC11" i="139"/>
  <c r="AI12" i="139"/>
  <c r="O13" i="139"/>
  <c r="BK13" i="139"/>
  <c r="AQ14" i="139"/>
  <c r="AY16" i="139"/>
  <c r="AE17" i="139"/>
  <c r="BG18" i="139"/>
  <c r="AM19" i="139"/>
  <c r="W20" i="139"/>
  <c r="BW20" i="139"/>
  <c r="BG21" i="139"/>
  <c r="AQ22" i="139"/>
  <c r="AE23" i="139"/>
  <c r="W24" i="139"/>
  <c r="W25" i="139"/>
  <c r="W26" i="139"/>
  <c r="AA27" i="139"/>
  <c r="AE28" i="139"/>
  <c r="AI29" i="139"/>
  <c r="AM30" i="139"/>
  <c r="AM31" i="139"/>
  <c r="AE32" i="139"/>
  <c r="AI33" i="139"/>
  <c r="AM34" i="139"/>
  <c r="AQ35" i="139"/>
  <c r="BG36" i="139"/>
  <c r="BO37" i="139"/>
  <c r="BS38" i="139"/>
  <c r="AE41" i="139"/>
  <c r="AM42" i="139"/>
  <c r="AU43" i="139"/>
  <c r="AY44" i="139"/>
  <c r="BS45" i="139"/>
  <c r="O47" i="139"/>
  <c r="AI48" i="139"/>
  <c r="AM49" i="139"/>
  <c r="AU50" i="139"/>
  <c r="AY51" i="139"/>
  <c r="BK52" i="139"/>
  <c r="O54" i="139"/>
  <c r="S55" i="139"/>
  <c r="AA56" i="139"/>
  <c r="AY57" i="139"/>
  <c r="O59" i="139"/>
  <c r="BK60" i="139"/>
  <c r="BS62" i="139"/>
  <c r="AM72" i="139"/>
  <c r="AI77" i="139"/>
  <c r="AE82" i="139"/>
  <c r="S80" i="138"/>
  <c r="S68" i="138"/>
  <c r="S56" i="138"/>
  <c r="S44" i="138"/>
  <c r="S75" i="138"/>
  <c r="S82" i="138"/>
  <c r="S77" i="138"/>
  <c r="S72" i="138"/>
  <c r="S60" i="138"/>
  <c r="S48" i="138"/>
  <c r="S36" i="138"/>
  <c r="S24" i="138"/>
  <c r="S79" i="138"/>
  <c r="S67" i="138"/>
  <c r="S55" i="138"/>
  <c r="S43" i="138"/>
  <c r="S74" i="138"/>
  <c r="S62" i="138"/>
  <c r="S50" i="138"/>
  <c r="S81" i="138"/>
  <c r="S76" i="138"/>
  <c r="S78" i="138"/>
  <c r="S66" i="138"/>
  <c r="S54" i="138"/>
  <c r="S42" i="138"/>
  <c r="S30" i="138"/>
  <c r="S70" i="138"/>
  <c r="S51" i="138"/>
  <c r="S25" i="138"/>
  <c r="S13" i="138"/>
  <c r="S35" i="138"/>
  <c r="S59" i="138"/>
  <c r="S52" i="138"/>
  <c r="S45" i="138"/>
  <c r="S53" i="138"/>
  <c r="S46" i="138"/>
  <c r="S61" i="138"/>
  <c r="S17" i="138"/>
  <c r="S47" i="138"/>
  <c r="S28" i="138"/>
  <c r="S23" i="138"/>
  <c r="S71" i="138"/>
  <c r="S69" i="138"/>
  <c r="S33" i="138"/>
  <c r="S19" i="138"/>
  <c r="S7" i="138"/>
  <c r="R6" i="138"/>
  <c r="S6" i="138" s="1"/>
  <c r="P5" i="138"/>
  <c r="S5" i="138" s="1"/>
  <c r="S40" i="138"/>
  <c r="S39" i="138"/>
  <c r="S63" i="138"/>
  <c r="S64" i="138"/>
  <c r="S57" i="138"/>
  <c r="S73" i="138"/>
  <c r="S65" i="138"/>
  <c r="S58" i="138"/>
  <c r="S21" i="138"/>
  <c r="P6" i="138"/>
  <c r="BH5" i="138"/>
  <c r="BK5" i="138" s="1"/>
  <c r="BJ6" i="138"/>
  <c r="BK6" i="138" s="1"/>
  <c r="AQ9" i="138"/>
  <c r="S11" i="138"/>
  <c r="BW11" i="138"/>
  <c r="BO12" i="138"/>
  <c r="AQ14" i="138"/>
  <c r="AA16" i="138"/>
  <c r="AA17" i="138"/>
  <c r="AA18" i="138"/>
  <c r="S20" i="138"/>
  <c r="AA21" i="138"/>
  <c r="AM24" i="138"/>
  <c r="BK26" i="138"/>
  <c r="BW27" i="138"/>
  <c r="O30" i="138"/>
  <c r="AQ34" i="138"/>
  <c r="BO35" i="138"/>
  <c r="AA37" i="138"/>
  <c r="O42" i="138"/>
  <c r="AA73" i="138"/>
  <c r="AW6" i="138"/>
  <c r="O7" i="138"/>
  <c r="BW7" i="138"/>
  <c r="AM10" i="138"/>
  <c r="AM15" i="138"/>
  <c r="AE17" i="138"/>
  <c r="AE18" i="138"/>
  <c r="AE19" i="138"/>
  <c r="AE21" i="138"/>
  <c r="AM22" i="138"/>
  <c r="BK25" i="138"/>
  <c r="S29" i="138"/>
  <c r="AE30" i="138"/>
  <c r="BC31" i="138"/>
  <c r="O33" i="138"/>
  <c r="AE37" i="138"/>
  <c r="BO46" i="138"/>
  <c r="AY76" i="138"/>
  <c r="AY64" i="138"/>
  <c r="AY52" i="138"/>
  <c r="AY40" i="138"/>
  <c r="AY71" i="138"/>
  <c r="AY78" i="138"/>
  <c r="AY73" i="138"/>
  <c r="AY80" i="138"/>
  <c r="AY68" i="138"/>
  <c r="AY56" i="138"/>
  <c r="AY44" i="138"/>
  <c r="AY32" i="138"/>
  <c r="AY75" i="138"/>
  <c r="AY63" i="138"/>
  <c r="AY51" i="138"/>
  <c r="AY82" i="138"/>
  <c r="AY70" i="138"/>
  <c r="AY58" i="138"/>
  <c r="AY46" i="138"/>
  <c r="AY77" i="138"/>
  <c r="AY72" i="138"/>
  <c r="AY79" i="138"/>
  <c r="AY74" i="138"/>
  <c r="AY62" i="138"/>
  <c r="AY50" i="138"/>
  <c r="AY38" i="138"/>
  <c r="AY26" i="138"/>
  <c r="AY61" i="138"/>
  <c r="AY47" i="138"/>
  <c r="AY22" i="138"/>
  <c r="AY9" i="138"/>
  <c r="AV6" i="138"/>
  <c r="AY55" i="138"/>
  <c r="AY48" i="138"/>
  <c r="AY81" i="138"/>
  <c r="AY69" i="138"/>
  <c r="AY49" i="138"/>
  <c r="AY36" i="138"/>
  <c r="AY31" i="138"/>
  <c r="AY65" i="138"/>
  <c r="AY57" i="138"/>
  <c r="AY43" i="138"/>
  <c r="AY35" i="138"/>
  <c r="AY30" i="138"/>
  <c r="AY25" i="138"/>
  <c r="AY15" i="138"/>
  <c r="AY66" i="138"/>
  <c r="AY59" i="138"/>
  <c r="AY67" i="138"/>
  <c r="AY60" i="138"/>
  <c r="AY53" i="138"/>
  <c r="AY54" i="138"/>
  <c r="AY33" i="138"/>
  <c r="AJ5" i="138"/>
  <c r="AM5" i="138" s="1"/>
  <c r="AX6" i="138"/>
  <c r="AY6" i="138" s="1"/>
  <c r="BK8" i="138"/>
  <c r="AQ10" i="138"/>
  <c r="AA11" i="138"/>
  <c r="S12" i="138"/>
  <c r="BW12" i="138"/>
  <c r="BK13" i="138"/>
  <c r="AQ15" i="138"/>
  <c r="AQ16" i="138"/>
  <c r="AQ22" i="138"/>
  <c r="AY23" i="138"/>
  <c r="AY24" i="138"/>
  <c r="BO25" i="138"/>
  <c r="AY34" i="138"/>
  <c r="AY37" i="138"/>
  <c r="BW48" i="138"/>
  <c r="AQ52" i="138"/>
  <c r="AM79" i="138"/>
  <c r="AM67" i="138"/>
  <c r="AM55" i="138"/>
  <c r="AM43" i="138"/>
  <c r="AM74" i="138"/>
  <c r="AM81" i="138"/>
  <c r="AM76" i="138"/>
  <c r="AM71" i="138"/>
  <c r="AM59" i="138"/>
  <c r="AM47" i="138"/>
  <c r="AM35" i="138"/>
  <c r="AM23" i="138"/>
  <c r="AM78" i="138"/>
  <c r="AM66" i="138"/>
  <c r="AM54" i="138"/>
  <c r="AM42" i="138"/>
  <c r="AM73" i="138"/>
  <c r="AM61" i="138"/>
  <c r="AM49" i="138"/>
  <c r="AM80" i="138"/>
  <c r="AM75" i="138"/>
  <c r="AM82" i="138"/>
  <c r="AM77" i="138"/>
  <c r="AM65" i="138"/>
  <c r="AM53" i="138"/>
  <c r="AM41" i="138"/>
  <c r="AM29" i="138"/>
  <c r="AM68" i="138"/>
  <c r="AM46" i="138"/>
  <c r="AM12" i="138"/>
  <c r="AJ6" i="138"/>
  <c r="AM72" i="138"/>
  <c r="AM62" i="138"/>
  <c r="AM48" i="138"/>
  <c r="AM56" i="138"/>
  <c r="AM40" i="138"/>
  <c r="AM39" i="138"/>
  <c r="AM38" i="138"/>
  <c r="AM32" i="138"/>
  <c r="AM27" i="138"/>
  <c r="AM16" i="138"/>
  <c r="AM69" i="138"/>
  <c r="AM63" i="138"/>
  <c r="AM37" i="138"/>
  <c r="AM36" i="138"/>
  <c r="AM31" i="138"/>
  <c r="AM26" i="138"/>
  <c r="AM21" i="138"/>
  <c r="AM18" i="138"/>
  <c r="AM64" i="138"/>
  <c r="AM57" i="138"/>
  <c r="AM50" i="138"/>
  <c r="AM58" i="138"/>
  <c r="AM51" i="138"/>
  <c r="AM60" i="138"/>
  <c r="AM52" i="138"/>
  <c r="AM45" i="138"/>
  <c r="AM34" i="138"/>
  <c r="AV4" i="138"/>
  <c r="AQ17" i="138"/>
  <c r="AM19" i="138"/>
  <c r="AM20" i="138"/>
  <c r="BC23" i="138"/>
  <c r="BC24" i="138"/>
  <c r="BW25" i="138"/>
  <c r="O27" i="138"/>
  <c r="AA28" i="138"/>
  <c r="AA29" i="138"/>
  <c r="AM30" i="138"/>
  <c r="BC34" i="138"/>
  <c r="O39" i="138"/>
  <c r="S41" i="138"/>
  <c r="AY42" i="138"/>
  <c r="AM44" i="138"/>
  <c r="AQ59" i="138"/>
  <c r="AE77" i="138"/>
  <c r="AE65" i="138"/>
  <c r="AE53" i="138"/>
  <c r="AE41" i="138"/>
  <c r="AE72" i="138"/>
  <c r="AE79" i="138"/>
  <c r="AE74" i="138"/>
  <c r="AE81" i="138"/>
  <c r="AE69" i="138"/>
  <c r="AE57" i="138"/>
  <c r="AE45" i="138"/>
  <c r="AE33" i="138"/>
  <c r="AE76" i="138"/>
  <c r="AE64" i="138"/>
  <c r="AE52" i="138"/>
  <c r="AE71" i="138"/>
  <c r="AE59" i="138"/>
  <c r="AE47" i="138"/>
  <c r="AE78" i="138"/>
  <c r="AE73" i="138"/>
  <c r="AE80" i="138"/>
  <c r="AE75" i="138"/>
  <c r="AE63" i="138"/>
  <c r="AE51" i="138"/>
  <c r="AE39" i="138"/>
  <c r="AE27" i="138"/>
  <c r="AE82" i="138"/>
  <c r="AE67" i="138"/>
  <c r="AE60" i="138"/>
  <c r="AE34" i="138"/>
  <c r="AE29" i="138"/>
  <c r="AE24" i="138"/>
  <c r="AE20" i="138"/>
  <c r="AE10" i="138"/>
  <c r="AB5" i="138"/>
  <c r="AE5" i="138" s="1"/>
  <c r="AE54" i="138"/>
  <c r="AE46" i="138"/>
  <c r="AE68" i="138"/>
  <c r="AE61" i="138"/>
  <c r="AE55" i="138"/>
  <c r="AE48" i="138"/>
  <c r="AE22" i="138"/>
  <c r="AE62" i="138"/>
  <c r="AE42" i="138"/>
  <c r="AE40" i="138"/>
  <c r="AE56" i="138"/>
  <c r="AE49" i="138"/>
  <c r="AE38" i="138"/>
  <c r="AE32" i="138"/>
  <c r="AE16" i="138"/>
  <c r="AD6" i="138"/>
  <c r="AE6" i="138" s="1"/>
  <c r="AE66" i="138"/>
  <c r="AE58" i="138"/>
  <c r="AE50" i="138"/>
  <c r="AE70" i="138"/>
  <c r="L5" i="138"/>
  <c r="O5" i="138" s="1"/>
  <c r="S8" i="138"/>
  <c r="AY21" i="138"/>
  <c r="AA36" i="138"/>
  <c r="BW82" i="138"/>
  <c r="BW70" i="138"/>
  <c r="BW58" i="138"/>
  <c r="BW46" i="138"/>
  <c r="BW77" i="138"/>
  <c r="BW72" i="138"/>
  <c r="BW79" i="138"/>
  <c r="BW74" i="138"/>
  <c r="BW62" i="138"/>
  <c r="BW50" i="138"/>
  <c r="BW38" i="138"/>
  <c r="BW26" i="138"/>
  <c r="BW81" i="138"/>
  <c r="BW69" i="138"/>
  <c r="BW57" i="138"/>
  <c r="BW45" i="138"/>
  <c r="BW76" i="138"/>
  <c r="BW64" i="138"/>
  <c r="BW52" i="138"/>
  <c r="BW40" i="138"/>
  <c r="BW71" i="138"/>
  <c r="BW78" i="138"/>
  <c r="BW73" i="138"/>
  <c r="BW80" i="138"/>
  <c r="BW68" i="138"/>
  <c r="BW56" i="138"/>
  <c r="BW44" i="138"/>
  <c r="BW32" i="138"/>
  <c r="BW20" i="138"/>
  <c r="BW63" i="138"/>
  <c r="BW49" i="138"/>
  <c r="BW15" i="138"/>
  <c r="BT6" i="138"/>
  <c r="BW35" i="138"/>
  <c r="BW30" i="138"/>
  <c r="BW65" i="138"/>
  <c r="BW66" i="138"/>
  <c r="BW75" i="138"/>
  <c r="BW59" i="138"/>
  <c r="BW51" i="138"/>
  <c r="BW28" i="138"/>
  <c r="BW23" i="138"/>
  <c r="BW19" i="138"/>
  <c r="BW14" i="138"/>
  <c r="BW67" i="138"/>
  <c r="BW60" i="138"/>
  <c r="BW53" i="138"/>
  <c r="BW33" i="138"/>
  <c r="BW9" i="138"/>
  <c r="BW54" i="138"/>
  <c r="BW61" i="138"/>
  <c r="BW42" i="138"/>
  <c r="BW37" i="138"/>
  <c r="BW36" i="138"/>
  <c r="BW31" i="138"/>
  <c r="X4" i="138"/>
  <c r="AK6" i="138"/>
  <c r="BM6" i="138"/>
  <c r="AA7" i="138"/>
  <c r="O8" i="138"/>
  <c r="BO8" i="138"/>
  <c r="BC71" i="138"/>
  <c r="BC59" i="138"/>
  <c r="BC47" i="138"/>
  <c r="BC78" i="138"/>
  <c r="BC73" i="138"/>
  <c r="BC80" i="138"/>
  <c r="BC75" i="138"/>
  <c r="BC63" i="138"/>
  <c r="BC51" i="138"/>
  <c r="BC39" i="138"/>
  <c r="BC27" i="138"/>
  <c r="BC82" i="138"/>
  <c r="BC70" i="138"/>
  <c r="BC58" i="138"/>
  <c r="BC46" i="138"/>
  <c r="BC77" i="138"/>
  <c r="BC65" i="138"/>
  <c r="BC53" i="138"/>
  <c r="BC41" i="138"/>
  <c r="BC72" i="138"/>
  <c r="BC79" i="138"/>
  <c r="BC74" i="138"/>
  <c r="BC81" i="138"/>
  <c r="BC69" i="138"/>
  <c r="BC57" i="138"/>
  <c r="BC45" i="138"/>
  <c r="BC33" i="138"/>
  <c r="BC21" i="138"/>
  <c r="BC55" i="138"/>
  <c r="BC48" i="138"/>
  <c r="BC16" i="138"/>
  <c r="AZ5" i="138"/>
  <c r="BC5" i="138" s="1"/>
  <c r="BC32" i="138"/>
  <c r="BC62" i="138"/>
  <c r="BC40" i="138"/>
  <c r="BC76" i="138"/>
  <c r="BC56" i="138"/>
  <c r="BC49" i="138"/>
  <c r="BC64" i="138"/>
  <c r="BC43" i="138"/>
  <c r="BC50" i="138"/>
  <c r="BC35" i="138"/>
  <c r="BC30" i="138"/>
  <c r="BC25" i="138"/>
  <c r="BC15" i="138"/>
  <c r="BC66" i="138"/>
  <c r="BC20" i="138"/>
  <c r="BC10" i="138"/>
  <c r="BB6" i="138"/>
  <c r="BC6" i="138" s="1"/>
  <c r="BC44" i="138"/>
  <c r="BC67" i="138"/>
  <c r="BC60" i="138"/>
  <c r="BC52" i="138"/>
  <c r="BC68" i="138"/>
  <c r="BC61" i="138"/>
  <c r="BC22" i="138"/>
  <c r="AL6" i="138"/>
  <c r="AM6" i="138" s="1"/>
  <c r="AZ6" i="138"/>
  <c r="AE7" i="138"/>
  <c r="BW8" i="138"/>
  <c r="BK9" i="138"/>
  <c r="AY10" i="138"/>
  <c r="AM11" i="138"/>
  <c r="AA12" i="138"/>
  <c r="O13" i="138"/>
  <c r="BK14" i="138"/>
  <c r="AY16" i="138"/>
  <c r="AY18" i="138"/>
  <c r="AY19" i="138"/>
  <c r="AQ20" i="138"/>
  <c r="BK22" i="138"/>
  <c r="S27" i="138"/>
  <c r="AE28" i="138"/>
  <c r="O32" i="138"/>
  <c r="AM33" i="138"/>
  <c r="BC42" i="138"/>
  <c r="S49" i="138"/>
  <c r="BW55" i="138"/>
  <c r="AB4" i="138"/>
  <c r="AZ4" i="138"/>
  <c r="BT5" i="138"/>
  <c r="BW5" i="138" s="1"/>
  <c r="Y6" i="138"/>
  <c r="BA6" i="138"/>
  <c r="AA8" i="138"/>
  <c r="BO9" i="138"/>
  <c r="AQ11" i="138"/>
  <c r="AE12" i="138"/>
  <c r="BO14" i="138"/>
  <c r="BK15" i="138"/>
  <c r="AY17" i="138"/>
  <c r="BC18" i="138"/>
  <c r="BC19" i="138"/>
  <c r="BO22" i="138"/>
  <c r="BO23" i="138"/>
  <c r="BW24" i="138"/>
  <c r="S26" i="138"/>
  <c r="AM28" i="138"/>
  <c r="AQ29" i="138"/>
  <c r="S32" i="138"/>
  <c r="BW34" i="138"/>
  <c r="AE36" i="138"/>
  <c r="AQ39" i="138"/>
  <c r="AQ47" i="138"/>
  <c r="AA82" i="138"/>
  <c r="AA70" i="138"/>
  <c r="AA58" i="138"/>
  <c r="AA46" i="138"/>
  <c r="AA77" i="138"/>
  <c r="AA72" i="138"/>
  <c r="AA79" i="138"/>
  <c r="AA74" i="138"/>
  <c r="AA62" i="138"/>
  <c r="AA50" i="138"/>
  <c r="AA38" i="138"/>
  <c r="AA26" i="138"/>
  <c r="AA81" i="138"/>
  <c r="AA69" i="138"/>
  <c r="AA57" i="138"/>
  <c r="AA45" i="138"/>
  <c r="AA76" i="138"/>
  <c r="AA64" i="138"/>
  <c r="AA52" i="138"/>
  <c r="AA40" i="138"/>
  <c r="AA71" i="138"/>
  <c r="AA78" i="138"/>
  <c r="AA80" i="138"/>
  <c r="AA68" i="138"/>
  <c r="AA56" i="138"/>
  <c r="AA44" i="138"/>
  <c r="AA32" i="138"/>
  <c r="AA20" i="138"/>
  <c r="AA15" i="138"/>
  <c r="X6" i="138"/>
  <c r="AA60" i="138"/>
  <c r="AA34" i="138"/>
  <c r="AA67" i="138"/>
  <c r="AA53" i="138"/>
  <c r="AA54" i="138"/>
  <c r="AA61" i="138"/>
  <c r="AA47" i="138"/>
  <c r="AA33" i="138"/>
  <c r="AA19" i="138"/>
  <c r="AA75" i="138"/>
  <c r="AA55" i="138"/>
  <c r="AA48" i="138"/>
  <c r="AA22" i="138"/>
  <c r="AA14" i="138"/>
  <c r="AA42" i="138"/>
  <c r="AA41" i="138"/>
  <c r="AA39" i="138"/>
  <c r="AA27" i="138"/>
  <c r="AA9" i="138"/>
  <c r="AA63" i="138"/>
  <c r="AA49" i="138"/>
  <c r="AA65" i="138"/>
  <c r="AA59" i="138"/>
  <c r="AA51" i="138"/>
  <c r="AA35" i="138"/>
  <c r="AA30" i="138"/>
  <c r="AA25" i="138"/>
  <c r="BL6" i="138"/>
  <c r="BT4" i="138"/>
  <c r="Z6" i="138"/>
  <c r="AA6" i="138" s="1"/>
  <c r="AN6" i="138"/>
  <c r="AM7" i="138"/>
  <c r="AE8" i="138"/>
  <c r="O9" i="138"/>
  <c r="BK10" i="138"/>
  <c r="AA13" i="138"/>
  <c r="O14" i="138"/>
  <c r="BO15" i="138"/>
  <c r="BK16" i="138"/>
  <c r="BC17" i="138"/>
  <c r="AY20" i="138"/>
  <c r="BK21" i="138"/>
  <c r="BK30" i="138"/>
  <c r="BK33" i="138"/>
  <c r="O38" i="138"/>
  <c r="AY39" i="138"/>
  <c r="AA43" i="138"/>
  <c r="O45" i="138"/>
  <c r="AM70" i="138"/>
  <c r="AV5" i="138"/>
  <c r="AY5" i="138" s="1"/>
  <c r="M6" i="138"/>
  <c r="AO6" i="138"/>
  <c r="S9" i="138"/>
  <c r="BO10" i="138"/>
  <c r="AY11" i="138"/>
  <c r="AQ12" i="138"/>
  <c r="AE13" i="138"/>
  <c r="S14" i="138"/>
  <c r="BO16" i="138"/>
  <c r="BO18" i="138"/>
  <c r="BW22" i="138"/>
  <c r="O25" i="138"/>
  <c r="AE26" i="138"/>
  <c r="AQ27" i="138"/>
  <c r="AY28" i="138"/>
  <c r="AY29" i="138"/>
  <c r="BO33" i="138"/>
  <c r="AE35" i="138"/>
  <c r="S38" i="138"/>
  <c r="AY41" i="138"/>
  <c r="AE43" i="138"/>
  <c r="AQ45" i="138"/>
  <c r="O64" i="138"/>
  <c r="O73" i="138"/>
  <c r="O61" i="138"/>
  <c r="O49" i="138"/>
  <c r="O37" i="138"/>
  <c r="O80" i="138"/>
  <c r="O75" i="138"/>
  <c r="O82" i="138"/>
  <c r="O70" i="138"/>
  <c r="O77" i="138"/>
  <c r="O65" i="138"/>
  <c r="O53" i="138"/>
  <c r="O41" i="138"/>
  <c r="O29" i="138"/>
  <c r="O72" i="138"/>
  <c r="O60" i="138"/>
  <c r="O48" i="138"/>
  <c r="O79" i="138"/>
  <c r="O67" i="138"/>
  <c r="O55" i="138"/>
  <c r="O43" i="138"/>
  <c r="O74" i="138"/>
  <c r="O81" i="138"/>
  <c r="O69" i="138"/>
  <c r="O76" i="138"/>
  <c r="O71" i="138"/>
  <c r="O59" i="138"/>
  <c r="O47" i="138"/>
  <c r="O35" i="138"/>
  <c r="O23" i="138"/>
  <c r="O66" i="138"/>
  <c r="O58" i="138"/>
  <c r="O44" i="138"/>
  <c r="O21" i="138"/>
  <c r="O18" i="138"/>
  <c r="L6" i="138"/>
  <c r="O51" i="138"/>
  <c r="O52" i="138"/>
  <c r="O68" i="138"/>
  <c r="O54" i="138"/>
  <c r="O46" i="138"/>
  <c r="O34" i="138"/>
  <c r="O17" i="138"/>
  <c r="O62" i="138"/>
  <c r="O28" i="138"/>
  <c r="O12" i="138"/>
  <c r="O56" i="138"/>
  <c r="O63" i="138"/>
  <c r="O36" i="138"/>
  <c r="O31" i="138"/>
  <c r="O26" i="138"/>
  <c r="BK73" i="138"/>
  <c r="BK61" i="138"/>
  <c r="BK49" i="138"/>
  <c r="BK37" i="138"/>
  <c r="BK80" i="138"/>
  <c r="BK75" i="138"/>
  <c r="BK82" i="138"/>
  <c r="BK70" i="138"/>
  <c r="BK77" i="138"/>
  <c r="BK65" i="138"/>
  <c r="BK53" i="138"/>
  <c r="BK41" i="138"/>
  <c r="BK29" i="138"/>
  <c r="BK72" i="138"/>
  <c r="BK60" i="138"/>
  <c r="BK48" i="138"/>
  <c r="BK79" i="138"/>
  <c r="BK67" i="138"/>
  <c r="BK55" i="138"/>
  <c r="BK43" i="138"/>
  <c r="BK74" i="138"/>
  <c r="BK81" i="138"/>
  <c r="BK69" i="138"/>
  <c r="BK76" i="138"/>
  <c r="BK71" i="138"/>
  <c r="BK59" i="138"/>
  <c r="BK47" i="138"/>
  <c r="BK35" i="138"/>
  <c r="BK23" i="138"/>
  <c r="BK40" i="138"/>
  <c r="BK39" i="138"/>
  <c r="BK38" i="138"/>
  <c r="BK18" i="138"/>
  <c r="BH6" i="138"/>
  <c r="BK42" i="138"/>
  <c r="BK36" i="138"/>
  <c r="BK31" i="138"/>
  <c r="BK56" i="138"/>
  <c r="BK63" i="138"/>
  <c r="BK64" i="138"/>
  <c r="BK57" i="138"/>
  <c r="BK50" i="138"/>
  <c r="BK20" i="138"/>
  <c r="BK66" i="138"/>
  <c r="BK58" i="138"/>
  <c r="BK44" i="138"/>
  <c r="BK24" i="138"/>
  <c r="BK17" i="138"/>
  <c r="BK51" i="138"/>
  <c r="BK34" i="138"/>
  <c r="BK12" i="138"/>
  <c r="BK52" i="138"/>
  <c r="BK45" i="138"/>
  <c r="BK78" i="138"/>
  <c r="BK68" i="138"/>
  <c r="BK54" i="138"/>
  <c r="BK46" i="138"/>
  <c r="BK62" i="138"/>
  <c r="BK32" i="138"/>
  <c r="BK27" i="138"/>
  <c r="N6" i="138"/>
  <c r="O6" i="138" s="1"/>
  <c r="AY7" i="138"/>
  <c r="AM8" i="138"/>
  <c r="O10" i="138"/>
  <c r="O15" i="138"/>
  <c r="BW17" i="138"/>
  <c r="BO19" i="138"/>
  <c r="BO20" i="138"/>
  <c r="BW21" i="138"/>
  <c r="O24" i="138"/>
  <c r="AE25" i="138"/>
  <c r="BC28" i="138"/>
  <c r="BC29" i="138"/>
  <c r="AQ32" i="138"/>
  <c r="BC36" i="138"/>
  <c r="BW39" i="138"/>
  <c r="AY45" i="138"/>
  <c r="O50" i="138"/>
  <c r="AQ67" i="138"/>
  <c r="L4" i="138"/>
  <c r="AJ4" i="138"/>
  <c r="BH4" i="138"/>
  <c r="X5" i="138"/>
  <c r="AA5" i="138" s="1"/>
  <c r="BU6" i="138"/>
  <c r="AQ8" i="138"/>
  <c r="S10" i="138"/>
  <c r="BW10" i="138"/>
  <c r="BK11" i="138"/>
  <c r="AY12" i="138"/>
  <c r="AM13" i="138"/>
  <c r="S15" i="138"/>
  <c r="O16" i="138"/>
  <c r="BW16" i="138"/>
  <c r="BW18" i="138"/>
  <c r="AY27" i="138"/>
  <c r="BK28" i="138"/>
  <c r="S31" i="138"/>
  <c r="O57" i="138"/>
  <c r="BO80" i="138"/>
  <c r="BO68" i="138"/>
  <c r="BO56" i="138"/>
  <c r="BO44" i="138"/>
  <c r="BO75" i="138"/>
  <c r="BO82" i="138"/>
  <c r="BO77" i="138"/>
  <c r="BO72" i="138"/>
  <c r="BO60" i="138"/>
  <c r="BO48" i="138"/>
  <c r="BO36" i="138"/>
  <c r="BO24" i="138"/>
  <c r="BO79" i="138"/>
  <c r="BO67" i="138"/>
  <c r="BO55" i="138"/>
  <c r="BO43" i="138"/>
  <c r="BO74" i="138"/>
  <c r="BO62" i="138"/>
  <c r="BO50" i="138"/>
  <c r="BO81" i="138"/>
  <c r="BO76" i="138"/>
  <c r="BO78" i="138"/>
  <c r="BO66" i="138"/>
  <c r="BO54" i="138"/>
  <c r="BO42" i="138"/>
  <c r="BO30" i="138"/>
  <c r="BO41" i="138"/>
  <c r="BO37" i="138"/>
  <c r="BO31" i="138"/>
  <c r="BO26" i="138"/>
  <c r="BO21" i="138"/>
  <c r="BO13" i="138"/>
  <c r="BO63" i="138"/>
  <c r="BO49" i="138"/>
  <c r="BO69" i="138"/>
  <c r="BO64" i="138"/>
  <c r="BO57" i="138"/>
  <c r="BO71" i="138"/>
  <c r="BO65" i="138"/>
  <c r="BO58" i="138"/>
  <c r="BO17" i="138"/>
  <c r="BO51" i="138"/>
  <c r="BO34" i="138"/>
  <c r="BO29" i="138"/>
  <c r="BO59" i="138"/>
  <c r="BO52" i="138"/>
  <c r="BO45" i="138"/>
  <c r="BO7" i="138"/>
  <c r="BN6" i="138"/>
  <c r="BO6" i="138" s="1"/>
  <c r="BL5" i="138"/>
  <c r="BO5" i="138" s="1"/>
  <c r="BO70" i="138"/>
  <c r="BO53" i="138"/>
  <c r="BO73" i="138"/>
  <c r="BO61" i="138"/>
  <c r="BO40" i="138"/>
  <c r="BO39" i="138"/>
  <c r="BO38" i="138"/>
  <c r="BV6" i="138"/>
  <c r="BW6" i="138" s="1"/>
  <c r="BO11" i="138"/>
  <c r="S16" i="138"/>
  <c r="S18" i="138"/>
  <c r="O22" i="138"/>
  <c r="AA23" i="138"/>
  <c r="AA24" i="138"/>
  <c r="AM25" i="138"/>
  <c r="BO27" i="138"/>
  <c r="BO28" i="138"/>
  <c r="BW29" i="138"/>
  <c r="AA31" i="138"/>
  <c r="BO32" i="138"/>
  <c r="S34" i="138"/>
  <c r="O40" i="138"/>
  <c r="BW41" i="138"/>
  <c r="BW43" i="138"/>
  <c r="BW47" i="138"/>
  <c r="AQ74" i="138"/>
  <c r="AQ62" i="138"/>
  <c r="AQ50" i="138"/>
  <c r="AQ38" i="138"/>
  <c r="AQ81" i="138"/>
  <c r="AQ69" i="138"/>
  <c r="AQ76" i="138"/>
  <c r="AQ71" i="138"/>
  <c r="AQ78" i="138"/>
  <c r="AQ66" i="138"/>
  <c r="AQ54" i="138"/>
  <c r="AQ42" i="138"/>
  <c r="AQ30" i="138"/>
  <c r="AQ73" i="138"/>
  <c r="AQ61" i="138"/>
  <c r="AQ49" i="138"/>
  <c r="AQ80" i="138"/>
  <c r="AQ68" i="138"/>
  <c r="AQ56" i="138"/>
  <c r="AQ44" i="138"/>
  <c r="AQ75" i="138"/>
  <c r="AQ82" i="138"/>
  <c r="AQ70" i="138"/>
  <c r="AQ77" i="138"/>
  <c r="AQ72" i="138"/>
  <c r="AQ60" i="138"/>
  <c r="AQ48" i="138"/>
  <c r="AQ36" i="138"/>
  <c r="AQ24" i="138"/>
  <c r="AQ28" i="138"/>
  <c r="AQ23" i="138"/>
  <c r="AQ19" i="138"/>
  <c r="AQ7" i="138"/>
  <c r="AQ33" i="138"/>
  <c r="AQ55" i="138"/>
  <c r="AQ63" i="138"/>
  <c r="AQ41" i="138"/>
  <c r="AQ37" i="138"/>
  <c r="AQ31" i="138"/>
  <c r="AQ26" i="138"/>
  <c r="AQ21" i="138"/>
  <c r="AQ18" i="138"/>
  <c r="AQ64" i="138"/>
  <c r="AQ57" i="138"/>
  <c r="AQ43" i="138"/>
  <c r="AQ13" i="138"/>
  <c r="AP6" i="138"/>
  <c r="AQ6" i="138" s="1"/>
  <c r="AN5" i="138"/>
  <c r="AQ5" i="138" s="1"/>
  <c r="AQ79" i="138"/>
  <c r="AQ65" i="138"/>
  <c r="AQ58" i="138"/>
  <c r="AQ51" i="138"/>
  <c r="AQ53" i="138"/>
  <c r="AQ46" i="138"/>
  <c r="P4" i="138"/>
  <c r="AN4" i="138"/>
  <c r="BL4" i="138"/>
  <c r="Q6" i="138"/>
  <c r="BI6" i="138"/>
  <c r="BK7" i="138"/>
  <c r="AY8" i="138"/>
  <c r="AM9" i="138"/>
  <c r="AA10" i="138"/>
  <c r="O11" i="138"/>
  <c r="AY13" i="138"/>
  <c r="AM14" i="138"/>
  <c r="AE15" i="138"/>
  <c r="O19" i="138"/>
  <c r="O20" i="138"/>
  <c r="S22" i="138"/>
  <c r="AE23" i="138"/>
  <c r="AQ25" i="138"/>
  <c r="AE31" i="138"/>
  <c r="S37" i="138"/>
  <c r="BC38" i="138"/>
  <c r="AQ40" i="138"/>
  <c r="BC54" i="138"/>
  <c r="AI72" i="138"/>
  <c r="AI60" i="138"/>
  <c r="AI48" i="138"/>
  <c r="AI79" i="138"/>
  <c r="AI74" i="138"/>
  <c r="AI81" i="138"/>
  <c r="AI69" i="138"/>
  <c r="AI76" i="138"/>
  <c r="AI64" i="138"/>
  <c r="AI52" i="138"/>
  <c r="AI40" i="138"/>
  <c r="AI28" i="138"/>
  <c r="AI71" i="138"/>
  <c r="AI59" i="138"/>
  <c r="AI47" i="138"/>
  <c r="AI78" i="138"/>
  <c r="AI66" i="138"/>
  <c r="AI54" i="138"/>
  <c r="AI42" i="138"/>
  <c r="AI73" i="138"/>
  <c r="AI80" i="138"/>
  <c r="AI75" i="138"/>
  <c r="AI82" i="138"/>
  <c r="AI70" i="138"/>
  <c r="AI58" i="138"/>
  <c r="AI46" i="138"/>
  <c r="AI34" i="138"/>
  <c r="AI22" i="138"/>
  <c r="BG78" i="138"/>
  <c r="BG66" i="138"/>
  <c r="BG54" i="138"/>
  <c r="BG42" i="138"/>
  <c r="BG73" i="138"/>
  <c r="BG80" i="138"/>
  <c r="BG75" i="138"/>
  <c r="BG82" i="138"/>
  <c r="BG70" i="138"/>
  <c r="BG58" i="138"/>
  <c r="BG46" i="138"/>
  <c r="BG34" i="138"/>
  <c r="BG22" i="138"/>
  <c r="BG77" i="138"/>
  <c r="BG65" i="138"/>
  <c r="BG53" i="138"/>
  <c r="BG72" i="138"/>
  <c r="BG60" i="138"/>
  <c r="BG48" i="138"/>
  <c r="BG79" i="138"/>
  <c r="BG74" i="138"/>
  <c r="BG81" i="138"/>
  <c r="BG76" i="138"/>
  <c r="BG64" i="138"/>
  <c r="BG52" i="138"/>
  <c r="BG40" i="138"/>
  <c r="BG28" i="138"/>
  <c r="AI11" i="138"/>
  <c r="BG17" i="138"/>
  <c r="BG24" i="138"/>
  <c r="BG29" i="138"/>
  <c r="AI37" i="138"/>
  <c r="W40" i="138"/>
  <c r="BG44" i="138"/>
  <c r="W48" i="138"/>
  <c r="AU50" i="138"/>
  <c r="AU58" i="138"/>
  <c r="AI63" i="138"/>
  <c r="AI56" i="138"/>
  <c r="BG71" i="138"/>
  <c r="BG50" i="138"/>
  <c r="BG57" i="138"/>
  <c r="AI62" i="138"/>
  <c r="BS66" i="138"/>
  <c r="W75" i="138"/>
  <c r="W63" i="138"/>
  <c r="W51" i="138"/>
  <c r="W39" i="138"/>
  <c r="W82" i="138"/>
  <c r="W70" i="138"/>
  <c r="W77" i="138"/>
  <c r="W72" i="138"/>
  <c r="W79" i="138"/>
  <c r="W67" i="138"/>
  <c r="W55" i="138"/>
  <c r="W43" i="138"/>
  <c r="W31" i="138"/>
  <c r="W74" i="138"/>
  <c r="W62" i="138"/>
  <c r="W50" i="138"/>
  <c r="W81" i="138"/>
  <c r="W69" i="138"/>
  <c r="W57" i="138"/>
  <c r="W45" i="138"/>
  <c r="W76" i="138"/>
  <c r="W71" i="138"/>
  <c r="W78" i="138"/>
  <c r="W73" i="138"/>
  <c r="W61" i="138"/>
  <c r="W49" i="138"/>
  <c r="W37" i="138"/>
  <c r="W25" i="138"/>
  <c r="AU81" i="138"/>
  <c r="AU69" i="138"/>
  <c r="AU57" i="138"/>
  <c r="AU45" i="138"/>
  <c r="AU76" i="138"/>
  <c r="AU71" i="138"/>
  <c r="AU78" i="138"/>
  <c r="AU73" i="138"/>
  <c r="AU61" i="138"/>
  <c r="AU49" i="138"/>
  <c r="AU37" i="138"/>
  <c r="AU25" i="138"/>
  <c r="AU80" i="138"/>
  <c r="AU68" i="138"/>
  <c r="AU56" i="138"/>
  <c r="AU44" i="138"/>
  <c r="AU75" i="138"/>
  <c r="AU63" i="138"/>
  <c r="AU51" i="138"/>
  <c r="AU39" i="138"/>
  <c r="AU82" i="138"/>
  <c r="AU77" i="138"/>
  <c r="AU79" i="138"/>
  <c r="AU67" i="138"/>
  <c r="AU55" i="138"/>
  <c r="AU43" i="138"/>
  <c r="AU31" i="138"/>
  <c r="AU19" i="138"/>
  <c r="BS75" i="138"/>
  <c r="BS63" i="138"/>
  <c r="BS51" i="138"/>
  <c r="BS39" i="138"/>
  <c r="BS82" i="138"/>
  <c r="BS70" i="138"/>
  <c r="BS77" i="138"/>
  <c r="BS72" i="138"/>
  <c r="BS79" i="138"/>
  <c r="BS67" i="138"/>
  <c r="BS55" i="138"/>
  <c r="BS43" i="138"/>
  <c r="BS31" i="138"/>
  <c r="BS74" i="138"/>
  <c r="BS62" i="138"/>
  <c r="BS50" i="138"/>
  <c r="BS81" i="138"/>
  <c r="BS69" i="138"/>
  <c r="BS57" i="138"/>
  <c r="BS45" i="138"/>
  <c r="BS76" i="138"/>
  <c r="BS71" i="138"/>
  <c r="BS78" i="138"/>
  <c r="BS73" i="138"/>
  <c r="BS61" i="138"/>
  <c r="BS49" i="138"/>
  <c r="BS37" i="138"/>
  <c r="BS25" i="138"/>
  <c r="W8" i="138"/>
  <c r="BS8" i="138"/>
  <c r="BG11" i="138"/>
  <c r="AU14" i="138"/>
  <c r="AI17" i="138"/>
  <c r="BG27" i="138"/>
  <c r="W30" i="138"/>
  <c r="BG32" i="138"/>
  <c r="AU33" i="138"/>
  <c r="W35" i="138"/>
  <c r="BS36" i="138"/>
  <c r="BS42" i="138"/>
  <c r="AI45" i="138"/>
  <c r="W52" i="138"/>
  <c r="AI53" i="138"/>
  <c r="AU54" i="138"/>
  <c r="BS56" i="138"/>
  <c r="W59" i="138"/>
  <c r="BG62" i="138"/>
  <c r="AI77" i="138"/>
  <c r="AI79" i="137"/>
  <c r="AI67" i="137"/>
  <c r="AI74" i="137"/>
  <c r="AI62" i="137"/>
  <c r="AI81" i="137"/>
  <c r="AI69" i="137"/>
  <c r="AI57" i="137"/>
  <c r="AI45" i="137"/>
  <c r="AI33" i="137"/>
  <c r="AI71" i="137"/>
  <c r="AI59" i="137"/>
  <c r="AI47" i="137"/>
  <c r="AI35" i="137"/>
  <c r="AI78" i="137"/>
  <c r="AI66" i="137"/>
  <c r="AI54" i="137"/>
  <c r="AI42" i="137"/>
  <c r="AI30" i="137"/>
  <c r="AI73" i="137"/>
  <c r="AI61" i="137"/>
  <c r="AI49" i="137"/>
  <c r="AI80" i="137"/>
  <c r="AI68" i="137"/>
  <c r="AI56" i="137"/>
  <c r="AI44" i="137"/>
  <c r="AI32" i="137"/>
  <c r="AI75" i="137"/>
  <c r="AI63" i="137"/>
  <c r="AI82" i="137"/>
  <c r="AI70" i="137"/>
  <c r="AI58" i="137"/>
  <c r="AI77" i="137"/>
  <c r="AI65" i="137"/>
  <c r="AI53" i="137"/>
  <c r="AI41" i="137"/>
  <c r="AI29" i="137"/>
  <c r="O80" i="137"/>
  <c r="O68" i="137"/>
  <c r="O56" i="137"/>
  <c r="O75" i="137"/>
  <c r="O63" i="137"/>
  <c r="O82" i="137"/>
  <c r="O70" i="137"/>
  <c r="O58" i="137"/>
  <c r="O46" i="137"/>
  <c r="O34" i="137"/>
  <c r="O72" i="137"/>
  <c r="O60" i="137"/>
  <c r="O48" i="137"/>
  <c r="O36" i="137"/>
  <c r="O79" i="137"/>
  <c r="O67" i="137"/>
  <c r="O55" i="137"/>
  <c r="O43" i="137"/>
  <c r="O31" i="137"/>
  <c r="O74" i="137"/>
  <c r="O62" i="137"/>
  <c r="O50" i="137"/>
  <c r="O81" i="137"/>
  <c r="O69" i="137"/>
  <c r="O57" i="137"/>
  <c r="O45" i="137"/>
  <c r="O33" i="137"/>
  <c r="O76" i="137"/>
  <c r="O64" i="137"/>
  <c r="O71" i="137"/>
  <c r="O59" i="137"/>
  <c r="O78" i="137"/>
  <c r="O66" i="137"/>
  <c r="O54" i="137"/>
  <c r="O42" i="137"/>
  <c r="O30" i="137"/>
  <c r="O10" i="137"/>
  <c r="BG15" i="137"/>
  <c r="O15" i="137"/>
  <c r="O47" i="137"/>
  <c r="AI11" i="137"/>
  <c r="BG17" i="137"/>
  <c r="AF4" i="137"/>
  <c r="BD6" i="137"/>
  <c r="BK41" i="137"/>
  <c r="L4" i="137"/>
  <c r="BE6" i="137"/>
  <c r="BG8" i="137"/>
  <c r="BK15" i="137"/>
  <c r="O20" i="137"/>
  <c r="AI22" i="137"/>
  <c r="AQ81" i="137"/>
  <c r="AQ69" i="137"/>
  <c r="AQ57" i="137"/>
  <c r="AQ76" i="137"/>
  <c r="AQ64" i="137"/>
  <c r="AQ71" i="137"/>
  <c r="AQ59" i="137"/>
  <c r="AQ47" i="137"/>
  <c r="AQ35" i="137"/>
  <c r="AQ73" i="137"/>
  <c r="AQ61" i="137"/>
  <c r="AQ49" i="137"/>
  <c r="AQ37" i="137"/>
  <c r="AQ80" i="137"/>
  <c r="AQ68" i="137"/>
  <c r="AQ56" i="137"/>
  <c r="AQ44" i="137"/>
  <c r="AQ32" i="137"/>
  <c r="AQ20" i="137"/>
  <c r="AQ75" i="137"/>
  <c r="AQ63" i="137"/>
  <c r="AQ51" i="137"/>
  <c r="AQ82" i="137"/>
  <c r="AQ70" i="137"/>
  <c r="AQ58" i="137"/>
  <c r="AQ46" i="137"/>
  <c r="AQ34" i="137"/>
  <c r="AQ77" i="137"/>
  <c r="AQ65" i="137"/>
  <c r="AQ72" i="137"/>
  <c r="AQ60" i="137"/>
  <c r="AQ48" i="137"/>
  <c r="AQ79" i="137"/>
  <c r="AQ67" i="137"/>
  <c r="AQ55" i="137"/>
  <c r="AQ43" i="137"/>
  <c r="AQ31" i="137"/>
  <c r="BF6" i="137"/>
  <c r="BG6" i="137" s="1"/>
  <c r="O8" i="137"/>
  <c r="AM14" i="137"/>
  <c r="S15" i="137"/>
  <c r="BO15" i="137"/>
  <c r="AI19" i="137"/>
  <c r="AM22" i="137"/>
  <c r="BO24" i="137"/>
  <c r="AM27" i="137"/>
  <c r="AM28" i="137"/>
  <c r="O35" i="137"/>
  <c r="W43" i="137"/>
  <c r="S47" i="137"/>
  <c r="BO48" i="137"/>
  <c r="AI50" i="137"/>
  <c r="BO51" i="137"/>
  <c r="BS54" i="137"/>
  <c r="BO60" i="137"/>
  <c r="BS63" i="137"/>
  <c r="W67" i="137"/>
  <c r="BG70" i="137"/>
  <c r="BK73" i="137"/>
  <c r="S80" i="137"/>
  <c r="P4" i="137"/>
  <c r="AN4" i="137"/>
  <c r="BL4" i="137"/>
  <c r="AM7" i="137"/>
  <c r="S8" i="137"/>
  <c r="BO8" i="137"/>
  <c r="AU9" i="137"/>
  <c r="AI12" i="137"/>
  <c r="O13" i="137"/>
  <c r="BK13" i="137"/>
  <c r="AQ14" i="137"/>
  <c r="W15" i="137"/>
  <c r="BS15" i="137"/>
  <c r="AE17" i="137"/>
  <c r="BG18" i="137"/>
  <c r="AM19" i="137"/>
  <c r="W20" i="137"/>
  <c r="BW20" i="137"/>
  <c r="BG21" i="137"/>
  <c r="AQ22" i="137"/>
  <c r="AA23" i="137"/>
  <c r="O24" i="137"/>
  <c r="BS24" i="137"/>
  <c r="BG25" i="137"/>
  <c r="AY26" i="137"/>
  <c r="AQ27" i="137"/>
  <c r="AQ28" i="137"/>
  <c r="AE29" i="137"/>
  <c r="AQ30" i="137"/>
  <c r="AY31" i="137"/>
  <c r="BO32" i="137"/>
  <c r="S34" i="137"/>
  <c r="S35" i="137"/>
  <c r="AE36" i="137"/>
  <c r="AU37" i="137"/>
  <c r="AY38" i="137"/>
  <c r="BK39" i="137"/>
  <c r="BS40" i="137"/>
  <c r="AE43" i="137"/>
  <c r="BG44" i="137"/>
  <c r="S46" i="137"/>
  <c r="AM47" i="137"/>
  <c r="BW48" i="137"/>
  <c r="AM50" i="137"/>
  <c r="AE53" i="137"/>
  <c r="AU57" i="137"/>
  <c r="AM67" i="137"/>
  <c r="BW70" i="137"/>
  <c r="O77" i="137"/>
  <c r="AY80" i="137"/>
  <c r="BG10" i="137"/>
  <c r="O23" i="137"/>
  <c r="AI26" i="137"/>
  <c r="AI39" i="137"/>
  <c r="BG66" i="137"/>
  <c r="AM9" i="137"/>
  <c r="AI14" i="137"/>
  <c r="AI27" i="137"/>
  <c r="BG32" i="137"/>
  <c r="AQ26" i="137"/>
  <c r="BK32" i="137"/>
  <c r="BS82" i="137"/>
  <c r="BS70" i="137"/>
  <c r="BS58" i="137"/>
  <c r="BS77" i="137"/>
  <c r="BS65" i="137"/>
  <c r="BS72" i="137"/>
  <c r="BS60" i="137"/>
  <c r="BS48" i="137"/>
  <c r="BS36" i="137"/>
  <c r="BS74" i="137"/>
  <c r="BS62" i="137"/>
  <c r="BS50" i="137"/>
  <c r="BS38" i="137"/>
  <c r="BS26" i="137"/>
  <c r="BS81" i="137"/>
  <c r="BS69" i="137"/>
  <c r="BS57" i="137"/>
  <c r="BS45" i="137"/>
  <c r="BS33" i="137"/>
  <c r="BS21" i="137"/>
  <c r="BS76" i="137"/>
  <c r="BS64" i="137"/>
  <c r="BS52" i="137"/>
  <c r="BS71" i="137"/>
  <c r="BS59" i="137"/>
  <c r="BS47" i="137"/>
  <c r="BS35" i="137"/>
  <c r="BS78" i="137"/>
  <c r="BS66" i="137"/>
  <c r="BS73" i="137"/>
  <c r="BS61" i="137"/>
  <c r="BS49" i="137"/>
  <c r="BS80" i="137"/>
  <c r="BS68" i="137"/>
  <c r="BS56" i="137"/>
  <c r="BS44" i="137"/>
  <c r="BS32" i="137"/>
  <c r="BH6" i="137"/>
  <c r="AQ7" i="137"/>
  <c r="W8" i="137"/>
  <c r="BS8" i="137"/>
  <c r="BG11" i="137"/>
  <c r="AM12" i="137"/>
  <c r="S13" i="137"/>
  <c r="BO13" i="137"/>
  <c r="AU14" i="137"/>
  <c r="AI17" i="137"/>
  <c r="O18" i="137"/>
  <c r="BK18" i="137"/>
  <c r="AQ19" i="137"/>
  <c r="BK21" i="137"/>
  <c r="AU22" i="137"/>
  <c r="AI23" i="137"/>
  <c r="S24" i="137"/>
  <c r="BK25" i="137"/>
  <c r="BC26" i="137"/>
  <c r="BC27" i="137"/>
  <c r="AU28" i="137"/>
  <c r="AM29" i="137"/>
  <c r="AY30" i="137"/>
  <c r="BG31" i="137"/>
  <c r="W34" i="137"/>
  <c r="AA35" i="137"/>
  <c r="AI36" i="137"/>
  <c r="BC37" i="137"/>
  <c r="BC38" i="137"/>
  <c r="BO39" i="137"/>
  <c r="AI43" i="137"/>
  <c r="BK44" i="137"/>
  <c r="W46" i="137"/>
  <c r="AU47" i="137"/>
  <c r="AQ50" i="137"/>
  <c r="AQ53" i="137"/>
  <c r="O61" i="137"/>
  <c r="AI64" i="137"/>
  <c r="BS67" i="137"/>
  <c r="AA74" i="137"/>
  <c r="AE77" i="137"/>
  <c r="BO80" i="137"/>
  <c r="BK10" i="137"/>
  <c r="BK24" i="137"/>
  <c r="BG45" i="137"/>
  <c r="AI60" i="137"/>
  <c r="S75" i="137"/>
  <c r="S63" i="137"/>
  <c r="S82" i="137"/>
  <c r="S70" i="137"/>
  <c r="S58" i="137"/>
  <c r="S77" i="137"/>
  <c r="S65" i="137"/>
  <c r="S53" i="137"/>
  <c r="S41" i="137"/>
  <c r="S79" i="137"/>
  <c r="S67" i="137"/>
  <c r="S55" i="137"/>
  <c r="S43" i="137"/>
  <c r="S31" i="137"/>
  <c r="S74" i="137"/>
  <c r="S62" i="137"/>
  <c r="S50" i="137"/>
  <c r="S38" i="137"/>
  <c r="S26" i="137"/>
  <c r="S81" i="137"/>
  <c r="S69" i="137"/>
  <c r="S57" i="137"/>
  <c r="S45" i="137"/>
  <c r="S76" i="137"/>
  <c r="S64" i="137"/>
  <c r="S52" i="137"/>
  <c r="S40" i="137"/>
  <c r="S71" i="137"/>
  <c r="S59" i="137"/>
  <c r="S78" i="137"/>
  <c r="S66" i="137"/>
  <c r="S54" i="137"/>
  <c r="S73" i="137"/>
  <c r="S61" i="137"/>
  <c r="S49" i="137"/>
  <c r="S37" i="137"/>
  <c r="S25" i="137"/>
  <c r="AI7" i="137"/>
  <c r="AQ9" i="137"/>
  <c r="S20" i="137"/>
  <c r="AI37" i="137"/>
  <c r="W82" i="137"/>
  <c r="W70" i="137"/>
  <c r="W58" i="137"/>
  <c r="W77" i="137"/>
  <c r="W65" i="137"/>
  <c r="W72" i="137"/>
  <c r="W60" i="137"/>
  <c r="W48" i="137"/>
  <c r="W36" i="137"/>
  <c r="W74" i="137"/>
  <c r="W62" i="137"/>
  <c r="W50" i="137"/>
  <c r="W38" i="137"/>
  <c r="W81" i="137"/>
  <c r="W69" i="137"/>
  <c r="W57" i="137"/>
  <c r="W45" i="137"/>
  <c r="W33" i="137"/>
  <c r="W21" i="137"/>
  <c r="W76" i="137"/>
  <c r="W64" i="137"/>
  <c r="W52" i="137"/>
  <c r="W71" i="137"/>
  <c r="W59" i="137"/>
  <c r="W47" i="137"/>
  <c r="W35" i="137"/>
  <c r="W78" i="137"/>
  <c r="W66" i="137"/>
  <c r="W73" i="137"/>
  <c r="W61" i="137"/>
  <c r="W49" i="137"/>
  <c r="W80" i="137"/>
  <c r="W68" i="137"/>
  <c r="W56" i="137"/>
  <c r="W44" i="137"/>
  <c r="W32" i="137"/>
  <c r="BI6" i="137"/>
  <c r="AI10" i="137"/>
  <c r="BK11" i="137"/>
  <c r="AQ12" i="137"/>
  <c r="W13" i="137"/>
  <c r="BG16" i="137"/>
  <c r="AM17" i="137"/>
  <c r="S18" i="137"/>
  <c r="BO18" i="137"/>
  <c r="AU19" i="137"/>
  <c r="O21" i="137"/>
  <c r="BO21" i="137"/>
  <c r="AM23" i="137"/>
  <c r="W24" i="137"/>
  <c r="BS25" i="137"/>
  <c r="BG26" i="137"/>
  <c r="BG27" i="137"/>
  <c r="AQ29" i="137"/>
  <c r="BC30" i="137"/>
  <c r="BS31" i="137"/>
  <c r="AA34" i="137"/>
  <c r="AM35" i="137"/>
  <c r="AQ36" i="137"/>
  <c r="BG37" i="137"/>
  <c r="BK38" i="137"/>
  <c r="BS39" i="137"/>
  <c r="O41" i="137"/>
  <c r="W42" i="137"/>
  <c r="AM43" i="137"/>
  <c r="BO44" i="137"/>
  <c r="AA46" i="137"/>
  <c r="AY47" i="137"/>
  <c r="O49" i="137"/>
  <c r="BC50" i="137"/>
  <c r="O52" i="137"/>
  <c r="BK53" i="137"/>
  <c r="AE55" i="137"/>
  <c r="AU61" i="137"/>
  <c r="AM71" i="137"/>
  <c r="AQ74" i="137"/>
  <c r="BK77" i="137"/>
  <c r="BG42" i="137"/>
  <c r="BD4" i="137"/>
  <c r="BG20" i="137"/>
  <c r="AM16" i="137"/>
  <c r="O53" i="137"/>
  <c r="AI76" i="137"/>
  <c r="BH4" i="137"/>
  <c r="AG6" i="137"/>
  <c r="AM26" i="137"/>
  <c r="AM31" i="137"/>
  <c r="AA77" i="137"/>
  <c r="AA65" i="137"/>
  <c r="AA72" i="137"/>
  <c r="AA60" i="137"/>
  <c r="AA79" i="137"/>
  <c r="AA67" i="137"/>
  <c r="AA55" i="137"/>
  <c r="AA43" i="137"/>
  <c r="AA31" i="137"/>
  <c r="AA81" i="137"/>
  <c r="AA69" i="137"/>
  <c r="AA57" i="137"/>
  <c r="AA45" i="137"/>
  <c r="AA33" i="137"/>
  <c r="AA76" i="137"/>
  <c r="AA64" i="137"/>
  <c r="AA52" i="137"/>
  <c r="AA40" i="137"/>
  <c r="AA28" i="137"/>
  <c r="AA71" i="137"/>
  <c r="AA59" i="137"/>
  <c r="AA47" i="137"/>
  <c r="AA78" i="137"/>
  <c r="AA66" i="137"/>
  <c r="AA54" i="137"/>
  <c r="AA42" i="137"/>
  <c r="AA30" i="137"/>
  <c r="AA73" i="137"/>
  <c r="AA61" i="137"/>
  <c r="AA80" i="137"/>
  <c r="AA68" i="137"/>
  <c r="AA56" i="137"/>
  <c r="AA75" i="137"/>
  <c r="AA63" i="137"/>
  <c r="AA51" i="137"/>
  <c r="AA39" i="137"/>
  <c r="AA27" i="137"/>
  <c r="AY71" i="137"/>
  <c r="AY59" i="137"/>
  <c r="AY78" i="137"/>
  <c r="AY66" i="137"/>
  <c r="AY73" i="137"/>
  <c r="AY61" i="137"/>
  <c r="AY49" i="137"/>
  <c r="AY37" i="137"/>
  <c r="AY75" i="137"/>
  <c r="AY63" i="137"/>
  <c r="AY51" i="137"/>
  <c r="AY39" i="137"/>
  <c r="AY27" i="137"/>
  <c r="AY82" i="137"/>
  <c r="AY70" i="137"/>
  <c r="AY58" i="137"/>
  <c r="AY46" i="137"/>
  <c r="AY34" i="137"/>
  <c r="AY22" i="137"/>
  <c r="AY77" i="137"/>
  <c r="AY65" i="137"/>
  <c r="AY53" i="137"/>
  <c r="AY72" i="137"/>
  <c r="AY60" i="137"/>
  <c r="AY48" i="137"/>
  <c r="AY36" i="137"/>
  <c r="AY79" i="137"/>
  <c r="AY67" i="137"/>
  <c r="AY55" i="137"/>
  <c r="AY74" i="137"/>
  <c r="AY62" i="137"/>
  <c r="AY50" i="137"/>
  <c r="AY81" i="137"/>
  <c r="AY69" i="137"/>
  <c r="AY57" i="137"/>
  <c r="AY45" i="137"/>
  <c r="AY33" i="137"/>
  <c r="BW82" i="137"/>
  <c r="BW77" i="137"/>
  <c r="BW65" i="137"/>
  <c r="BW72" i="137"/>
  <c r="BW60" i="137"/>
  <c r="BW79" i="137"/>
  <c r="BW67" i="137"/>
  <c r="BW55" i="137"/>
  <c r="BW43" i="137"/>
  <c r="BW31" i="137"/>
  <c r="BW81" i="137"/>
  <c r="BW69" i="137"/>
  <c r="BW57" i="137"/>
  <c r="BW45" i="137"/>
  <c r="BW33" i="137"/>
  <c r="BW76" i="137"/>
  <c r="BW64" i="137"/>
  <c r="BW52" i="137"/>
  <c r="BW40" i="137"/>
  <c r="BW28" i="137"/>
  <c r="BW71" i="137"/>
  <c r="BW59" i="137"/>
  <c r="BW47" i="137"/>
  <c r="BW78" i="137"/>
  <c r="BW66" i="137"/>
  <c r="BW54" i="137"/>
  <c r="BW42" i="137"/>
  <c r="BW30" i="137"/>
  <c r="BW73" i="137"/>
  <c r="BW61" i="137"/>
  <c r="BW80" i="137"/>
  <c r="BW68" i="137"/>
  <c r="BW56" i="137"/>
  <c r="BW75" i="137"/>
  <c r="BW63" i="137"/>
  <c r="BW51" i="137"/>
  <c r="BW39" i="137"/>
  <c r="BW27" i="137"/>
  <c r="AF5" i="137"/>
  <c r="AI5" i="137" s="1"/>
  <c r="BD5" i="137"/>
  <c r="BG5" i="137" s="1"/>
  <c r="N6" i="137"/>
  <c r="O6" i="137" s="1"/>
  <c r="Z6" i="137"/>
  <c r="AA6" i="137" s="1"/>
  <c r="AL6" i="137"/>
  <c r="AM6" i="137" s="1"/>
  <c r="AX6" i="137"/>
  <c r="AY6" i="137" s="1"/>
  <c r="BJ6" i="137"/>
  <c r="BK6" i="137" s="1"/>
  <c r="BV6" i="137"/>
  <c r="BW6" i="137" s="1"/>
  <c r="AY7" i="137"/>
  <c r="AE8" i="137"/>
  <c r="BG9" i="137"/>
  <c r="AM10" i="137"/>
  <c r="S11" i="137"/>
  <c r="BO11" i="137"/>
  <c r="AU12" i="137"/>
  <c r="AA13" i="137"/>
  <c r="BW13" i="137"/>
  <c r="BC14" i="137"/>
  <c r="AI15" i="137"/>
  <c r="O16" i="137"/>
  <c r="BK16" i="137"/>
  <c r="AQ17" i="137"/>
  <c r="W18" i="137"/>
  <c r="BS18" i="137"/>
  <c r="AY19" i="137"/>
  <c r="AI20" i="137"/>
  <c r="S21" i="137"/>
  <c r="BW21" i="137"/>
  <c r="BG22" i="137"/>
  <c r="AQ23" i="137"/>
  <c r="AA24" i="137"/>
  <c r="O25" i="137"/>
  <c r="BW25" i="137"/>
  <c r="BK26" i="137"/>
  <c r="BK27" i="137"/>
  <c r="BG28" i="137"/>
  <c r="AU29" i="137"/>
  <c r="BG30" i="137"/>
  <c r="S33" i="137"/>
  <c r="AI34" i="137"/>
  <c r="AU35" i="137"/>
  <c r="AU36" i="137"/>
  <c r="BK37" i="137"/>
  <c r="BW38" i="137"/>
  <c r="W41" i="137"/>
  <c r="AE42" i="137"/>
  <c r="AU43" i="137"/>
  <c r="BW44" i="137"/>
  <c r="AI46" i="137"/>
  <c r="BC47" i="137"/>
  <c r="AA49" i="137"/>
  <c r="BW50" i="137"/>
  <c r="AI52" i="137"/>
  <c r="BS53" i="137"/>
  <c r="AI55" i="137"/>
  <c r="BG58" i="137"/>
  <c r="BK61" i="137"/>
  <c r="S68" i="137"/>
  <c r="BC71" i="137"/>
  <c r="BW74" i="137"/>
  <c r="AE81" i="137"/>
  <c r="AF6" i="137"/>
  <c r="BG33" i="137"/>
  <c r="BK40" i="137"/>
  <c r="L6" i="137"/>
  <c r="AJ6" i="137"/>
  <c r="T4" i="137"/>
  <c r="BP4" i="137"/>
  <c r="M6" i="137"/>
  <c r="AK6" i="137"/>
  <c r="AU7" i="137"/>
  <c r="O9" i="137"/>
  <c r="BK9" i="137"/>
  <c r="BS11" i="137"/>
  <c r="BG14" i="137"/>
  <c r="AM15" i="137"/>
  <c r="S16" i="137"/>
  <c r="BO16" i="137"/>
  <c r="AU17" i="137"/>
  <c r="BC19" i="137"/>
  <c r="AM20" i="137"/>
  <c r="AA21" i="137"/>
  <c r="BK22" i="137"/>
  <c r="AU23" i="137"/>
  <c r="AE24" i="137"/>
  <c r="W25" i="137"/>
  <c r="BW26" i="137"/>
  <c r="BO27" i="137"/>
  <c r="BK28" i="137"/>
  <c r="AY29" i="137"/>
  <c r="BO30" i="137"/>
  <c r="O32" i="137"/>
  <c r="AM34" i="137"/>
  <c r="AY35" i="137"/>
  <c r="BS37" i="137"/>
  <c r="O40" i="137"/>
  <c r="AA41" i="137"/>
  <c r="AQ42" i="137"/>
  <c r="AY43" i="137"/>
  <c r="AM46" i="137"/>
  <c r="AU49" i="137"/>
  <c r="AQ52" i="137"/>
  <c r="BW53" i="137"/>
  <c r="BW58" i="137"/>
  <c r="O65" i="137"/>
  <c r="AY68" i="137"/>
  <c r="AQ78" i="137"/>
  <c r="AI25" i="137"/>
  <c r="AI16" i="137"/>
  <c r="AI51" i="137"/>
  <c r="AM74" i="137"/>
  <c r="AM62" i="137"/>
  <c r="AM81" i="137"/>
  <c r="AM69" i="137"/>
  <c r="AM57" i="137"/>
  <c r="AM76" i="137"/>
  <c r="AM64" i="137"/>
  <c r="AM52" i="137"/>
  <c r="AM40" i="137"/>
  <c r="AM78" i="137"/>
  <c r="AM66" i="137"/>
  <c r="AM54" i="137"/>
  <c r="AM42" i="137"/>
  <c r="AM30" i="137"/>
  <c r="AM73" i="137"/>
  <c r="AM61" i="137"/>
  <c r="AM49" i="137"/>
  <c r="AM37" i="137"/>
  <c r="AM25" i="137"/>
  <c r="AM80" i="137"/>
  <c r="AM68" i="137"/>
  <c r="AM56" i="137"/>
  <c r="AM44" i="137"/>
  <c r="AM75" i="137"/>
  <c r="AM63" i="137"/>
  <c r="AM51" i="137"/>
  <c r="AM39" i="137"/>
  <c r="AM82" i="137"/>
  <c r="AM70" i="137"/>
  <c r="AM58" i="137"/>
  <c r="AM77" i="137"/>
  <c r="AM65" i="137"/>
  <c r="AM53" i="137"/>
  <c r="AM72" i="137"/>
  <c r="AM60" i="137"/>
  <c r="AM48" i="137"/>
  <c r="AM36" i="137"/>
  <c r="AM24" i="137"/>
  <c r="AI9" i="137"/>
  <c r="BK20" i="137"/>
  <c r="AI31" i="137"/>
  <c r="AI28" i="137"/>
  <c r="BG40" i="137"/>
  <c r="BK51" i="137"/>
  <c r="BO75" i="137"/>
  <c r="BO63" i="137"/>
  <c r="BO82" i="137"/>
  <c r="BO70" i="137"/>
  <c r="BO58" i="137"/>
  <c r="BO77" i="137"/>
  <c r="BO65" i="137"/>
  <c r="BO53" i="137"/>
  <c r="BO41" i="137"/>
  <c r="BO29" i="137"/>
  <c r="BO79" i="137"/>
  <c r="BO67" i="137"/>
  <c r="BO55" i="137"/>
  <c r="BO43" i="137"/>
  <c r="BO31" i="137"/>
  <c r="BO74" i="137"/>
  <c r="BO62" i="137"/>
  <c r="BO50" i="137"/>
  <c r="BO38" i="137"/>
  <c r="BO26" i="137"/>
  <c r="BO81" i="137"/>
  <c r="BO69" i="137"/>
  <c r="BO57" i="137"/>
  <c r="BO45" i="137"/>
  <c r="BO76" i="137"/>
  <c r="BO64" i="137"/>
  <c r="BO52" i="137"/>
  <c r="BO40" i="137"/>
  <c r="BO71" i="137"/>
  <c r="BO59" i="137"/>
  <c r="BO78" i="137"/>
  <c r="BO66" i="137"/>
  <c r="BO54" i="137"/>
  <c r="BO73" i="137"/>
  <c r="BO61" i="137"/>
  <c r="BO49" i="137"/>
  <c r="BO37" i="137"/>
  <c r="BO25" i="137"/>
  <c r="BK8" i="137"/>
  <c r="BG13" i="137"/>
  <c r="AQ38" i="137"/>
  <c r="AU76" i="137"/>
  <c r="AU64" i="137"/>
  <c r="AU71" i="137"/>
  <c r="AU59" i="137"/>
  <c r="AU78" i="137"/>
  <c r="AU66" i="137"/>
  <c r="AU54" i="137"/>
  <c r="AU42" i="137"/>
  <c r="AU30" i="137"/>
  <c r="AU80" i="137"/>
  <c r="AU68" i="137"/>
  <c r="AU56" i="137"/>
  <c r="AU44" i="137"/>
  <c r="AU32" i="137"/>
  <c r="AU75" i="137"/>
  <c r="AU63" i="137"/>
  <c r="AU51" i="137"/>
  <c r="AU39" i="137"/>
  <c r="AU27" i="137"/>
  <c r="AU82" i="137"/>
  <c r="AU70" i="137"/>
  <c r="AU58" i="137"/>
  <c r="AU46" i="137"/>
  <c r="AU77" i="137"/>
  <c r="AU65" i="137"/>
  <c r="AU53" i="137"/>
  <c r="AU41" i="137"/>
  <c r="AU72" i="137"/>
  <c r="AU60" i="137"/>
  <c r="AU79" i="137"/>
  <c r="AU67" i="137"/>
  <c r="AU55" i="137"/>
  <c r="AU74" i="137"/>
  <c r="AU62" i="137"/>
  <c r="AU50" i="137"/>
  <c r="AU38" i="137"/>
  <c r="AU26" i="137"/>
  <c r="AR4" i="137"/>
  <c r="O11" i="137"/>
  <c r="BS13" i="137"/>
  <c r="W11" i="137"/>
  <c r="AE72" i="137"/>
  <c r="AE60" i="137"/>
  <c r="AE79" i="137"/>
  <c r="AE67" i="137"/>
  <c r="AE74" i="137"/>
  <c r="AE62" i="137"/>
  <c r="AE50" i="137"/>
  <c r="AE38" i="137"/>
  <c r="AE76" i="137"/>
  <c r="AE64" i="137"/>
  <c r="AE52" i="137"/>
  <c r="AE40" i="137"/>
  <c r="AE28" i="137"/>
  <c r="AE71" i="137"/>
  <c r="AE59" i="137"/>
  <c r="AE47" i="137"/>
  <c r="AE35" i="137"/>
  <c r="AE23" i="137"/>
  <c r="AE78" i="137"/>
  <c r="AE66" i="137"/>
  <c r="AE54" i="137"/>
  <c r="AE73" i="137"/>
  <c r="AE61" i="137"/>
  <c r="AE49" i="137"/>
  <c r="AE37" i="137"/>
  <c r="AE80" i="137"/>
  <c r="AE68" i="137"/>
  <c r="AE56" i="137"/>
  <c r="AE75" i="137"/>
  <c r="AE63" i="137"/>
  <c r="AE51" i="137"/>
  <c r="AE82" i="137"/>
  <c r="AE70" i="137"/>
  <c r="AE58" i="137"/>
  <c r="AE46" i="137"/>
  <c r="AE34" i="137"/>
  <c r="BC78" i="137"/>
  <c r="BC66" i="137"/>
  <c r="BC73" i="137"/>
  <c r="BC61" i="137"/>
  <c r="BC80" i="137"/>
  <c r="BC68" i="137"/>
  <c r="BC56" i="137"/>
  <c r="BC44" i="137"/>
  <c r="BC32" i="137"/>
  <c r="BC82" i="137"/>
  <c r="BC70" i="137"/>
  <c r="BC58" i="137"/>
  <c r="BC46" i="137"/>
  <c r="BC34" i="137"/>
  <c r="BC77" i="137"/>
  <c r="BC65" i="137"/>
  <c r="BC53" i="137"/>
  <c r="BC41" i="137"/>
  <c r="BC29" i="137"/>
  <c r="BC72" i="137"/>
  <c r="BC60" i="137"/>
  <c r="BC48" i="137"/>
  <c r="BC79" i="137"/>
  <c r="BC67" i="137"/>
  <c r="BC55" i="137"/>
  <c r="BC43" i="137"/>
  <c r="BC31" i="137"/>
  <c r="BC74" i="137"/>
  <c r="BC62" i="137"/>
  <c r="BC81" i="137"/>
  <c r="BC69" i="137"/>
  <c r="BC57" i="137"/>
  <c r="BC76" i="137"/>
  <c r="BC64" i="137"/>
  <c r="BC52" i="137"/>
  <c r="BC40" i="137"/>
  <c r="BC28" i="137"/>
  <c r="L5" i="137"/>
  <c r="O5" i="137" s="1"/>
  <c r="AJ5" i="137"/>
  <c r="AM5" i="137" s="1"/>
  <c r="BH5" i="137"/>
  <c r="BK5" i="137" s="1"/>
  <c r="P6" i="137"/>
  <c r="AB6" i="137"/>
  <c r="AN6" i="137"/>
  <c r="AZ6" i="137"/>
  <c r="BL6" i="137"/>
  <c r="BG7" i="137"/>
  <c r="AM8" i="137"/>
  <c r="S9" i="137"/>
  <c r="BO9" i="137"/>
  <c r="AU10" i="137"/>
  <c r="AA11" i="137"/>
  <c r="BW11" i="137"/>
  <c r="BC12" i="137"/>
  <c r="AI13" i="137"/>
  <c r="O14" i="137"/>
  <c r="BK14" i="137"/>
  <c r="AQ15" i="137"/>
  <c r="W16" i="137"/>
  <c r="BS16" i="137"/>
  <c r="AY17" i="137"/>
  <c r="AE18" i="137"/>
  <c r="BG19" i="137"/>
  <c r="AU20" i="137"/>
  <c r="AE21" i="137"/>
  <c r="O22" i="137"/>
  <c r="BO22" i="137"/>
  <c r="AY23" i="137"/>
  <c r="AI24" i="137"/>
  <c r="AA25" i="137"/>
  <c r="O26" i="137"/>
  <c r="BS27" i="137"/>
  <c r="BO28" i="137"/>
  <c r="BS30" i="137"/>
  <c r="S32" i="137"/>
  <c r="AM33" i="137"/>
  <c r="AU34" i="137"/>
  <c r="BC35" i="137"/>
  <c r="BO36" i="137"/>
  <c r="BW37" i="137"/>
  <c r="O39" i="137"/>
  <c r="W40" i="137"/>
  <c r="AE41" i="137"/>
  <c r="AY42" i="137"/>
  <c r="BS43" i="137"/>
  <c r="AE45" i="137"/>
  <c r="BG46" i="137"/>
  <c r="BC49" i="137"/>
  <c r="O51" i="137"/>
  <c r="AU52" i="137"/>
  <c r="BS55" i="137"/>
  <c r="AA62" i="137"/>
  <c r="AE65" i="137"/>
  <c r="BO68" i="137"/>
  <c r="S72" i="137"/>
  <c r="W75" i="137"/>
  <c r="BG73" i="137"/>
  <c r="BG61" i="137"/>
  <c r="BG80" i="137"/>
  <c r="BG68" i="137"/>
  <c r="BG56" i="137"/>
  <c r="BG75" i="137"/>
  <c r="BG63" i="137"/>
  <c r="BG51" i="137"/>
  <c r="BG39" i="137"/>
  <c r="BG82" i="137"/>
  <c r="BG77" i="137"/>
  <c r="BG65" i="137"/>
  <c r="BG53" i="137"/>
  <c r="BG41" i="137"/>
  <c r="BG29" i="137"/>
  <c r="BG72" i="137"/>
  <c r="BG60" i="137"/>
  <c r="BG48" i="137"/>
  <c r="BG36" i="137"/>
  <c r="BG24" i="137"/>
  <c r="BG79" i="137"/>
  <c r="BG67" i="137"/>
  <c r="BG55" i="137"/>
  <c r="BG43" i="137"/>
  <c r="BG74" i="137"/>
  <c r="BG62" i="137"/>
  <c r="BG50" i="137"/>
  <c r="BG38" i="137"/>
  <c r="BG81" i="137"/>
  <c r="BG69" i="137"/>
  <c r="BG57" i="137"/>
  <c r="BG76" i="137"/>
  <c r="BG64" i="137"/>
  <c r="BG52" i="137"/>
  <c r="BG71" i="137"/>
  <c r="BG59" i="137"/>
  <c r="BG47" i="137"/>
  <c r="BG35" i="137"/>
  <c r="BG23" i="137"/>
  <c r="BK80" i="137"/>
  <c r="BK68" i="137"/>
  <c r="BK56" i="137"/>
  <c r="BK75" i="137"/>
  <c r="BK63" i="137"/>
  <c r="BK82" i="137"/>
  <c r="BK70" i="137"/>
  <c r="BK58" i="137"/>
  <c r="BK46" i="137"/>
  <c r="BK34" i="137"/>
  <c r="BK72" i="137"/>
  <c r="BK60" i="137"/>
  <c r="BK48" i="137"/>
  <c r="BK36" i="137"/>
  <c r="BK79" i="137"/>
  <c r="BK67" i="137"/>
  <c r="BK55" i="137"/>
  <c r="BK43" i="137"/>
  <c r="BK31" i="137"/>
  <c r="BK19" i="137"/>
  <c r="BK74" i="137"/>
  <c r="BK62" i="137"/>
  <c r="BK50" i="137"/>
  <c r="BK81" i="137"/>
  <c r="BK69" i="137"/>
  <c r="BK57" i="137"/>
  <c r="BK45" i="137"/>
  <c r="BK33" i="137"/>
  <c r="BK76" i="137"/>
  <c r="BK64" i="137"/>
  <c r="BK71" i="137"/>
  <c r="BK59" i="137"/>
  <c r="BK47" i="137"/>
  <c r="BK78" i="137"/>
  <c r="BK66" i="137"/>
  <c r="BK54" i="137"/>
  <c r="BK42" i="137"/>
  <c r="BK30" i="137"/>
  <c r="AI38" i="137"/>
  <c r="AI48" i="137"/>
  <c r="O73" i="137"/>
  <c r="AJ4" i="137"/>
  <c r="AM38" i="137"/>
  <c r="BG54" i="137"/>
  <c r="AH6" i="137"/>
  <c r="AI6" i="137" s="1"/>
  <c r="AI8" i="137"/>
  <c r="AQ10" i="137"/>
  <c r="AB4" i="137"/>
  <c r="AZ4" i="137"/>
  <c r="Q6" i="137"/>
  <c r="AC6" i="137"/>
  <c r="AO6" i="137"/>
  <c r="BA6" i="137"/>
  <c r="BM6" i="137"/>
  <c r="O7" i="137"/>
  <c r="BK7" i="137"/>
  <c r="AQ8" i="137"/>
  <c r="W9" i="137"/>
  <c r="BS9" i="137"/>
  <c r="AY10" i="137"/>
  <c r="AE11" i="137"/>
  <c r="BG12" i="137"/>
  <c r="AM13" i="137"/>
  <c r="S14" i="137"/>
  <c r="BO14" i="137"/>
  <c r="AU15" i="137"/>
  <c r="AA16" i="137"/>
  <c r="BW16" i="137"/>
  <c r="BC17" i="137"/>
  <c r="AI18" i="137"/>
  <c r="O19" i="137"/>
  <c r="BO19" i="137"/>
  <c r="AY20" i="137"/>
  <c r="AI21" i="137"/>
  <c r="S22" i="137"/>
  <c r="BS22" i="137"/>
  <c r="BC23" i="137"/>
  <c r="AQ24" i="137"/>
  <c r="AE25" i="137"/>
  <c r="W26" i="137"/>
  <c r="O27" i="137"/>
  <c r="BS28" i="137"/>
  <c r="BS29" i="137"/>
  <c r="AA32" i="137"/>
  <c r="AQ33" i="137"/>
  <c r="BG34" i="137"/>
  <c r="BK35" i="137"/>
  <c r="BW36" i="137"/>
  <c r="S39" i="137"/>
  <c r="AI40" i="137"/>
  <c r="AM41" i="137"/>
  <c r="BC42" i="137"/>
  <c r="AM45" i="137"/>
  <c r="BO46" i="137"/>
  <c r="S48" i="137"/>
  <c r="BG49" i="137"/>
  <c r="S51" i="137"/>
  <c r="AY52" i="137"/>
  <c r="W54" i="137"/>
  <c r="AM59" i="137"/>
  <c r="AQ62" i="137"/>
  <c r="BK65" i="137"/>
  <c r="AI72" i="137"/>
  <c r="BC75" i="137"/>
  <c r="AA82" i="137"/>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F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<sst xmlns="http://schemas.openxmlformats.org/spreadsheetml/2006/main" count="1456" uniqueCount="794">
  <si>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</si>
  <si>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</si>
  <si>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</si>
  <si>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</si>
  <si>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</si>
  <si>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</si>
  <si>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</si>
  <si>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</si>
  <si>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</si>
  <si>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</si>
  <si>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</si>
  <si>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</si>
  <si>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</si>
  <si>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</si>
  <si>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</si>
  <si>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</si>
  <si>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</si>
  <si>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</si>
  <si>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</si>
  <si>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</si>
  <si>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</si>
  <si>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</si>
  <si>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</si>
  <si>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</si>
  <si>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</si>
  <si>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</si>
  <si>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</si>
  <si>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</si>
  <si>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</si>
  <si>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</si>
  <si>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</si>
  <si>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</si>
  <si>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</si>
  <si>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</si>
  <si>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</si>
  <si>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</si>
  <si>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</si>
  <si>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</si>
  <si>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</si>
  <si>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</si>
  <si>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</si>
  <si>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</si>
  <si>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</si>
  <si>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</si>
  <si>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</si>
  <si>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</si>
  <si>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</si>
  <si>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</si>
  <si>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</si>
  <si>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</si>
  <si>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</si>
  <si>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</si>
  <si>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</si>
  <si>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</si>
  <si>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</si>
  <si>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</si>
  <si>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</si>
  <si>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</si>
  <si>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</si>
  <si>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</si>
  <si>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</si>
  <si>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</si>
  <si>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</si>
  <si>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</si>
  <si>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</si>
  <si>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</si>
  <si>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</si>
  <si>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</si>
  <si>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</si>
  <si>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</si>
  <si>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</si>
  <si>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</si>
  <si>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</si>
  <si>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</si>
  <si>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</si>
  <si>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</si>
  <si>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</si>
  <si>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</si>
  <si>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</si>
  <si>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</si>
  <si>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</si>
  <si>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</si>
  <si>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</si>
  <si>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</si>
  <si>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</si>
  <si>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</si>
  <si>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</si>
  <si>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</si>
  <si>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</si>
  <si>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</si>
  <si>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</si>
  <si>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</si>
  <si>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</si>
  <si>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</si>
  <si>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</si>
  <si>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</si>
  <si>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</si>
  <si>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</si>
  <si>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</si>
  <si>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</si>
  <si>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</si>
  <si>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</si>
  <si>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</si>
  <si>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</si>
  <si>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</si>
  <si>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</si>
  <si>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</si>
  <si>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</si>
  <si>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</si>
  <si>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</si>
  <si>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</si>
  <si>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</si>
  <si>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</si>
  <si>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</si>
  <si>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</si>
  <si>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</si>
  <si>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</si>
  <si>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</si>
  <si>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</si>
  <si>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</si>
  <si>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</si>
  <si>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</si>
  <si>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</si>
  <si>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</si>
  <si>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</si>
  <si>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</si>
  <si>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</si>
  <si>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</si>
  <si>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</si>
  <si>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</si>
  <si>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</si>
  <si>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</si>
  <si>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</si>
  <si>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</si>
  <si>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</si>
  <si>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</si>
  <si>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</si>
  <si>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</si>
  <si>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</si>
  <si>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</si>
  <si>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</si>
  <si>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</si>
  <si>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</si>
  <si>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</si>
  <si>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</si>
  <si>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</si>
  <si>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</si>
  <si>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</si>
  <si>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</si>
  <si>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</si>
  <si>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</si>
  <si>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</si>
  <si>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</si>
  <si>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</si>
  <si>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</si>
  <si>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</si>
  <si>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</si>
  <si>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</si>
  <si>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</si>
  <si>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</si>
  <si>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</si>
  <si>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</si>
  <si>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</si>
  <si>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</si>
  <si>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</si>
  <si>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</si>
  <si>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</si>
  <si>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</si>
  <si>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</si>
  <si>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</si>
  <si>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</si>
  <si>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</si>
  <si>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</si>
  <si>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</si>
  <si>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</si>
  <si>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</si>
  <si>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</si>
  <si>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</si>
  <si>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</si>
  <si>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</si>
  <si>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</si>
  <si>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</si>
  <si>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</si>
  <si>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</si>
  <si>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</si>
  <si>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</si>
  <si>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</si>
  <si>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</si>
  <si>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</si>
  <si>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</si>
  <si>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</si>
  <si>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</si>
  <si>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</si>
  <si>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</si>
  <si>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</si>
  <si>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</si>
  <si>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</si>
  <si>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</si>
  <si>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</si>
  <si>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</si>
  <si>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</si>
  <si>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</si>
  <si>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</si>
  <si>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</si>
  <si>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</si>
  <si>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</si>
  <si>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</si>
  <si>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</si>
  <si>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</si>
  <si>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</si>
  <si>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</si>
  <si>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</si>
  <si>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</si>
  <si>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</si>
  <si>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</si>
  <si>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</si>
  <si>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</si>
  <si>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</si>
  <si>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</si>
  <si>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</si>
  <si>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</si>
  <si>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</si>
  <si>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</si>
  <si>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</si>
  <si>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</si>
  <si>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</si>
  <si>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</si>
  <si>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</si>
  <si>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</si>
  <si>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</si>
  <si>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</si>
  <si>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</si>
  <si>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</si>
  <si>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</si>
  <si>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</si>
  <si>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</si>
  <si>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</si>
  <si>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</si>
  <si>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</si>
  <si>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</si>
  <si>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</si>
  <si>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</si>
  <si>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</si>
  <si>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</si>
  <si>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</si>
  <si>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</si>
  <si>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</si>
  <si>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</si>
  <si>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</si>
  <si>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</si>
  <si>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</si>
  <si>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</si>
  <si>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</si>
  <si>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</si>
  <si>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</si>
  <si>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</si>
  <si>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</si>
  <si>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</si>
  <si>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</si>
  <si>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</si>
  <si>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</si>
  <si>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</si>
  <si>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</si>
  <si>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</si>
  <si>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</si>
  <si>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</si>
  <si>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</si>
  <si>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</si>
  <si>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</si>
  <si>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</si>
  <si>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</si>
  <si>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</si>
  <si>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</si>
  <si>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</si>
  <si>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</si>
  <si>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</si>
  <si>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</si>
  <si>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</si>
  <si>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</si>
  <si>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</si>
  <si>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</si>
  <si>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</si>
  <si>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</si>
  <si>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</si>
  <si>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</si>
  <si>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</si>
  <si>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</si>
  <si>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</si>
  <si>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</si>
  <si>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</si>
  <si>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</si>
  <si>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</si>
  <si>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</si>
  <si>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</si>
  <si>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</si>
  <si>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</si>
  <si>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</si>
  <si>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</si>
  <si>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</si>
  <si>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</si>
  <si>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</si>
  <si>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</si>
  <si>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</si>
  <si>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</si>
  <si>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</si>
  <si>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</si>
  <si>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</si>
  <si>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</si>
  <si>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</si>
  <si>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</si>
  <si>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</si>
  <si>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</si>
  <si>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</si>
  <si>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</si>
  <si>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</si>
  <si>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</si>
  <si>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</si>
  <si>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</si>
  <si>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</si>
  <si>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</si>
  <si>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</si>
  <si>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</si>
  <si>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</si>
  <si>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</si>
  <si>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</si>
  <si>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</si>
  <si>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</si>
  <si>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</si>
  <si>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</si>
  <si>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</si>
  <si>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</si>
  <si>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</si>
  <si>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</si>
  <si>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</si>
  <si>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</si>
  <si>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</si>
  <si>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</si>
  <si>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</si>
  <si>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</si>
  <si>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</si>
  <si>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</si>
  <si>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</si>
  <si>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</si>
  <si>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</si>
  <si>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</si>
  <si>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</si>
  <si>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</si>
  <si>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</si>
  <si>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</si>
  <si>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</si>
  <si>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</si>
  <si>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</si>
  <si>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</si>
  <si>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</si>
  <si>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</si>
  <si>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</si>
  <si>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</si>
  <si>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</si>
  <si>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</si>
  <si>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</si>
  <si>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</si>
  <si>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</si>
  <si>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</si>
  <si>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</si>
  <si>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</si>
  <si>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</si>
  <si>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</si>
  <si>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</si>
  <si>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</si>
  <si>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</si>
  <si>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</si>
  <si>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</si>
  <si>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</si>
  <si>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</si>
  <si>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</si>
  <si>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</si>
  <si>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</si>
  <si>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</si>
  <si>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</si>
  <si>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</si>
  <si>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</si>
  <si>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</si>
  <si>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</si>
  <si>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</si>
  <si>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</si>
  <si>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</si>
  <si>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</si>
  <si>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</si>
  <si>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</si>
  <si>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</si>
  <si>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</si>
  <si>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</si>
  <si>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</si>
  <si>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</si>
  <si>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</si>
  <si>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</si>
  <si>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</si>
  <si>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</si>
  <si>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</si>
  <si>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</si>
  <si>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</si>
  <si>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</si>
  <si>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</si>
  <si>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</si>
  <si>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</si>
  <si>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</si>
  <si>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</si>
  <si>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</si>
  <si>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</si>
  <si>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</si>
  <si>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</si>
  <si>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</si>
  <si>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</si>
  <si>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</si>
  <si>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</si>
  <si>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</si>
  <si>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</si>
  <si>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</si>
  <si>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</si>
  <si>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</si>
  <si>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</si>
  <si>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</si>
  <si>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</si>
  <si>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</si>
  <si>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</si>
  <si>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</si>
  <si>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</si>
  <si>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</si>
  <si>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</si>
  <si>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</si>
  <si>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</si>
  <si>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</si>
  <si>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</si>
  <si>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</si>
  <si>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</si>
  <si>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</si>
  <si>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</si>
  <si>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</si>
  <si>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</si>
  <si>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</si>
  <si>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</si>
  <si>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</si>
  <si>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</si>
  <si>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</si>
  <si>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</si>
  <si>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</si>
  <si>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</si>
  <si>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</si>
  <si>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</si>
  <si>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</si>
  <si>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</si>
  <si>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</si>
  <si>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</si>
  <si>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</si>
  <si>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</si>
  <si>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</si>
  <si>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</si>
  <si>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</si>
  <si>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</si>
  <si>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</si>
  <si>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</si>
  <si>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</si>
  <si>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</si>
  <si>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</si>
  <si>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</si>
  <si>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</si>
  <si>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</si>
  <si>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</si>
  <si>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</si>
  <si>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</si>
  <si>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</si>
  <si>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</si>
  <si>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</si>
  <si>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</si>
  <si>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</si>
  <si>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</si>
  <si>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</si>
  <si>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</si>
  <si>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</si>
  <si>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</si>
  <si>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</si>
  <si>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</si>
  <si>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</si>
  <si>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</si>
  <si>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</si>
  <si>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</si>
  <si>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</si>
  <si>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</si>
  <si>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</si>
  <si>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</si>
  <si>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</si>
  <si>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</si>
  <si>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</si>
  <si>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</si>
  <si>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</si>
  <si>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</si>
  <si>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</si>
  <si>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</si>
  <si>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</si>
  <si>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</si>
  <si>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</si>
  <si>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</si>
  <si>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</si>
  <si>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</si>
  <si>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</si>
  <si>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</si>
  <si>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</si>
  <si>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</si>
  <si>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</si>
  <si>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</si>
  <si>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</si>
  <si>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</si>
  <si>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</si>
  <si>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</si>
  <si>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</si>
  <si>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</si>
  <si>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</si>
  <si>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</si>
  <si>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</si>
  <si>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</si>
  <si>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</si>
  <si>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</si>
  <si>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</si>
  <si>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</si>
  <si>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</si>
  <si>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</si>
  <si>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</si>
  <si>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</si>
  <si>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</si>
  <si>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</si>
  <si>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</si>
  <si>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</si>
  <si>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</si>
  <si>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</si>
  <si>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</si>
  <si>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</si>
  <si>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</si>
  <si>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</si>
  <si>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</si>
  <si>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</si>
  <si>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</si>
  <si>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</si>
  <si>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</si>
  <si>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</si>
  <si>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</si>
  <si>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</si>
  <si>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</si>
  <si>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</si>
  <si>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</si>
  <si>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</si>
  <si>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</si>
  <si>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</si>
  <si>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</si>
  <si>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</si>
  <si>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</si>
  <si>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</si>
  <si>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</si>
  <si>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</si>
  <si>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</si>
  <si>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</si>
  <si>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</si>
  <si>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</si>
  <si>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</si>
  <si>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</si>
  <si>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</si>
  <si>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</si>
  <si>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</si>
  <si>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</si>
  <si>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</si>
  <si>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</si>
  <si>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</si>
  <si>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</si>
  <si>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</si>
  <si>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</si>
  <si>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</si>
  <si>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</si>
  <si>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</si>
  <si>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</si>
  <si>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</si>
  <si>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</si>
  <si>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</si>
  <si>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</si>
  <si>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</si>
  <si>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</si>
  <si>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</si>
  <si>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</si>
  <si>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</si>
  <si>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</si>
  <si>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</si>
  <si>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</si>
  <si>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</si>
  <si>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</si>
  <si>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</si>
  <si>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</si>
  <si>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</si>
  <si>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</si>
  <si>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</si>
  <si>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</si>
  <si>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</si>
  <si>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</si>
  <si>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</si>
  <si>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</si>
  <si>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</si>
  <si>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</si>
  <si>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</si>
  <si>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</si>
  <si>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</si>
  <si>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</si>
  <si>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</si>
  <si>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</si>
  <si>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</si>
  <si>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</si>
  <si>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</si>
  <si>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</si>
  <si>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</si>
  <si>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</si>
  <si>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</si>
  <si>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</si>
  <si>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</si>
  <si>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</si>
  <si>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</si>
  <si>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</si>
  <si>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</si>
  <si>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</si>
  <si>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</si>
  <si>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</si>
  <si>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</si>
  <si>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</si>
  <si>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</si>
  <si>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</si>
  <si>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</si>
  <si>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</si>
  <si>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</si>
  <si>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</si>
  <si>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</si>
  <si>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</si>
  <si>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</si>
  <si>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</si>
  <si>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</si>
  <si>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</si>
  <si>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</si>
  <si>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</si>
  <si>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</si>
  <si>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</si>
  <si>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</si>
  <si>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</si>
  <si>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</si>
  <si>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</si>
  <si>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</si>
  <si>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</si>
  <si>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</si>
  <si>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</si>
  <si>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</si>
  <si>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</si>
  <si>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</si>
  <si>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</si>
  <si>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</si>
  <si>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</si>
  <si>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</si>
  <si>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</si>
  <si>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</si>
  <si>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</si>
  <si>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</si>
  <si>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</si>
  <si>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</si>
  <si>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</si>
  <si>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</si>
  <si>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</si>
  <si>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</si>
  <si>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</si>
  <si>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</si>
  <si>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</si>
  <si>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</si>
  <si>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</si>
  <si>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</si>
  <si>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</si>
  <si>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</si>
  <si>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</si>
  <si>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</si>
  <si>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</si>
  <si>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</si>
  <si>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</si>
  <si>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</si>
  <si>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</si>
  <si>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</si>
  <si>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</si>
  <si>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</si>
  <si>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</si>
  <si>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</si>
  <si>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</si>
  <si>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</si>
  <si>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</si>
  <si>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</si>
  <si>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</si>
  <si>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</si>
  <si>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</si>
  <si>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</si>
  <si>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여수</t>
    <phoneticPr fontId="1" type="noConversion"/>
  </si>
  <si>
    <t>CHEVRON</t>
  </si>
  <si>
    <t>23C766088-01</t>
  </si>
  <si>
    <t>ARDMORE ENCOUNTER</t>
  </si>
  <si>
    <t>Unleaded Gasoline 98 Ron</t>
  </si>
  <si>
    <t>Anchor Down</t>
  </si>
  <si>
    <t>Anchor Up</t>
  </si>
  <si>
    <t>Berthed, Allfast</t>
  </si>
  <si>
    <t>Commence Preliminary Inspection</t>
  </si>
  <si>
    <t>Commence Loading</t>
  </si>
  <si>
    <t>Commence Ballasting</t>
  </si>
  <si>
    <t>Commence Final Inspection</t>
  </si>
  <si>
    <t>Load Unleaded Gasoline 92 - 230000 Barrels</t>
  </si>
  <si>
    <t>Load Unleaded Gasoline 98 Ron - 70000 Barrels</t>
  </si>
  <si>
    <t>*</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</si>
  <si>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</si>
  <si>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</si>
  <si>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</si>
  <si>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</si>
  <si>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</si>
  <si>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</si>
  <si>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</si>
  <si>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</si>
  <si>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</si>
  <si>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</si>
  <si>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</si>
  <si>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</si>
  <si>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</si>
  <si>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</si>
  <si>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</si>
  <si>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</si>
  <si>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</si>
  <si>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</si>
  <si>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</si>
  <si>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</si>
  <si>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</si>
  <si>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</si>
  <si>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</si>
  <si>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</si>
  <si>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</si>
  <si>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</si>
  <si>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</si>
  <si>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Sulfur Content</t>
  </si>
  <si>
    <t>Particulate Contamination - Lab Procedure (Filtration and Gravimetric Determination)</t>
  </si>
  <si>
    <t>Phosphorus in Gasoline</t>
  </si>
  <si>
    <t>Silver Strip Corrosion 3Hr@ 50C</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</si>
  <si>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</si>
  <si>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</si>
  <si>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</si>
  <si>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</si>
  <si>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</si>
  <si>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</si>
  <si>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</si>
  <si>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</si>
  <si>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</si>
  <si>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</si>
  <si>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</si>
  <si>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</si>
  <si>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</si>
  <si>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70 (buy)</t>
  </si>
  <si>
    <t>min = 77 / max = 121 (buy)</t>
  </si>
  <si>
    <t>max = 190 (buy)</t>
  </si>
  <si>
    <t>max = 210 (buy)</t>
  </si>
  <si>
    <t>max = 2.0 (buy)</t>
  </si>
  <si>
    <t>max = 0 (buy)</t>
  </si>
  <si>
    <t>max = 98 (buy)</t>
  </si>
  <si>
    <t>max = 30 (buy)</t>
  </si>
  <si>
    <t>max = 5.0 (buy)</t>
  </si>
  <si>
    <t>min = 360 (buy)</t>
  </si>
  <si>
    <t>min = 85.0 (buy)</t>
  </si>
  <si>
    <t>min = 98.0 (buy)</t>
  </si>
  <si>
    <t>max = 18.0 (buy)</t>
  </si>
  <si>
    <t>max = 2.7 (buy)</t>
  </si>
  <si>
    <t>max = 0.5 (buy)</t>
  </si>
  <si>
    <t>max = 50 (buy)</t>
  </si>
  <si>
    <t>max = 1.3 (buy)</t>
  </si>
  <si>
    <t>max = 15 (buy)</t>
  </si>
  <si>
    <t>max = 62 (buy)</t>
  </si>
  <si>
    <t>max = 3.0 (buy)</t>
  </si>
  <si>
    <t>max = 24.0 (buy)</t>
  </si>
  <si>
    <t>max = 6 (buy)</t>
  </si>
  <si>
    <t>min = 17 / max = 42 (buy)</t>
  </si>
  <si>
    <t>pass/fail</t>
  </si>
  <si>
    <t>visual</t>
  </si>
  <si>
    <t>%vol</t>
  </si>
  <si>
    <t>rating</t>
  </si>
  <si>
    <t>kg/l</t>
  </si>
  <si>
    <t>°C</t>
  </si>
  <si>
    <t>calc</t>
  </si>
  <si>
    <t>mg/100ml</t>
  </si>
  <si>
    <t>mins</t>
  </si>
  <si>
    <t>mg/l</t>
  </si>
  <si>
    <t>%m</t>
  </si>
  <si>
    <t>mg/kg</t>
  </si>
  <si>
    <t>mg P/l</t>
  </si>
  <si>
    <t>pos/neg</t>
  </si>
  <si>
    <t>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</si>
</sst>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3"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2"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876299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G27" sqref="G27"/>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697</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Yes</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698</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699</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700</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45239</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45055</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45331</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1</v>
      </c>
      <c r="C48" s="211">
        <f t="shared" ref="C48:C49" si="0">IF(LEFT(B48,1)="T",1,2)</f>
        <v>1</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t="s">
        <v>458</v>
      </c>
      <c r="D5" s="57"/>
      <c r="E5" s="94"/>
      <c r="F5" s="59"/>
      <c r="G5" s="60"/>
      <c r="H5" s="203" t="str">
        <f t="shared" ref="H5:H36" si="0">IF(OR(B5="*",C5=""),"",IF(OR(E5="",F5=""),"-",""))</f>
        <v>-</v>
      </c>
      <c r="I5" s="4"/>
      <c r="J5" s="82">
        <v>1</v>
      </c>
      <c r="K5" s="73"/>
      <c r="L5" s="94"/>
      <c r="M5" s="59"/>
      <c r="N5" s="94"/>
      <c r="O5" s="59"/>
      <c r="P5" s="4"/>
      <c r="AA5" s="101">
        <f t="shared" ref="AA5:AA36" si="1">IF(B5="",0,1)</f>
        <v>0</v>
      </c>
    </row>
    <row r="6" spans="1:36" ht="13.9" customHeight="1">
      <c r="A6" s="80">
        <v>2</v>
      </c>
      <c r="B6" s="122" t="s">
        <v>711</v>
      </c>
      <c r="C6" s="123" t="s">
        <v>526</v>
      </c>
      <c r="D6" s="57"/>
      <c r="E6" s="94"/>
      <c r="F6" s="59"/>
      <c r="G6" s="60"/>
      <c r="H6" s="203" t="str">
        <f t="shared" si="0"/>
        <v/>
      </c>
      <c r="I6" s="4"/>
      <c r="J6" s="82">
        <v>2</v>
      </c>
      <c r="K6" s="73"/>
      <c r="L6" s="94"/>
      <c r="M6" s="59"/>
      <c r="N6" s="94"/>
      <c r="O6" s="59"/>
      <c r="P6" s="4"/>
      <c r="AA6" s="101">
        <f t="shared" si="1"/>
        <v>1</v>
      </c>
    </row>
    <row r="7" spans="1:36" ht="13.9" customHeight="1">
      <c r="A7" s="80">
        <v>3</v>
      </c>
      <c r="B7" s="122"/>
      <c r="C7" s="123" t="s">
        <v>702</v>
      </c>
      <c r="D7" s="57"/>
      <c r="E7" s="94"/>
      <c r="F7" s="59"/>
      <c r="G7" s="60"/>
      <c r="H7" s="203" t="str">
        <f t="shared" si="0"/>
        <v>-</v>
      </c>
      <c r="I7" s="4"/>
      <c r="J7" s="82">
        <v>3</v>
      </c>
      <c r="K7" s="73"/>
      <c r="L7" s="94"/>
      <c r="M7" s="59"/>
      <c r="N7" s="94"/>
      <c r="O7" s="59"/>
      <c r="P7" s="4"/>
      <c r="AA7" s="101">
        <f t="shared" si="1"/>
        <v>0</v>
      </c>
    </row>
    <row r="8" spans="1:36" ht="13.9" customHeight="1">
      <c r="A8" s="80">
        <v>4</v>
      </c>
      <c r="B8" s="122"/>
      <c r="C8" s="123" t="s">
        <v>530</v>
      </c>
      <c r="D8" s="57"/>
      <c r="E8" s="94"/>
      <c r="F8" s="59"/>
      <c r="G8" s="60"/>
      <c r="H8" s="203" t="str">
        <f t="shared" si="0"/>
        <v>-</v>
      </c>
      <c r="I8" s="4"/>
      <c r="J8" s="82">
        <v>4</v>
      </c>
      <c r="K8" s="73"/>
      <c r="L8" s="94"/>
      <c r="M8" s="59"/>
      <c r="N8" s="94"/>
      <c r="O8" s="59"/>
      <c r="P8" s="4"/>
      <c r="AA8" s="101">
        <f t="shared" si="1"/>
        <v>0</v>
      </c>
    </row>
    <row r="9" spans="1:36" ht="13.9" customHeight="1">
      <c r="A9" s="80">
        <v>5</v>
      </c>
      <c r="B9" s="122"/>
      <c r="C9" s="123" t="s">
        <v>703</v>
      </c>
      <c r="D9" s="57"/>
      <c r="E9" s="94"/>
      <c r="F9" s="59"/>
      <c r="G9" s="60"/>
      <c r="H9" s="203" t="str">
        <f t="shared" si="0"/>
        <v>-</v>
      </c>
      <c r="I9" s="4"/>
      <c r="J9" s="82">
        <v>5</v>
      </c>
      <c r="K9" s="73"/>
      <c r="L9" s="94"/>
      <c r="M9" s="59"/>
      <c r="N9" s="94"/>
      <c r="O9" s="59"/>
      <c r="P9" s="4"/>
      <c r="AA9" s="101">
        <f t="shared" si="1"/>
        <v>0</v>
      </c>
    </row>
    <row r="10" spans="1:36" ht="13.9" customHeight="1">
      <c r="A10" s="80">
        <v>6</v>
      </c>
      <c r="B10" s="122"/>
      <c r="C10" s="123" t="s">
        <v>497</v>
      </c>
      <c r="D10" s="57"/>
      <c r="E10" s="94"/>
      <c r="F10" s="59"/>
      <c r="G10" s="60"/>
      <c r="H10" s="203" t="str">
        <f t="shared" si="0"/>
        <v>-</v>
      </c>
      <c r="I10" s="4"/>
      <c r="J10" s="82">
        <v>6</v>
      </c>
      <c r="K10" s="73"/>
      <c r="L10" s="94"/>
      <c r="M10" s="59"/>
      <c r="N10" s="94"/>
      <c r="O10" s="59"/>
      <c r="P10" s="4"/>
      <c r="AA10" s="101">
        <f t="shared" si="1"/>
        <v>0</v>
      </c>
    </row>
    <row r="11" spans="1:36" ht="13.9" customHeight="1">
      <c r="A11" s="80">
        <v>7</v>
      </c>
      <c r="B11" s="122" t="s">
        <v>711</v>
      </c>
      <c r="C11" s="123" t="s">
        <v>704</v>
      </c>
      <c r="D11" s="57"/>
      <c r="E11" s="94"/>
      <c r="F11" s="59"/>
      <c r="G11" s="60"/>
      <c r="H11" s="203" t="str">
        <f t="shared" si="0"/>
        <v/>
      </c>
      <c r="I11" s="4"/>
      <c r="J11" s="82">
        <v>7</v>
      </c>
      <c r="K11" s="73"/>
      <c r="L11" s="94"/>
      <c r="M11" s="59"/>
      <c r="N11" s="94"/>
      <c r="O11" s="59"/>
      <c r="P11" s="4"/>
      <c r="AA11" s="101">
        <f t="shared" si="1"/>
        <v>1</v>
      </c>
    </row>
    <row r="12" spans="1:36" ht="13.9" customHeight="1">
      <c r="A12" s="80">
        <v>8</v>
      </c>
      <c r="B12" s="122"/>
      <c r="C12" s="123" t="s">
        <v>500</v>
      </c>
      <c r="D12" s="57"/>
      <c r="E12" s="94"/>
      <c r="F12" s="59"/>
      <c r="G12" s="60"/>
      <c r="H12" s="203" t="str">
        <f t="shared" si="0"/>
        <v>-</v>
      </c>
      <c r="I12" s="4"/>
      <c r="J12" s="82">
        <v>8</v>
      </c>
      <c r="K12" s="73"/>
      <c r="L12" s="94"/>
      <c r="M12" s="59"/>
      <c r="N12" s="94"/>
      <c r="O12" s="59"/>
      <c r="P12" s="4"/>
      <c r="AA12" s="101">
        <f t="shared" si="1"/>
        <v>0</v>
      </c>
    </row>
    <row r="13" spans="1:36" ht="13.9" customHeight="1">
      <c r="A13" s="80">
        <v>9</v>
      </c>
      <c r="B13" s="122"/>
      <c r="C13" s="123" t="s">
        <v>511</v>
      </c>
      <c r="D13" s="57"/>
      <c r="E13" s="94"/>
      <c r="F13" s="59"/>
      <c r="G13" s="60"/>
      <c r="H13" s="203" t="str">
        <f t="shared" si="0"/>
        <v>-</v>
      </c>
      <c r="I13" s="4"/>
      <c r="J13" s="82">
        <v>9</v>
      </c>
      <c r="K13" s="73"/>
      <c r="L13" s="94"/>
      <c r="M13" s="59"/>
      <c r="N13" s="94"/>
      <c r="O13" s="59"/>
      <c r="P13" s="4"/>
      <c r="AA13" s="101">
        <f t="shared" si="1"/>
        <v>0</v>
      </c>
    </row>
    <row r="14" spans="1:36" ht="13.9" customHeight="1">
      <c r="A14" s="80">
        <v>10</v>
      </c>
      <c r="B14" s="122"/>
      <c r="C14" s="123" t="s">
        <v>705</v>
      </c>
      <c r="D14" s="57"/>
      <c r="E14" s="94"/>
      <c r="F14" s="59"/>
      <c r="G14" s="60"/>
      <c r="H14" s="203" t="str">
        <f t="shared" si="0"/>
        <v>-</v>
      </c>
      <c r="I14" s="4"/>
      <c r="J14" s="82">
        <v>10</v>
      </c>
      <c r="K14" s="73"/>
      <c r="L14" s="94"/>
      <c r="M14" s="59"/>
      <c r="N14" s="94"/>
      <c r="O14" s="59"/>
      <c r="P14" s="4"/>
      <c r="AA14" s="101">
        <f t="shared" si="1"/>
        <v>0</v>
      </c>
    </row>
    <row r="15" spans="1:36" ht="13.9" customHeight="1">
      <c r="A15" s="80">
        <v>11</v>
      </c>
      <c r="B15" s="122"/>
      <c r="C15" s="123" t="s">
        <v>481</v>
      </c>
      <c r="D15" s="57"/>
      <c r="E15" s="94"/>
      <c r="F15" s="59"/>
      <c r="G15" s="60"/>
      <c r="H15" s="203" t="str">
        <f t="shared" si="0"/>
        <v>-</v>
      </c>
      <c r="I15" s="4"/>
      <c r="J15" s="82">
        <v>11</v>
      </c>
      <c r="K15" s="73"/>
      <c r="L15" s="94"/>
      <c r="M15" s="59"/>
      <c r="N15" s="94"/>
      <c r="O15" s="59"/>
      <c r="P15" s="4"/>
      <c r="AA15" s="101">
        <f t="shared" si="1"/>
        <v>0</v>
      </c>
    </row>
    <row r="16" spans="1:36" ht="13.9" customHeight="1">
      <c r="A16" s="80">
        <v>12</v>
      </c>
      <c r="B16" s="122" t="s">
        <v>711</v>
      </c>
      <c r="C16" s="123" t="s">
        <v>503</v>
      </c>
      <c r="D16" s="57"/>
      <c r="E16" s="94"/>
      <c r="F16" s="59"/>
      <c r="G16" s="60"/>
      <c r="H16" s="203" t="str">
        <f t="shared" si="0"/>
        <v/>
      </c>
      <c r="I16" s="4"/>
      <c r="J16" s="82">
        <v>12</v>
      </c>
      <c r="K16" s="73"/>
      <c r="L16" s="94"/>
      <c r="M16" s="59"/>
      <c r="N16" s="94"/>
      <c r="O16" s="59"/>
      <c r="P16" s="4"/>
      <c r="AA16" s="101">
        <f t="shared" si="1"/>
        <v>1</v>
      </c>
    </row>
    <row r="17" spans="1:27" ht="13.9" customHeight="1">
      <c r="A17" s="80">
        <v>13</v>
      </c>
      <c r="B17" s="122" t="s">
        <v>711</v>
      </c>
      <c r="C17" s="123" t="s">
        <v>706</v>
      </c>
      <c r="D17" s="57" t="s">
        <v>709</v>
      </c>
      <c r="E17" s="94"/>
      <c r="F17" s="59"/>
      <c r="G17" s="60"/>
      <c r="H17" s="203" t="str">
        <f t="shared" si="0"/>
        <v/>
      </c>
      <c r="I17" s="4"/>
      <c r="J17" s="82">
        <v>13</v>
      </c>
      <c r="K17" s="73"/>
      <c r="L17" s="94"/>
      <c r="M17" s="59"/>
      <c r="N17" s="94"/>
      <c r="O17" s="59"/>
      <c r="P17" s="4"/>
      <c r="AA17" s="101">
        <f t="shared" si="1"/>
        <v>1</v>
      </c>
    </row>
    <row r="18" spans="1:27" ht="13.9" customHeight="1">
      <c r="A18" s="80">
        <v>14</v>
      </c>
      <c r="B18" s="122" t="s">
        <v>711</v>
      </c>
      <c r="C18" s="123" t="s">
        <v>706</v>
      </c>
      <c r="D18" s="57" t="s">
        <v>710</v>
      </c>
      <c r="E18" s="94"/>
      <c r="F18" s="59"/>
      <c r="G18" s="60"/>
      <c r="H18" s="203" t="str">
        <f t="shared" si="0"/>
        <v/>
      </c>
      <c r="I18" s="4"/>
      <c r="J18" s="82">
        <v>14</v>
      </c>
      <c r="K18" s="73"/>
      <c r="L18" s="94"/>
      <c r="M18" s="59"/>
      <c r="N18" s="94"/>
      <c r="O18" s="59"/>
      <c r="P18" s="4"/>
      <c r="AA18" s="101">
        <f t="shared" si="1"/>
        <v>1</v>
      </c>
    </row>
    <row r="19" spans="1:27" ht="13.9" customHeight="1">
      <c r="A19" s="80">
        <v>15</v>
      </c>
      <c r="B19" s="122"/>
      <c r="C19" s="123" t="s">
        <v>707</v>
      </c>
      <c r="D19" s="57"/>
      <c r="E19" s="94"/>
      <c r="F19" s="59"/>
      <c r="G19" s="60"/>
      <c r="H19" s="203" t="str">
        <f t="shared" si="0"/>
        <v>-</v>
      </c>
      <c r="I19" s="4"/>
      <c r="J19" s="82">
        <v>15</v>
      </c>
      <c r="K19" s="73"/>
      <c r="L19" s="94"/>
      <c r="M19" s="59"/>
      <c r="N19" s="94"/>
      <c r="O19" s="59"/>
      <c r="P19" s="4"/>
      <c r="AA19" s="101">
        <f t="shared" si="1"/>
        <v>0</v>
      </c>
    </row>
    <row r="20" spans="1:27" ht="13.9" customHeight="1">
      <c r="A20" s="80">
        <v>16</v>
      </c>
      <c r="B20" s="122"/>
      <c r="C20" s="123" t="s">
        <v>468</v>
      </c>
      <c r="D20" s="57"/>
      <c r="E20" s="94"/>
      <c r="F20" s="59"/>
      <c r="G20" s="60"/>
      <c r="H20" s="203" t="str">
        <f t="shared" si="0"/>
        <v>-</v>
      </c>
      <c r="I20" s="4"/>
      <c r="J20" s="82">
        <v>16</v>
      </c>
      <c r="K20" s="73"/>
      <c r="L20" s="94"/>
      <c r="M20" s="59"/>
      <c r="N20" s="94"/>
      <c r="O20" s="59"/>
      <c r="P20" s="4"/>
      <c r="AA20" s="101">
        <f t="shared" si="1"/>
        <v>0</v>
      </c>
    </row>
    <row r="21" spans="1:27" ht="13.9" customHeight="1">
      <c r="A21" s="80">
        <v>17</v>
      </c>
      <c r="B21" s="122" t="s">
        <v>711</v>
      </c>
      <c r="C21" s="123" t="s">
        <v>480</v>
      </c>
      <c r="D21" s="57" t="s">
        <v>710</v>
      </c>
      <c r="E21" s="94"/>
      <c r="F21" s="59"/>
      <c r="G21" s="60"/>
      <c r="H21" s="203" t="str">
        <f t="shared" si="0"/>
        <v/>
      </c>
      <c r="I21" s="4"/>
      <c r="J21" s="82">
        <v>17</v>
      </c>
      <c r="K21" s="73"/>
      <c r="L21" s="94"/>
      <c r="M21" s="59"/>
      <c r="N21" s="94"/>
      <c r="O21" s="59"/>
      <c r="P21" s="4"/>
      <c r="AA21" s="101">
        <f t="shared" si="1"/>
        <v>1</v>
      </c>
    </row>
    <row r="22" spans="1:27" ht="13.9" customHeight="1">
      <c r="A22" s="80">
        <v>18</v>
      </c>
      <c r="B22" s="122" t="s">
        <v>711</v>
      </c>
      <c r="C22" s="123" t="s">
        <v>480</v>
      </c>
      <c r="D22" s="58" t="s">
        <v>709</v>
      </c>
      <c r="E22" s="94"/>
      <c r="F22" s="59"/>
      <c r="G22" s="60"/>
      <c r="H22" s="203" t="str">
        <f t="shared" si="0"/>
        <v/>
      </c>
      <c r="I22" s="4"/>
      <c r="J22" s="82">
        <v>18</v>
      </c>
      <c r="K22" s="73"/>
      <c r="L22" s="94"/>
      <c r="M22" s="59"/>
      <c r="N22" s="94"/>
      <c r="O22" s="59"/>
      <c r="P22" s="4"/>
      <c r="AA22" s="101">
        <f t="shared" si="1"/>
        <v>1</v>
      </c>
    </row>
    <row r="23" spans="1:27" ht="13.9" customHeight="1">
      <c r="A23" s="80">
        <v>19</v>
      </c>
      <c r="B23" s="122"/>
      <c r="C23" s="123" t="s">
        <v>708</v>
      </c>
      <c r="D23" s="57"/>
      <c r="E23" s="94"/>
      <c r="F23" s="59"/>
      <c r="G23" s="60"/>
      <c r="H23" s="203" t="str">
        <f t="shared" si="0"/>
        <v>-</v>
      </c>
      <c r="I23" s="4"/>
      <c r="J23" s="82">
        <v>19</v>
      </c>
      <c r="K23" s="73"/>
      <c r="L23" s="94"/>
      <c r="M23" s="59"/>
      <c r="N23" s="94"/>
      <c r="O23" s="59"/>
      <c r="P23" s="4"/>
      <c r="AA23" s="101">
        <f t="shared" si="1"/>
        <v>0</v>
      </c>
    </row>
    <row r="24" spans="1:27" ht="13.9" customHeight="1">
      <c r="A24" s="80">
        <v>20</v>
      </c>
      <c r="B24" s="122" t="s">
        <v>711</v>
      </c>
      <c r="C24" s="123" t="s">
        <v>504</v>
      </c>
      <c r="D24" s="57"/>
      <c r="E24" s="94"/>
      <c r="F24" s="59"/>
      <c r="G24" s="60"/>
      <c r="H24" s="203" t="str">
        <f t="shared" si="0"/>
        <v/>
      </c>
      <c r="I24" s="4"/>
      <c r="J24" s="82">
        <v>20</v>
      </c>
      <c r="K24" s="73"/>
      <c r="L24" s="94"/>
      <c r="M24" s="59"/>
      <c r="N24" s="94"/>
      <c r="O24" s="59"/>
      <c r="P24" s="4"/>
      <c r="AA24" s="101">
        <f t="shared" si="1"/>
        <v>1</v>
      </c>
    </row>
    <row r="25" spans="1:27" ht="13.9" customHeight="1">
      <c r="A25" s="80">
        <v>21</v>
      </c>
      <c r="B25" s="122"/>
      <c r="C25" s="123" t="s">
        <v>476</v>
      </c>
      <c r="D25" s="57"/>
      <c r="E25" s="94"/>
      <c r="F25" s="59"/>
      <c r="G25" s="60"/>
      <c r="H25" s="203" t="str">
        <f t="shared" si="0"/>
        <v>-</v>
      </c>
      <c r="I25" s="4"/>
      <c r="J25" s="275" t="s">
        <v>369</v>
      </c>
      <c r="K25" s="275"/>
      <c r="L25" s="4"/>
      <c r="M25" s="4"/>
      <c r="N25" s="4"/>
      <c r="O25" s="4"/>
      <c r="P25" s="4"/>
      <c r="AA25" s="101">
        <f t="shared" si="1"/>
        <v>0</v>
      </c>
    </row>
    <row r="26" spans="1:27" ht="13.9" customHeight="1">
      <c r="A26" s="80">
        <v>22</v>
      </c>
      <c r="B26" s="122"/>
      <c r="C26" s="123" t="s">
        <v>467</v>
      </c>
      <c r="D26" s="57"/>
      <c r="E26" s="94"/>
      <c r="F26" s="59"/>
      <c r="G26" s="60"/>
      <c r="H26" s="203" t="str">
        <f t="shared" si="0"/>
        <v>-</v>
      </c>
      <c r="I26" s="4"/>
      <c r="J26" s="276"/>
      <c r="K26" s="276"/>
      <c r="L26" s="4"/>
      <c r="M26" s="4"/>
      <c r="N26" s="4"/>
      <c r="O26" s="4"/>
      <c r="P26" s="4"/>
      <c r="AA26" s="101">
        <f t="shared" si="1"/>
        <v>0</v>
      </c>
    </row>
    <row r="27" spans="1:27" ht="13.9" customHeight="1">
      <c r="A27" s="80">
        <v>23</v>
      </c>
      <c r="B27" s="122"/>
      <c r="C27" s="123" t="s">
        <v>528</v>
      </c>
      <c r="D27" s="57"/>
      <c r="E27" s="94"/>
      <c r="F27" s="59"/>
      <c r="G27" s="60"/>
      <c r="H27" s="203" t="str">
        <f t="shared" si="0"/>
        <v>-</v>
      </c>
      <c r="I27" s="4"/>
      <c r="J27" s="266"/>
      <c r="K27" s="267"/>
      <c r="L27" s="267"/>
      <c r="M27" s="267"/>
      <c r="N27" s="267"/>
      <c r="O27" s="268"/>
      <c r="P27" s="4"/>
      <c r="AA27" s="101">
        <f t="shared" si="1"/>
        <v>0</v>
      </c>
    </row>
    <row r="28" spans="1:27" ht="13.9" customHeight="1">
      <c r="A28" s="80">
        <v>24</v>
      </c>
      <c r="B28" s="122" t="s">
        <v>711</v>
      </c>
      <c r="C28" s="123" t="s">
        <v>563</v>
      </c>
      <c r="D28" s="57"/>
      <c r="E28" s="94"/>
      <c r="F28" s="59"/>
      <c r="G28" s="60"/>
      <c r="H28" s="203" t="str">
        <f t="shared" si="0"/>
        <v/>
      </c>
      <c r="I28" s="4"/>
      <c r="J28" s="269"/>
      <c r="K28" s="270"/>
      <c r="L28" s="270"/>
      <c r="M28" s="270"/>
      <c r="N28" s="270"/>
      <c r="O28" s="271"/>
      <c r="P28" s="4"/>
      <c r="AA28" s="101">
        <f t="shared" si="1"/>
        <v>1</v>
      </c>
    </row>
    <row r="29" spans="1:27" ht="13.9" customHeight="1">
      <c r="A29" s="80">
        <v>25</v>
      </c>
      <c r="B29" s="122"/>
      <c r="C29" s="123" t="s">
        <v>498</v>
      </c>
      <c r="D29" s="57"/>
      <c r="E29" s="94"/>
      <c r="F29" s="59"/>
      <c r="G29" s="60"/>
      <c r="H29" s="203" t="str">
        <f t="shared" si="0"/>
        <v>-</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sheetProtection sheet="1" objects="1" scenarios="1"/>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Unleaded Gasoline 98 Ron</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0</v>
      </c>
      <c r="F35" s="133" t="s">
        <v>1</v>
      </c>
      <c r="G35" s="133" t="s">
        <v>2</v>
      </c>
      <c r="H35" s="137"/>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IF(OR(F12="",F25=""),"",F25-F12)</f>
        <v/>
      </c>
      <c r="F36" s="133" t="str">
        <f>IF(OR(G12="",G25=""),"",G25-G12)</f>
        <v/>
      </c>
      <c r="G36" s="133" t="str">
        <f>IF(OR(E12="",E25=""),"",E25-E12)</f>
        <v/>
      </c>
      <c r="H36" s="137"/>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IF(OR(F12="",F25=""),"",E36/F12*100)</f>
        <v/>
      </c>
      <c r="F37" s="134" t="str">
        <f>IF(OR(G12="",G25=""),"",F36/G12*100)</f>
        <v/>
      </c>
      <c r="G37" s="134" t="str">
        <f>IF(OR(E12="",E25=""),"",G36/E12*100)</f>
        <v/>
      </c>
      <c r="H37" s="137"/>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712</v>
      </c>
      <c r="D7" s="260"/>
      <c r="E7" s="126" t="s">
        <v>750</v>
      </c>
      <c r="F7" s="263"/>
      <c r="G7" s="20"/>
      <c r="H7" s="20"/>
      <c r="I7" s="262" t="s">
        <v>779</v>
      </c>
      <c r="J7" s="246" t="str">
        <f>IF($C7="","",IF(AND($B7="",G7=""),"*",IF(AND($B7="v",NOT(G7="")),"*",IF(AND($B7="",NOT(G7="")),"",IF(AND($B7="v",G7=""),"")))))</f>
        <v>*</v>
      </c>
      <c r="K7" s="7"/>
      <c r="L7" s="97"/>
      <c r="M7" s="259"/>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712</v>
      </c>
      <c r="D8" s="260"/>
      <c r="E8" s="126" t="s">
        <v>750</v>
      </c>
      <c r="F8" s="263"/>
      <c r="G8" s="20"/>
      <c r="H8" s="20"/>
      <c r="I8" s="262" t="s">
        <v>780</v>
      </c>
      <c r="J8" s="246" t="str">
        <f t="shared" ref="J8:J71" si="16">IF($C8="","",IF(AND($B8="",G8=""),"*",IF(AND($B8="v",NOT(G8="")),"*",IF(AND($B8="",NOT(G8="")),"",IF(AND($B8="v",G8=""),"")))))</f>
        <v>*</v>
      </c>
      <c r="K8" s="7"/>
      <c r="L8" s="97"/>
      <c r="M8" s="259"/>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713</v>
      </c>
      <c r="D9" s="260"/>
      <c r="E9" s="126" t="s">
        <v>751</v>
      </c>
      <c r="F9" s="261"/>
      <c r="G9" s="20"/>
      <c r="H9" s="20"/>
      <c r="I9" s="262" t="s">
        <v>781</v>
      </c>
      <c r="J9" s="246" t="str">
        <f t="shared" si="16"/>
        <v>*</v>
      </c>
      <c r="K9" s="7"/>
      <c r="L9" s="97"/>
      <c r="M9" s="259"/>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713</v>
      </c>
      <c r="D10" s="260"/>
      <c r="E10" s="126" t="s">
        <v>752</v>
      </c>
      <c r="F10" s="261"/>
      <c r="G10" s="20"/>
      <c r="H10" s="20"/>
      <c r="I10" s="262" t="s">
        <v>781</v>
      </c>
      <c r="J10" s="246" t="str">
        <f t="shared" si="16"/>
        <v>*</v>
      </c>
      <c r="K10" s="7"/>
      <c r="L10" s="97"/>
      <c r="M10" s="259"/>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714</v>
      </c>
      <c r="D11" s="260"/>
      <c r="E11" s="126" t="s">
        <v>753</v>
      </c>
      <c r="F11" s="261"/>
      <c r="G11" s="20"/>
      <c r="H11" s="20"/>
      <c r="I11" s="262" t="s">
        <v>781</v>
      </c>
      <c r="J11" s="246" t="str">
        <f t="shared" si="16"/>
        <v>*</v>
      </c>
      <c r="K11" s="7"/>
      <c r="L11" s="97"/>
      <c r="M11" s="259"/>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715</v>
      </c>
      <c r="D12" s="260"/>
      <c r="E12" s="126" t="s">
        <v>750</v>
      </c>
      <c r="F12" s="263"/>
      <c r="G12" s="20"/>
      <c r="H12" s="20"/>
      <c r="I12" s="262" t="s">
        <v>780</v>
      </c>
      <c r="J12" s="246" t="str">
        <f t="shared" si="16"/>
        <v>*</v>
      </c>
      <c r="K12" s="7"/>
      <c r="L12" s="97"/>
      <c r="M12" s="259"/>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716</v>
      </c>
      <c r="D13" s="260"/>
      <c r="E13" s="126" t="s">
        <v>754</v>
      </c>
      <c r="F13" s="261"/>
      <c r="G13" s="20"/>
      <c r="H13" s="20"/>
      <c r="I13" s="19" t="s">
        <v>782</v>
      </c>
      <c r="J13" s="246" t="str">
        <f t="shared" si="16"/>
        <v>*</v>
      </c>
      <c r="K13" s="7"/>
      <c r="L13" s="97"/>
      <c r="M13" s="259"/>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717</v>
      </c>
      <c r="D14" s="260"/>
      <c r="E14" s="126" t="s">
        <v>755</v>
      </c>
      <c r="F14" s="261"/>
      <c r="G14" s="20"/>
      <c r="H14" s="20"/>
      <c r="I14" s="262" t="s">
        <v>783</v>
      </c>
      <c r="J14" s="246" t="str">
        <f t="shared" si="16"/>
        <v>*</v>
      </c>
      <c r="K14" s="7"/>
      <c r="L14" s="97"/>
      <c r="M14" s="259"/>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718</v>
      </c>
      <c r="D15" s="260"/>
      <c r="E15" s="126" t="s">
        <v>755</v>
      </c>
      <c r="F15" s="261"/>
      <c r="G15" s="20"/>
      <c r="H15" s="20"/>
      <c r="I15" s="262" t="s">
        <v>781</v>
      </c>
      <c r="J15" s="246" t="str">
        <f t="shared" si="16"/>
        <v>*</v>
      </c>
      <c r="K15" s="7"/>
      <c r="L15" s="97"/>
      <c r="M15" s="259"/>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719</v>
      </c>
      <c r="D16" s="260"/>
      <c r="E16" s="126" t="s">
        <v>756</v>
      </c>
      <c r="F16" s="261"/>
      <c r="G16" s="20"/>
      <c r="H16" s="20"/>
      <c r="I16" s="262" t="s">
        <v>784</v>
      </c>
      <c r="J16" s="246" t="str">
        <f t="shared" si="16"/>
        <v>*</v>
      </c>
      <c r="K16" s="7"/>
      <c r="L16" s="97"/>
      <c r="M16" s="259"/>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720</v>
      </c>
      <c r="D17" s="260"/>
      <c r="E17" s="126" t="s">
        <v>757</v>
      </c>
      <c r="F17" s="261"/>
      <c r="G17" s="20"/>
      <c r="H17" s="20"/>
      <c r="I17" s="262" t="s">
        <v>784</v>
      </c>
      <c r="J17" s="246" t="str">
        <f t="shared" si="16"/>
        <v>*</v>
      </c>
      <c r="K17" s="7"/>
      <c r="L17" s="97"/>
      <c r="M17" s="259"/>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721</v>
      </c>
      <c r="D18" s="260"/>
      <c r="E18" s="126" t="s">
        <v>758</v>
      </c>
      <c r="F18" s="261"/>
      <c r="G18" s="20"/>
      <c r="H18" s="20"/>
      <c r="I18" s="262" t="s">
        <v>784</v>
      </c>
      <c r="J18" s="246" t="str">
        <f t="shared" si="16"/>
        <v>*</v>
      </c>
      <c r="K18" s="7"/>
      <c r="L18" s="97"/>
      <c r="M18" s="259"/>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722</v>
      </c>
      <c r="D19" s="260"/>
      <c r="E19" s="126" t="s">
        <v>759</v>
      </c>
      <c r="F19" s="261"/>
      <c r="G19" s="20"/>
      <c r="H19" s="20"/>
      <c r="I19" s="262" t="s">
        <v>784</v>
      </c>
      <c r="J19" s="246" t="str">
        <f t="shared" si="16"/>
        <v>*</v>
      </c>
      <c r="K19" s="7"/>
      <c r="L19" s="97"/>
      <c r="M19" s="259"/>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723</v>
      </c>
      <c r="D20" s="260"/>
      <c r="E20" s="126" t="s">
        <v>755</v>
      </c>
      <c r="F20" s="261"/>
      <c r="G20" s="20"/>
      <c r="H20" s="20"/>
      <c r="I20" s="262" t="s">
        <v>781</v>
      </c>
      <c r="J20" s="246" t="str">
        <f t="shared" si="16"/>
        <v>*</v>
      </c>
      <c r="K20" s="7"/>
      <c r="L20" s="97"/>
      <c r="M20" s="259"/>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724</v>
      </c>
      <c r="D21" s="260"/>
      <c r="E21" s="126" t="s">
        <v>760</v>
      </c>
      <c r="F21" s="261"/>
      <c r="G21" s="20"/>
      <c r="H21" s="20"/>
      <c r="I21" s="262" t="s">
        <v>781</v>
      </c>
      <c r="J21" s="246" t="str">
        <f t="shared" si="16"/>
        <v>*</v>
      </c>
      <c r="K21" s="7"/>
      <c r="L21" s="97"/>
      <c r="M21" s="259"/>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725</v>
      </c>
      <c r="D22" s="260"/>
      <c r="E22" s="126" t="s">
        <v>755</v>
      </c>
      <c r="F22" s="261"/>
      <c r="G22" s="20"/>
      <c r="H22" s="20"/>
      <c r="I22" s="19" t="s">
        <v>785</v>
      </c>
      <c r="J22" s="246" t="str">
        <f t="shared" si="16"/>
        <v>*</v>
      </c>
      <c r="K22" s="7"/>
      <c r="L22" s="97"/>
      <c r="M22" s="259"/>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726</v>
      </c>
      <c r="D23" s="260"/>
      <c r="E23" s="126" t="s">
        <v>761</v>
      </c>
      <c r="F23" s="261"/>
      <c r="G23" s="20"/>
      <c r="H23" s="20"/>
      <c r="I23" s="262" t="s">
        <v>781</v>
      </c>
      <c r="J23" s="246" t="str">
        <f t="shared" si="16"/>
        <v>*</v>
      </c>
      <c r="K23" s="7"/>
      <c r="L23" s="97"/>
      <c r="M23" s="259"/>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727</v>
      </c>
      <c r="D24" s="260"/>
      <c r="E24" s="126" t="s">
        <v>762</v>
      </c>
      <c r="F24" s="261"/>
      <c r="G24" s="20"/>
      <c r="H24" s="20"/>
      <c r="I24" s="262" t="s">
        <v>785</v>
      </c>
      <c r="J24" s="246" t="str">
        <f t="shared" si="16"/>
        <v>*</v>
      </c>
      <c r="K24" s="7"/>
      <c r="L24" s="97"/>
      <c r="M24" s="259"/>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728</v>
      </c>
      <c r="D25" s="260"/>
      <c r="E25" s="126" t="s">
        <v>763</v>
      </c>
      <c r="F25" s="261"/>
      <c r="G25" s="20"/>
      <c r="H25" s="20"/>
      <c r="I25" s="262" t="s">
        <v>786</v>
      </c>
      <c r="J25" s="246" t="str">
        <f t="shared" si="16"/>
        <v>*</v>
      </c>
      <c r="K25" s="7"/>
      <c r="L25" s="97"/>
      <c r="M25" s="259"/>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729</v>
      </c>
      <c r="D26" s="260"/>
      <c r="E26" s="126" t="s">
        <v>764</v>
      </c>
      <c r="F26" s="261"/>
      <c r="G26" s="20"/>
      <c r="H26" s="20"/>
      <c r="I26" s="262" t="s">
        <v>786</v>
      </c>
      <c r="J26" s="246" t="str">
        <f t="shared" si="16"/>
        <v>*</v>
      </c>
      <c r="K26" s="7"/>
      <c r="L26" s="97"/>
      <c r="M26" s="259"/>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730</v>
      </c>
      <c r="D27" s="260"/>
      <c r="E27" s="126" t="s">
        <v>765</v>
      </c>
      <c r="F27" s="261"/>
      <c r="G27" s="20"/>
      <c r="H27" s="20"/>
      <c r="I27" s="262" t="s">
        <v>787</v>
      </c>
      <c r="J27" s="246" t="str">
        <f t="shared" si="16"/>
        <v>*</v>
      </c>
      <c r="K27" s="7"/>
      <c r="L27" s="97"/>
      <c r="M27" s="259"/>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731</v>
      </c>
      <c r="D28" s="260"/>
      <c r="E28" s="126" t="s">
        <v>764</v>
      </c>
      <c r="F28" s="261"/>
      <c r="G28" s="20"/>
      <c r="H28" s="20"/>
      <c r="I28" s="262" t="s">
        <v>788</v>
      </c>
      <c r="J28" s="246" t="str">
        <f t="shared" si="16"/>
        <v>*</v>
      </c>
      <c r="K28" s="7"/>
      <c r="L28" s="97"/>
      <c r="M28" s="259"/>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732</v>
      </c>
      <c r="D29" s="260"/>
      <c r="E29" s="126" t="s">
        <v>766</v>
      </c>
      <c r="F29" s="261"/>
      <c r="G29" s="20"/>
      <c r="H29" s="20"/>
      <c r="I29" s="262" t="s">
        <v>782</v>
      </c>
      <c r="J29" s="246" t="str">
        <f t="shared" si="16"/>
        <v>*</v>
      </c>
      <c r="K29" s="7"/>
      <c r="L29" s="97"/>
      <c r="M29" s="259"/>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733</v>
      </c>
      <c r="D30" s="260"/>
      <c r="E30" s="126" t="s">
        <v>767</v>
      </c>
      <c r="F30" s="261"/>
      <c r="G30" s="20"/>
      <c r="H30" s="20"/>
      <c r="I30" s="262" t="s">
        <v>782</v>
      </c>
      <c r="J30" s="246" t="str">
        <f t="shared" si="16"/>
        <v>*</v>
      </c>
      <c r="K30" s="7"/>
      <c r="L30" s="97"/>
      <c r="M30" s="259"/>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734</v>
      </c>
      <c r="D31" s="260"/>
      <c r="E31" s="126" t="s">
        <v>750</v>
      </c>
      <c r="F31" s="263"/>
      <c r="G31" s="20"/>
      <c r="H31" s="20"/>
      <c r="I31" s="19" t="s">
        <v>779</v>
      </c>
      <c r="J31" s="246" t="str">
        <f t="shared" si="16"/>
        <v>*</v>
      </c>
      <c r="K31" s="7"/>
      <c r="L31" s="97"/>
      <c r="M31" s="259"/>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735</v>
      </c>
      <c r="D32" s="260"/>
      <c r="E32" s="126" t="s">
        <v>768</v>
      </c>
      <c r="F32" s="261"/>
      <c r="G32" s="20"/>
      <c r="H32" s="20"/>
      <c r="I32" s="262" t="s">
        <v>781</v>
      </c>
      <c r="J32" s="246" t="str">
        <f t="shared" si="16"/>
        <v>*</v>
      </c>
      <c r="K32" s="7"/>
      <c r="L32" s="97"/>
      <c r="M32" s="259"/>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736</v>
      </c>
      <c r="D33" s="260"/>
      <c r="E33" s="126" t="s">
        <v>769</v>
      </c>
      <c r="F33" s="261"/>
      <c r="G33" s="20"/>
      <c r="H33" s="20"/>
      <c r="I33" s="262" t="s">
        <v>789</v>
      </c>
      <c r="J33" s="246" t="str">
        <f t="shared" si="16"/>
        <v>*</v>
      </c>
      <c r="K33" s="7"/>
      <c r="L33" s="97"/>
      <c r="M33" s="259"/>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737</v>
      </c>
      <c r="D34" s="260"/>
      <c r="E34" s="126" t="s">
        <v>753</v>
      </c>
      <c r="F34" s="261"/>
      <c r="G34" s="20"/>
      <c r="H34" s="20"/>
      <c r="I34" s="262" t="s">
        <v>781</v>
      </c>
      <c r="J34" s="246" t="str">
        <f t="shared" si="16"/>
        <v>*</v>
      </c>
      <c r="K34" s="7"/>
      <c r="L34" s="97"/>
      <c r="M34" s="259"/>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737</v>
      </c>
      <c r="D35" s="260"/>
      <c r="E35" s="126" t="s">
        <v>753</v>
      </c>
      <c r="F35" s="261"/>
      <c r="G35" s="20"/>
      <c r="H35" s="20"/>
      <c r="I35" s="262" t="s">
        <v>781</v>
      </c>
      <c r="J35" s="246" t="str">
        <f t="shared" si="16"/>
        <v>*</v>
      </c>
      <c r="K35" s="7"/>
      <c r="L35" s="97"/>
      <c r="M35" s="259"/>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738</v>
      </c>
      <c r="D36" s="260"/>
      <c r="E36" s="126" t="s">
        <v>750</v>
      </c>
      <c r="F36" s="261"/>
      <c r="G36" s="20"/>
      <c r="H36" s="20"/>
      <c r="I36" s="262" t="s">
        <v>781</v>
      </c>
      <c r="J36" s="246" t="str">
        <f t="shared" si="16"/>
        <v>*</v>
      </c>
      <c r="K36" s="7"/>
      <c r="L36" s="97"/>
      <c r="M36" s="259"/>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737</v>
      </c>
      <c r="D37" s="260"/>
      <c r="E37" s="126" t="s">
        <v>753</v>
      </c>
      <c r="F37" s="261"/>
      <c r="G37" s="20"/>
      <c r="H37" s="20"/>
      <c r="I37" s="262" t="s">
        <v>781</v>
      </c>
      <c r="J37" s="246" t="str">
        <f t="shared" si="16"/>
        <v>*</v>
      </c>
      <c r="K37" s="7"/>
      <c r="L37" s="97"/>
      <c r="M37" s="259"/>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737</v>
      </c>
      <c r="D38" s="260"/>
      <c r="E38" s="126" t="s">
        <v>770</v>
      </c>
      <c r="F38" s="261"/>
      <c r="G38" s="20"/>
      <c r="H38" s="20"/>
      <c r="I38" s="262" t="s">
        <v>781</v>
      </c>
      <c r="J38" s="246" t="str">
        <f t="shared" si="16"/>
        <v>*</v>
      </c>
      <c r="K38" s="7"/>
      <c r="L38" s="97"/>
      <c r="M38" s="259"/>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737</v>
      </c>
      <c r="D39" s="260"/>
      <c r="E39" s="126" t="s">
        <v>753</v>
      </c>
      <c r="F39" s="261"/>
      <c r="G39" s="20"/>
      <c r="H39" s="20"/>
      <c r="I39" s="262" t="s">
        <v>781</v>
      </c>
      <c r="J39" s="246" t="str">
        <f t="shared" si="16"/>
        <v>*</v>
      </c>
      <c r="K39" s="7"/>
      <c r="L39" s="97"/>
      <c r="M39" s="259"/>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739</v>
      </c>
      <c r="D40" s="260"/>
      <c r="E40" s="126" t="s">
        <v>771</v>
      </c>
      <c r="F40" s="261"/>
      <c r="G40" s="20"/>
      <c r="H40" s="20"/>
      <c r="I40" s="262" t="s">
        <v>790</v>
      </c>
      <c r="J40" s="246" t="str">
        <f t="shared" si="16"/>
        <v>*</v>
      </c>
      <c r="K40" s="7"/>
      <c r="L40" s="97"/>
      <c r="M40" s="259"/>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740</v>
      </c>
      <c r="D41" s="260"/>
      <c r="E41" s="126" t="s">
        <v>755</v>
      </c>
      <c r="F41" s="261"/>
      <c r="G41" s="20"/>
      <c r="H41" s="20"/>
      <c r="I41" s="262" t="s">
        <v>788</v>
      </c>
      <c r="J41" s="246" t="str">
        <f t="shared" si="16"/>
        <v>*</v>
      </c>
      <c r="K41" s="7"/>
      <c r="L41" s="97"/>
      <c r="M41" s="259"/>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741</v>
      </c>
      <c r="D42" s="260"/>
      <c r="E42" s="126" t="s">
        <v>772</v>
      </c>
      <c r="F42" s="261"/>
      <c r="G42" s="20"/>
      <c r="H42" s="20"/>
      <c r="I42" s="262" t="s">
        <v>791</v>
      </c>
      <c r="J42" s="246" t="str">
        <f t="shared" si="16"/>
        <v>*</v>
      </c>
      <c r="K42" s="7"/>
      <c r="L42" s="97"/>
      <c r="M42" s="259"/>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742</v>
      </c>
      <c r="D43" s="260"/>
      <c r="E43" s="126" t="s">
        <v>754</v>
      </c>
      <c r="F43" s="261"/>
      <c r="G43" s="20"/>
      <c r="H43" s="20"/>
      <c r="I43" s="19" t="s">
        <v>782</v>
      </c>
      <c r="J43" s="246" t="str">
        <f t="shared" si="16"/>
        <v>*</v>
      </c>
      <c r="K43" s="7"/>
      <c r="L43" s="97"/>
      <c r="M43" s="259"/>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743</v>
      </c>
      <c r="D44" s="260"/>
      <c r="E44" s="126" t="s">
        <v>773</v>
      </c>
      <c r="F44" s="261"/>
      <c r="G44" s="20"/>
      <c r="H44" s="20"/>
      <c r="I44" s="262" t="s">
        <v>790</v>
      </c>
      <c r="J44" s="246" t="str">
        <f t="shared" si="16"/>
        <v>*</v>
      </c>
      <c r="K44" s="7"/>
      <c r="L44" s="97"/>
      <c r="M44" s="259"/>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744</v>
      </c>
      <c r="D45" s="260"/>
      <c r="E45" s="126" t="s">
        <v>750</v>
      </c>
      <c r="F45" s="263"/>
      <c r="G45" s="20"/>
      <c r="H45" s="20"/>
      <c r="I45" s="262" t="s">
        <v>792</v>
      </c>
      <c r="J45" s="246" t="str">
        <f t="shared" si="16"/>
        <v>*</v>
      </c>
      <c r="K45" s="7"/>
      <c r="L45" s="97"/>
      <c r="M45" s="259"/>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745</v>
      </c>
      <c r="D46" s="260"/>
      <c r="E46" s="126" t="s">
        <v>774</v>
      </c>
      <c r="F46" s="261"/>
      <c r="G46" s="20"/>
      <c r="H46" s="20"/>
      <c r="I46" s="262" t="s">
        <v>793</v>
      </c>
      <c r="J46" s="246" t="str">
        <f t="shared" si="16"/>
        <v>*</v>
      </c>
      <c r="K46" s="7"/>
      <c r="L46" s="97"/>
      <c r="M46" s="259"/>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746</v>
      </c>
      <c r="D47" s="260"/>
      <c r="E47" s="126" t="s">
        <v>750</v>
      </c>
      <c r="F47" s="261"/>
      <c r="G47" s="20"/>
      <c r="H47" s="20"/>
      <c r="I47" s="19" t="s">
        <v>781</v>
      </c>
      <c r="J47" s="246" t="str">
        <f t="shared" si="16"/>
        <v>*</v>
      </c>
      <c r="K47" s="7"/>
      <c r="L47" s="97"/>
      <c r="M47" s="259"/>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746</v>
      </c>
      <c r="D48" s="260"/>
      <c r="E48" s="126" t="s">
        <v>770</v>
      </c>
      <c r="F48" s="261"/>
      <c r="G48" s="20"/>
      <c r="H48" s="20"/>
      <c r="I48" s="19" t="s">
        <v>781</v>
      </c>
      <c r="J48" s="246" t="str">
        <f t="shared" si="16"/>
        <v>*</v>
      </c>
      <c r="K48" s="7"/>
      <c r="L48" s="97"/>
      <c r="M48" s="259"/>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747</v>
      </c>
      <c r="D49" s="260"/>
      <c r="E49" s="126" t="s">
        <v>775</v>
      </c>
      <c r="F49" s="261"/>
      <c r="G49" s="20"/>
      <c r="H49" s="20"/>
      <c r="I49" s="262" t="s">
        <v>788</v>
      </c>
      <c r="J49" s="246" t="str">
        <f t="shared" si="16"/>
        <v>*</v>
      </c>
      <c r="K49" s="7"/>
      <c r="L49" s="97"/>
      <c r="M49" s="259"/>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t="s">
        <v>748</v>
      </c>
      <c r="D50" s="260"/>
      <c r="E50" s="126" t="s">
        <v>754</v>
      </c>
      <c r="F50" s="261"/>
      <c r="G50" s="20"/>
      <c r="H50" s="20"/>
      <c r="I50" s="262" t="s">
        <v>788</v>
      </c>
      <c r="J50" s="246" t="str">
        <f t="shared" si="16"/>
        <v>*</v>
      </c>
      <c r="K50" s="7"/>
      <c r="L50" s="97"/>
      <c r="M50" s="259"/>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t="s">
        <v>749</v>
      </c>
      <c r="D51" s="260"/>
      <c r="E51" s="126" t="s">
        <v>776</v>
      </c>
      <c r="F51" s="261"/>
      <c r="G51" s="20"/>
      <c r="H51" s="20"/>
      <c r="I51" s="19" t="s">
        <v>788</v>
      </c>
      <c r="J51" s="246" t="str">
        <f t="shared" si="16"/>
        <v>*</v>
      </c>
      <c r="K51" s="7"/>
      <c r="L51" s="97"/>
      <c r="M51" s="259"/>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t="s">
        <v>748</v>
      </c>
      <c r="D52" s="260"/>
      <c r="E52" s="126" t="s">
        <v>777</v>
      </c>
      <c r="F52" s="261"/>
      <c r="G52" s="20"/>
      <c r="H52" s="20"/>
      <c r="I52" s="262" t="s">
        <v>788</v>
      </c>
      <c r="J52" s="246" t="str">
        <f t="shared" si="16"/>
        <v>*</v>
      </c>
      <c r="K52" s="7"/>
      <c r="L52" s="97"/>
      <c r="M52" s="259"/>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t="s">
        <v>748</v>
      </c>
      <c r="D53" s="260"/>
      <c r="E53" s="126" t="s">
        <v>761</v>
      </c>
      <c r="F53" s="261"/>
      <c r="G53" s="20"/>
      <c r="H53" s="20"/>
      <c r="I53" s="262" t="s">
        <v>788</v>
      </c>
      <c r="J53" s="246" t="str">
        <f t="shared" si="16"/>
        <v>*</v>
      </c>
      <c r="K53" s="7"/>
      <c r="L53" s="97"/>
      <c r="M53" s="259"/>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t="s">
        <v>748</v>
      </c>
      <c r="D54" s="260"/>
      <c r="E54" s="126" t="s">
        <v>761</v>
      </c>
      <c r="F54" s="261"/>
      <c r="G54" s="20"/>
      <c r="H54" s="20"/>
      <c r="I54" s="262" t="s">
        <v>788</v>
      </c>
      <c r="J54" s="246" t="str">
        <f t="shared" si="16"/>
        <v>*</v>
      </c>
      <c r="K54" s="7"/>
      <c r="L54" s="97"/>
      <c r="M54" s="259"/>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t="s">
        <v>748</v>
      </c>
      <c r="D55" s="260"/>
      <c r="E55" s="126" t="s">
        <v>761</v>
      </c>
      <c r="F55" s="261"/>
      <c r="G55" s="20"/>
      <c r="H55" s="20"/>
      <c r="I55" s="262" t="s">
        <v>788</v>
      </c>
      <c r="J55" s="246" t="str">
        <f t="shared" si="16"/>
        <v>*</v>
      </c>
      <c r="K55" s="7"/>
      <c r="L55" s="97"/>
      <c r="M55" s="259"/>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t="s">
        <v>748</v>
      </c>
      <c r="D56" s="260"/>
      <c r="E56" s="126" t="s">
        <v>755</v>
      </c>
      <c r="F56" s="261"/>
      <c r="G56" s="20"/>
      <c r="H56" s="20"/>
      <c r="I56" s="262" t="s">
        <v>788</v>
      </c>
      <c r="J56" s="246" t="str">
        <f t="shared" si="16"/>
        <v>*</v>
      </c>
      <c r="K56" s="7"/>
      <c r="L56" s="97"/>
      <c r="M56" s="259"/>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9"/>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9"/>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9"/>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9"/>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9"/>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9"/>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9"/>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9"/>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9"/>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9"/>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9"/>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9"/>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9"/>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9"/>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9"/>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9"/>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9"/>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9"/>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9"/>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9"/>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9"/>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9"/>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9"/>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9"/>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9"/>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37">
      <formula>$B7="v"</formula>
    </cfRule>
  </conditionalFormatting>
  <conditionalFormatting sqref="X7:Y82 T7:U82 AJ7:AK82 AF7:AG82 AB7:AC82 AR7:AS82 AN7:AO82 BH7:BI82 BD7:BE82 AZ7:BA82 BT7:BU82 BP7:BQ82 BL7:BM82">
    <cfRule type="expression" dxfId="2259" priority="333">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5">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9">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43">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46">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50">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54">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62">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66">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70">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74">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1B0A2BF3-AC17-4E0A-9DAB-615DF934DF36}">
      <formula1>"* ,[ASTM] D4176 Procedure 1"</formula1>
    </dataValidation>
    <dataValidation type="list" allowBlank="1" showInputMessage="1" showErrorMessage="1" sqref="D8 D12" xr:uid="{12EAC934-B928-4846-9BDD-5E028B00EB12}">
      <formula1>"* ,[OTHER] Visual"</formula1>
    </dataValidation>
    <dataValidation type="list" allowBlank="1" showInputMessage="1" showErrorMessage="1" sqref="D9" xr:uid="{19708F05-7104-4861-876C-A1722B07369A}">
      <formula1>"* ,[ASTM] D1319,[ASTM] D6839,[ASTM] D5443,[ASTM] D5580,[ASTM] D5134"</formula1>
    </dataValidation>
    <dataValidation type="list" allowBlank="1" showInputMessage="1" showErrorMessage="1" sqref="D10" xr:uid="{ED55ABA4-0DA3-46F6-9516-2DD1CBD52744}">
      <formula1>"* ,[ASTM] D5580,[ASTM] D5443"</formula1>
    </dataValidation>
    <dataValidation type="list" allowBlank="1" showInputMessage="1" showErrorMessage="1" sqref="D11" xr:uid="{D9DBECB7-7431-466E-A4E3-8C5689D8FE68}">
      <formula1>"* ,[ASTM] D6839,[ASTM] D3606,[ASTM] D4053,[ASTM] D5580"</formula1>
    </dataValidation>
    <dataValidation type="list" allowBlank="1" showInputMessage="1" showErrorMessage="1" sqref="D13" xr:uid="{B361FF77-96C7-426C-A3C2-0D083ACB8EDA}">
      <formula1>"* ,[ASTM] D130"</formula1>
    </dataValidation>
    <dataValidation type="list" allowBlank="1" showInputMessage="1" showErrorMessage="1" sqref="D14" xr:uid="{68543D88-E9C3-4A7E-8DD1-C12293B8CBF2}">
      <formula1>"* ,[ASTM] D1298,[ASTM] D4052"</formula1>
    </dataValidation>
    <dataValidation type="list" allowBlank="1" showInputMessage="1" showErrorMessage="1" sqref="D15 D16 D17 D18 D19 D20 D21" xr:uid="{F1A03226-BACB-4D0B-A9D1-F223E1145E1C}">
      <formula1>"* ,[ASTM] D86"</formula1>
    </dataValidation>
    <dataValidation type="list" allowBlank="1" showInputMessage="1" showErrorMessage="1" sqref="D22" xr:uid="{F8190885-D3FF-49EC-87C2-56BAAF5E6C39}">
      <formula1>"* ,[OTHER] CGSB 3.5"</formula1>
    </dataValidation>
    <dataValidation type="list" allowBlank="1" showInputMessage="1" showErrorMessage="1" sqref="D23 D33 D36" xr:uid="{E6EB5E4D-DA09-467C-80B3-86F155038FF9}">
      <formula1>"* ,[ASTM] D4815-04"</formula1>
    </dataValidation>
    <dataValidation type="list" allowBlank="1" showInputMessage="1" showErrorMessage="1" sqref="D24" xr:uid="{306E04FD-8AB9-42B1-8DF1-E9BAB4C52944}">
      <formula1>"* ,[OTHER] Calculation"</formula1>
    </dataValidation>
    <dataValidation type="list" allowBlank="1" showInputMessage="1" showErrorMessage="1" sqref="D25 D26" xr:uid="{94AE2A48-7158-4ED9-8D4B-F2C85D6703DC}">
      <formula1>"* ,[ASTM] D381"</formula1>
    </dataValidation>
    <dataValidation type="list" allowBlank="1" showInputMessage="1" showErrorMessage="1" sqref="D27" xr:uid="{A48A9D03-B3C9-47B0-9340-641AAF89D85E}">
      <formula1>"* ,[ASTM] D525"</formula1>
    </dataValidation>
    <dataValidation type="list" allowBlank="1" showInputMessage="1" showErrorMessage="1" sqref="D28" xr:uid="{A964DAF2-A123-431E-B35D-F7E9041C98CE}">
      <formula1>"* ,[IP] IP 352,[ASTM] D5059,[ASTM] D3237"</formula1>
    </dataValidation>
    <dataValidation type="list" allowBlank="1" showInputMessage="1" showErrorMessage="1" sqref="D29" xr:uid="{CF730F2B-F778-492C-8AE2-3C43E3E3E81F}">
      <formula1>"* ,[ASTM] D2700"</formula1>
    </dataValidation>
    <dataValidation type="list" allowBlank="1" showInputMessage="1" showErrorMessage="1" sqref="D30" xr:uid="{A8FE037D-89DB-4C19-BBE4-B3F88173E2EE}">
      <formula1>"* ,[ASTM] D2699"</formula1>
    </dataValidation>
    <dataValidation type="list" allowBlank="1" showInputMessage="1" showErrorMessage="1" sqref="D31" xr:uid="{D36064E7-6944-406F-9D7C-043039F77ACD}">
      <formula1>"* ,[OTHER] Odor"</formula1>
    </dataValidation>
    <dataValidation type="list" allowBlank="1" showInputMessage="1" showErrorMessage="1" sqref="D32" xr:uid="{7A022D17-A265-4458-B9B1-60232A1E7030}">
      <formula1>"* ,[ASTM] D1319"</formula1>
    </dataValidation>
    <dataValidation type="list" allowBlank="1" showInputMessage="1" showErrorMessage="1" sqref="D34 D35 D37 D38 D39" xr:uid="{5E71F71A-8C5E-499C-8ACE-6FC8B19A40DB}">
      <formula1>"* ,[ASTM] D4815"</formula1>
    </dataValidation>
    <dataValidation type="list" allowBlank="1" showInputMessage="1" showErrorMessage="1" sqref="D40" xr:uid="{0B66AADB-9519-4EF3-B6F4-9DAE6F066B61}">
      <formula1>"[ASTM] D2622,[ASTM] D5453,[IP] IP 336"</formula1>
    </dataValidation>
    <dataValidation type="list" allowBlank="1" showInputMessage="1" showErrorMessage="1" sqref="D41" xr:uid="{BA87FDC2-7263-437D-85CC-F7054CD07108}">
      <formula1>"* ,[ASTM] D5452"</formula1>
    </dataValidation>
    <dataValidation type="list" allowBlank="1" showInputMessage="1" showErrorMessage="1" sqref="D42" xr:uid="{36CFBC85-ECE5-476C-BD69-551F38851EA7}">
      <formula1>"* ,[ASTM] D3231"</formula1>
    </dataValidation>
    <dataValidation type="list" allowBlank="1" showInputMessage="1" showErrorMessage="1" sqref="D43" xr:uid="{3292BD89-D5CB-41E7-B01D-140D9E3AE591}">
      <formula1>"* ,[ASTM] D7671"</formula1>
    </dataValidation>
    <dataValidation type="list" allowBlank="1" showInputMessage="1" showErrorMessage="1" sqref="D44" xr:uid="{73B0A88E-DDB1-4AD0-B9FE-550C60461AAE}">
      <formula1>"* ,[IP] IP 342,[ASTM] D3227"</formula1>
    </dataValidation>
    <dataValidation type="list" allowBlank="1" showInputMessage="1" showErrorMessage="1" sqref="D45" xr:uid="{F68BA8B8-E237-433D-AA31-5C033BBE5C7E}">
      <formula1>"* ,[IP] IP 30,[ASTM] D4952"</formula1>
    </dataValidation>
    <dataValidation type="list" allowBlank="1" showInputMessage="1" showErrorMessage="1" sqref="D46" xr:uid="{0ACE3A11-1762-4DE8-A1A7-84858A84131C}">
      <formula1>"* ,[ASTM] D323,[ASTM] D5191 (ASTM)"</formula1>
    </dataValidation>
    <dataValidation type="list" allowBlank="1" showInputMessage="1" showErrorMessage="1" sqref="D47 D48" xr:uid="{02C160E9-78C7-403B-8698-342E98217E3C}">
      <formula1>"* ,[OTHER] Declaration"</formula1>
    </dataValidation>
    <dataValidation type="list" allowBlank="1" showInputMessage="1" showErrorMessage="1" sqref="D49" xr:uid="{E47668DE-9DDB-48F0-A541-9A9D0D4D1B1E}">
      <formula1>"* ,[OTHER] Not Listed"</formula1>
    </dataValidation>
    <dataValidation type="list" allowBlank="1" showInputMessage="1" showErrorMessage="1" sqref="D50 D52 D53 D54 D55 D56" xr:uid="{B15D13C7-EC7C-4441-AF0D-1EB9C2580D6D}">
      <formula1>"* ,[OTHER] Additives (declaration)"</formula1>
    </dataValidation>
    <dataValidation type="list" allowBlank="1" showInputMessage="1" showErrorMessage="1" sqref="D51" xr:uid="{0ED6FD1E-2ED4-40A0-B5A3-1DC98AAA2BAA}">
      <formula1>"* ,[OTHER] Additive - Antioxidant (declaration)"</formula1>
    </dataValidation>
    <dataValidation type="list" allowBlank="1" showInputMessage="1" showErrorMessage="1" sqref="I7 I8" xr:uid="{665608F7-F54E-4CC9-AE2D-7E16BFD1E20B}">
      <formula1>"pass/fail,visual"</formula1>
    </dataValidation>
    <dataValidation type="list" allowBlank="1" showInputMessage="1" showErrorMessage="1" sqref="I9 I10" xr:uid="{C5E3872E-4097-4CA5-AC73-BF7353029F3F}">
      <formula1>"ppm,%liq vol,%m/m,%mole,%vol"</formula1>
    </dataValidation>
    <dataValidation type="list" allowBlank="1" showInputMessage="1" showErrorMessage="1" sqref="I11" xr:uid="{71996EF4-2067-40C7-96A1-26C21EC441DD}">
      <formula1>"mg/kg,ppm v/v,ppm w/w,%wt,%vol"</formula1>
    </dataValidation>
    <dataValidation type="list" allowBlank="1" showInputMessage="1" showErrorMessage="1" sqref="I12" xr:uid="{F9A80E93-7B41-405B-9CB6-330D524E23A0}">
      <formula1>"haze no,Pt/Co scale,pass/fail,rating,visual"</formula1>
    </dataValidation>
    <dataValidation type="list" allowBlank="1" showInputMessage="1" showErrorMessage="1" sqref="I13 I43" xr:uid="{37D65909-177F-4964-B157-3C335D8B163A}">
      <formula1>"rating"</formula1>
    </dataValidation>
    <dataValidation type="list" allowBlank="1" showInputMessage="1" showErrorMessage="1" sqref="I14" xr:uid="{A040A33A-5765-4CC9-813B-0B3ED93E0ED3}">
      <formula1>"g/ cc,g/l,g/cm³,g/ml,kg/m³,kg/l,n/a,tonne/m³"</formula1>
    </dataValidation>
    <dataValidation type="list" allowBlank="1" showInputMessage="1" showErrorMessage="1" sqref="I15 I16 I17 I18 I19 I20 I21" xr:uid="{D79A7647-A256-4438-B6FC-802C19112B98}">
      <formula1>"°C,°F,%,%vol"</formula1>
    </dataValidation>
    <dataValidation type="list" allowBlank="1" showInputMessage="1" showErrorMessage="1" sqref="I22" xr:uid="{4F169B52-BED2-4FB3-9768-CC0CC9884594}">
      <formula1>"calc"</formula1>
    </dataValidation>
    <dataValidation type="list" allowBlank="1" showInputMessage="1" showErrorMessage="1" sqref="I23" xr:uid="{90A11C96-D860-434B-9DCF-903AC628DFC6}">
      <formula1>"ppm,%vol"</formula1>
    </dataValidation>
    <dataValidation type="list" allowBlank="1" showInputMessage="1" showErrorMessage="1" sqref="I24" xr:uid="{5093170B-1199-45FF-819C-DDCF9AF5F211}">
      <formula1>"calc,Min,Max,min/max"</formula1>
    </dataValidation>
    <dataValidation type="list" allowBlank="1" showInputMessage="1" showErrorMessage="1" sqref="I25 I26" xr:uid="{9F901B8D-F079-44BD-B8AB-D66333D1F348}">
      <formula1>"g/m³,mg/100ml,mg/l"</formula1>
    </dataValidation>
    <dataValidation type="list" allowBlank="1" showInputMessage="1" showErrorMessage="1" sqref="I27" xr:uid="{D678BA52-5967-4ADD-B92D-03FC99242953}">
      <formula1>"g/cm³,hrs,kg/m³,mg/100ml,mg/l,mins,rating"</formula1>
    </dataValidation>
    <dataValidation type="list" allowBlank="1" showInputMessage="1" showErrorMessage="1" sqref="I28" xr:uid="{72EEB9EF-E1AF-47C9-8ADF-4D9B5444B547}">
      <formula1>"g Pb/l,g Pb/US gal,g/US gal,mg/kg,mg/l,ppb,ppm,ppm w/w,%vol"</formula1>
    </dataValidation>
    <dataValidation type="list" allowBlank="1" showInputMessage="1" showErrorMessage="1" sqref="I29 I30" xr:uid="{43A4990C-3B4B-4446-92E3-8B8615073CFF}">
      <formula1>"mg/kg,mg/l,ppm,ppm w/w,%wt,rating"</formula1>
    </dataValidation>
    <dataValidation type="list" allowBlank="1" showInputMessage="1" showErrorMessage="1" sqref="I31" xr:uid="{0364B2FA-06AE-44D5-B558-B2FD8DEF4EBE}">
      <formula1>"pass/fail"</formula1>
    </dataValidation>
    <dataValidation type="list" allowBlank="1" showInputMessage="1" showErrorMessage="1" sqref="I32" xr:uid="{B59FA38F-A351-49CA-A86E-8792D6E182EC}">
      <formula1>"ppm,%liq vol,%m/m,%mole,%wt,%vol"</formula1>
    </dataValidation>
    <dataValidation type="list" allowBlank="1" showInputMessage="1" showErrorMessage="1" sqref="I33" xr:uid="{BFA466F8-DB93-4475-B5D7-53B0F21A0FDF}">
      <formula1>"%m,%mole,%vol,ppm-mol"</formula1>
    </dataValidation>
    <dataValidation type="list" allowBlank="1" showInputMessage="1" showErrorMessage="1" sqref="I34 I35 I37 I38 I39" xr:uid="{8AB97C69-8FE0-4F5B-B1EE-B23C358D97D4}">
      <formula1>"mg/100ml,mg/kg,ppm,ppm v/v,%m/m,%mole,%wt,%vol"</formula1>
    </dataValidation>
    <dataValidation type="list" allowBlank="1" showInputMessage="1" showErrorMessage="1" sqref="I36" xr:uid="{061F8E2B-9B79-4D26-8572-F42B844FA30C}">
      <formula1>"ppm w/w,%vol"</formula1>
    </dataValidation>
    <dataValidation type="list" allowBlank="1" showInputMessage="1" showErrorMessage="1" sqref="I40" xr:uid="{F14D5F3C-3F31-43FB-9A05-0A85F23BD86B}">
      <formula1>"μg/g,mg/kg,mg/l,ppm,%m,%m/m,%wt"</formula1>
    </dataValidation>
    <dataValidation type="list" allowBlank="1" showInputMessage="1" showErrorMessage="1" sqref="I41" xr:uid="{3429B979-147A-46E9-AF24-3466FD531A8C}">
      <formula1>"g/cm³,μm,mg/100ml,mg/kg,mg/l,mins,ppm,%liq vol"</formula1>
    </dataValidation>
    <dataValidation type="list" allowBlank="1" showInputMessage="1" showErrorMessage="1" sqref="I42" xr:uid="{1FE242A1-3DE9-4E37-93B1-6B1923F75839}">
      <formula1>"g P/US gal,mg P/l"</formula1>
    </dataValidation>
    <dataValidation type="list" allowBlank="1" showInputMessage="1" showErrorMessage="1" sqref="I44" xr:uid="{E661FAA1-5E67-42BB-9708-E06C1DD385CF}">
      <formula1>"mg/kg,mg/m³,ppm,%m,%m/m,%mole,%wt,%vol"</formula1>
    </dataValidation>
    <dataValidation type="list" allowBlank="1" showInputMessage="1" showErrorMessage="1" sqref="I45" xr:uid="{B791DA70-1084-4736-A76F-4B55D5342623}">
      <formula1>"pos/neg,pass/fail"</formula1>
    </dataValidation>
    <dataValidation type="list" allowBlank="1" showInputMessage="1" showErrorMessage="1" sqref="I46" xr:uid="{87CC72F2-8214-4CB9-BE5D-DABCC181E407}">
      <formula1>"kg/cm²,kPa,mm Hg,psi"</formula1>
    </dataValidation>
    <dataValidation type="list" allowBlank="1" showInputMessage="1" showErrorMessage="1" sqref="I47 I48" xr:uid="{52DCE499-CDBD-4151-8E92-C19CC3113A30}">
      <formula1>"%vol"</formula1>
    </dataValidation>
    <dataValidation type="list" allowBlank="1" showInputMessage="1" showErrorMessage="1" sqref="I49" xr:uid="{021E0B78-FB50-4614-B3DD-2B731D006C87}">
      <formula1>"mg/l,lb/1000 bbl"</formula1>
    </dataValidation>
    <dataValidation type="list" allowBlank="1" showInputMessage="1" showErrorMessage="1" sqref="I50 I52 I53 I54 I55 I56" xr:uid="{069D12FB-049A-4407-BB4B-E581342F8FAE}">
      <formula1>"mg/kg,mg/l,ppm"</formula1>
    </dataValidation>
    <dataValidation type="list" allowBlank="1" showInputMessage="1" showErrorMessage="1" sqref="I51" xr:uid="{7670F257-74F9-43CF-B10D-843C71E43DD5}">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A4ECE480-8670-4869-9A49-EEC16C7D3B5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5DCAF-3DAE-4559-9BE9-12F9DAB323FD}">
  <sheetPr codeName="Sheet5">
    <tabColor rgb="FFFFCCFF"/>
  </sheetPr>
  <dimension ref="A1:BW167"/>
  <sheetViews>
    <sheetView tabSelected="1"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230</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712</v>
      </c>
      <c r="D7" s="260"/>
      <c r="E7" s="126" t="s">
        <v>750</v>
      </c>
      <c r="F7" s="263"/>
      <c r="G7" s="20"/>
      <c r="H7" s="20"/>
      <c r="I7" s="262" t="s">
        <v>779</v>
      </c>
      <c r="J7" s="246" t="str">
        <f>IF($C7="","",IF(AND($B7="",G7=""),"*",IF(AND($B7="v",NOT(G7="")),"*",IF(AND($B7="",NOT(G7="")),"",IF(AND($B7="v",G7=""),"")))))</f>
        <v>*</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t="s">
        <v>712</v>
      </c>
      <c r="D8" s="260"/>
      <c r="E8" s="126" t="s">
        <v>750</v>
      </c>
      <c r="F8" s="263"/>
      <c r="G8" s="20"/>
      <c r="H8" s="20"/>
      <c r="I8" s="262" t="s">
        <v>780</v>
      </c>
      <c r="J8" s="246" t="str">
        <f t="shared" ref="J8:J71" si="16">IF($C8="","",IF(AND($B8="",G8=""),"*",IF(AND($B8="v",NOT(G8="")),"*",IF(AND($B8="",NOT(G8="")),"",IF(AND($B8="v",G8=""),"")))))</f>
        <v>*</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t="s">
        <v>713</v>
      </c>
      <c r="D9" s="260"/>
      <c r="E9" s="126" t="s">
        <v>778</v>
      </c>
      <c r="F9" s="261"/>
      <c r="G9" s="20"/>
      <c r="H9" s="20"/>
      <c r="I9" s="262" t="s">
        <v>781</v>
      </c>
      <c r="J9" s="246" t="str">
        <f t="shared" si="16"/>
        <v>*</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t="s">
        <v>713</v>
      </c>
      <c r="D10" s="260"/>
      <c r="E10" s="126" t="s">
        <v>752</v>
      </c>
      <c r="F10" s="261"/>
      <c r="G10" s="20"/>
      <c r="H10" s="20"/>
      <c r="I10" s="262" t="s">
        <v>781</v>
      </c>
      <c r="J10" s="246" t="str">
        <f t="shared" si="16"/>
        <v>*</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t="s">
        <v>714</v>
      </c>
      <c r="D11" s="260"/>
      <c r="E11" s="126" t="s">
        <v>753</v>
      </c>
      <c r="F11" s="261"/>
      <c r="G11" s="20"/>
      <c r="H11" s="20"/>
      <c r="I11" s="262" t="s">
        <v>781</v>
      </c>
      <c r="J11" s="246" t="str">
        <f t="shared" si="16"/>
        <v>*</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t="s">
        <v>715</v>
      </c>
      <c r="D12" s="260"/>
      <c r="E12" s="126" t="s">
        <v>750</v>
      </c>
      <c r="F12" s="263"/>
      <c r="G12" s="20"/>
      <c r="H12" s="20"/>
      <c r="I12" s="262" t="s">
        <v>780</v>
      </c>
      <c r="J12" s="246" t="str">
        <f t="shared" si="16"/>
        <v>*</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t="s">
        <v>716</v>
      </c>
      <c r="D13" s="260"/>
      <c r="E13" s="126" t="s">
        <v>754</v>
      </c>
      <c r="F13" s="261"/>
      <c r="G13" s="20"/>
      <c r="H13" s="20"/>
      <c r="I13" s="19" t="s">
        <v>782</v>
      </c>
      <c r="J13" s="246" t="str">
        <f t="shared" si="16"/>
        <v>*</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t="s">
        <v>717</v>
      </c>
      <c r="D14" s="260"/>
      <c r="E14" s="126" t="s">
        <v>755</v>
      </c>
      <c r="F14" s="261"/>
      <c r="G14" s="20"/>
      <c r="H14" s="20"/>
      <c r="I14" s="262" t="s">
        <v>783</v>
      </c>
      <c r="J14" s="246" t="str">
        <f t="shared" si="16"/>
        <v>*</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t="s">
        <v>718</v>
      </c>
      <c r="D15" s="260"/>
      <c r="E15" s="126" t="s">
        <v>755</v>
      </c>
      <c r="F15" s="261"/>
      <c r="G15" s="20"/>
      <c r="H15" s="20"/>
      <c r="I15" s="262" t="s">
        <v>781</v>
      </c>
      <c r="J15" s="246" t="str">
        <f t="shared" si="16"/>
        <v>*</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t="s">
        <v>719</v>
      </c>
      <c r="D16" s="260"/>
      <c r="E16" s="126" t="s">
        <v>756</v>
      </c>
      <c r="F16" s="261"/>
      <c r="G16" s="20"/>
      <c r="H16" s="20"/>
      <c r="I16" s="262" t="s">
        <v>784</v>
      </c>
      <c r="J16" s="246" t="str">
        <f t="shared" si="16"/>
        <v>*</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t="s">
        <v>720</v>
      </c>
      <c r="D17" s="260"/>
      <c r="E17" s="126" t="s">
        <v>757</v>
      </c>
      <c r="F17" s="261"/>
      <c r="G17" s="20"/>
      <c r="H17" s="20"/>
      <c r="I17" s="262" t="s">
        <v>784</v>
      </c>
      <c r="J17" s="246" t="str">
        <f t="shared" si="16"/>
        <v>*</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t="s">
        <v>721</v>
      </c>
      <c r="D18" s="260"/>
      <c r="E18" s="126" t="s">
        <v>758</v>
      </c>
      <c r="F18" s="261"/>
      <c r="G18" s="20"/>
      <c r="H18" s="20"/>
      <c r="I18" s="262" t="s">
        <v>784</v>
      </c>
      <c r="J18" s="246" t="str">
        <f t="shared" si="16"/>
        <v>*</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t="s">
        <v>722</v>
      </c>
      <c r="D19" s="260"/>
      <c r="E19" s="126" t="s">
        <v>759</v>
      </c>
      <c r="F19" s="261"/>
      <c r="G19" s="20"/>
      <c r="H19" s="20"/>
      <c r="I19" s="262" t="s">
        <v>784</v>
      </c>
      <c r="J19" s="246" t="str">
        <f t="shared" si="16"/>
        <v>*</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t="s">
        <v>723</v>
      </c>
      <c r="D20" s="260"/>
      <c r="E20" s="126" t="s">
        <v>755</v>
      </c>
      <c r="F20" s="261"/>
      <c r="G20" s="20"/>
      <c r="H20" s="20"/>
      <c r="I20" s="262" t="s">
        <v>781</v>
      </c>
      <c r="J20" s="246" t="str">
        <f t="shared" si="16"/>
        <v>*</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t="s">
        <v>724</v>
      </c>
      <c r="D21" s="260"/>
      <c r="E21" s="126" t="s">
        <v>760</v>
      </c>
      <c r="F21" s="261"/>
      <c r="G21" s="20"/>
      <c r="H21" s="20"/>
      <c r="I21" s="262" t="s">
        <v>781</v>
      </c>
      <c r="J21" s="246" t="str">
        <f t="shared" si="16"/>
        <v>*</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t="s">
        <v>725</v>
      </c>
      <c r="D22" s="260"/>
      <c r="E22" s="126" t="s">
        <v>755</v>
      </c>
      <c r="F22" s="261"/>
      <c r="G22" s="20"/>
      <c r="H22" s="20"/>
      <c r="I22" s="19" t="s">
        <v>785</v>
      </c>
      <c r="J22" s="246" t="str">
        <f t="shared" si="16"/>
        <v>*</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t="s">
        <v>726</v>
      </c>
      <c r="D23" s="260"/>
      <c r="E23" s="126" t="s">
        <v>761</v>
      </c>
      <c r="F23" s="261"/>
      <c r="G23" s="20"/>
      <c r="H23" s="20"/>
      <c r="I23" s="262" t="s">
        <v>781</v>
      </c>
      <c r="J23" s="246" t="str">
        <f t="shared" si="16"/>
        <v>*</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t="s">
        <v>727</v>
      </c>
      <c r="D24" s="260"/>
      <c r="E24" s="126" t="s">
        <v>762</v>
      </c>
      <c r="F24" s="261"/>
      <c r="G24" s="20"/>
      <c r="H24" s="20"/>
      <c r="I24" s="262" t="s">
        <v>785</v>
      </c>
      <c r="J24" s="246" t="str">
        <f t="shared" si="16"/>
        <v>*</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t="s">
        <v>728</v>
      </c>
      <c r="D25" s="260"/>
      <c r="E25" s="126" t="s">
        <v>763</v>
      </c>
      <c r="F25" s="261"/>
      <c r="G25" s="20"/>
      <c r="H25" s="20"/>
      <c r="I25" s="262" t="s">
        <v>786</v>
      </c>
      <c r="J25" s="246" t="str">
        <f t="shared" si="16"/>
        <v>*</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t="s">
        <v>729</v>
      </c>
      <c r="D26" s="260"/>
      <c r="E26" s="126" t="s">
        <v>764</v>
      </c>
      <c r="F26" s="261"/>
      <c r="G26" s="20"/>
      <c r="H26" s="20"/>
      <c r="I26" s="262" t="s">
        <v>786</v>
      </c>
      <c r="J26" s="246" t="str">
        <f t="shared" si="16"/>
        <v>*</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t="s">
        <v>730</v>
      </c>
      <c r="D27" s="260"/>
      <c r="E27" s="126" t="s">
        <v>765</v>
      </c>
      <c r="F27" s="261"/>
      <c r="G27" s="20"/>
      <c r="H27" s="20"/>
      <c r="I27" s="262" t="s">
        <v>787</v>
      </c>
      <c r="J27" s="246" t="str">
        <f t="shared" si="16"/>
        <v>*</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t="s">
        <v>731</v>
      </c>
      <c r="D28" s="260"/>
      <c r="E28" s="126" t="s">
        <v>764</v>
      </c>
      <c r="F28" s="261"/>
      <c r="G28" s="20"/>
      <c r="H28" s="20"/>
      <c r="I28" s="262" t="s">
        <v>788</v>
      </c>
      <c r="J28" s="246" t="str">
        <f t="shared" si="16"/>
        <v>*</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t="s">
        <v>732</v>
      </c>
      <c r="D29" s="260"/>
      <c r="E29" s="126" t="s">
        <v>766</v>
      </c>
      <c r="F29" s="261"/>
      <c r="G29" s="20"/>
      <c r="H29" s="20"/>
      <c r="I29" s="262" t="s">
        <v>782</v>
      </c>
      <c r="J29" s="246" t="str">
        <f t="shared" si="16"/>
        <v>*</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t="s">
        <v>733</v>
      </c>
      <c r="D30" s="260"/>
      <c r="E30" s="126" t="s">
        <v>767</v>
      </c>
      <c r="F30" s="261"/>
      <c r="G30" s="20"/>
      <c r="H30" s="20"/>
      <c r="I30" s="262" t="s">
        <v>782</v>
      </c>
      <c r="J30" s="246" t="str">
        <f t="shared" si="16"/>
        <v>*</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t="s">
        <v>734</v>
      </c>
      <c r="D31" s="260"/>
      <c r="E31" s="126" t="s">
        <v>750</v>
      </c>
      <c r="F31" s="263"/>
      <c r="G31" s="20"/>
      <c r="H31" s="20"/>
      <c r="I31" s="19" t="s">
        <v>779</v>
      </c>
      <c r="J31" s="246" t="str">
        <f t="shared" si="16"/>
        <v>*</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t="s">
        <v>735</v>
      </c>
      <c r="D32" s="260"/>
      <c r="E32" s="126" t="s">
        <v>768</v>
      </c>
      <c r="F32" s="261"/>
      <c r="G32" s="20"/>
      <c r="H32" s="20"/>
      <c r="I32" s="262" t="s">
        <v>781</v>
      </c>
      <c r="J32" s="246" t="str">
        <f t="shared" si="16"/>
        <v>*</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t="s">
        <v>736</v>
      </c>
      <c r="D33" s="260"/>
      <c r="E33" s="126" t="s">
        <v>769</v>
      </c>
      <c r="F33" s="261"/>
      <c r="G33" s="20"/>
      <c r="H33" s="20"/>
      <c r="I33" s="262" t="s">
        <v>789</v>
      </c>
      <c r="J33" s="246" t="str">
        <f t="shared" si="16"/>
        <v>*</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t="s">
        <v>737</v>
      </c>
      <c r="D34" s="260"/>
      <c r="E34" s="126" t="s">
        <v>753</v>
      </c>
      <c r="F34" s="261"/>
      <c r="G34" s="20"/>
      <c r="H34" s="20"/>
      <c r="I34" s="262" t="s">
        <v>781</v>
      </c>
      <c r="J34" s="246" t="str">
        <f t="shared" si="16"/>
        <v>*</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t="s">
        <v>737</v>
      </c>
      <c r="D35" s="260"/>
      <c r="E35" s="126" t="s">
        <v>753</v>
      </c>
      <c r="F35" s="261"/>
      <c r="G35" s="20"/>
      <c r="H35" s="20"/>
      <c r="I35" s="262" t="s">
        <v>781</v>
      </c>
      <c r="J35" s="246" t="str">
        <f t="shared" si="16"/>
        <v>*</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t="s">
        <v>738</v>
      </c>
      <c r="D36" s="260"/>
      <c r="E36" s="126" t="s">
        <v>750</v>
      </c>
      <c r="F36" s="261"/>
      <c r="G36" s="20"/>
      <c r="H36" s="20"/>
      <c r="I36" s="262" t="s">
        <v>781</v>
      </c>
      <c r="J36" s="246" t="str">
        <f t="shared" si="16"/>
        <v>*</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t="s">
        <v>737</v>
      </c>
      <c r="D37" s="260"/>
      <c r="E37" s="126" t="s">
        <v>753</v>
      </c>
      <c r="F37" s="261"/>
      <c r="G37" s="20"/>
      <c r="H37" s="20"/>
      <c r="I37" s="262" t="s">
        <v>781</v>
      </c>
      <c r="J37" s="246" t="str">
        <f t="shared" si="16"/>
        <v>*</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t="s">
        <v>737</v>
      </c>
      <c r="D38" s="260"/>
      <c r="E38" s="126" t="s">
        <v>770</v>
      </c>
      <c r="F38" s="261"/>
      <c r="G38" s="20"/>
      <c r="H38" s="20"/>
      <c r="I38" s="262" t="s">
        <v>781</v>
      </c>
      <c r="J38" s="246" t="str">
        <f t="shared" si="16"/>
        <v>*</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t="s">
        <v>737</v>
      </c>
      <c r="D39" s="260"/>
      <c r="E39" s="126" t="s">
        <v>753</v>
      </c>
      <c r="F39" s="261"/>
      <c r="G39" s="20"/>
      <c r="H39" s="20"/>
      <c r="I39" s="262" t="s">
        <v>781</v>
      </c>
      <c r="J39" s="246" t="str">
        <f t="shared" si="16"/>
        <v>*</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t="s">
        <v>739</v>
      </c>
      <c r="D40" s="260"/>
      <c r="E40" s="126" t="s">
        <v>771</v>
      </c>
      <c r="F40" s="261"/>
      <c r="G40" s="20"/>
      <c r="H40" s="20"/>
      <c r="I40" s="262" t="s">
        <v>790</v>
      </c>
      <c r="J40" s="246" t="str">
        <f t="shared" si="16"/>
        <v>*</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t="s">
        <v>740</v>
      </c>
      <c r="D41" s="260"/>
      <c r="E41" s="126" t="s">
        <v>755</v>
      </c>
      <c r="F41" s="261"/>
      <c r="G41" s="20"/>
      <c r="H41" s="20"/>
      <c r="I41" s="262" t="s">
        <v>788</v>
      </c>
      <c r="J41" s="246" t="str">
        <f t="shared" si="16"/>
        <v>*</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t="s">
        <v>741</v>
      </c>
      <c r="D42" s="260"/>
      <c r="E42" s="126" t="s">
        <v>772</v>
      </c>
      <c r="F42" s="261"/>
      <c r="G42" s="20"/>
      <c r="H42" s="20"/>
      <c r="I42" s="262" t="s">
        <v>791</v>
      </c>
      <c r="J42" s="246" t="str">
        <f t="shared" si="16"/>
        <v>*</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t="s">
        <v>742</v>
      </c>
      <c r="D43" s="260"/>
      <c r="E43" s="126" t="s">
        <v>754</v>
      </c>
      <c r="F43" s="261"/>
      <c r="G43" s="20"/>
      <c r="H43" s="20"/>
      <c r="I43" s="19" t="s">
        <v>782</v>
      </c>
      <c r="J43" s="246" t="str">
        <f t="shared" si="16"/>
        <v>*</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t="s">
        <v>743</v>
      </c>
      <c r="D44" s="260"/>
      <c r="E44" s="126" t="s">
        <v>773</v>
      </c>
      <c r="F44" s="261"/>
      <c r="G44" s="20"/>
      <c r="H44" s="20"/>
      <c r="I44" s="262" t="s">
        <v>790</v>
      </c>
      <c r="J44" s="246" t="str">
        <f t="shared" si="16"/>
        <v>*</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t="s">
        <v>744</v>
      </c>
      <c r="D45" s="260"/>
      <c r="E45" s="126" t="s">
        <v>750</v>
      </c>
      <c r="F45" s="263"/>
      <c r="G45" s="20"/>
      <c r="H45" s="20"/>
      <c r="I45" s="262" t="s">
        <v>792</v>
      </c>
      <c r="J45" s="246" t="str">
        <f t="shared" si="16"/>
        <v>*</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t="s">
        <v>745</v>
      </c>
      <c r="D46" s="260"/>
      <c r="E46" s="126" t="s">
        <v>774</v>
      </c>
      <c r="F46" s="261"/>
      <c r="G46" s="20"/>
      <c r="H46" s="20"/>
      <c r="I46" s="262" t="s">
        <v>793</v>
      </c>
      <c r="J46" s="246" t="str">
        <f t="shared" si="16"/>
        <v>*</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t="s">
        <v>746</v>
      </c>
      <c r="D47" s="260"/>
      <c r="E47" s="126" t="s">
        <v>750</v>
      </c>
      <c r="F47" s="261"/>
      <c r="G47" s="20"/>
      <c r="H47" s="20"/>
      <c r="I47" s="19" t="s">
        <v>781</v>
      </c>
      <c r="J47" s="246" t="str">
        <f t="shared" si="16"/>
        <v>*</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t="s">
        <v>746</v>
      </c>
      <c r="D48" s="260"/>
      <c r="E48" s="126" t="s">
        <v>770</v>
      </c>
      <c r="F48" s="261"/>
      <c r="G48" s="20"/>
      <c r="H48" s="20"/>
      <c r="I48" s="19" t="s">
        <v>781</v>
      </c>
      <c r="J48" s="246" t="str">
        <f t="shared" si="16"/>
        <v>*</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t="s">
        <v>747</v>
      </c>
      <c r="D49" s="260"/>
      <c r="E49" s="126" t="s">
        <v>775</v>
      </c>
      <c r="F49" s="261"/>
      <c r="G49" s="20"/>
      <c r="H49" s="20"/>
      <c r="I49" s="262" t="s">
        <v>788</v>
      </c>
      <c r="J49" s="246" t="str">
        <f t="shared" si="16"/>
        <v>*</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t="s">
        <v>748</v>
      </c>
      <c r="D50" s="260"/>
      <c r="E50" s="126" t="s">
        <v>754</v>
      </c>
      <c r="F50" s="261"/>
      <c r="G50" s="20"/>
      <c r="H50" s="20"/>
      <c r="I50" s="262" t="s">
        <v>788</v>
      </c>
      <c r="J50" s="246" t="str">
        <f t="shared" si="16"/>
        <v>*</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t="s">
        <v>749</v>
      </c>
      <c r="D51" s="260"/>
      <c r="E51" s="126" t="s">
        <v>776</v>
      </c>
      <c r="F51" s="261"/>
      <c r="G51" s="20"/>
      <c r="H51" s="20"/>
      <c r="I51" s="19" t="s">
        <v>788</v>
      </c>
      <c r="J51" s="246" t="str">
        <f t="shared" si="16"/>
        <v>*</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t="s">
        <v>748</v>
      </c>
      <c r="D52" s="260"/>
      <c r="E52" s="126" t="s">
        <v>777</v>
      </c>
      <c r="F52" s="261"/>
      <c r="G52" s="20"/>
      <c r="H52" s="20"/>
      <c r="I52" s="262" t="s">
        <v>788</v>
      </c>
      <c r="J52" s="246" t="str">
        <f t="shared" si="16"/>
        <v>*</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t="s">
        <v>748</v>
      </c>
      <c r="D53" s="260"/>
      <c r="E53" s="126" t="s">
        <v>761</v>
      </c>
      <c r="F53" s="261"/>
      <c r="G53" s="20"/>
      <c r="H53" s="20"/>
      <c r="I53" s="262" t="s">
        <v>788</v>
      </c>
      <c r="J53" s="246" t="str">
        <f t="shared" si="16"/>
        <v>*</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t="s">
        <v>748</v>
      </c>
      <c r="D54" s="260"/>
      <c r="E54" s="126" t="s">
        <v>761</v>
      </c>
      <c r="F54" s="261"/>
      <c r="G54" s="20"/>
      <c r="H54" s="20"/>
      <c r="I54" s="262" t="s">
        <v>788</v>
      </c>
      <c r="J54" s="246" t="str">
        <f t="shared" si="16"/>
        <v>*</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t="s">
        <v>748</v>
      </c>
      <c r="D55" s="260"/>
      <c r="E55" s="126" t="s">
        <v>761</v>
      </c>
      <c r="F55" s="261"/>
      <c r="G55" s="20"/>
      <c r="H55" s="20"/>
      <c r="I55" s="262" t="s">
        <v>788</v>
      </c>
      <c r="J55" s="246" t="str">
        <f t="shared" si="16"/>
        <v>*</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t="s">
        <v>748</v>
      </c>
      <c r="D56" s="260"/>
      <c r="E56" s="126" t="s">
        <v>755</v>
      </c>
      <c r="F56" s="261"/>
      <c r="G56" s="20"/>
      <c r="H56" s="20"/>
      <c r="I56" s="262" t="s">
        <v>788</v>
      </c>
      <c r="J56" s="246" t="str">
        <f t="shared" si="16"/>
        <v>*</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188">
      <formula>$B7="v"</formula>
    </cfRule>
  </conditionalFormatting>
  <conditionalFormatting sqref="X7:Y82 T7:U82 AJ7:AK82 AF7:AG82 AB7:AC82 AR7:AS82 AN7:AO82 BH7:BI82 BD7:BE82 AZ7:BA82 BT7:BU82 BP7:BQ82 BL7:BM82">
    <cfRule type="expression" dxfId="2032" priority="184">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6">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90">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94">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7">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201">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205">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1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14">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7">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20">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63">
    <dataValidation type="list" allowBlank="1" showInputMessage="1" showErrorMessage="1" sqref="F2" xr:uid="{291CEDFF-8314-41F0-AEB1-15BF4823C470}">
      <formula1>"1, 2, 3, 4, 5, 6, 7, 8, 9, 10, 11, 12, 13, 14, 15, 16, 17"</formula1>
    </dataValidation>
    <dataValidation type="list" allowBlank="1" showInputMessage="1" showErrorMessage="1" sqref="B7:B82" xr:uid="{6C44A910-2139-40F8-80EF-C10F517C6087}">
      <formula1>"v"</formula1>
    </dataValidation>
    <dataValidation type="list" allowBlank="1" showInputMessage="1" showErrorMessage="1" sqref="BP7:BP82 AV7:AV82 BL7:BL82 BT7:BT82 BH7:BH82 BD7:BD82 AZ7:AZ82" xr:uid="{5D78C487-5663-41F4-89D8-D9CFC05216B1}">
      <formula1>"&lt;, &lt;=, &gt;, &gt;=, ="</formula1>
    </dataValidation>
    <dataValidation type="list" allowBlank="1" showInputMessage="1" showErrorMessage="1" sqref="D7" xr:uid="{4B1B5CD8-D8A1-4330-810B-8A9FE741ADBC}">
      <formula1>"* ,[ASTM] D4176 Procedure 1"</formula1>
    </dataValidation>
    <dataValidation type="list" allowBlank="1" showInputMessage="1" showErrorMessage="1" sqref="D8 D12" xr:uid="{883DE370-E7E6-488A-A666-C9BE6F2B1403}">
      <formula1>"* ,[OTHER] Visual"</formula1>
    </dataValidation>
    <dataValidation type="list" allowBlank="1" showInputMessage="1" showErrorMessage="1" sqref="D9" xr:uid="{F4CB570A-802F-4A2A-B644-E260A05D528A}">
      <formula1>"* ,[ASTM] D5580,[ASTM] D1319,[ASTM] D6839,[ASTM] D5134,[ASTM] D5443"</formula1>
    </dataValidation>
    <dataValidation type="list" allowBlank="1" showInputMessage="1" showErrorMessage="1" sqref="D10" xr:uid="{A47AF470-E6BA-4126-A2F5-DCBC1A35B3FB}">
      <formula1>"* ,[ASTM] D5580,[ASTM] D5443"</formula1>
    </dataValidation>
    <dataValidation type="list" allowBlank="1" showInputMessage="1" showErrorMessage="1" sqref="D11" xr:uid="{C9F6C5D6-227B-4D05-8B74-8E719BEF6DCA}">
      <formula1>"* ,[ASTM] D6839,[ASTM] D5580,[ASTM] D3606,[ASTM] D4053"</formula1>
    </dataValidation>
    <dataValidation type="list" allowBlank="1" showInputMessage="1" showErrorMessage="1" sqref="D13" xr:uid="{2EBAAFB3-535D-45B1-8CD9-A8317DD57EA1}">
      <formula1>"* ,[ASTM] D130"</formula1>
    </dataValidation>
    <dataValidation type="list" allowBlank="1" showInputMessage="1" showErrorMessage="1" sqref="D14" xr:uid="{116C874D-F6D2-4B50-8B7C-2DEFF2C8308A}">
      <formula1>"* ,[ASTM] D4052,[ASTM] D1298"</formula1>
    </dataValidation>
    <dataValidation type="list" allowBlank="1" showInputMessage="1" showErrorMessage="1" sqref="D15 D16 D17 D18 D19 D20 D21" xr:uid="{729C9DD8-C8F6-4E20-901D-25121CD02285}">
      <formula1>"* ,[ASTM] D86"</formula1>
    </dataValidation>
    <dataValidation type="list" allowBlank="1" showInputMessage="1" showErrorMessage="1" sqref="D22" xr:uid="{5C33BF9B-4B73-49EC-B8BF-CF305DB8FD22}">
      <formula1>"* ,[OTHER] CGSB 3.5"</formula1>
    </dataValidation>
    <dataValidation type="list" allowBlank="1" showInputMessage="1" showErrorMessage="1" sqref="D23 D33 D36" xr:uid="{D704BB24-9976-4A63-B928-5DAFED9758E5}">
      <formula1>"* ,[ASTM] D4815-04"</formula1>
    </dataValidation>
    <dataValidation type="list" allowBlank="1" showInputMessage="1" showErrorMessage="1" sqref="D24" xr:uid="{347FD50A-45C9-4727-B189-0824ADB3EE23}">
      <formula1>"* ,[OTHER] Calculation"</formula1>
    </dataValidation>
    <dataValidation type="list" allowBlank="1" showInputMessage="1" showErrorMessage="1" sqref="D25 D26" xr:uid="{230016C8-63B5-4C57-AAC4-F100D738C591}">
      <formula1>"* ,[ASTM] D381"</formula1>
    </dataValidation>
    <dataValidation type="list" allowBlank="1" showInputMessage="1" showErrorMessage="1" sqref="D27" xr:uid="{F07BB546-0907-45D6-91FF-7CEA0AF40259}">
      <formula1>"* ,[ASTM] D525"</formula1>
    </dataValidation>
    <dataValidation type="list" allowBlank="1" showInputMessage="1" showErrorMessage="1" sqref="D28" xr:uid="{D0DC3F19-D33C-48BE-871F-C14FBF38FB07}">
      <formula1>"* ,[IP] IP 352,[ASTM] D3237,[ASTM] D5059"</formula1>
    </dataValidation>
    <dataValidation type="list" allowBlank="1" showInputMessage="1" showErrorMessage="1" sqref="D29" xr:uid="{5E88FDCE-EDEC-44B6-8806-1D6ACDF89F12}">
      <formula1>"* ,[ASTM] D2700"</formula1>
    </dataValidation>
    <dataValidation type="list" allowBlank="1" showInputMessage="1" showErrorMessage="1" sqref="D30" xr:uid="{897C1875-72BF-4412-952D-C1AE2D3024EA}">
      <formula1>"* ,[ASTM] D2699"</formula1>
    </dataValidation>
    <dataValidation type="list" allowBlank="1" showInputMessage="1" showErrorMessage="1" sqref="D31" xr:uid="{104E207F-88A7-464E-B0E0-E5ECC0478E02}">
      <formula1>"* ,[OTHER] Odor"</formula1>
    </dataValidation>
    <dataValidation type="list" allowBlank="1" showInputMessage="1" showErrorMessage="1" sqref="D32" xr:uid="{9DD2A02A-1E51-47CD-A6D3-8F5EBB9E8266}">
      <formula1>"* ,[ASTM] D1319"</formula1>
    </dataValidation>
    <dataValidation type="list" allowBlank="1" showInputMessage="1" showErrorMessage="1" sqref="D34 D35 D37 D38 D39" xr:uid="{0FF80C54-97B9-4834-A307-6DC997EA05C1}">
      <formula1>"* ,[ASTM] D4815"</formula1>
    </dataValidation>
    <dataValidation type="list" allowBlank="1" showInputMessage="1" showErrorMessage="1" sqref="D40" xr:uid="{832D5CBC-7E55-482A-9979-98C6AB01F715}">
      <formula1>"[IP] IP 336,[ASTM] D5453,[ASTM] D2622"</formula1>
    </dataValidation>
    <dataValidation type="list" allowBlank="1" showInputMessage="1" showErrorMessage="1" sqref="D41" xr:uid="{6405A1AF-1D9F-470C-8FB9-CB66FFC2FE8D}">
      <formula1>"* ,[ASTM] D5452"</formula1>
    </dataValidation>
    <dataValidation type="list" allowBlank="1" showInputMessage="1" showErrorMessage="1" sqref="D42" xr:uid="{23A3956B-F9C6-424D-B77F-4BBC44EF7A40}">
      <formula1>"* ,[ASTM] D3231"</formula1>
    </dataValidation>
    <dataValidation type="list" allowBlank="1" showInputMessage="1" showErrorMessage="1" sqref="D43" xr:uid="{08800F34-9496-4D94-A5E8-55A0714B697D}">
      <formula1>"* ,[ASTM] D7671"</formula1>
    </dataValidation>
    <dataValidation type="list" allowBlank="1" showInputMessage="1" showErrorMessage="1" sqref="D44" xr:uid="{01F8CA48-4BC4-4FB4-9380-605A96C280E8}">
      <formula1>"* ,[IP] IP 342,[ASTM] D3227"</formula1>
    </dataValidation>
    <dataValidation type="list" allowBlank="1" showInputMessage="1" showErrorMessage="1" sqref="D45" xr:uid="{B86FB28F-A0A4-4275-AA59-6B40C3EBCBAD}">
      <formula1>"* ,[ASTM] D4952,[IP] IP 30"</formula1>
    </dataValidation>
    <dataValidation type="list" allowBlank="1" showInputMessage="1" showErrorMessage="1" sqref="D46" xr:uid="{3898785B-2E0A-470C-92E9-032C9FBD3022}">
      <formula1>"* ,[ASTM] D5191 (ASTM),[ASTM] D323"</formula1>
    </dataValidation>
    <dataValidation type="list" allowBlank="1" showInputMessage="1" showErrorMessage="1" sqref="D47 D48" xr:uid="{9A30818A-A539-4BC0-BA76-F346B05B7585}">
      <formula1>"* ,[OTHER] Declaration"</formula1>
    </dataValidation>
    <dataValidation type="list" allowBlank="1" showInputMessage="1" showErrorMessage="1" sqref="D49" xr:uid="{5BB4D57A-EC5F-40F8-9CBF-09C3E7476D5D}">
      <formula1>"* ,[OTHER] Not Listed"</formula1>
    </dataValidation>
    <dataValidation type="list" allowBlank="1" showInputMessage="1" showErrorMessage="1" sqref="D50 D52 D53 D54 D55 D56" xr:uid="{81DC578D-6FCF-4981-97D2-0051945EA876}">
      <formula1>"* ,[OTHER] Additives (declaration)"</formula1>
    </dataValidation>
    <dataValidation type="list" allowBlank="1" showInputMessage="1" showErrorMessage="1" sqref="D51" xr:uid="{A9474A43-F1B6-4418-A8EB-5719511C3DDB}">
      <formula1>"* ,[OTHER] Additive - Antioxidant (declaration)"</formula1>
    </dataValidation>
    <dataValidation type="list" allowBlank="1" showInputMessage="1" showErrorMessage="1" sqref="I7 I8" xr:uid="{80B71C54-4E5E-4CCA-ADA6-A14BC174B52F}">
      <formula1>"pass/fail,visual"</formula1>
    </dataValidation>
    <dataValidation type="list" allowBlank="1" showInputMessage="1" showErrorMessage="1" sqref="I9 I10" xr:uid="{80441743-80E5-4786-BD2B-BC9284B3C017}">
      <formula1>"ppm,%liq vol,%m/m,%mole,%vol"</formula1>
    </dataValidation>
    <dataValidation type="list" allowBlank="1" showInputMessage="1" showErrorMessage="1" sqref="I11" xr:uid="{69F698F7-3DAD-4F04-8065-52DD0D89B7F6}">
      <formula1>"mg/kg,ppm v/v,ppm w/w,%wt,%vol"</formula1>
    </dataValidation>
    <dataValidation type="list" allowBlank="1" showInputMessage="1" showErrorMessage="1" sqref="I12" xr:uid="{F26B9495-A6A0-4BB4-9AE3-D4725B9A08AF}">
      <formula1>"haze no,Pt/Co scale,pass/fail,rating,visual"</formula1>
    </dataValidation>
    <dataValidation type="list" allowBlank="1" showInputMessage="1" showErrorMessage="1" sqref="I13 I43" xr:uid="{B43036E2-A28D-42B1-9E54-E63B9BB729AD}">
      <formula1>"rating"</formula1>
    </dataValidation>
    <dataValidation type="list" allowBlank="1" showInputMessage="1" showErrorMessage="1" sqref="I14" xr:uid="{195A9260-4233-4943-838B-1A1DFB5CEB70}">
      <formula1>"g/ cc,g/l,g/cm³,g/ml,kg/m³,kg/l,n/a,tonne/m³"</formula1>
    </dataValidation>
    <dataValidation type="list" allowBlank="1" showInputMessage="1" showErrorMessage="1" sqref="I15 I16 I17 I18 I19 I20 I21" xr:uid="{7BEB038D-52FD-4525-8EA6-EB6381D78CA8}">
      <formula1>"°C,°F,%,%vol"</formula1>
    </dataValidation>
    <dataValidation type="list" allowBlank="1" showInputMessage="1" showErrorMessage="1" sqref="I22" xr:uid="{6E06802D-97CD-4D21-BADC-2D9B4B7057B5}">
      <formula1>"calc"</formula1>
    </dataValidation>
    <dataValidation type="list" allowBlank="1" showInputMessage="1" showErrorMessage="1" sqref="I23" xr:uid="{9426441B-3566-4FED-B54D-61DA3443C07B}">
      <formula1>"ppm,%vol"</formula1>
    </dataValidation>
    <dataValidation type="list" allowBlank="1" showInputMessage="1" showErrorMessage="1" sqref="I24" xr:uid="{61756CF0-2743-48FD-873A-73C37BF8F454}">
      <formula1>"calc,Min,Max,min/max"</formula1>
    </dataValidation>
    <dataValidation type="list" allowBlank="1" showInputMessage="1" showErrorMessage="1" sqref="I25 I26" xr:uid="{4222417D-4F88-4831-AB2D-9C1DD7F9A28D}">
      <formula1>"g/m³,mg/100ml,mg/l"</formula1>
    </dataValidation>
    <dataValidation type="list" allowBlank="1" showInputMessage="1" showErrorMessage="1" sqref="I27" xr:uid="{FE3AC6AA-9AD2-4519-9BB4-BC1BC0B49E72}">
      <formula1>"g/cm³,hrs,kg/m³,mg/100ml,mg/l,mins,rating"</formula1>
    </dataValidation>
    <dataValidation type="list" allowBlank="1" showInputMessage="1" showErrorMessage="1" sqref="I28" xr:uid="{B584F473-8EC7-4E5F-A39E-337B995F4FF9}">
      <formula1>"g Pb/l,g Pb/US gal,g/US gal,mg/kg,mg/l,ppb,ppm,ppm w/w,%vol"</formula1>
    </dataValidation>
    <dataValidation type="list" allowBlank="1" showInputMessage="1" showErrorMessage="1" sqref="I29 I30" xr:uid="{ECB36985-301F-49E7-9A30-55C11AC396CB}">
      <formula1>"mg/kg,mg/l,ppm,ppm w/w,%wt,rating"</formula1>
    </dataValidation>
    <dataValidation type="list" allowBlank="1" showInputMessage="1" showErrorMessage="1" sqref="I31" xr:uid="{FBCAA9F2-FEC4-4F8F-BAFB-E7EFE5E59EBF}">
      <formula1>"pass/fail"</formula1>
    </dataValidation>
    <dataValidation type="list" allowBlank="1" showInputMessage="1" showErrorMessage="1" sqref="I32" xr:uid="{6C59B3E2-F9F8-4D73-AF39-EE892FB50005}">
      <formula1>"ppm,%liq vol,%m/m,%mole,%wt,%vol"</formula1>
    </dataValidation>
    <dataValidation type="list" allowBlank="1" showInputMessage="1" showErrorMessage="1" sqref="I33" xr:uid="{FABD245D-A9FA-4102-AAC9-F82A2AE959BB}">
      <formula1>"%m,%mole,%vol,ppm-mol"</formula1>
    </dataValidation>
    <dataValidation type="list" allowBlank="1" showInputMessage="1" showErrorMessage="1" sqref="I34 I35 I37 I38 I39" xr:uid="{F03D7AC9-7A1B-49AB-A950-9C4E9E33B80A}">
      <formula1>"mg/100ml,mg/kg,ppm,ppm v/v,%m/m,%mole,%wt,%vol"</formula1>
    </dataValidation>
    <dataValidation type="list" allowBlank="1" showInputMessage="1" showErrorMessage="1" sqref="I36" xr:uid="{A131F493-D84A-43E6-85D3-D66EAE179565}">
      <formula1>"ppm w/w,%vol"</formula1>
    </dataValidation>
    <dataValidation type="list" allowBlank="1" showInputMessage="1" showErrorMessage="1" sqref="I40" xr:uid="{5DBFEFF6-823B-4B3A-9D87-1CAC3181428E}">
      <formula1>"μg/g,mg/kg,mg/l,ppm,%m,%m/m,%wt"</formula1>
    </dataValidation>
    <dataValidation type="list" allowBlank="1" showInputMessage="1" showErrorMessage="1" sqref="I41" xr:uid="{EBBD26EE-259C-4DCB-8866-96AD292757A0}">
      <formula1>"g/cm³,μm,mg/100ml,mg/kg,mg/l,mins,ppm,%liq vol"</formula1>
    </dataValidation>
    <dataValidation type="list" allowBlank="1" showInputMessage="1" showErrorMessage="1" sqref="I42" xr:uid="{9C338133-F2D1-4FAD-90C4-0CEC03767AC4}">
      <formula1>"g P/US gal,mg P/l"</formula1>
    </dataValidation>
    <dataValidation type="list" allowBlank="1" showInputMessage="1" showErrorMessage="1" sqref="I44" xr:uid="{DCFD342D-48E9-4F54-A352-459C623C3A47}">
      <formula1>"mg/kg,mg/m³,ppm,%m,%m/m,%mole,%wt,%vol"</formula1>
    </dataValidation>
    <dataValidation type="list" allowBlank="1" showInputMessage="1" showErrorMessage="1" sqref="I45" xr:uid="{EC05FE32-6E66-4F04-BBDF-52E23E64C809}">
      <formula1>"pos/neg,pass/fail"</formula1>
    </dataValidation>
    <dataValidation type="list" allowBlank="1" showInputMessage="1" showErrorMessage="1" sqref="I46" xr:uid="{981B36C1-1106-4B98-ABD7-E3B0E38D6254}">
      <formula1>"kg/cm²,kPa,mm Hg,psi"</formula1>
    </dataValidation>
    <dataValidation type="list" allowBlank="1" showInputMessage="1" showErrorMessage="1" sqref="I47 I48" xr:uid="{84C9251E-E9E3-46CB-8BA2-39AAB638137C}">
      <formula1>"%vol"</formula1>
    </dataValidation>
    <dataValidation type="list" allowBlank="1" showInputMessage="1" showErrorMessage="1" sqref="I49" xr:uid="{28F1FCC4-4C15-4B87-9BD2-3C028A93F8CB}">
      <formula1>"mg/l,lb/1000 bbl"</formula1>
    </dataValidation>
    <dataValidation type="list" allowBlank="1" showInputMessage="1" showErrorMessage="1" sqref="I50 I52 I53 I54 I55 I56" xr:uid="{22A60C65-F89E-4706-8DBD-F39B6CA4038F}">
      <formula1>"mg/kg,mg/l,ppm"</formula1>
    </dataValidation>
    <dataValidation type="list" allowBlank="1" showInputMessage="1" showErrorMessage="1" sqref="I51" xr:uid="{648B5FC6-5D68-4522-89ED-E3355F250149}">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2F5A045E-97B9-42E5-B53B-852C2AB1D496}">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40E81E3-99EC-48B1-BED4-CF003533B5DD}">
          <x14:formula1>
            <xm:f>Sheet3!$J$153:$J$168</xm:f>
          </x14:formula1>
          <xm:sqref>H7:H82 N7:N82 R7:R82 V7:V82 Z7:Z82 AD7:AD82 AH7:AH82 AL7:AL82 AP7:AP82 AT7:AT82</xm:sqref>
        </x14:dataValidation>
        <x14:dataValidation type="list" allowBlank="1" showInputMessage="1" showErrorMessage="1" xr:uid="{B75E0F0D-EA5C-426B-BFB4-F569CB3563EE}">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07EB6-B45B-4297-9EED-00C8C1E1308C}">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232</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188">
      <formula>$B7="v"</formula>
    </cfRule>
  </conditionalFormatting>
  <conditionalFormatting sqref="X7:Y82 T7:U82 AJ7:AK82 AF7:AG82 AB7:AC82 AR7:AS82 AN7:AO82 BH7:BI82 BD7:BE82 AZ7:BA82 BT7:BU82 BP7:BQ82 BL7:BM82">
    <cfRule type="expression" dxfId="1805" priority="184">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6">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90">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94">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7">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201">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205">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1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14">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7">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20">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BP7:BP82 AV7:AV82 BL7:BL82 BT7:BT82 BH7:BH82 BD7:BD82 AZ7:AZ82" xr:uid="{C6323D89-80E4-44D0-9CFA-5B7128F08261}">
      <formula1>"&lt;, &lt;=, &gt;, &gt;=, ="</formula1>
    </dataValidation>
    <dataValidation type="list" allowBlank="1" showInputMessage="1" showErrorMessage="1" sqref="B7:B82" xr:uid="{C311C4E5-7D95-4B8F-B109-32BBAA191ED6}">
      <formula1>"v"</formula1>
    </dataValidation>
    <dataValidation type="list" allowBlank="1" showInputMessage="1" showErrorMessage="1" sqref="F2" xr:uid="{3657D769-8B51-40A3-BE2D-955E6184F63D}">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2957F27-41E3-4EF5-BF5F-D832CD3CD436}">
          <x14:formula1>
            <xm:f>Sheet3!$A$2:$A$49</xm:f>
          </x14:formula1>
          <xm:sqref>F3</xm:sqref>
        </x14:dataValidation>
        <x14:dataValidation type="list" allowBlank="1" showInputMessage="1" xr:uid="{AA47E77B-84B9-4534-9A9D-1ED599B27229}">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74412-439E-4A44-8792-11688CA73068}">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233</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188">
      <formula>$B7="v"</formula>
    </cfRule>
  </conditionalFormatting>
  <conditionalFormatting sqref="X7:Y82 T7:U82 AJ7:AK82 AF7:AG82 AB7:AC82 AR7:AS82 AN7:AO82 BH7:BI82 BD7:BE82 AZ7:BA82 BT7:BU82 BP7:BQ82 BL7:BM82">
    <cfRule type="expression" dxfId="1578" priority="184">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6">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90">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94">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7">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201">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205">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1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14">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7">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20">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F2" xr:uid="{C4E529F7-99C6-4881-ABEF-991A609A5667}">
      <formula1>"1, 2, 3, 4, 5, 6, 7, 8, 9, 10, 11, 12, 13, 14, 15, 16, 17"</formula1>
    </dataValidation>
    <dataValidation type="list" allowBlank="1" showInputMessage="1" showErrorMessage="1" sqref="B7:B82" xr:uid="{AE6054D0-6FF9-4F1A-9775-4A34886099C9}">
      <formula1>"v"</formula1>
    </dataValidation>
    <dataValidation type="list" allowBlank="1" showInputMessage="1" showErrorMessage="1" sqref="BP7:BP82 AV7:AV82 BL7:BL82 BT7:BT82 BH7:BH82 BD7:BD82 AZ7:AZ82" xr:uid="{104C3465-6460-4E25-80AE-FEEE5E489AC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A51A287-A270-41D2-A221-FF161E0553E4}">
          <x14:formula1>
            <xm:f>Sheet3!$J$153:$J$168</xm:f>
          </x14:formula1>
          <xm:sqref>H7:H82 N7:N82 R7:R82 V7:V82 Z7:Z82 AD7:AD82 AH7:AH82 AL7:AL82 AP7:AP82 AT7:AT82</xm:sqref>
        </x14:dataValidation>
        <x14:dataValidation type="list" allowBlank="1" showInputMessage="1" showErrorMessage="1" xr:uid="{A89A7B84-3891-45B8-BA24-75E90113B4CC}">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98BE-D3FD-45C9-AA4D-F5F67ED69204}">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234</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188">
      <formula>$B7="v"</formula>
    </cfRule>
  </conditionalFormatting>
  <conditionalFormatting sqref="X7:Y82 T7:U82 AJ7:AK82 AF7:AG82 AB7:AC82 AR7:AS82 AN7:AO82 BH7:BI82 BD7:BE82 AZ7:BA82 BT7:BU82 BP7:BQ82 BL7:BM82">
    <cfRule type="expression" dxfId="1351" priority="184">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6">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90">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94">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7">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201">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205">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1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14">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7">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20">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BP7:BP82 AV7:AV82 BL7:BL82 BT7:BT82 BH7:BH82 BD7:BD82 AZ7:AZ82" xr:uid="{D50FA1C6-32E6-453A-AA3D-0E7D86864DEB}">
      <formula1>"&lt;, &lt;=, &gt;, &gt;=, ="</formula1>
    </dataValidation>
    <dataValidation type="list" allowBlank="1" showInputMessage="1" showErrorMessage="1" sqref="B7:B82" xr:uid="{A05B78BD-19EC-4A60-8515-A0C81EC49820}">
      <formula1>"v"</formula1>
    </dataValidation>
    <dataValidation type="list" allowBlank="1" showInputMessage="1" showErrorMessage="1" sqref="F2" xr:uid="{159AF15D-5263-45E4-87EA-672FC9376C0C}">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EBB0CA6-E168-4336-8D19-F0FC3710D404}">
          <x14:formula1>
            <xm:f>Sheet3!$A$2:$A$49</xm:f>
          </x14:formula1>
          <xm:sqref>F3</xm:sqref>
        </x14:dataValidation>
        <x14:dataValidation type="list" allowBlank="1" showInputMessage="1" xr:uid="{EBD190D8-DCBC-4720-95D6-5AA4B65C0E77}">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7074-BB0D-405A-91C1-F836D394B265}">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235</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188">
      <formula>$B7="v"</formula>
    </cfRule>
  </conditionalFormatting>
  <conditionalFormatting sqref="X7:Y82 T7:U82 AJ7:AK82 AF7:AG82 AB7:AC82 AR7:AS82 AN7:AO82 BH7:BI82 BD7:BE82 AZ7:BA82 BT7:BU82 BP7:BQ82 BL7:BM82">
    <cfRule type="expression" dxfId="1124" priority="184">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6">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90">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94">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7">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201">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205">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1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14">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7">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20">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F2" xr:uid="{81CD6E39-469A-4742-9AC0-051E0EA5CAA7}">
      <formula1>"1, 2, 3, 4, 5, 6, 7, 8, 9, 10, 11, 12, 13, 14, 15, 16, 17"</formula1>
    </dataValidation>
    <dataValidation type="list" allowBlank="1" showInputMessage="1" showErrorMessage="1" sqref="B7:B82" xr:uid="{8BED341E-1F55-4C0F-ABE6-911EE7DC9503}">
      <formula1>"v"</formula1>
    </dataValidation>
    <dataValidation type="list" allowBlank="1" showInputMessage="1" showErrorMessage="1" sqref="BP7:BP82 AV7:AV82 BL7:BL82 BT7:BT82 BH7:BH82 BD7:BD82 AZ7:AZ82" xr:uid="{C382BBB2-D694-4794-B84F-B9C798CC81E2}">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7A4B54B-62BC-4906-A569-FAADB438EE24}">
          <x14:formula1>
            <xm:f>Sheet3!$J$153:$J$168</xm:f>
          </x14:formula1>
          <xm:sqref>H7:H82 N7:N82 R7:R82 V7:V82 Z7:Z82 AD7:AD82 AH7:AH82 AL7:AL82 AP7:AP82 AT7:AT82</xm:sqref>
        </x14:dataValidation>
        <x14:dataValidation type="list" allowBlank="1" showInputMessage="1" showErrorMessage="1" xr:uid="{ED806298-AB24-4A39-BA5E-AE8DBFB9D0F6}">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10D53-4F68-490C-A24D-6A9BE6B811CB}">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236</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188">
      <formula>$B7="v"</formula>
    </cfRule>
  </conditionalFormatting>
  <conditionalFormatting sqref="X7:Y82 T7:U82 AJ7:AK82 AF7:AG82 AB7:AC82 AR7:AS82 AN7:AO82 BH7:BI82 BD7:BE82 AZ7:BA82 BT7:BU82 BP7:BQ82 BL7:BM82">
    <cfRule type="expression" dxfId="897" priority="184">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6">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90">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94">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7">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201">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205">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1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14">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7">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20">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BP7:BP82 AV7:AV82 BL7:BL82 BT7:BT82 BH7:BH82 BD7:BD82 AZ7:AZ82" xr:uid="{6BD78998-39DE-42E9-BFC4-39269980380D}">
      <formula1>"&lt;, &lt;=, &gt;, &gt;=, ="</formula1>
    </dataValidation>
    <dataValidation type="list" allowBlank="1" showInputMessage="1" showErrorMessage="1" sqref="B7:B82" xr:uid="{E54BED80-8016-4809-8126-7DCFCCEA071F}">
      <formula1>"v"</formula1>
    </dataValidation>
    <dataValidation type="list" allowBlank="1" showInputMessage="1" showErrorMessage="1" sqref="F2" xr:uid="{6EFAAFDA-A00F-4CE3-95FC-46EEAF6A6A1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AAF6E7-6CE3-4F8B-969E-61BBCFF85C03}">
          <x14:formula1>
            <xm:f>Sheet3!$A$2:$A$49</xm:f>
          </x14:formula1>
          <xm:sqref>F3</xm:sqref>
        </x14:dataValidation>
        <x14:dataValidation type="list" allowBlank="1" showInputMessage="1" xr:uid="{0774B80F-C188-4B36-9F6A-B1772A0668DE}">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CE6D2-8863-43BF-A478-68E2C6A8DDA4}">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237</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188">
      <formula>$B7="v"</formula>
    </cfRule>
  </conditionalFormatting>
  <conditionalFormatting sqref="X7:Y82 T7:U82 AJ7:AK82 AF7:AG82 AB7:AC82 AR7:AS82 AN7:AO82 BH7:BI82 BD7:BE82 AZ7:BA82 BT7:BU82 BP7:BQ82 BL7:BM82">
    <cfRule type="expression" dxfId="670" priority="184">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6">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90">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94">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7">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201">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205">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1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14">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7">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20">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F2" xr:uid="{0D707933-47E8-4279-8D96-7AB4B13C7A61}">
      <formula1>"1, 2, 3, 4, 5, 6, 7, 8, 9, 10, 11, 12, 13, 14, 15, 16, 17"</formula1>
    </dataValidation>
    <dataValidation type="list" allowBlank="1" showInputMessage="1" showErrorMessage="1" sqref="B7:B82" xr:uid="{509BC316-E357-4676-8C07-288AA982FA54}">
      <formula1>"v"</formula1>
    </dataValidation>
    <dataValidation type="list" allowBlank="1" showInputMessage="1" showErrorMessage="1" sqref="BP7:BP82 AV7:AV82 BL7:BL82 BT7:BT82 BH7:BH82 BD7:BD82 AZ7:AZ82" xr:uid="{2CE675AC-C262-48BD-B642-5B63FE35476B}">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5BB66A4-DD47-4B22-BD97-035B0757EEE2}">
          <x14:formula1>
            <xm:f>Sheet3!$J$153:$J$168</xm:f>
          </x14:formula1>
          <xm:sqref>H7:H82 N7:N82 R7:R82 V7:V82 Z7:Z82 AD7:AD82 AH7:AH82 AL7:AL82 AP7:AP82 AT7:AT82</xm:sqref>
        </x14:dataValidation>
        <x14:dataValidation type="list" allowBlank="1" showInputMessage="1" showErrorMessage="1" xr:uid="{4B7DDE4E-CAFF-4636-A928-D979347B0884}">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4CA41-F5C9-43E7-8402-9D3D74E6F38E}">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238</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188">
      <formula>$B7="v"</formula>
    </cfRule>
  </conditionalFormatting>
  <conditionalFormatting sqref="X7:Y82 T7:U82 AJ7:AK82 AF7:AG82 AB7:AC82 AR7:AS82 AN7:AO82 BH7:BI82 BD7:BE82 AZ7:BA82 BT7:BU82 BP7:BQ82 BL7:BM82">
    <cfRule type="expression" dxfId="443" priority="184">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6">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90">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94">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7">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201">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205">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1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14">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7">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20">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3F75C62D-4072-4241-97B6-3202CF258563}">
      <formula1>"&lt;, &lt;=, &gt;, &gt;=, ="</formula1>
    </dataValidation>
    <dataValidation type="list" allowBlank="1" showInputMessage="1" showErrorMessage="1" sqref="B7:B82" xr:uid="{598571A9-CED7-4153-A09F-D7AAACC08C73}">
      <formula1>"v"</formula1>
    </dataValidation>
    <dataValidation type="list" allowBlank="1" showInputMessage="1" showErrorMessage="1" sqref="F2" xr:uid="{C85D4A06-3421-435F-820B-41308113B435}">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95F1C46-3071-40FD-A5DE-C38633D13404}">
          <x14:formula1>
            <xm:f>Sheet3!$A$2:$A$49</xm:f>
          </x14:formula1>
          <xm:sqref>F3</xm:sqref>
        </x14:dataValidation>
        <x14:dataValidation type="list" allowBlank="1" showInputMessage="1" xr:uid="{6720C13B-4DA0-47F3-90C2-9375EDF8F89B}">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13675-DD36-4E3E-9A1E-DF7B9BDB78C6}">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9"/>
      <c r="N7" s="257"/>
      <c r="O7" s="246" t="str">
        <f t="shared" ref="O7:O70" si="0">IF(K$4="","",IF($C7="","",IF(AND($B7="",M7=""),"*",IF(AND($B7="v",NOT(M7="")),"*",IF(AND($B7="",NOT(M7="")),"",IF(AND($B7="v",M7=""),""))))))</f>
        <v/>
      </c>
      <c r="P7" s="97"/>
      <c r="Q7" s="257"/>
      <c r="R7" s="257"/>
      <c r="S7" s="246" t="str">
        <f t="shared" ref="S7:S70" si="1">IF(O$4="","",IF($C7="","",IF(AND($B7="",Q7=""),"*",IF(AND($B7="v",NOT(Q7="")),"*",IF(AND($B7="",NOT(Q7="")),"",IF(AND($B7="v",Q7=""),""))))))</f>
        <v/>
      </c>
      <c r="T7" s="97"/>
      <c r="U7" s="257"/>
      <c r="V7" s="257"/>
      <c r="W7" s="246" t="str">
        <f t="shared" ref="W7:W70" si="2">IF(S$4="","",IF($C7="","",IF(AND($B7="",U7=""),"*",IF(AND($B7="v",NOT(U7="")),"*",IF(AND($B7="",NOT(U7="")),"",IF(AND($B7="v",U7=""),""))))))</f>
        <v/>
      </c>
      <c r="X7" s="97"/>
      <c r="Y7" s="257"/>
      <c r="Z7" s="257"/>
      <c r="AA7" s="246" t="str">
        <f t="shared" ref="AA7:AA70" si="3">IF(W$4="","",IF($C7="","",IF(AND($B7="",Y7=""),"*",IF(AND($B7="v",NOT(Y7="")),"*",IF(AND($B7="",NOT(Y7="")),"",IF(AND($B7="v",Y7=""),""))))))</f>
        <v/>
      </c>
      <c r="AB7" s="97"/>
      <c r="AC7" s="257"/>
      <c r="AD7" s="257"/>
      <c r="AE7" s="246" t="str">
        <f t="shared" ref="AE7:AE70" si="4">IF(AA$4="","",IF($C7="","",IF(AND($B7="",AC7=""),"*",IF(AND($B7="v",NOT(AC7="")),"*",IF(AND($B7="",NOT(AC7="")),"",IF(AND($B7="v",AC7=""),""))))))</f>
        <v/>
      </c>
      <c r="AF7" s="97"/>
      <c r="AG7" s="257"/>
      <c r="AH7" s="257"/>
      <c r="AI7" s="246" t="str">
        <f t="shared" ref="AI7:AI70" si="5">IF(AE$4="","",IF($C7="","",IF(AND($B7="",AG7=""),"*",IF(AND($B7="v",NOT(AG7="")),"*",IF(AND($B7="",NOT(AG7="")),"",IF(AND($B7="v",AG7=""),""))))))</f>
        <v/>
      </c>
      <c r="AJ7" s="97"/>
      <c r="AK7" s="257"/>
      <c r="AL7" s="257"/>
      <c r="AM7" s="246" t="str">
        <f t="shared" ref="AM7:AM70" si="6">IF(AI$4="","",IF($C7="","",IF(AND($B7="",AK7=""),"*",IF(AND($B7="v",NOT(AK7="")),"*",IF(AND($B7="",NOT(AK7="")),"",IF(AND($B7="v",AK7=""),""))))))</f>
        <v/>
      </c>
      <c r="AN7" s="97"/>
      <c r="AO7" s="257"/>
      <c r="AP7" s="257"/>
      <c r="AQ7" s="246" t="str">
        <f t="shared" ref="AQ7:AQ70" si="7">IF(AM$4="","",IF($C7="","",IF(AND($B7="",AO7=""),"*",IF(AND($B7="v",NOT(AO7="")),"*",IF(AND($B7="",NOT(AO7="")),"",IF(AND($B7="v",AO7=""),""))))))</f>
        <v/>
      </c>
      <c r="AR7" s="97"/>
      <c r="AS7" s="257"/>
      <c r="AT7" s="257"/>
      <c r="AU7" s="246" t="str">
        <f t="shared" ref="AU7:AU70" si="8">IF(AQ$4="","",IF($C7="","",IF(AND($B7="",AS7=""),"*",IF(AND($B7="v",NOT(AS7="")),"*",IF(AND($B7="",NOT(AS7="")),"",IF(AND($B7="v",AS7=""),""))))))</f>
        <v/>
      </c>
      <c r="AV7" s="97"/>
      <c r="AW7" s="257"/>
      <c r="AX7" s="257"/>
      <c r="AY7" s="246" t="str">
        <f t="shared" ref="AY7:AY70" si="9">IF(AU$4="","",IF($C7="","",IF(AND($B7="",AW7=""),"*",IF(AND($B7="v",NOT(AW7="")),"*",IF(AND($B7="",NOT(AW7="")),"",IF(AND($B7="v",AW7=""),""))))))</f>
        <v/>
      </c>
      <c r="AZ7" s="97"/>
      <c r="BA7" s="257"/>
      <c r="BB7" s="257"/>
      <c r="BC7" s="246" t="str">
        <f t="shared" ref="BC7:BC70" si="10">IF(AY$4="","",IF($C7="","",IF(AND($B7="",BA7=""),"*",IF(AND($B7="v",NOT(BA7="")),"*",IF(AND($B7="",NOT(BA7="")),"",IF(AND($B7="v",BA7=""),""))))))</f>
        <v/>
      </c>
      <c r="BD7" s="97"/>
      <c r="BE7" s="257"/>
      <c r="BF7" s="257"/>
      <c r="BG7" s="246" t="str">
        <f t="shared" ref="BG7:BG70" si="11">IF(BC$4="","",IF($C7="","",IF(AND($B7="",BE7=""),"*",IF(AND($B7="v",NOT(BE7="")),"*",IF(AND($B7="",NOT(BE7="")),"",IF(AND($B7="v",BE7=""),""))))))</f>
        <v/>
      </c>
      <c r="BH7" s="97"/>
      <c r="BI7" s="257"/>
      <c r="BJ7" s="257"/>
      <c r="BK7" s="246" t="str">
        <f t="shared" ref="BK7:BK70" si="12">IF(BG$4="","",IF($C7="","",IF(AND($B7="",BI7=""),"*",IF(AND($B7="v",NOT(BI7="")),"*",IF(AND($B7="",NOT(BI7="")),"",IF(AND($B7="v",BI7=""),""))))))</f>
        <v/>
      </c>
      <c r="BL7" s="97"/>
      <c r="BM7" s="257"/>
      <c r="BN7" s="257"/>
      <c r="BO7" s="246" t="str">
        <f t="shared" ref="BO7:BO70" si="13">IF(BK$4="","",IF($C7="","",IF(AND($B7="",BM7=""),"*",IF(AND($B7="v",NOT(BM7="")),"*",IF(AND($B7="",NOT(BM7="")),"",IF(AND($B7="v",BM7=""),""))))))</f>
        <v/>
      </c>
      <c r="BP7" s="97"/>
      <c r="BQ7" s="257"/>
      <c r="BR7" s="257"/>
      <c r="BS7" s="246" t="str">
        <f t="shared" ref="BS7:BS70" si="14">IF(BO$4="","",IF($C7="","",IF(AND($B7="",BQ7=""),"*",IF(AND($B7="v",NOT(BQ7="")),"*",IF(AND($B7="",NOT(BQ7="")),"",IF(AND($B7="v",BQ7=""),""))))))</f>
        <v/>
      </c>
      <c r="BT7" s="97"/>
      <c r="BU7" s="257"/>
      <c r="BV7" s="257"/>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7"/>
      <c r="O8" s="246" t="str">
        <f t="shared" si="0"/>
        <v/>
      </c>
      <c r="P8" s="97"/>
      <c r="Q8" s="257"/>
      <c r="R8" s="257"/>
      <c r="S8" s="246" t="str">
        <f t="shared" si="1"/>
        <v/>
      </c>
      <c r="T8" s="97"/>
      <c r="U8" s="257"/>
      <c r="V8" s="257"/>
      <c r="W8" s="246" t="str">
        <f t="shared" si="2"/>
        <v/>
      </c>
      <c r="X8" s="97"/>
      <c r="Y8" s="257"/>
      <c r="Z8" s="257"/>
      <c r="AA8" s="246" t="str">
        <f t="shared" si="3"/>
        <v/>
      </c>
      <c r="AB8" s="97"/>
      <c r="AC8" s="257"/>
      <c r="AD8" s="257"/>
      <c r="AE8" s="246" t="str">
        <f t="shared" si="4"/>
        <v/>
      </c>
      <c r="AF8" s="97"/>
      <c r="AG8" s="257"/>
      <c r="AH8" s="257"/>
      <c r="AI8" s="246" t="str">
        <f t="shared" si="5"/>
        <v/>
      </c>
      <c r="AJ8" s="97"/>
      <c r="AK8" s="257"/>
      <c r="AL8" s="257"/>
      <c r="AM8" s="246" t="str">
        <f t="shared" si="6"/>
        <v/>
      </c>
      <c r="AN8" s="97"/>
      <c r="AO8" s="257"/>
      <c r="AP8" s="257"/>
      <c r="AQ8" s="246" t="str">
        <f t="shared" si="7"/>
        <v/>
      </c>
      <c r="AR8" s="97"/>
      <c r="AS8" s="257"/>
      <c r="AT8" s="257"/>
      <c r="AU8" s="246" t="str">
        <f t="shared" si="8"/>
        <v/>
      </c>
      <c r="AV8" s="97"/>
      <c r="AW8" s="257"/>
      <c r="AX8" s="257"/>
      <c r="AY8" s="246" t="str">
        <f t="shared" si="9"/>
        <v/>
      </c>
      <c r="AZ8" s="97"/>
      <c r="BA8" s="257"/>
      <c r="BB8" s="257"/>
      <c r="BC8" s="246" t="str">
        <f t="shared" si="10"/>
        <v/>
      </c>
      <c r="BD8" s="97"/>
      <c r="BE8" s="257"/>
      <c r="BF8" s="257"/>
      <c r="BG8" s="246" t="str">
        <f t="shared" si="11"/>
        <v/>
      </c>
      <c r="BH8" s="97"/>
      <c r="BI8" s="257"/>
      <c r="BJ8" s="257"/>
      <c r="BK8" s="246" t="str">
        <f t="shared" si="12"/>
        <v/>
      </c>
      <c r="BL8" s="97"/>
      <c r="BM8" s="257"/>
      <c r="BN8" s="257"/>
      <c r="BO8" s="246" t="str">
        <f t="shared" si="13"/>
        <v/>
      </c>
      <c r="BP8" s="97"/>
      <c r="BQ8" s="257"/>
      <c r="BR8" s="257"/>
      <c r="BS8" s="246" t="str">
        <f t="shared" si="14"/>
        <v/>
      </c>
      <c r="BT8" s="97"/>
      <c r="BU8" s="257"/>
      <c r="BV8" s="257"/>
      <c r="BW8" s="246" t="str">
        <f t="shared" si="15"/>
        <v/>
      </c>
    </row>
    <row r="9" spans="1:75">
      <c r="A9" s="88">
        <v>3</v>
      </c>
      <c r="B9" s="50"/>
      <c r="C9" s="62"/>
      <c r="D9" s="117"/>
      <c r="E9" s="126"/>
      <c r="F9" s="190"/>
      <c r="G9" s="20"/>
      <c r="H9" s="20"/>
      <c r="I9" s="19"/>
      <c r="J9" s="246" t="str">
        <f t="shared" si="16"/>
        <v/>
      </c>
      <c r="K9" s="7"/>
      <c r="L9" s="97"/>
      <c r="M9" s="259"/>
      <c r="N9" s="257"/>
      <c r="O9" s="246" t="str">
        <f t="shared" si="0"/>
        <v/>
      </c>
      <c r="P9" s="97"/>
      <c r="Q9" s="257"/>
      <c r="R9" s="257"/>
      <c r="S9" s="246" t="str">
        <f t="shared" si="1"/>
        <v/>
      </c>
      <c r="T9" s="97"/>
      <c r="U9" s="257"/>
      <c r="V9" s="257"/>
      <c r="W9" s="246" t="str">
        <f t="shared" si="2"/>
        <v/>
      </c>
      <c r="X9" s="97"/>
      <c r="Y9" s="257"/>
      <c r="Z9" s="257"/>
      <c r="AA9" s="246" t="str">
        <f t="shared" si="3"/>
        <v/>
      </c>
      <c r="AB9" s="97"/>
      <c r="AC9" s="257"/>
      <c r="AD9" s="257"/>
      <c r="AE9" s="246" t="str">
        <f t="shared" si="4"/>
        <v/>
      </c>
      <c r="AF9" s="97"/>
      <c r="AG9" s="257"/>
      <c r="AH9" s="257"/>
      <c r="AI9" s="246" t="str">
        <f t="shared" si="5"/>
        <v/>
      </c>
      <c r="AJ9" s="97"/>
      <c r="AK9" s="257"/>
      <c r="AL9" s="257"/>
      <c r="AM9" s="246" t="str">
        <f t="shared" si="6"/>
        <v/>
      </c>
      <c r="AN9" s="97"/>
      <c r="AO9" s="257"/>
      <c r="AP9" s="257"/>
      <c r="AQ9" s="246" t="str">
        <f t="shared" si="7"/>
        <v/>
      </c>
      <c r="AR9" s="97"/>
      <c r="AS9" s="257"/>
      <c r="AT9" s="257"/>
      <c r="AU9" s="246" t="str">
        <f t="shared" si="8"/>
        <v/>
      </c>
      <c r="AV9" s="97"/>
      <c r="AW9" s="257"/>
      <c r="AX9" s="257"/>
      <c r="AY9" s="246" t="str">
        <f t="shared" si="9"/>
        <v/>
      </c>
      <c r="AZ9" s="97"/>
      <c r="BA9" s="257"/>
      <c r="BB9" s="257"/>
      <c r="BC9" s="246" t="str">
        <f t="shared" si="10"/>
        <v/>
      </c>
      <c r="BD9" s="97"/>
      <c r="BE9" s="257"/>
      <c r="BF9" s="257"/>
      <c r="BG9" s="246" t="str">
        <f t="shared" si="11"/>
        <v/>
      </c>
      <c r="BH9" s="97"/>
      <c r="BI9" s="257"/>
      <c r="BJ9" s="257"/>
      <c r="BK9" s="246" t="str">
        <f t="shared" si="12"/>
        <v/>
      </c>
      <c r="BL9" s="97"/>
      <c r="BM9" s="257"/>
      <c r="BN9" s="257"/>
      <c r="BO9" s="246" t="str">
        <f t="shared" si="13"/>
        <v/>
      </c>
      <c r="BP9" s="97"/>
      <c r="BQ9" s="257"/>
      <c r="BR9" s="257"/>
      <c r="BS9" s="246" t="str">
        <f t="shared" si="14"/>
        <v/>
      </c>
      <c r="BT9" s="97"/>
      <c r="BU9" s="257"/>
      <c r="BV9" s="257"/>
      <c r="BW9" s="246" t="str">
        <f t="shared" si="15"/>
        <v/>
      </c>
    </row>
    <row r="10" spans="1:75">
      <c r="A10" s="88">
        <v>4</v>
      </c>
      <c r="B10" s="50"/>
      <c r="C10" s="62"/>
      <c r="D10" s="117"/>
      <c r="E10" s="126"/>
      <c r="F10" s="190"/>
      <c r="G10" s="20"/>
      <c r="H10" s="20"/>
      <c r="I10" s="19"/>
      <c r="J10" s="246" t="str">
        <f t="shared" si="16"/>
        <v/>
      </c>
      <c r="K10" s="7"/>
      <c r="L10" s="97"/>
      <c r="M10" s="259"/>
      <c r="N10" s="257"/>
      <c r="O10" s="246" t="str">
        <f t="shared" si="0"/>
        <v/>
      </c>
      <c r="P10" s="97"/>
      <c r="Q10" s="257"/>
      <c r="R10" s="257"/>
      <c r="S10" s="246" t="str">
        <f t="shared" si="1"/>
        <v/>
      </c>
      <c r="T10" s="97"/>
      <c r="U10" s="257"/>
      <c r="V10" s="257"/>
      <c r="W10" s="246" t="str">
        <f t="shared" si="2"/>
        <v/>
      </c>
      <c r="X10" s="97"/>
      <c r="Y10" s="257"/>
      <c r="Z10" s="257"/>
      <c r="AA10" s="246" t="str">
        <f t="shared" si="3"/>
        <v/>
      </c>
      <c r="AB10" s="97"/>
      <c r="AC10" s="257"/>
      <c r="AD10" s="257"/>
      <c r="AE10" s="246" t="str">
        <f t="shared" si="4"/>
        <v/>
      </c>
      <c r="AF10" s="97"/>
      <c r="AG10" s="257"/>
      <c r="AH10" s="257"/>
      <c r="AI10" s="246" t="str">
        <f t="shared" si="5"/>
        <v/>
      </c>
      <c r="AJ10" s="97"/>
      <c r="AK10" s="257"/>
      <c r="AL10" s="257"/>
      <c r="AM10" s="246" t="str">
        <f t="shared" si="6"/>
        <v/>
      </c>
      <c r="AN10" s="97"/>
      <c r="AO10" s="257"/>
      <c r="AP10" s="257"/>
      <c r="AQ10" s="246" t="str">
        <f t="shared" si="7"/>
        <v/>
      </c>
      <c r="AR10" s="97"/>
      <c r="AS10" s="257"/>
      <c r="AT10" s="257"/>
      <c r="AU10" s="246" t="str">
        <f t="shared" si="8"/>
        <v/>
      </c>
      <c r="AV10" s="97"/>
      <c r="AW10" s="257"/>
      <c r="AX10" s="257"/>
      <c r="AY10" s="246" t="str">
        <f t="shared" si="9"/>
        <v/>
      </c>
      <c r="AZ10" s="97"/>
      <c r="BA10" s="257"/>
      <c r="BB10" s="257"/>
      <c r="BC10" s="246" t="str">
        <f t="shared" si="10"/>
        <v/>
      </c>
      <c r="BD10" s="97"/>
      <c r="BE10" s="257"/>
      <c r="BF10" s="257"/>
      <c r="BG10" s="246" t="str">
        <f t="shared" si="11"/>
        <v/>
      </c>
      <c r="BH10" s="97"/>
      <c r="BI10" s="257"/>
      <c r="BJ10" s="257"/>
      <c r="BK10" s="246" t="str">
        <f t="shared" si="12"/>
        <v/>
      </c>
      <c r="BL10" s="97"/>
      <c r="BM10" s="257"/>
      <c r="BN10" s="257"/>
      <c r="BO10" s="246" t="str">
        <f t="shared" si="13"/>
        <v/>
      </c>
      <c r="BP10" s="97"/>
      <c r="BQ10" s="257"/>
      <c r="BR10" s="257"/>
      <c r="BS10" s="246" t="str">
        <f t="shared" si="14"/>
        <v/>
      </c>
      <c r="BT10" s="97"/>
      <c r="BU10" s="257"/>
      <c r="BV10" s="257"/>
      <c r="BW10" s="246" t="str">
        <f t="shared" si="15"/>
        <v/>
      </c>
    </row>
    <row r="11" spans="1:75">
      <c r="A11" s="88">
        <v>5</v>
      </c>
      <c r="B11" s="50"/>
      <c r="C11" s="62"/>
      <c r="D11" s="117"/>
      <c r="E11" s="126"/>
      <c r="F11" s="190"/>
      <c r="G11" s="20"/>
      <c r="H11" s="20"/>
      <c r="I11" s="19"/>
      <c r="J11" s="246" t="str">
        <f t="shared" si="16"/>
        <v/>
      </c>
      <c r="K11" s="7"/>
      <c r="L11" s="97"/>
      <c r="M11" s="259"/>
      <c r="N11" s="257"/>
      <c r="O11" s="246" t="str">
        <f t="shared" si="0"/>
        <v/>
      </c>
      <c r="P11" s="97"/>
      <c r="Q11" s="257"/>
      <c r="R11" s="257"/>
      <c r="S11" s="246" t="str">
        <f t="shared" si="1"/>
        <v/>
      </c>
      <c r="T11" s="97"/>
      <c r="U11" s="257"/>
      <c r="V11" s="257"/>
      <c r="W11" s="246" t="str">
        <f t="shared" si="2"/>
        <v/>
      </c>
      <c r="X11" s="97"/>
      <c r="Y11" s="257"/>
      <c r="Z11" s="257"/>
      <c r="AA11" s="246" t="str">
        <f t="shared" si="3"/>
        <v/>
      </c>
      <c r="AB11" s="97"/>
      <c r="AC11" s="257"/>
      <c r="AD11" s="257"/>
      <c r="AE11" s="246" t="str">
        <f t="shared" si="4"/>
        <v/>
      </c>
      <c r="AF11" s="97"/>
      <c r="AG11" s="257"/>
      <c r="AH11" s="257"/>
      <c r="AI11" s="246" t="str">
        <f t="shared" si="5"/>
        <v/>
      </c>
      <c r="AJ11" s="97"/>
      <c r="AK11" s="257"/>
      <c r="AL11" s="257"/>
      <c r="AM11" s="246" t="str">
        <f t="shared" si="6"/>
        <v/>
      </c>
      <c r="AN11" s="97"/>
      <c r="AO11" s="257"/>
      <c r="AP11" s="257"/>
      <c r="AQ11" s="246" t="str">
        <f t="shared" si="7"/>
        <v/>
      </c>
      <c r="AR11" s="97"/>
      <c r="AS11" s="257"/>
      <c r="AT11" s="257"/>
      <c r="AU11" s="246" t="str">
        <f t="shared" si="8"/>
        <v/>
      </c>
      <c r="AV11" s="97"/>
      <c r="AW11" s="257"/>
      <c r="AX11" s="257"/>
      <c r="AY11" s="246" t="str">
        <f t="shared" si="9"/>
        <v/>
      </c>
      <c r="AZ11" s="97"/>
      <c r="BA11" s="257"/>
      <c r="BB11" s="257"/>
      <c r="BC11" s="246" t="str">
        <f t="shared" si="10"/>
        <v/>
      </c>
      <c r="BD11" s="97"/>
      <c r="BE11" s="257"/>
      <c r="BF11" s="257"/>
      <c r="BG11" s="246" t="str">
        <f t="shared" si="11"/>
        <v/>
      </c>
      <c r="BH11" s="97"/>
      <c r="BI11" s="257"/>
      <c r="BJ11" s="257"/>
      <c r="BK11" s="246" t="str">
        <f t="shared" si="12"/>
        <v/>
      </c>
      <c r="BL11" s="97"/>
      <c r="BM11" s="257"/>
      <c r="BN11" s="257"/>
      <c r="BO11" s="246" t="str">
        <f t="shared" si="13"/>
        <v/>
      </c>
      <c r="BP11" s="97"/>
      <c r="BQ11" s="257"/>
      <c r="BR11" s="257"/>
      <c r="BS11" s="246" t="str">
        <f t="shared" si="14"/>
        <v/>
      </c>
      <c r="BT11" s="97"/>
      <c r="BU11" s="257"/>
      <c r="BV11" s="257"/>
      <c r="BW11" s="246" t="str">
        <f t="shared" si="15"/>
        <v/>
      </c>
    </row>
    <row r="12" spans="1:75">
      <c r="A12" s="88">
        <v>6</v>
      </c>
      <c r="B12" s="50"/>
      <c r="C12" s="62"/>
      <c r="D12" s="117"/>
      <c r="E12" s="126"/>
      <c r="F12" s="190"/>
      <c r="G12" s="20"/>
      <c r="H12" s="20"/>
      <c r="I12" s="19"/>
      <c r="J12" s="246" t="str">
        <f t="shared" si="16"/>
        <v/>
      </c>
      <c r="K12" s="7"/>
      <c r="L12" s="97"/>
      <c r="M12" s="259"/>
      <c r="N12" s="257"/>
      <c r="O12" s="246" t="str">
        <f t="shared" si="0"/>
        <v/>
      </c>
      <c r="P12" s="97"/>
      <c r="Q12" s="257"/>
      <c r="R12" s="257"/>
      <c r="S12" s="246" t="str">
        <f t="shared" si="1"/>
        <v/>
      </c>
      <c r="T12" s="97"/>
      <c r="U12" s="257"/>
      <c r="V12" s="257"/>
      <c r="W12" s="246" t="str">
        <f t="shared" si="2"/>
        <v/>
      </c>
      <c r="X12" s="97"/>
      <c r="Y12" s="257"/>
      <c r="Z12" s="257"/>
      <c r="AA12" s="246" t="str">
        <f t="shared" si="3"/>
        <v/>
      </c>
      <c r="AB12" s="97"/>
      <c r="AC12" s="257"/>
      <c r="AD12" s="257"/>
      <c r="AE12" s="246" t="str">
        <f t="shared" si="4"/>
        <v/>
      </c>
      <c r="AF12" s="97"/>
      <c r="AG12" s="257"/>
      <c r="AH12" s="257"/>
      <c r="AI12" s="246" t="str">
        <f t="shared" si="5"/>
        <v/>
      </c>
      <c r="AJ12" s="97"/>
      <c r="AK12" s="257"/>
      <c r="AL12" s="257"/>
      <c r="AM12" s="246" t="str">
        <f t="shared" si="6"/>
        <v/>
      </c>
      <c r="AN12" s="97"/>
      <c r="AO12" s="257"/>
      <c r="AP12" s="257"/>
      <c r="AQ12" s="246" t="str">
        <f t="shared" si="7"/>
        <v/>
      </c>
      <c r="AR12" s="97"/>
      <c r="AS12" s="257"/>
      <c r="AT12" s="257"/>
      <c r="AU12" s="246" t="str">
        <f t="shared" si="8"/>
        <v/>
      </c>
      <c r="AV12" s="97"/>
      <c r="AW12" s="257"/>
      <c r="AX12" s="257"/>
      <c r="AY12" s="246" t="str">
        <f t="shared" si="9"/>
        <v/>
      </c>
      <c r="AZ12" s="97"/>
      <c r="BA12" s="257"/>
      <c r="BB12" s="257"/>
      <c r="BC12" s="246" t="str">
        <f t="shared" si="10"/>
        <v/>
      </c>
      <c r="BD12" s="97"/>
      <c r="BE12" s="257"/>
      <c r="BF12" s="257"/>
      <c r="BG12" s="246" t="str">
        <f t="shared" si="11"/>
        <v/>
      </c>
      <c r="BH12" s="97"/>
      <c r="BI12" s="257"/>
      <c r="BJ12" s="257"/>
      <c r="BK12" s="246" t="str">
        <f t="shared" si="12"/>
        <v/>
      </c>
      <c r="BL12" s="97"/>
      <c r="BM12" s="257"/>
      <c r="BN12" s="257"/>
      <c r="BO12" s="246" t="str">
        <f t="shared" si="13"/>
        <v/>
      </c>
      <c r="BP12" s="97"/>
      <c r="BQ12" s="257"/>
      <c r="BR12" s="257"/>
      <c r="BS12" s="246" t="str">
        <f t="shared" si="14"/>
        <v/>
      </c>
      <c r="BT12" s="97"/>
      <c r="BU12" s="257"/>
      <c r="BV12" s="257"/>
      <c r="BW12" s="246" t="str">
        <f t="shared" si="15"/>
        <v/>
      </c>
    </row>
    <row r="13" spans="1:75">
      <c r="A13" s="88">
        <v>7</v>
      </c>
      <c r="B13" s="50"/>
      <c r="C13" s="62"/>
      <c r="D13" s="117"/>
      <c r="E13" s="126"/>
      <c r="F13" s="190"/>
      <c r="G13" s="20"/>
      <c r="H13" s="20"/>
      <c r="I13" s="19"/>
      <c r="J13" s="246" t="str">
        <f t="shared" si="16"/>
        <v/>
      </c>
      <c r="K13" s="7"/>
      <c r="L13" s="97"/>
      <c r="M13" s="259"/>
      <c r="N13" s="257"/>
      <c r="O13" s="246" t="str">
        <f t="shared" si="0"/>
        <v/>
      </c>
      <c r="P13" s="97"/>
      <c r="Q13" s="257"/>
      <c r="R13" s="257"/>
      <c r="S13" s="246" t="str">
        <f t="shared" si="1"/>
        <v/>
      </c>
      <c r="T13" s="97"/>
      <c r="U13" s="257"/>
      <c r="V13" s="257"/>
      <c r="W13" s="246" t="str">
        <f t="shared" si="2"/>
        <v/>
      </c>
      <c r="X13" s="97"/>
      <c r="Y13" s="257"/>
      <c r="Z13" s="257"/>
      <c r="AA13" s="246" t="str">
        <f t="shared" si="3"/>
        <v/>
      </c>
      <c r="AB13" s="97"/>
      <c r="AC13" s="257"/>
      <c r="AD13" s="257"/>
      <c r="AE13" s="246" t="str">
        <f t="shared" si="4"/>
        <v/>
      </c>
      <c r="AF13" s="97"/>
      <c r="AG13" s="257"/>
      <c r="AH13" s="257"/>
      <c r="AI13" s="246" t="str">
        <f t="shared" si="5"/>
        <v/>
      </c>
      <c r="AJ13" s="97"/>
      <c r="AK13" s="257"/>
      <c r="AL13" s="257"/>
      <c r="AM13" s="246" t="str">
        <f t="shared" si="6"/>
        <v/>
      </c>
      <c r="AN13" s="97"/>
      <c r="AO13" s="257"/>
      <c r="AP13" s="257"/>
      <c r="AQ13" s="246" t="str">
        <f t="shared" si="7"/>
        <v/>
      </c>
      <c r="AR13" s="97"/>
      <c r="AS13" s="257"/>
      <c r="AT13" s="257"/>
      <c r="AU13" s="246" t="str">
        <f t="shared" si="8"/>
        <v/>
      </c>
      <c r="AV13" s="97"/>
      <c r="AW13" s="257"/>
      <c r="AX13" s="257"/>
      <c r="AY13" s="246" t="str">
        <f t="shared" si="9"/>
        <v/>
      </c>
      <c r="AZ13" s="97"/>
      <c r="BA13" s="257"/>
      <c r="BB13" s="257"/>
      <c r="BC13" s="246" t="str">
        <f t="shared" si="10"/>
        <v/>
      </c>
      <c r="BD13" s="97"/>
      <c r="BE13" s="257"/>
      <c r="BF13" s="257"/>
      <c r="BG13" s="246" t="str">
        <f t="shared" si="11"/>
        <v/>
      </c>
      <c r="BH13" s="97"/>
      <c r="BI13" s="257"/>
      <c r="BJ13" s="257"/>
      <c r="BK13" s="246" t="str">
        <f t="shared" si="12"/>
        <v/>
      </c>
      <c r="BL13" s="97"/>
      <c r="BM13" s="257"/>
      <c r="BN13" s="257"/>
      <c r="BO13" s="246" t="str">
        <f t="shared" si="13"/>
        <v/>
      </c>
      <c r="BP13" s="97"/>
      <c r="BQ13" s="257"/>
      <c r="BR13" s="257"/>
      <c r="BS13" s="246" t="str">
        <f t="shared" si="14"/>
        <v/>
      </c>
      <c r="BT13" s="97"/>
      <c r="BU13" s="257"/>
      <c r="BV13" s="257"/>
      <c r="BW13" s="246" t="str">
        <f t="shared" si="15"/>
        <v/>
      </c>
    </row>
    <row r="14" spans="1:75">
      <c r="A14" s="88">
        <v>8</v>
      </c>
      <c r="B14" s="50"/>
      <c r="C14" s="62"/>
      <c r="D14" s="117"/>
      <c r="E14" s="126"/>
      <c r="F14" s="190"/>
      <c r="G14" s="20"/>
      <c r="H14" s="20"/>
      <c r="I14" s="19"/>
      <c r="J14" s="246" t="str">
        <f t="shared" si="16"/>
        <v/>
      </c>
      <c r="K14" s="7"/>
      <c r="L14" s="97"/>
      <c r="M14" s="259"/>
      <c r="N14" s="257"/>
      <c r="O14" s="246" t="str">
        <f t="shared" si="0"/>
        <v/>
      </c>
      <c r="P14" s="97"/>
      <c r="Q14" s="257"/>
      <c r="R14" s="257"/>
      <c r="S14" s="246" t="str">
        <f t="shared" si="1"/>
        <v/>
      </c>
      <c r="T14" s="97"/>
      <c r="U14" s="257"/>
      <c r="V14" s="257"/>
      <c r="W14" s="246" t="str">
        <f t="shared" si="2"/>
        <v/>
      </c>
      <c r="X14" s="97"/>
      <c r="Y14" s="257"/>
      <c r="Z14" s="257"/>
      <c r="AA14" s="246" t="str">
        <f t="shared" si="3"/>
        <v/>
      </c>
      <c r="AB14" s="97"/>
      <c r="AC14" s="257"/>
      <c r="AD14" s="257"/>
      <c r="AE14" s="246" t="str">
        <f t="shared" si="4"/>
        <v/>
      </c>
      <c r="AF14" s="97"/>
      <c r="AG14" s="257"/>
      <c r="AH14" s="257"/>
      <c r="AI14" s="246" t="str">
        <f t="shared" si="5"/>
        <v/>
      </c>
      <c r="AJ14" s="97"/>
      <c r="AK14" s="257"/>
      <c r="AL14" s="257"/>
      <c r="AM14" s="246" t="str">
        <f t="shared" si="6"/>
        <v/>
      </c>
      <c r="AN14" s="97"/>
      <c r="AO14" s="257"/>
      <c r="AP14" s="257"/>
      <c r="AQ14" s="246" t="str">
        <f t="shared" si="7"/>
        <v/>
      </c>
      <c r="AR14" s="97"/>
      <c r="AS14" s="257"/>
      <c r="AT14" s="257"/>
      <c r="AU14" s="246" t="str">
        <f t="shared" si="8"/>
        <v/>
      </c>
      <c r="AV14" s="97"/>
      <c r="AW14" s="257"/>
      <c r="AX14" s="257"/>
      <c r="AY14" s="246" t="str">
        <f t="shared" si="9"/>
        <v/>
      </c>
      <c r="AZ14" s="97"/>
      <c r="BA14" s="257"/>
      <c r="BB14" s="257"/>
      <c r="BC14" s="246" t="str">
        <f t="shared" si="10"/>
        <v/>
      </c>
      <c r="BD14" s="97"/>
      <c r="BE14" s="257"/>
      <c r="BF14" s="257"/>
      <c r="BG14" s="246" t="str">
        <f t="shared" si="11"/>
        <v/>
      </c>
      <c r="BH14" s="97"/>
      <c r="BI14" s="257"/>
      <c r="BJ14" s="257"/>
      <c r="BK14" s="246" t="str">
        <f t="shared" si="12"/>
        <v/>
      </c>
      <c r="BL14" s="97"/>
      <c r="BM14" s="257"/>
      <c r="BN14" s="257"/>
      <c r="BO14" s="246" t="str">
        <f t="shared" si="13"/>
        <v/>
      </c>
      <c r="BP14" s="97"/>
      <c r="BQ14" s="257"/>
      <c r="BR14" s="257"/>
      <c r="BS14" s="246" t="str">
        <f t="shared" si="14"/>
        <v/>
      </c>
      <c r="BT14" s="97"/>
      <c r="BU14" s="257"/>
      <c r="BV14" s="257"/>
      <c r="BW14" s="246" t="str">
        <f t="shared" si="15"/>
        <v/>
      </c>
    </row>
    <row r="15" spans="1:75">
      <c r="A15" s="88">
        <v>9</v>
      </c>
      <c r="B15" s="50"/>
      <c r="C15" s="62"/>
      <c r="D15" s="117"/>
      <c r="E15" s="126"/>
      <c r="F15" s="190"/>
      <c r="G15" s="20"/>
      <c r="H15" s="20"/>
      <c r="I15" s="19"/>
      <c r="J15" s="246" t="str">
        <f t="shared" si="16"/>
        <v/>
      </c>
      <c r="K15" s="7"/>
      <c r="L15" s="97"/>
      <c r="M15" s="259"/>
      <c r="N15" s="257"/>
      <c r="O15" s="246" t="str">
        <f t="shared" si="0"/>
        <v/>
      </c>
      <c r="P15" s="97"/>
      <c r="Q15" s="257"/>
      <c r="R15" s="257"/>
      <c r="S15" s="246" t="str">
        <f t="shared" si="1"/>
        <v/>
      </c>
      <c r="T15" s="97"/>
      <c r="U15" s="257"/>
      <c r="V15" s="257"/>
      <c r="W15" s="246" t="str">
        <f t="shared" si="2"/>
        <v/>
      </c>
      <c r="X15" s="97"/>
      <c r="Y15" s="257"/>
      <c r="Z15" s="257"/>
      <c r="AA15" s="246" t="str">
        <f t="shared" si="3"/>
        <v/>
      </c>
      <c r="AB15" s="97"/>
      <c r="AC15" s="257"/>
      <c r="AD15" s="257"/>
      <c r="AE15" s="246" t="str">
        <f t="shared" si="4"/>
        <v/>
      </c>
      <c r="AF15" s="97"/>
      <c r="AG15" s="257"/>
      <c r="AH15" s="257"/>
      <c r="AI15" s="246" t="str">
        <f t="shared" si="5"/>
        <v/>
      </c>
      <c r="AJ15" s="97"/>
      <c r="AK15" s="257"/>
      <c r="AL15" s="257"/>
      <c r="AM15" s="246" t="str">
        <f t="shared" si="6"/>
        <v/>
      </c>
      <c r="AN15" s="97"/>
      <c r="AO15" s="257"/>
      <c r="AP15" s="257"/>
      <c r="AQ15" s="246" t="str">
        <f t="shared" si="7"/>
        <v/>
      </c>
      <c r="AR15" s="97"/>
      <c r="AS15" s="257"/>
      <c r="AT15" s="257"/>
      <c r="AU15" s="246" t="str">
        <f t="shared" si="8"/>
        <v/>
      </c>
      <c r="AV15" s="97"/>
      <c r="AW15" s="257"/>
      <c r="AX15" s="257"/>
      <c r="AY15" s="246" t="str">
        <f t="shared" si="9"/>
        <v/>
      </c>
      <c r="AZ15" s="97"/>
      <c r="BA15" s="257"/>
      <c r="BB15" s="257"/>
      <c r="BC15" s="246" t="str">
        <f t="shared" si="10"/>
        <v/>
      </c>
      <c r="BD15" s="97"/>
      <c r="BE15" s="257"/>
      <c r="BF15" s="257"/>
      <c r="BG15" s="246" t="str">
        <f t="shared" si="11"/>
        <v/>
      </c>
      <c r="BH15" s="97"/>
      <c r="BI15" s="257"/>
      <c r="BJ15" s="257"/>
      <c r="BK15" s="246" t="str">
        <f t="shared" si="12"/>
        <v/>
      </c>
      <c r="BL15" s="97"/>
      <c r="BM15" s="257"/>
      <c r="BN15" s="257"/>
      <c r="BO15" s="246" t="str">
        <f t="shared" si="13"/>
        <v/>
      </c>
      <c r="BP15" s="97"/>
      <c r="BQ15" s="257"/>
      <c r="BR15" s="257"/>
      <c r="BS15" s="246" t="str">
        <f t="shared" si="14"/>
        <v/>
      </c>
      <c r="BT15" s="97"/>
      <c r="BU15" s="257"/>
      <c r="BV15" s="257"/>
      <c r="BW15" s="246" t="str">
        <f t="shared" si="15"/>
        <v/>
      </c>
    </row>
    <row r="16" spans="1:75">
      <c r="A16" s="88">
        <v>10</v>
      </c>
      <c r="B16" s="50"/>
      <c r="C16" s="62"/>
      <c r="D16" s="117"/>
      <c r="E16" s="126"/>
      <c r="F16" s="190"/>
      <c r="G16" s="20"/>
      <c r="H16" s="20"/>
      <c r="I16" s="19"/>
      <c r="J16" s="246" t="str">
        <f t="shared" si="16"/>
        <v/>
      </c>
      <c r="K16" s="7"/>
      <c r="L16" s="97"/>
      <c r="M16" s="259"/>
      <c r="N16" s="257"/>
      <c r="O16" s="246" t="str">
        <f t="shared" si="0"/>
        <v/>
      </c>
      <c r="P16" s="97"/>
      <c r="Q16" s="257"/>
      <c r="R16" s="257"/>
      <c r="S16" s="246" t="str">
        <f t="shared" si="1"/>
        <v/>
      </c>
      <c r="T16" s="97"/>
      <c r="U16" s="257"/>
      <c r="V16" s="257"/>
      <c r="W16" s="246" t="str">
        <f t="shared" si="2"/>
        <v/>
      </c>
      <c r="X16" s="97"/>
      <c r="Y16" s="257"/>
      <c r="Z16" s="257"/>
      <c r="AA16" s="246" t="str">
        <f t="shared" si="3"/>
        <v/>
      </c>
      <c r="AB16" s="97"/>
      <c r="AC16" s="257"/>
      <c r="AD16" s="257"/>
      <c r="AE16" s="246" t="str">
        <f t="shared" si="4"/>
        <v/>
      </c>
      <c r="AF16" s="97"/>
      <c r="AG16" s="257"/>
      <c r="AH16" s="257"/>
      <c r="AI16" s="246" t="str">
        <f t="shared" si="5"/>
        <v/>
      </c>
      <c r="AJ16" s="97"/>
      <c r="AK16" s="257"/>
      <c r="AL16" s="257"/>
      <c r="AM16" s="246" t="str">
        <f t="shared" si="6"/>
        <v/>
      </c>
      <c r="AN16" s="97"/>
      <c r="AO16" s="257"/>
      <c r="AP16" s="257"/>
      <c r="AQ16" s="246" t="str">
        <f t="shared" si="7"/>
        <v/>
      </c>
      <c r="AR16" s="97"/>
      <c r="AS16" s="257"/>
      <c r="AT16" s="257"/>
      <c r="AU16" s="246" t="str">
        <f t="shared" si="8"/>
        <v/>
      </c>
      <c r="AV16" s="97"/>
      <c r="AW16" s="257"/>
      <c r="AX16" s="257"/>
      <c r="AY16" s="246" t="str">
        <f t="shared" si="9"/>
        <v/>
      </c>
      <c r="AZ16" s="97"/>
      <c r="BA16" s="257"/>
      <c r="BB16" s="257"/>
      <c r="BC16" s="246" t="str">
        <f t="shared" si="10"/>
        <v/>
      </c>
      <c r="BD16" s="97"/>
      <c r="BE16" s="257"/>
      <c r="BF16" s="257"/>
      <c r="BG16" s="246" t="str">
        <f t="shared" si="11"/>
        <v/>
      </c>
      <c r="BH16" s="97"/>
      <c r="BI16" s="257"/>
      <c r="BJ16" s="257"/>
      <c r="BK16" s="246" t="str">
        <f t="shared" si="12"/>
        <v/>
      </c>
      <c r="BL16" s="97"/>
      <c r="BM16" s="257"/>
      <c r="BN16" s="257"/>
      <c r="BO16" s="246" t="str">
        <f t="shared" si="13"/>
        <v/>
      </c>
      <c r="BP16" s="97"/>
      <c r="BQ16" s="257"/>
      <c r="BR16" s="257"/>
      <c r="BS16" s="246" t="str">
        <f t="shared" si="14"/>
        <v/>
      </c>
      <c r="BT16" s="97"/>
      <c r="BU16" s="257"/>
      <c r="BV16" s="257"/>
      <c r="BW16" s="246" t="str">
        <f t="shared" si="15"/>
        <v/>
      </c>
    </row>
    <row r="17" spans="1:75">
      <c r="A17" s="88">
        <v>11</v>
      </c>
      <c r="B17" s="50"/>
      <c r="C17" s="62"/>
      <c r="D17" s="117"/>
      <c r="E17" s="126"/>
      <c r="F17" s="190"/>
      <c r="G17" s="20"/>
      <c r="H17" s="20"/>
      <c r="I17" s="19"/>
      <c r="J17" s="246" t="str">
        <f t="shared" si="16"/>
        <v/>
      </c>
      <c r="K17" s="7"/>
      <c r="L17" s="97"/>
      <c r="M17" s="259"/>
      <c r="N17" s="257"/>
      <c r="O17" s="246" t="str">
        <f t="shared" si="0"/>
        <v/>
      </c>
      <c r="P17" s="97"/>
      <c r="Q17" s="257"/>
      <c r="R17" s="257"/>
      <c r="S17" s="246" t="str">
        <f t="shared" si="1"/>
        <v/>
      </c>
      <c r="T17" s="97"/>
      <c r="U17" s="257"/>
      <c r="V17" s="257"/>
      <c r="W17" s="246" t="str">
        <f t="shared" si="2"/>
        <v/>
      </c>
      <c r="X17" s="97"/>
      <c r="Y17" s="257"/>
      <c r="Z17" s="257"/>
      <c r="AA17" s="246" t="str">
        <f t="shared" si="3"/>
        <v/>
      </c>
      <c r="AB17" s="97"/>
      <c r="AC17" s="257"/>
      <c r="AD17" s="257"/>
      <c r="AE17" s="246" t="str">
        <f t="shared" si="4"/>
        <v/>
      </c>
      <c r="AF17" s="97"/>
      <c r="AG17" s="257"/>
      <c r="AH17" s="257"/>
      <c r="AI17" s="246" t="str">
        <f t="shared" si="5"/>
        <v/>
      </c>
      <c r="AJ17" s="97"/>
      <c r="AK17" s="257"/>
      <c r="AL17" s="257"/>
      <c r="AM17" s="246" t="str">
        <f t="shared" si="6"/>
        <v/>
      </c>
      <c r="AN17" s="97"/>
      <c r="AO17" s="257"/>
      <c r="AP17" s="257"/>
      <c r="AQ17" s="246" t="str">
        <f t="shared" si="7"/>
        <v/>
      </c>
      <c r="AR17" s="97"/>
      <c r="AS17" s="257"/>
      <c r="AT17" s="257"/>
      <c r="AU17" s="246" t="str">
        <f t="shared" si="8"/>
        <v/>
      </c>
      <c r="AV17" s="97"/>
      <c r="AW17" s="257"/>
      <c r="AX17" s="257"/>
      <c r="AY17" s="246" t="str">
        <f t="shared" si="9"/>
        <v/>
      </c>
      <c r="AZ17" s="97"/>
      <c r="BA17" s="257"/>
      <c r="BB17" s="257"/>
      <c r="BC17" s="246" t="str">
        <f t="shared" si="10"/>
        <v/>
      </c>
      <c r="BD17" s="97"/>
      <c r="BE17" s="257"/>
      <c r="BF17" s="257"/>
      <c r="BG17" s="246" t="str">
        <f t="shared" si="11"/>
        <v/>
      </c>
      <c r="BH17" s="97"/>
      <c r="BI17" s="257"/>
      <c r="BJ17" s="257"/>
      <c r="BK17" s="246" t="str">
        <f t="shared" si="12"/>
        <v/>
      </c>
      <c r="BL17" s="97"/>
      <c r="BM17" s="257"/>
      <c r="BN17" s="257"/>
      <c r="BO17" s="246" t="str">
        <f t="shared" si="13"/>
        <v/>
      </c>
      <c r="BP17" s="97"/>
      <c r="BQ17" s="257"/>
      <c r="BR17" s="257"/>
      <c r="BS17" s="246" t="str">
        <f t="shared" si="14"/>
        <v/>
      </c>
      <c r="BT17" s="97"/>
      <c r="BU17" s="257"/>
      <c r="BV17" s="257"/>
      <c r="BW17" s="246" t="str">
        <f t="shared" si="15"/>
        <v/>
      </c>
    </row>
    <row r="18" spans="1:75">
      <c r="A18" s="88">
        <v>12</v>
      </c>
      <c r="B18" s="50"/>
      <c r="C18" s="62"/>
      <c r="D18" s="117"/>
      <c r="E18" s="126"/>
      <c r="F18" s="190"/>
      <c r="G18" s="20"/>
      <c r="H18" s="20"/>
      <c r="I18" s="19"/>
      <c r="J18" s="246" t="str">
        <f t="shared" si="16"/>
        <v/>
      </c>
      <c r="K18" s="7"/>
      <c r="L18" s="97"/>
      <c r="M18" s="259"/>
      <c r="N18" s="257"/>
      <c r="O18" s="246" t="str">
        <f t="shared" si="0"/>
        <v/>
      </c>
      <c r="P18" s="97"/>
      <c r="Q18" s="257"/>
      <c r="R18" s="257"/>
      <c r="S18" s="246" t="str">
        <f t="shared" si="1"/>
        <v/>
      </c>
      <c r="T18" s="97"/>
      <c r="U18" s="257"/>
      <c r="V18" s="257"/>
      <c r="W18" s="246" t="str">
        <f t="shared" si="2"/>
        <v/>
      </c>
      <c r="X18" s="97"/>
      <c r="Y18" s="257"/>
      <c r="Z18" s="257"/>
      <c r="AA18" s="246" t="str">
        <f t="shared" si="3"/>
        <v/>
      </c>
      <c r="AB18" s="97"/>
      <c r="AC18" s="257"/>
      <c r="AD18" s="257"/>
      <c r="AE18" s="246" t="str">
        <f t="shared" si="4"/>
        <v/>
      </c>
      <c r="AF18" s="97"/>
      <c r="AG18" s="257"/>
      <c r="AH18" s="257"/>
      <c r="AI18" s="246" t="str">
        <f t="shared" si="5"/>
        <v/>
      </c>
      <c r="AJ18" s="97"/>
      <c r="AK18" s="257"/>
      <c r="AL18" s="257"/>
      <c r="AM18" s="246" t="str">
        <f t="shared" si="6"/>
        <v/>
      </c>
      <c r="AN18" s="97"/>
      <c r="AO18" s="257"/>
      <c r="AP18" s="257"/>
      <c r="AQ18" s="246" t="str">
        <f t="shared" si="7"/>
        <v/>
      </c>
      <c r="AR18" s="97"/>
      <c r="AS18" s="257"/>
      <c r="AT18" s="257"/>
      <c r="AU18" s="246" t="str">
        <f t="shared" si="8"/>
        <v/>
      </c>
      <c r="AV18" s="97"/>
      <c r="AW18" s="257"/>
      <c r="AX18" s="257"/>
      <c r="AY18" s="246" t="str">
        <f t="shared" si="9"/>
        <v/>
      </c>
      <c r="AZ18" s="97"/>
      <c r="BA18" s="257"/>
      <c r="BB18" s="257"/>
      <c r="BC18" s="246" t="str">
        <f t="shared" si="10"/>
        <v/>
      </c>
      <c r="BD18" s="97"/>
      <c r="BE18" s="257"/>
      <c r="BF18" s="257"/>
      <c r="BG18" s="246" t="str">
        <f t="shared" si="11"/>
        <v/>
      </c>
      <c r="BH18" s="97"/>
      <c r="BI18" s="257"/>
      <c r="BJ18" s="257"/>
      <c r="BK18" s="246" t="str">
        <f t="shared" si="12"/>
        <v/>
      </c>
      <c r="BL18" s="97"/>
      <c r="BM18" s="257"/>
      <c r="BN18" s="257"/>
      <c r="BO18" s="246" t="str">
        <f t="shared" si="13"/>
        <v/>
      </c>
      <c r="BP18" s="97"/>
      <c r="BQ18" s="257"/>
      <c r="BR18" s="257"/>
      <c r="BS18" s="246" t="str">
        <f t="shared" si="14"/>
        <v/>
      </c>
      <c r="BT18" s="97"/>
      <c r="BU18" s="257"/>
      <c r="BV18" s="257"/>
      <c r="BW18" s="246" t="str">
        <f t="shared" si="15"/>
        <v/>
      </c>
    </row>
    <row r="19" spans="1:75">
      <c r="A19" s="88">
        <v>13</v>
      </c>
      <c r="B19" s="50"/>
      <c r="C19" s="62"/>
      <c r="D19" s="117"/>
      <c r="E19" s="126"/>
      <c r="F19" s="190"/>
      <c r="G19" s="20"/>
      <c r="H19" s="20"/>
      <c r="I19" s="19"/>
      <c r="J19" s="246" t="str">
        <f t="shared" si="16"/>
        <v/>
      </c>
      <c r="K19" s="7"/>
      <c r="L19" s="97"/>
      <c r="M19" s="259"/>
      <c r="N19" s="257"/>
      <c r="O19" s="246" t="str">
        <f t="shared" si="0"/>
        <v/>
      </c>
      <c r="P19" s="97"/>
      <c r="Q19" s="257"/>
      <c r="R19" s="257"/>
      <c r="S19" s="246" t="str">
        <f t="shared" si="1"/>
        <v/>
      </c>
      <c r="T19" s="97"/>
      <c r="U19" s="257"/>
      <c r="V19" s="257"/>
      <c r="W19" s="246" t="str">
        <f t="shared" si="2"/>
        <v/>
      </c>
      <c r="X19" s="97"/>
      <c r="Y19" s="257"/>
      <c r="Z19" s="257"/>
      <c r="AA19" s="246" t="str">
        <f t="shared" si="3"/>
        <v/>
      </c>
      <c r="AB19" s="97"/>
      <c r="AC19" s="257"/>
      <c r="AD19" s="257"/>
      <c r="AE19" s="246" t="str">
        <f t="shared" si="4"/>
        <v/>
      </c>
      <c r="AF19" s="97"/>
      <c r="AG19" s="257"/>
      <c r="AH19" s="257"/>
      <c r="AI19" s="246" t="str">
        <f t="shared" si="5"/>
        <v/>
      </c>
      <c r="AJ19" s="97"/>
      <c r="AK19" s="257"/>
      <c r="AL19" s="257"/>
      <c r="AM19" s="246" t="str">
        <f t="shared" si="6"/>
        <v/>
      </c>
      <c r="AN19" s="97"/>
      <c r="AO19" s="257"/>
      <c r="AP19" s="257"/>
      <c r="AQ19" s="246" t="str">
        <f t="shared" si="7"/>
        <v/>
      </c>
      <c r="AR19" s="97"/>
      <c r="AS19" s="257"/>
      <c r="AT19" s="257"/>
      <c r="AU19" s="246" t="str">
        <f t="shared" si="8"/>
        <v/>
      </c>
      <c r="AV19" s="97"/>
      <c r="AW19" s="257"/>
      <c r="AX19" s="257"/>
      <c r="AY19" s="246" t="str">
        <f t="shared" si="9"/>
        <v/>
      </c>
      <c r="AZ19" s="97"/>
      <c r="BA19" s="257"/>
      <c r="BB19" s="257"/>
      <c r="BC19" s="246" t="str">
        <f t="shared" si="10"/>
        <v/>
      </c>
      <c r="BD19" s="97"/>
      <c r="BE19" s="257"/>
      <c r="BF19" s="257"/>
      <c r="BG19" s="246" t="str">
        <f t="shared" si="11"/>
        <v/>
      </c>
      <c r="BH19" s="97"/>
      <c r="BI19" s="257"/>
      <c r="BJ19" s="257"/>
      <c r="BK19" s="246" t="str">
        <f t="shared" si="12"/>
        <v/>
      </c>
      <c r="BL19" s="97"/>
      <c r="BM19" s="257"/>
      <c r="BN19" s="257"/>
      <c r="BO19" s="246" t="str">
        <f t="shared" si="13"/>
        <v/>
      </c>
      <c r="BP19" s="97"/>
      <c r="BQ19" s="257"/>
      <c r="BR19" s="257"/>
      <c r="BS19" s="246" t="str">
        <f t="shared" si="14"/>
        <v/>
      </c>
      <c r="BT19" s="97"/>
      <c r="BU19" s="257"/>
      <c r="BV19" s="257"/>
      <c r="BW19" s="246" t="str">
        <f t="shared" si="15"/>
        <v/>
      </c>
    </row>
    <row r="20" spans="1:75">
      <c r="A20" s="88">
        <v>14</v>
      </c>
      <c r="B20" s="50"/>
      <c r="C20" s="62"/>
      <c r="D20" s="117"/>
      <c r="E20" s="126"/>
      <c r="F20" s="190"/>
      <c r="G20" s="20"/>
      <c r="H20" s="20"/>
      <c r="I20" s="19"/>
      <c r="J20" s="246" t="str">
        <f t="shared" si="16"/>
        <v/>
      </c>
      <c r="K20" s="7"/>
      <c r="L20" s="97"/>
      <c r="M20" s="259"/>
      <c r="N20" s="257"/>
      <c r="O20" s="246" t="str">
        <f t="shared" si="0"/>
        <v/>
      </c>
      <c r="P20" s="97"/>
      <c r="Q20" s="257"/>
      <c r="R20" s="257"/>
      <c r="S20" s="246" t="str">
        <f t="shared" si="1"/>
        <v/>
      </c>
      <c r="T20" s="97"/>
      <c r="U20" s="257"/>
      <c r="V20" s="257"/>
      <c r="W20" s="246" t="str">
        <f t="shared" si="2"/>
        <v/>
      </c>
      <c r="X20" s="97"/>
      <c r="Y20" s="257"/>
      <c r="Z20" s="257"/>
      <c r="AA20" s="246" t="str">
        <f t="shared" si="3"/>
        <v/>
      </c>
      <c r="AB20" s="97"/>
      <c r="AC20" s="257"/>
      <c r="AD20" s="257"/>
      <c r="AE20" s="246" t="str">
        <f t="shared" si="4"/>
        <v/>
      </c>
      <c r="AF20" s="97"/>
      <c r="AG20" s="257"/>
      <c r="AH20" s="257"/>
      <c r="AI20" s="246" t="str">
        <f t="shared" si="5"/>
        <v/>
      </c>
      <c r="AJ20" s="97"/>
      <c r="AK20" s="257"/>
      <c r="AL20" s="257"/>
      <c r="AM20" s="246" t="str">
        <f t="shared" si="6"/>
        <v/>
      </c>
      <c r="AN20" s="97"/>
      <c r="AO20" s="257"/>
      <c r="AP20" s="257"/>
      <c r="AQ20" s="246" t="str">
        <f t="shared" si="7"/>
        <v/>
      </c>
      <c r="AR20" s="97"/>
      <c r="AS20" s="257"/>
      <c r="AT20" s="257"/>
      <c r="AU20" s="246" t="str">
        <f t="shared" si="8"/>
        <v/>
      </c>
      <c r="AV20" s="97"/>
      <c r="AW20" s="257"/>
      <c r="AX20" s="257"/>
      <c r="AY20" s="246" t="str">
        <f t="shared" si="9"/>
        <v/>
      </c>
      <c r="AZ20" s="97"/>
      <c r="BA20" s="257"/>
      <c r="BB20" s="257"/>
      <c r="BC20" s="246" t="str">
        <f t="shared" si="10"/>
        <v/>
      </c>
      <c r="BD20" s="97"/>
      <c r="BE20" s="257"/>
      <c r="BF20" s="257"/>
      <c r="BG20" s="246" t="str">
        <f t="shared" si="11"/>
        <v/>
      </c>
      <c r="BH20" s="97"/>
      <c r="BI20" s="257"/>
      <c r="BJ20" s="257"/>
      <c r="BK20" s="246" t="str">
        <f t="shared" si="12"/>
        <v/>
      </c>
      <c r="BL20" s="97"/>
      <c r="BM20" s="257"/>
      <c r="BN20" s="257"/>
      <c r="BO20" s="246" t="str">
        <f t="shared" si="13"/>
        <v/>
      </c>
      <c r="BP20" s="97"/>
      <c r="BQ20" s="257"/>
      <c r="BR20" s="257"/>
      <c r="BS20" s="246" t="str">
        <f t="shared" si="14"/>
        <v/>
      </c>
      <c r="BT20" s="97"/>
      <c r="BU20" s="257"/>
      <c r="BV20" s="257"/>
      <c r="BW20" s="246" t="str">
        <f t="shared" si="15"/>
        <v/>
      </c>
    </row>
    <row r="21" spans="1:75">
      <c r="A21" s="88">
        <v>15</v>
      </c>
      <c r="B21" s="50"/>
      <c r="C21" s="62"/>
      <c r="D21" s="117"/>
      <c r="E21" s="126"/>
      <c r="F21" s="190"/>
      <c r="G21" s="20"/>
      <c r="H21" s="20"/>
      <c r="I21" s="19"/>
      <c r="J21" s="246" t="str">
        <f t="shared" si="16"/>
        <v/>
      </c>
      <c r="K21" s="7"/>
      <c r="L21" s="97"/>
      <c r="M21" s="259"/>
      <c r="N21" s="257"/>
      <c r="O21" s="246" t="str">
        <f t="shared" si="0"/>
        <v/>
      </c>
      <c r="P21" s="97"/>
      <c r="Q21" s="257"/>
      <c r="R21" s="257"/>
      <c r="S21" s="246" t="str">
        <f t="shared" si="1"/>
        <v/>
      </c>
      <c r="T21" s="97"/>
      <c r="U21" s="257"/>
      <c r="V21" s="257"/>
      <c r="W21" s="246" t="str">
        <f t="shared" si="2"/>
        <v/>
      </c>
      <c r="X21" s="97"/>
      <c r="Y21" s="257"/>
      <c r="Z21" s="257"/>
      <c r="AA21" s="246" t="str">
        <f t="shared" si="3"/>
        <v/>
      </c>
      <c r="AB21" s="97"/>
      <c r="AC21" s="257"/>
      <c r="AD21" s="257"/>
      <c r="AE21" s="246" t="str">
        <f t="shared" si="4"/>
        <v/>
      </c>
      <c r="AF21" s="97"/>
      <c r="AG21" s="257"/>
      <c r="AH21" s="257"/>
      <c r="AI21" s="246" t="str">
        <f t="shared" si="5"/>
        <v/>
      </c>
      <c r="AJ21" s="97"/>
      <c r="AK21" s="257"/>
      <c r="AL21" s="257"/>
      <c r="AM21" s="246" t="str">
        <f t="shared" si="6"/>
        <v/>
      </c>
      <c r="AN21" s="97"/>
      <c r="AO21" s="257"/>
      <c r="AP21" s="257"/>
      <c r="AQ21" s="246" t="str">
        <f t="shared" si="7"/>
        <v/>
      </c>
      <c r="AR21" s="97"/>
      <c r="AS21" s="257"/>
      <c r="AT21" s="257"/>
      <c r="AU21" s="246" t="str">
        <f t="shared" si="8"/>
        <v/>
      </c>
      <c r="AV21" s="97"/>
      <c r="AW21" s="257"/>
      <c r="AX21" s="257"/>
      <c r="AY21" s="246" t="str">
        <f t="shared" si="9"/>
        <v/>
      </c>
      <c r="AZ21" s="97"/>
      <c r="BA21" s="257"/>
      <c r="BB21" s="257"/>
      <c r="BC21" s="246" t="str">
        <f t="shared" si="10"/>
        <v/>
      </c>
      <c r="BD21" s="97"/>
      <c r="BE21" s="257"/>
      <c r="BF21" s="257"/>
      <c r="BG21" s="246" t="str">
        <f t="shared" si="11"/>
        <v/>
      </c>
      <c r="BH21" s="97"/>
      <c r="BI21" s="257"/>
      <c r="BJ21" s="257"/>
      <c r="BK21" s="246" t="str">
        <f t="shared" si="12"/>
        <v/>
      </c>
      <c r="BL21" s="97"/>
      <c r="BM21" s="257"/>
      <c r="BN21" s="257"/>
      <c r="BO21" s="246" t="str">
        <f t="shared" si="13"/>
        <v/>
      </c>
      <c r="BP21" s="97"/>
      <c r="BQ21" s="257"/>
      <c r="BR21" s="257"/>
      <c r="BS21" s="246" t="str">
        <f t="shared" si="14"/>
        <v/>
      </c>
      <c r="BT21" s="97"/>
      <c r="BU21" s="257"/>
      <c r="BV21" s="257"/>
      <c r="BW21" s="246" t="str">
        <f t="shared" si="15"/>
        <v/>
      </c>
    </row>
    <row r="22" spans="1:75">
      <c r="A22" s="88">
        <v>16</v>
      </c>
      <c r="B22" s="50"/>
      <c r="C22" s="62"/>
      <c r="D22" s="117"/>
      <c r="E22" s="126"/>
      <c r="F22" s="190"/>
      <c r="G22" s="20"/>
      <c r="H22" s="20"/>
      <c r="I22" s="19"/>
      <c r="J22" s="246" t="str">
        <f t="shared" si="16"/>
        <v/>
      </c>
      <c r="K22" s="7"/>
      <c r="L22" s="97"/>
      <c r="M22" s="259"/>
      <c r="N22" s="257"/>
      <c r="O22" s="246" t="str">
        <f t="shared" si="0"/>
        <v/>
      </c>
      <c r="P22" s="97"/>
      <c r="Q22" s="257"/>
      <c r="R22" s="257"/>
      <c r="S22" s="246" t="str">
        <f t="shared" si="1"/>
        <v/>
      </c>
      <c r="T22" s="97"/>
      <c r="U22" s="257"/>
      <c r="V22" s="257"/>
      <c r="W22" s="246" t="str">
        <f t="shared" si="2"/>
        <v/>
      </c>
      <c r="X22" s="97"/>
      <c r="Y22" s="257"/>
      <c r="Z22" s="257"/>
      <c r="AA22" s="246" t="str">
        <f t="shared" si="3"/>
        <v/>
      </c>
      <c r="AB22" s="97"/>
      <c r="AC22" s="257"/>
      <c r="AD22" s="257"/>
      <c r="AE22" s="246" t="str">
        <f t="shared" si="4"/>
        <v/>
      </c>
      <c r="AF22" s="97"/>
      <c r="AG22" s="257"/>
      <c r="AH22" s="257"/>
      <c r="AI22" s="246" t="str">
        <f t="shared" si="5"/>
        <v/>
      </c>
      <c r="AJ22" s="97"/>
      <c r="AK22" s="257"/>
      <c r="AL22" s="257"/>
      <c r="AM22" s="246" t="str">
        <f t="shared" si="6"/>
        <v/>
      </c>
      <c r="AN22" s="97"/>
      <c r="AO22" s="257"/>
      <c r="AP22" s="257"/>
      <c r="AQ22" s="246" t="str">
        <f t="shared" si="7"/>
        <v/>
      </c>
      <c r="AR22" s="97"/>
      <c r="AS22" s="257"/>
      <c r="AT22" s="257"/>
      <c r="AU22" s="246" t="str">
        <f t="shared" si="8"/>
        <v/>
      </c>
      <c r="AV22" s="97"/>
      <c r="AW22" s="257"/>
      <c r="AX22" s="257"/>
      <c r="AY22" s="246" t="str">
        <f t="shared" si="9"/>
        <v/>
      </c>
      <c r="AZ22" s="97"/>
      <c r="BA22" s="257"/>
      <c r="BB22" s="257"/>
      <c r="BC22" s="246" t="str">
        <f t="shared" si="10"/>
        <v/>
      </c>
      <c r="BD22" s="97"/>
      <c r="BE22" s="257"/>
      <c r="BF22" s="257"/>
      <c r="BG22" s="246" t="str">
        <f t="shared" si="11"/>
        <v/>
      </c>
      <c r="BH22" s="97"/>
      <c r="BI22" s="257"/>
      <c r="BJ22" s="257"/>
      <c r="BK22" s="246" t="str">
        <f t="shared" si="12"/>
        <v/>
      </c>
      <c r="BL22" s="97"/>
      <c r="BM22" s="257"/>
      <c r="BN22" s="257"/>
      <c r="BO22" s="246" t="str">
        <f t="shared" si="13"/>
        <v/>
      </c>
      <c r="BP22" s="97"/>
      <c r="BQ22" s="257"/>
      <c r="BR22" s="257"/>
      <c r="BS22" s="246" t="str">
        <f t="shared" si="14"/>
        <v/>
      </c>
      <c r="BT22" s="97"/>
      <c r="BU22" s="257"/>
      <c r="BV22" s="257"/>
      <c r="BW22" s="246" t="str">
        <f t="shared" si="15"/>
        <v/>
      </c>
    </row>
    <row r="23" spans="1:75">
      <c r="A23" s="88">
        <v>17</v>
      </c>
      <c r="B23" s="50"/>
      <c r="C23" s="62"/>
      <c r="D23" s="117"/>
      <c r="E23" s="126"/>
      <c r="F23" s="190"/>
      <c r="G23" s="20"/>
      <c r="H23" s="20"/>
      <c r="I23" s="19"/>
      <c r="J23" s="246" t="str">
        <f t="shared" si="16"/>
        <v/>
      </c>
      <c r="K23" s="7"/>
      <c r="L23" s="97"/>
      <c r="M23" s="259"/>
      <c r="N23" s="257"/>
      <c r="O23" s="246" t="str">
        <f t="shared" si="0"/>
        <v/>
      </c>
      <c r="P23" s="97"/>
      <c r="Q23" s="257"/>
      <c r="R23" s="257"/>
      <c r="S23" s="246" t="str">
        <f t="shared" si="1"/>
        <v/>
      </c>
      <c r="T23" s="97"/>
      <c r="U23" s="257"/>
      <c r="V23" s="257"/>
      <c r="W23" s="246" t="str">
        <f t="shared" si="2"/>
        <v/>
      </c>
      <c r="X23" s="97"/>
      <c r="Y23" s="257"/>
      <c r="Z23" s="257"/>
      <c r="AA23" s="246" t="str">
        <f t="shared" si="3"/>
        <v/>
      </c>
      <c r="AB23" s="97"/>
      <c r="AC23" s="257"/>
      <c r="AD23" s="257"/>
      <c r="AE23" s="246" t="str">
        <f t="shared" si="4"/>
        <v/>
      </c>
      <c r="AF23" s="97"/>
      <c r="AG23" s="257"/>
      <c r="AH23" s="257"/>
      <c r="AI23" s="246" t="str">
        <f t="shared" si="5"/>
        <v/>
      </c>
      <c r="AJ23" s="97"/>
      <c r="AK23" s="257"/>
      <c r="AL23" s="257"/>
      <c r="AM23" s="246" t="str">
        <f t="shared" si="6"/>
        <v/>
      </c>
      <c r="AN23" s="97"/>
      <c r="AO23" s="257"/>
      <c r="AP23" s="257"/>
      <c r="AQ23" s="246" t="str">
        <f t="shared" si="7"/>
        <v/>
      </c>
      <c r="AR23" s="97"/>
      <c r="AS23" s="257"/>
      <c r="AT23" s="257"/>
      <c r="AU23" s="246" t="str">
        <f t="shared" si="8"/>
        <v/>
      </c>
      <c r="AV23" s="97"/>
      <c r="AW23" s="257"/>
      <c r="AX23" s="257"/>
      <c r="AY23" s="246" t="str">
        <f t="shared" si="9"/>
        <v/>
      </c>
      <c r="AZ23" s="97"/>
      <c r="BA23" s="257"/>
      <c r="BB23" s="257"/>
      <c r="BC23" s="246" t="str">
        <f t="shared" si="10"/>
        <v/>
      </c>
      <c r="BD23" s="97"/>
      <c r="BE23" s="257"/>
      <c r="BF23" s="257"/>
      <c r="BG23" s="246" t="str">
        <f t="shared" si="11"/>
        <v/>
      </c>
      <c r="BH23" s="97"/>
      <c r="BI23" s="257"/>
      <c r="BJ23" s="257"/>
      <c r="BK23" s="246" t="str">
        <f t="shared" si="12"/>
        <v/>
      </c>
      <c r="BL23" s="97"/>
      <c r="BM23" s="257"/>
      <c r="BN23" s="257"/>
      <c r="BO23" s="246" t="str">
        <f t="shared" si="13"/>
        <v/>
      </c>
      <c r="BP23" s="97"/>
      <c r="BQ23" s="257"/>
      <c r="BR23" s="257"/>
      <c r="BS23" s="246" t="str">
        <f t="shared" si="14"/>
        <v/>
      </c>
      <c r="BT23" s="97"/>
      <c r="BU23" s="257"/>
      <c r="BV23" s="257"/>
      <c r="BW23" s="246" t="str">
        <f t="shared" si="15"/>
        <v/>
      </c>
    </row>
    <row r="24" spans="1:75">
      <c r="A24" s="88">
        <v>18</v>
      </c>
      <c r="B24" s="50"/>
      <c r="C24" s="62"/>
      <c r="D24" s="117"/>
      <c r="E24" s="126"/>
      <c r="F24" s="190"/>
      <c r="G24" s="20"/>
      <c r="H24" s="20"/>
      <c r="I24" s="19"/>
      <c r="J24" s="246" t="str">
        <f t="shared" si="16"/>
        <v/>
      </c>
      <c r="K24" s="7"/>
      <c r="L24" s="97"/>
      <c r="M24" s="259"/>
      <c r="N24" s="257"/>
      <c r="O24" s="246" t="str">
        <f t="shared" si="0"/>
        <v/>
      </c>
      <c r="P24" s="97"/>
      <c r="Q24" s="257"/>
      <c r="R24" s="257"/>
      <c r="S24" s="246" t="str">
        <f t="shared" si="1"/>
        <v/>
      </c>
      <c r="T24" s="97"/>
      <c r="U24" s="257"/>
      <c r="V24" s="257"/>
      <c r="W24" s="246" t="str">
        <f t="shared" si="2"/>
        <v/>
      </c>
      <c r="X24" s="97"/>
      <c r="Y24" s="257"/>
      <c r="Z24" s="257"/>
      <c r="AA24" s="246" t="str">
        <f t="shared" si="3"/>
        <v/>
      </c>
      <c r="AB24" s="97"/>
      <c r="AC24" s="257"/>
      <c r="AD24" s="257"/>
      <c r="AE24" s="246" t="str">
        <f t="shared" si="4"/>
        <v/>
      </c>
      <c r="AF24" s="97"/>
      <c r="AG24" s="257"/>
      <c r="AH24" s="257"/>
      <c r="AI24" s="246" t="str">
        <f t="shared" si="5"/>
        <v/>
      </c>
      <c r="AJ24" s="97"/>
      <c r="AK24" s="257"/>
      <c r="AL24" s="257"/>
      <c r="AM24" s="246" t="str">
        <f t="shared" si="6"/>
        <v/>
      </c>
      <c r="AN24" s="97"/>
      <c r="AO24" s="257"/>
      <c r="AP24" s="257"/>
      <c r="AQ24" s="246" t="str">
        <f t="shared" si="7"/>
        <v/>
      </c>
      <c r="AR24" s="97"/>
      <c r="AS24" s="257"/>
      <c r="AT24" s="257"/>
      <c r="AU24" s="246" t="str">
        <f t="shared" si="8"/>
        <v/>
      </c>
      <c r="AV24" s="97"/>
      <c r="AW24" s="257"/>
      <c r="AX24" s="257"/>
      <c r="AY24" s="246" t="str">
        <f t="shared" si="9"/>
        <v/>
      </c>
      <c r="AZ24" s="97"/>
      <c r="BA24" s="257"/>
      <c r="BB24" s="257"/>
      <c r="BC24" s="246" t="str">
        <f t="shared" si="10"/>
        <v/>
      </c>
      <c r="BD24" s="97"/>
      <c r="BE24" s="257"/>
      <c r="BF24" s="257"/>
      <c r="BG24" s="246" t="str">
        <f t="shared" si="11"/>
        <v/>
      </c>
      <c r="BH24" s="97"/>
      <c r="BI24" s="257"/>
      <c r="BJ24" s="257"/>
      <c r="BK24" s="246" t="str">
        <f t="shared" si="12"/>
        <v/>
      </c>
      <c r="BL24" s="97"/>
      <c r="BM24" s="257"/>
      <c r="BN24" s="257"/>
      <c r="BO24" s="246" t="str">
        <f t="shared" si="13"/>
        <v/>
      </c>
      <c r="BP24" s="97"/>
      <c r="BQ24" s="257"/>
      <c r="BR24" s="257"/>
      <c r="BS24" s="246" t="str">
        <f t="shared" si="14"/>
        <v/>
      </c>
      <c r="BT24" s="97"/>
      <c r="BU24" s="257"/>
      <c r="BV24" s="257"/>
      <c r="BW24" s="246" t="str">
        <f t="shared" si="15"/>
        <v/>
      </c>
    </row>
    <row r="25" spans="1:75">
      <c r="A25" s="88">
        <v>19</v>
      </c>
      <c r="B25" s="50"/>
      <c r="C25" s="62"/>
      <c r="D25" s="117"/>
      <c r="E25" s="126"/>
      <c r="F25" s="190"/>
      <c r="G25" s="20"/>
      <c r="H25" s="20"/>
      <c r="I25" s="19"/>
      <c r="J25" s="246" t="str">
        <f t="shared" si="16"/>
        <v/>
      </c>
      <c r="K25" s="7"/>
      <c r="L25" s="97"/>
      <c r="M25" s="259"/>
      <c r="N25" s="257"/>
      <c r="O25" s="246" t="str">
        <f t="shared" si="0"/>
        <v/>
      </c>
      <c r="P25" s="97"/>
      <c r="Q25" s="257"/>
      <c r="R25" s="257"/>
      <c r="S25" s="246" t="str">
        <f t="shared" si="1"/>
        <v/>
      </c>
      <c r="T25" s="97"/>
      <c r="U25" s="257"/>
      <c r="V25" s="257"/>
      <c r="W25" s="246" t="str">
        <f t="shared" si="2"/>
        <v/>
      </c>
      <c r="X25" s="97"/>
      <c r="Y25" s="257"/>
      <c r="Z25" s="257"/>
      <c r="AA25" s="246" t="str">
        <f t="shared" si="3"/>
        <v/>
      </c>
      <c r="AB25" s="97"/>
      <c r="AC25" s="257"/>
      <c r="AD25" s="257"/>
      <c r="AE25" s="246" t="str">
        <f t="shared" si="4"/>
        <v/>
      </c>
      <c r="AF25" s="97"/>
      <c r="AG25" s="257"/>
      <c r="AH25" s="257"/>
      <c r="AI25" s="246" t="str">
        <f t="shared" si="5"/>
        <v/>
      </c>
      <c r="AJ25" s="97"/>
      <c r="AK25" s="257"/>
      <c r="AL25" s="257"/>
      <c r="AM25" s="246" t="str">
        <f t="shared" si="6"/>
        <v/>
      </c>
      <c r="AN25" s="97"/>
      <c r="AO25" s="257"/>
      <c r="AP25" s="257"/>
      <c r="AQ25" s="246" t="str">
        <f t="shared" si="7"/>
        <v/>
      </c>
      <c r="AR25" s="97"/>
      <c r="AS25" s="257"/>
      <c r="AT25" s="257"/>
      <c r="AU25" s="246" t="str">
        <f t="shared" si="8"/>
        <v/>
      </c>
      <c r="AV25" s="97"/>
      <c r="AW25" s="257"/>
      <c r="AX25" s="257"/>
      <c r="AY25" s="246" t="str">
        <f t="shared" si="9"/>
        <v/>
      </c>
      <c r="AZ25" s="97"/>
      <c r="BA25" s="257"/>
      <c r="BB25" s="257"/>
      <c r="BC25" s="246" t="str">
        <f t="shared" si="10"/>
        <v/>
      </c>
      <c r="BD25" s="97"/>
      <c r="BE25" s="257"/>
      <c r="BF25" s="257"/>
      <c r="BG25" s="246" t="str">
        <f t="shared" si="11"/>
        <v/>
      </c>
      <c r="BH25" s="97"/>
      <c r="BI25" s="257"/>
      <c r="BJ25" s="257"/>
      <c r="BK25" s="246" t="str">
        <f t="shared" si="12"/>
        <v/>
      </c>
      <c r="BL25" s="97"/>
      <c r="BM25" s="257"/>
      <c r="BN25" s="257"/>
      <c r="BO25" s="246" t="str">
        <f t="shared" si="13"/>
        <v/>
      </c>
      <c r="BP25" s="97"/>
      <c r="BQ25" s="257"/>
      <c r="BR25" s="257"/>
      <c r="BS25" s="246" t="str">
        <f t="shared" si="14"/>
        <v/>
      </c>
      <c r="BT25" s="97"/>
      <c r="BU25" s="257"/>
      <c r="BV25" s="257"/>
      <c r="BW25" s="246" t="str">
        <f t="shared" si="15"/>
        <v/>
      </c>
    </row>
    <row r="26" spans="1:75">
      <c r="A26" s="88">
        <v>20</v>
      </c>
      <c r="B26" s="50"/>
      <c r="C26" s="62"/>
      <c r="D26" s="117"/>
      <c r="E26" s="126"/>
      <c r="F26" s="190"/>
      <c r="G26" s="20"/>
      <c r="H26" s="20"/>
      <c r="I26" s="19"/>
      <c r="J26" s="246" t="str">
        <f t="shared" si="16"/>
        <v/>
      </c>
      <c r="K26" s="7"/>
      <c r="L26" s="97"/>
      <c r="M26" s="259"/>
      <c r="N26" s="257"/>
      <c r="O26" s="246" t="str">
        <f t="shared" si="0"/>
        <v/>
      </c>
      <c r="P26" s="97"/>
      <c r="Q26" s="257"/>
      <c r="R26" s="257"/>
      <c r="S26" s="246" t="str">
        <f t="shared" si="1"/>
        <v/>
      </c>
      <c r="T26" s="97"/>
      <c r="U26" s="257"/>
      <c r="V26" s="257"/>
      <c r="W26" s="246" t="str">
        <f t="shared" si="2"/>
        <v/>
      </c>
      <c r="X26" s="97"/>
      <c r="Y26" s="257"/>
      <c r="Z26" s="257"/>
      <c r="AA26" s="246" t="str">
        <f t="shared" si="3"/>
        <v/>
      </c>
      <c r="AB26" s="97"/>
      <c r="AC26" s="257"/>
      <c r="AD26" s="257"/>
      <c r="AE26" s="246" t="str">
        <f t="shared" si="4"/>
        <v/>
      </c>
      <c r="AF26" s="97"/>
      <c r="AG26" s="257"/>
      <c r="AH26" s="257"/>
      <c r="AI26" s="246" t="str">
        <f t="shared" si="5"/>
        <v/>
      </c>
      <c r="AJ26" s="97"/>
      <c r="AK26" s="257"/>
      <c r="AL26" s="257"/>
      <c r="AM26" s="246" t="str">
        <f t="shared" si="6"/>
        <v/>
      </c>
      <c r="AN26" s="97"/>
      <c r="AO26" s="257"/>
      <c r="AP26" s="257"/>
      <c r="AQ26" s="246" t="str">
        <f t="shared" si="7"/>
        <v/>
      </c>
      <c r="AR26" s="97"/>
      <c r="AS26" s="257"/>
      <c r="AT26" s="257"/>
      <c r="AU26" s="246" t="str">
        <f t="shared" si="8"/>
        <v/>
      </c>
      <c r="AV26" s="97"/>
      <c r="AW26" s="257"/>
      <c r="AX26" s="257"/>
      <c r="AY26" s="246" t="str">
        <f t="shared" si="9"/>
        <v/>
      </c>
      <c r="AZ26" s="97"/>
      <c r="BA26" s="257"/>
      <c r="BB26" s="257"/>
      <c r="BC26" s="246" t="str">
        <f t="shared" si="10"/>
        <v/>
      </c>
      <c r="BD26" s="97"/>
      <c r="BE26" s="257"/>
      <c r="BF26" s="257"/>
      <c r="BG26" s="246" t="str">
        <f t="shared" si="11"/>
        <v/>
      </c>
      <c r="BH26" s="97"/>
      <c r="BI26" s="257"/>
      <c r="BJ26" s="257"/>
      <c r="BK26" s="246" t="str">
        <f t="shared" si="12"/>
        <v/>
      </c>
      <c r="BL26" s="97"/>
      <c r="BM26" s="257"/>
      <c r="BN26" s="257"/>
      <c r="BO26" s="246" t="str">
        <f t="shared" si="13"/>
        <v/>
      </c>
      <c r="BP26" s="97"/>
      <c r="BQ26" s="257"/>
      <c r="BR26" s="257"/>
      <c r="BS26" s="246" t="str">
        <f t="shared" si="14"/>
        <v/>
      </c>
      <c r="BT26" s="97"/>
      <c r="BU26" s="257"/>
      <c r="BV26" s="257"/>
      <c r="BW26" s="246" t="str">
        <f t="shared" si="15"/>
        <v/>
      </c>
    </row>
    <row r="27" spans="1:75">
      <c r="A27" s="88">
        <v>21</v>
      </c>
      <c r="B27" s="50"/>
      <c r="C27" s="62"/>
      <c r="D27" s="117"/>
      <c r="E27" s="126"/>
      <c r="F27" s="190"/>
      <c r="G27" s="20"/>
      <c r="H27" s="20"/>
      <c r="I27" s="19"/>
      <c r="J27" s="246" t="str">
        <f t="shared" si="16"/>
        <v/>
      </c>
      <c r="K27" s="7"/>
      <c r="L27" s="97"/>
      <c r="M27" s="259"/>
      <c r="N27" s="257"/>
      <c r="O27" s="246" t="str">
        <f t="shared" si="0"/>
        <v/>
      </c>
      <c r="P27" s="97"/>
      <c r="Q27" s="257"/>
      <c r="R27" s="257"/>
      <c r="S27" s="246" t="str">
        <f t="shared" si="1"/>
        <v/>
      </c>
      <c r="T27" s="97"/>
      <c r="U27" s="257"/>
      <c r="V27" s="257"/>
      <c r="W27" s="246" t="str">
        <f t="shared" si="2"/>
        <v/>
      </c>
      <c r="X27" s="97"/>
      <c r="Y27" s="257"/>
      <c r="Z27" s="257"/>
      <c r="AA27" s="246" t="str">
        <f t="shared" si="3"/>
        <v/>
      </c>
      <c r="AB27" s="97"/>
      <c r="AC27" s="257"/>
      <c r="AD27" s="257"/>
      <c r="AE27" s="246" t="str">
        <f t="shared" si="4"/>
        <v/>
      </c>
      <c r="AF27" s="97"/>
      <c r="AG27" s="257"/>
      <c r="AH27" s="257"/>
      <c r="AI27" s="246" t="str">
        <f t="shared" si="5"/>
        <v/>
      </c>
      <c r="AJ27" s="97"/>
      <c r="AK27" s="257"/>
      <c r="AL27" s="257"/>
      <c r="AM27" s="246" t="str">
        <f t="shared" si="6"/>
        <v/>
      </c>
      <c r="AN27" s="97"/>
      <c r="AO27" s="257"/>
      <c r="AP27" s="257"/>
      <c r="AQ27" s="246" t="str">
        <f t="shared" si="7"/>
        <v/>
      </c>
      <c r="AR27" s="97"/>
      <c r="AS27" s="257"/>
      <c r="AT27" s="257"/>
      <c r="AU27" s="246" t="str">
        <f t="shared" si="8"/>
        <v/>
      </c>
      <c r="AV27" s="97"/>
      <c r="AW27" s="257"/>
      <c r="AX27" s="257"/>
      <c r="AY27" s="246" t="str">
        <f t="shared" si="9"/>
        <v/>
      </c>
      <c r="AZ27" s="97"/>
      <c r="BA27" s="257"/>
      <c r="BB27" s="257"/>
      <c r="BC27" s="246" t="str">
        <f t="shared" si="10"/>
        <v/>
      </c>
      <c r="BD27" s="97"/>
      <c r="BE27" s="257"/>
      <c r="BF27" s="257"/>
      <c r="BG27" s="246" t="str">
        <f t="shared" si="11"/>
        <v/>
      </c>
      <c r="BH27" s="97"/>
      <c r="BI27" s="257"/>
      <c r="BJ27" s="257"/>
      <c r="BK27" s="246" t="str">
        <f t="shared" si="12"/>
        <v/>
      </c>
      <c r="BL27" s="97"/>
      <c r="BM27" s="257"/>
      <c r="BN27" s="257"/>
      <c r="BO27" s="246" t="str">
        <f t="shared" si="13"/>
        <v/>
      </c>
      <c r="BP27" s="97"/>
      <c r="BQ27" s="257"/>
      <c r="BR27" s="257"/>
      <c r="BS27" s="246" t="str">
        <f t="shared" si="14"/>
        <v/>
      </c>
      <c r="BT27" s="97"/>
      <c r="BU27" s="257"/>
      <c r="BV27" s="257"/>
      <c r="BW27" s="246" t="str">
        <f t="shared" si="15"/>
        <v/>
      </c>
    </row>
    <row r="28" spans="1:75">
      <c r="A28" s="88">
        <v>22</v>
      </c>
      <c r="B28" s="50"/>
      <c r="C28" s="62"/>
      <c r="D28" s="117"/>
      <c r="E28" s="126"/>
      <c r="F28" s="190"/>
      <c r="G28" s="20"/>
      <c r="H28" s="20"/>
      <c r="I28" s="19"/>
      <c r="J28" s="246" t="str">
        <f t="shared" si="16"/>
        <v/>
      </c>
      <c r="K28" s="7"/>
      <c r="L28" s="97"/>
      <c r="M28" s="259"/>
      <c r="N28" s="257"/>
      <c r="O28" s="246" t="str">
        <f t="shared" si="0"/>
        <v/>
      </c>
      <c r="P28" s="97"/>
      <c r="Q28" s="257"/>
      <c r="R28" s="257"/>
      <c r="S28" s="246" t="str">
        <f t="shared" si="1"/>
        <v/>
      </c>
      <c r="T28" s="97"/>
      <c r="U28" s="257"/>
      <c r="V28" s="257"/>
      <c r="W28" s="246" t="str">
        <f t="shared" si="2"/>
        <v/>
      </c>
      <c r="X28" s="97"/>
      <c r="Y28" s="257"/>
      <c r="Z28" s="257"/>
      <c r="AA28" s="246" t="str">
        <f t="shared" si="3"/>
        <v/>
      </c>
      <c r="AB28" s="97"/>
      <c r="AC28" s="257"/>
      <c r="AD28" s="257"/>
      <c r="AE28" s="246" t="str">
        <f t="shared" si="4"/>
        <v/>
      </c>
      <c r="AF28" s="97"/>
      <c r="AG28" s="257"/>
      <c r="AH28" s="257"/>
      <c r="AI28" s="246" t="str">
        <f t="shared" si="5"/>
        <v/>
      </c>
      <c r="AJ28" s="97"/>
      <c r="AK28" s="257"/>
      <c r="AL28" s="257"/>
      <c r="AM28" s="246" t="str">
        <f t="shared" si="6"/>
        <v/>
      </c>
      <c r="AN28" s="97"/>
      <c r="AO28" s="257"/>
      <c r="AP28" s="257"/>
      <c r="AQ28" s="246" t="str">
        <f t="shared" si="7"/>
        <v/>
      </c>
      <c r="AR28" s="97"/>
      <c r="AS28" s="257"/>
      <c r="AT28" s="257"/>
      <c r="AU28" s="246" t="str">
        <f t="shared" si="8"/>
        <v/>
      </c>
      <c r="AV28" s="97"/>
      <c r="AW28" s="257"/>
      <c r="AX28" s="257"/>
      <c r="AY28" s="246" t="str">
        <f t="shared" si="9"/>
        <v/>
      </c>
      <c r="AZ28" s="97"/>
      <c r="BA28" s="257"/>
      <c r="BB28" s="257"/>
      <c r="BC28" s="246" t="str">
        <f t="shared" si="10"/>
        <v/>
      </c>
      <c r="BD28" s="97"/>
      <c r="BE28" s="257"/>
      <c r="BF28" s="257"/>
      <c r="BG28" s="246" t="str">
        <f t="shared" si="11"/>
        <v/>
      </c>
      <c r="BH28" s="97"/>
      <c r="BI28" s="257"/>
      <c r="BJ28" s="257"/>
      <c r="BK28" s="246" t="str">
        <f t="shared" si="12"/>
        <v/>
      </c>
      <c r="BL28" s="97"/>
      <c r="BM28" s="257"/>
      <c r="BN28" s="257"/>
      <c r="BO28" s="246" t="str">
        <f t="shared" si="13"/>
        <v/>
      </c>
      <c r="BP28" s="97"/>
      <c r="BQ28" s="257"/>
      <c r="BR28" s="257"/>
      <c r="BS28" s="246" t="str">
        <f t="shared" si="14"/>
        <v/>
      </c>
      <c r="BT28" s="97"/>
      <c r="BU28" s="257"/>
      <c r="BV28" s="257"/>
      <c r="BW28" s="246" t="str">
        <f t="shared" si="15"/>
        <v/>
      </c>
    </row>
    <row r="29" spans="1:75">
      <c r="A29" s="88">
        <v>23</v>
      </c>
      <c r="B29" s="50"/>
      <c r="C29" s="62"/>
      <c r="D29" s="117"/>
      <c r="E29" s="126"/>
      <c r="F29" s="190"/>
      <c r="G29" s="20"/>
      <c r="H29" s="20"/>
      <c r="I29" s="19"/>
      <c r="J29" s="246" t="str">
        <f t="shared" si="16"/>
        <v/>
      </c>
      <c r="K29" s="7"/>
      <c r="L29" s="97"/>
      <c r="M29" s="259"/>
      <c r="N29" s="257"/>
      <c r="O29" s="246" t="str">
        <f t="shared" si="0"/>
        <v/>
      </c>
      <c r="P29" s="97"/>
      <c r="Q29" s="257"/>
      <c r="R29" s="257"/>
      <c r="S29" s="246" t="str">
        <f t="shared" si="1"/>
        <v/>
      </c>
      <c r="T29" s="97"/>
      <c r="U29" s="257"/>
      <c r="V29" s="257"/>
      <c r="W29" s="246" t="str">
        <f t="shared" si="2"/>
        <v/>
      </c>
      <c r="X29" s="97"/>
      <c r="Y29" s="257"/>
      <c r="Z29" s="257"/>
      <c r="AA29" s="246" t="str">
        <f t="shared" si="3"/>
        <v/>
      </c>
      <c r="AB29" s="97"/>
      <c r="AC29" s="257"/>
      <c r="AD29" s="257"/>
      <c r="AE29" s="246" t="str">
        <f t="shared" si="4"/>
        <v/>
      </c>
      <c r="AF29" s="97"/>
      <c r="AG29" s="257"/>
      <c r="AH29" s="257"/>
      <c r="AI29" s="246" t="str">
        <f t="shared" si="5"/>
        <v/>
      </c>
      <c r="AJ29" s="97"/>
      <c r="AK29" s="257"/>
      <c r="AL29" s="257"/>
      <c r="AM29" s="246" t="str">
        <f t="shared" si="6"/>
        <v/>
      </c>
      <c r="AN29" s="97"/>
      <c r="AO29" s="257"/>
      <c r="AP29" s="257"/>
      <c r="AQ29" s="246" t="str">
        <f t="shared" si="7"/>
        <v/>
      </c>
      <c r="AR29" s="97"/>
      <c r="AS29" s="257"/>
      <c r="AT29" s="257"/>
      <c r="AU29" s="246" t="str">
        <f t="shared" si="8"/>
        <v/>
      </c>
      <c r="AV29" s="97"/>
      <c r="AW29" s="257"/>
      <c r="AX29" s="257"/>
      <c r="AY29" s="246" t="str">
        <f t="shared" si="9"/>
        <v/>
      </c>
      <c r="AZ29" s="97"/>
      <c r="BA29" s="257"/>
      <c r="BB29" s="257"/>
      <c r="BC29" s="246" t="str">
        <f t="shared" si="10"/>
        <v/>
      </c>
      <c r="BD29" s="97"/>
      <c r="BE29" s="257"/>
      <c r="BF29" s="257"/>
      <c r="BG29" s="246" t="str">
        <f t="shared" si="11"/>
        <v/>
      </c>
      <c r="BH29" s="97"/>
      <c r="BI29" s="257"/>
      <c r="BJ29" s="257"/>
      <c r="BK29" s="246" t="str">
        <f t="shared" si="12"/>
        <v/>
      </c>
      <c r="BL29" s="97"/>
      <c r="BM29" s="257"/>
      <c r="BN29" s="257"/>
      <c r="BO29" s="246" t="str">
        <f t="shared" si="13"/>
        <v/>
      </c>
      <c r="BP29" s="97"/>
      <c r="BQ29" s="257"/>
      <c r="BR29" s="257"/>
      <c r="BS29" s="246" t="str">
        <f t="shared" si="14"/>
        <v/>
      </c>
      <c r="BT29" s="97"/>
      <c r="BU29" s="257"/>
      <c r="BV29" s="257"/>
      <c r="BW29" s="246" t="str">
        <f t="shared" si="15"/>
        <v/>
      </c>
    </row>
    <row r="30" spans="1:75">
      <c r="A30" s="88">
        <v>24</v>
      </c>
      <c r="B30" s="50"/>
      <c r="C30" s="62"/>
      <c r="D30" s="117"/>
      <c r="E30" s="126"/>
      <c r="F30" s="190"/>
      <c r="G30" s="20"/>
      <c r="H30" s="20"/>
      <c r="I30" s="19"/>
      <c r="J30" s="246" t="str">
        <f t="shared" si="16"/>
        <v/>
      </c>
      <c r="K30" s="7"/>
      <c r="L30" s="97"/>
      <c r="M30" s="259"/>
      <c r="N30" s="257"/>
      <c r="O30" s="246" t="str">
        <f t="shared" si="0"/>
        <v/>
      </c>
      <c r="P30" s="97"/>
      <c r="Q30" s="257"/>
      <c r="R30" s="257"/>
      <c r="S30" s="246" t="str">
        <f t="shared" si="1"/>
        <v/>
      </c>
      <c r="T30" s="97"/>
      <c r="U30" s="257"/>
      <c r="V30" s="257"/>
      <c r="W30" s="246" t="str">
        <f t="shared" si="2"/>
        <v/>
      </c>
      <c r="X30" s="97"/>
      <c r="Y30" s="257"/>
      <c r="Z30" s="257"/>
      <c r="AA30" s="246" t="str">
        <f t="shared" si="3"/>
        <v/>
      </c>
      <c r="AB30" s="97"/>
      <c r="AC30" s="257"/>
      <c r="AD30" s="257"/>
      <c r="AE30" s="246" t="str">
        <f t="shared" si="4"/>
        <v/>
      </c>
      <c r="AF30" s="97"/>
      <c r="AG30" s="257"/>
      <c r="AH30" s="257"/>
      <c r="AI30" s="246" t="str">
        <f t="shared" si="5"/>
        <v/>
      </c>
      <c r="AJ30" s="97"/>
      <c r="AK30" s="257"/>
      <c r="AL30" s="257"/>
      <c r="AM30" s="246" t="str">
        <f t="shared" si="6"/>
        <v/>
      </c>
      <c r="AN30" s="97"/>
      <c r="AO30" s="257"/>
      <c r="AP30" s="257"/>
      <c r="AQ30" s="246" t="str">
        <f t="shared" si="7"/>
        <v/>
      </c>
      <c r="AR30" s="97"/>
      <c r="AS30" s="257"/>
      <c r="AT30" s="257"/>
      <c r="AU30" s="246" t="str">
        <f t="shared" si="8"/>
        <v/>
      </c>
      <c r="AV30" s="97"/>
      <c r="AW30" s="257"/>
      <c r="AX30" s="257"/>
      <c r="AY30" s="246" t="str">
        <f t="shared" si="9"/>
        <v/>
      </c>
      <c r="AZ30" s="97"/>
      <c r="BA30" s="257"/>
      <c r="BB30" s="257"/>
      <c r="BC30" s="246" t="str">
        <f t="shared" si="10"/>
        <v/>
      </c>
      <c r="BD30" s="97"/>
      <c r="BE30" s="257"/>
      <c r="BF30" s="257"/>
      <c r="BG30" s="246" t="str">
        <f t="shared" si="11"/>
        <v/>
      </c>
      <c r="BH30" s="97"/>
      <c r="BI30" s="257"/>
      <c r="BJ30" s="257"/>
      <c r="BK30" s="246" t="str">
        <f t="shared" si="12"/>
        <v/>
      </c>
      <c r="BL30" s="97"/>
      <c r="BM30" s="257"/>
      <c r="BN30" s="257"/>
      <c r="BO30" s="246" t="str">
        <f t="shared" si="13"/>
        <v/>
      </c>
      <c r="BP30" s="97"/>
      <c r="BQ30" s="257"/>
      <c r="BR30" s="257"/>
      <c r="BS30" s="246" t="str">
        <f t="shared" si="14"/>
        <v/>
      </c>
      <c r="BT30" s="97"/>
      <c r="BU30" s="257"/>
      <c r="BV30" s="257"/>
      <c r="BW30" s="246" t="str">
        <f t="shared" si="15"/>
        <v/>
      </c>
    </row>
    <row r="31" spans="1:75">
      <c r="A31" s="88">
        <v>25</v>
      </c>
      <c r="B31" s="50"/>
      <c r="C31" s="62"/>
      <c r="D31" s="117"/>
      <c r="E31" s="126"/>
      <c r="F31" s="190"/>
      <c r="G31" s="20"/>
      <c r="H31" s="20"/>
      <c r="I31" s="19"/>
      <c r="J31" s="246" t="str">
        <f t="shared" si="16"/>
        <v/>
      </c>
      <c r="K31" s="7"/>
      <c r="L31" s="97"/>
      <c r="M31" s="259"/>
      <c r="N31" s="257"/>
      <c r="O31" s="246" t="str">
        <f t="shared" si="0"/>
        <v/>
      </c>
      <c r="P31" s="97"/>
      <c r="Q31" s="257"/>
      <c r="R31" s="257"/>
      <c r="S31" s="246" t="str">
        <f t="shared" si="1"/>
        <v/>
      </c>
      <c r="T31" s="97"/>
      <c r="U31" s="257"/>
      <c r="V31" s="257"/>
      <c r="W31" s="246" t="str">
        <f t="shared" si="2"/>
        <v/>
      </c>
      <c r="X31" s="97"/>
      <c r="Y31" s="257"/>
      <c r="Z31" s="257"/>
      <c r="AA31" s="246" t="str">
        <f t="shared" si="3"/>
        <v/>
      </c>
      <c r="AB31" s="97"/>
      <c r="AC31" s="257"/>
      <c r="AD31" s="257"/>
      <c r="AE31" s="246" t="str">
        <f t="shared" si="4"/>
        <v/>
      </c>
      <c r="AF31" s="97"/>
      <c r="AG31" s="257"/>
      <c r="AH31" s="257"/>
      <c r="AI31" s="246" t="str">
        <f t="shared" si="5"/>
        <v/>
      </c>
      <c r="AJ31" s="97"/>
      <c r="AK31" s="257"/>
      <c r="AL31" s="257"/>
      <c r="AM31" s="246" t="str">
        <f t="shared" si="6"/>
        <v/>
      </c>
      <c r="AN31" s="97"/>
      <c r="AO31" s="257"/>
      <c r="AP31" s="257"/>
      <c r="AQ31" s="246" t="str">
        <f t="shared" si="7"/>
        <v/>
      </c>
      <c r="AR31" s="97"/>
      <c r="AS31" s="257"/>
      <c r="AT31" s="257"/>
      <c r="AU31" s="246" t="str">
        <f t="shared" si="8"/>
        <v/>
      </c>
      <c r="AV31" s="97"/>
      <c r="AW31" s="257"/>
      <c r="AX31" s="257"/>
      <c r="AY31" s="246" t="str">
        <f t="shared" si="9"/>
        <v/>
      </c>
      <c r="AZ31" s="97"/>
      <c r="BA31" s="257"/>
      <c r="BB31" s="257"/>
      <c r="BC31" s="246" t="str">
        <f t="shared" si="10"/>
        <v/>
      </c>
      <c r="BD31" s="97"/>
      <c r="BE31" s="257"/>
      <c r="BF31" s="257"/>
      <c r="BG31" s="246" t="str">
        <f t="shared" si="11"/>
        <v/>
      </c>
      <c r="BH31" s="97"/>
      <c r="BI31" s="257"/>
      <c r="BJ31" s="257"/>
      <c r="BK31" s="246" t="str">
        <f t="shared" si="12"/>
        <v/>
      </c>
      <c r="BL31" s="97"/>
      <c r="BM31" s="257"/>
      <c r="BN31" s="257"/>
      <c r="BO31" s="246" t="str">
        <f t="shared" si="13"/>
        <v/>
      </c>
      <c r="BP31" s="97"/>
      <c r="BQ31" s="257"/>
      <c r="BR31" s="257"/>
      <c r="BS31" s="246" t="str">
        <f t="shared" si="14"/>
        <v/>
      </c>
      <c r="BT31" s="97"/>
      <c r="BU31" s="257"/>
      <c r="BV31" s="257"/>
      <c r="BW31" s="246" t="str">
        <f t="shared" si="15"/>
        <v/>
      </c>
    </row>
    <row r="32" spans="1:75">
      <c r="A32" s="88">
        <v>26</v>
      </c>
      <c r="B32" s="50"/>
      <c r="C32" s="62"/>
      <c r="D32" s="117"/>
      <c r="E32" s="126"/>
      <c r="F32" s="190"/>
      <c r="G32" s="20"/>
      <c r="H32" s="20"/>
      <c r="I32" s="19"/>
      <c r="J32" s="246" t="str">
        <f t="shared" si="16"/>
        <v/>
      </c>
      <c r="K32" s="7"/>
      <c r="L32" s="97"/>
      <c r="M32" s="259"/>
      <c r="N32" s="257"/>
      <c r="O32" s="246" t="str">
        <f t="shared" si="0"/>
        <v/>
      </c>
      <c r="P32" s="97"/>
      <c r="Q32" s="257"/>
      <c r="R32" s="257"/>
      <c r="S32" s="246" t="str">
        <f t="shared" si="1"/>
        <v/>
      </c>
      <c r="T32" s="97"/>
      <c r="U32" s="257"/>
      <c r="V32" s="257"/>
      <c r="W32" s="246" t="str">
        <f t="shared" si="2"/>
        <v/>
      </c>
      <c r="X32" s="97"/>
      <c r="Y32" s="257"/>
      <c r="Z32" s="257"/>
      <c r="AA32" s="246" t="str">
        <f t="shared" si="3"/>
        <v/>
      </c>
      <c r="AB32" s="97"/>
      <c r="AC32" s="257"/>
      <c r="AD32" s="257"/>
      <c r="AE32" s="246" t="str">
        <f t="shared" si="4"/>
        <v/>
      </c>
      <c r="AF32" s="97"/>
      <c r="AG32" s="257"/>
      <c r="AH32" s="257"/>
      <c r="AI32" s="246" t="str">
        <f t="shared" si="5"/>
        <v/>
      </c>
      <c r="AJ32" s="97"/>
      <c r="AK32" s="257"/>
      <c r="AL32" s="257"/>
      <c r="AM32" s="246" t="str">
        <f t="shared" si="6"/>
        <v/>
      </c>
      <c r="AN32" s="97"/>
      <c r="AO32" s="257"/>
      <c r="AP32" s="257"/>
      <c r="AQ32" s="246" t="str">
        <f t="shared" si="7"/>
        <v/>
      </c>
      <c r="AR32" s="97"/>
      <c r="AS32" s="257"/>
      <c r="AT32" s="257"/>
      <c r="AU32" s="246" t="str">
        <f t="shared" si="8"/>
        <v/>
      </c>
      <c r="AV32" s="97"/>
      <c r="AW32" s="257"/>
      <c r="AX32" s="257"/>
      <c r="AY32" s="246" t="str">
        <f t="shared" si="9"/>
        <v/>
      </c>
      <c r="AZ32" s="97"/>
      <c r="BA32" s="257"/>
      <c r="BB32" s="257"/>
      <c r="BC32" s="246" t="str">
        <f t="shared" si="10"/>
        <v/>
      </c>
      <c r="BD32" s="97"/>
      <c r="BE32" s="257"/>
      <c r="BF32" s="257"/>
      <c r="BG32" s="246" t="str">
        <f t="shared" si="11"/>
        <v/>
      </c>
      <c r="BH32" s="97"/>
      <c r="BI32" s="257"/>
      <c r="BJ32" s="257"/>
      <c r="BK32" s="246" t="str">
        <f t="shared" si="12"/>
        <v/>
      </c>
      <c r="BL32" s="97"/>
      <c r="BM32" s="257"/>
      <c r="BN32" s="257"/>
      <c r="BO32" s="246" t="str">
        <f t="shared" si="13"/>
        <v/>
      </c>
      <c r="BP32" s="97"/>
      <c r="BQ32" s="257"/>
      <c r="BR32" s="257"/>
      <c r="BS32" s="246" t="str">
        <f t="shared" si="14"/>
        <v/>
      </c>
      <c r="BT32" s="97"/>
      <c r="BU32" s="257"/>
      <c r="BV32" s="257"/>
      <c r="BW32" s="246" t="str">
        <f t="shared" si="15"/>
        <v/>
      </c>
    </row>
    <row r="33" spans="1:75">
      <c r="A33" s="88">
        <v>27</v>
      </c>
      <c r="B33" s="50"/>
      <c r="C33" s="62"/>
      <c r="D33" s="117"/>
      <c r="E33" s="126"/>
      <c r="F33" s="190"/>
      <c r="G33" s="20"/>
      <c r="H33" s="20"/>
      <c r="I33" s="19"/>
      <c r="J33" s="246" t="str">
        <f t="shared" si="16"/>
        <v/>
      </c>
      <c r="K33" s="7"/>
      <c r="L33" s="97"/>
      <c r="M33" s="259"/>
      <c r="N33" s="257"/>
      <c r="O33" s="246" t="str">
        <f t="shared" si="0"/>
        <v/>
      </c>
      <c r="P33" s="97"/>
      <c r="Q33" s="257"/>
      <c r="R33" s="257"/>
      <c r="S33" s="246" t="str">
        <f t="shared" si="1"/>
        <v/>
      </c>
      <c r="T33" s="97"/>
      <c r="U33" s="257"/>
      <c r="V33" s="257"/>
      <c r="W33" s="246" t="str">
        <f t="shared" si="2"/>
        <v/>
      </c>
      <c r="X33" s="97"/>
      <c r="Y33" s="257"/>
      <c r="Z33" s="257"/>
      <c r="AA33" s="246" t="str">
        <f t="shared" si="3"/>
        <v/>
      </c>
      <c r="AB33" s="97"/>
      <c r="AC33" s="257"/>
      <c r="AD33" s="257"/>
      <c r="AE33" s="246" t="str">
        <f t="shared" si="4"/>
        <v/>
      </c>
      <c r="AF33" s="97"/>
      <c r="AG33" s="257"/>
      <c r="AH33" s="257"/>
      <c r="AI33" s="246" t="str">
        <f t="shared" si="5"/>
        <v/>
      </c>
      <c r="AJ33" s="97"/>
      <c r="AK33" s="257"/>
      <c r="AL33" s="257"/>
      <c r="AM33" s="246" t="str">
        <f t="shared" si="6"/>
        <v/>
      </c>
      <c r="AN33" s="97"/>
      <c r="AO33" s="257"/>
      <c r="AP33" s="257"/>
      <c r="AQ33" s="246" t="str">
        <f t="shared" si="7"/>
        <v/>
      </c>
      <c r="AR33" s="97"/>
      <c r="AS33" s="257"/>
      <c r="AT33" s="257"/>
      <c r="AU33" s="246" t="str">
        <f t="shared" si="8"/>
        <v/>
      </c>
      <c r="AV33" s="97"/>
      <c r="AW33" s="257"/>
      <c r="AX33" s="257"/>
      <c r="AY33" s="246" t="str">
        <f t="shared" si="9"/>
        <v/>
      </c>
      <c r="AZ33" s="97"/>
      <c r="BA33" s="257"/>
      <c r="BB33" s="257"/>
      <c r="BC33" s="246" t="str">
        <f t="shared" si="10"/>
        <v/>
      </c>
      <c r="BD33" s="97"/>
      <c r="BE33" s="257"/>
      <c r="BF33" s="257"/>
      <c r="BG33" s="246" t="str">
        <f t="shared" si="11"/>
        <v/>
      </c>
      <c r="BH33" s="97"/>
      <c r="BI33" s="257"/>
      <c r="BJ33" s="257"/>
      <c r="BK33" s="246" t="str">
        <f t="shared" si="12"/>
        <v/>
      </c>
      <c r="BL33" s="97"/>
      <c r="BM33" s="257"/>
      <c r="BN33" s="257"/>
      <c r="BO33" s="246" t="str">
        <f t="shared" si="13"/>
        <v/>
      </c>
      <c r="BP33" s="97"/>
      <c r="BQ33" s="257"/>
      <c r="BR33" s="257"/>
      <c r="BS33" s="246" t="str">
        <f t="shared" si="14"/>
        <v/>
      </c>
      <c r="BT33" s="97"/>
      <c r="BU33" s="257"/>
      <c r="BV33" s="257"/>
      <c r="BW33" s="246" t="str">
        <f t="shared" si="15"/>
        <v/>
      </c>
    </row>
    <row r="34" spans="1:75">
      <c r="A34" s="88">
        <v>28</v>
      </c>
      <c r="B34" s="50"/>
      <c r="C34" s="62"/>
      <c r="D34" s="117"/>
      <c r="E34" s="126"/>
      <c r="F34" s="190"/>
      <c r="G34" s="20"/>
      <c r="H34" s="20"/>
      <c r="I34" s="19"/>
      <c r="J34" s="246" t="str">
        <f t="shared" si="16"/>
        <v/>
      </c>
      <c r="K34" s="7"/>
      <c r="L34" s="97"/>
      <c r="M34" s="259"/>
      <c r="N34" s="257"/>
      <c r="O34" s="246" t="str">
        <f t="shared" si="0"/>
        <v/>
      </c>
      <c r="P34" s="97"/>
      <c r="Q34" s="257"/>
      <c r="R34" s="257"/>
      <c r="S34" s="246" t="str">
        <f t="shared" si="1"/>
        <v/>
      </c>
      <c r="T34" s="97"/>
      <c r="U34" s="257"/>
      <c r="V34" s="257"/>
      <c r="W34" s="246" t="str">
        <f t="shared" si="2"/>
        <v/>
      </c>
      <c r="X34" s="97"/>
      <c r="Y34" s="257"/>
      <c r="Z34" s="257"/>
      <c r="AA34" s="246" t="str">
        <f t="shared" si="3"/>
        <v/>
      </c>
      <c r="AB34" s="97"/>
      <c r="AC34" s="257"/>
      <c r="AD34" s="257"/>
      <c r="AE34" s="246" t="str">
        <f t="shared" si="4"/>
        <v/>
      </c>
      <c r="AF34" s="97"/>
      <c r="AG34" s="257"/>
      <c r="AH34" s="257"/>
      <c r="AI34" s="246" t="str">
        <f t="shared" si="5"/>
        <v/>
      </c>
      <c r="AJ34" s="97"/>
      <c r="AK34" s="257"/>
      <c r="AL34" s="257"/>
      <c r="AM34" s="246" t="str">
        <f t="shared" si="6"/>
        <v/>
      </c>
      <c r="AN34" s="97"/>
      <c r="AO34" s="257"/>
      <c r="AP34" s="257"/>
      <c r="AQ34" s="246" t="str">
        <f t="shared" si="7"/>
        <v/>
      </c>
      <c r="AR34" s="97"/>
      <c r="AS34" s="257"/>
      <c r="AT34" s="257"/>
      <c r="AU34" s="246" t="str">
        <f t="shared" si="8"/>
        <v/>
      </c>
      <c r="AV34" s="97"/>
      <c r="AW34" s="257"/>
      <c r="AX34" s="257"/>
      <c r="AY34" s="246" t="str">
        <f t="shared" si="9"/>
        <v/>
      </c>
      <c r="AZ34" s="97"/>
      <c r="BA34" s="257"/>
      <c r="BB34" s="257"/>
      <c r="BC34" s="246" t="str">
        <f t="shared" si="10"/>
        <v/>
      </c>
      <c r="BD34" s="97"/>
      <c r="BE34" s="257"/>
      <c r="BF34" s="257"/>
      <c r="BG34" s="246" t="str">
        <f t="shared" si="11"/>
        <v/>
      </c>
      <c r="BH34" s="97"/>
      <c r="BI34" s="257"/>
      <c r="BJ34" s="257"/>
      <c r="BK34" s="246" t="str">
        <f t="shared" si="12"/>
        <v/>
      </c>
      <c r="BL34" s="97"/>
      <c r="BM34" s="257"/>
      <c r="BN34" s="257"/>
      <c r="BO34" s="246" t="str">
        <f t="shared" si="13"/>
        <v/>
      </c>
      <c r="BP34" s="97"/>
      <c r="BQ34" s="257"/>
      <c r="BR34" s="257"/>
      <c r="BS34" s="246" t="str">
        <f t="shared" si="14"/>
        <v/>
      </c>
      <c r="BT34" s="97"/>
      <c r="BU34" s="257"/>
      <c r="BV34" s="257"/>
      <c r="BW34" s="246" t="str">
        <f t="shared" si="15"/>
        <v/>
      </c>
    </row>
    <row r="35" spans="1:75">
      <c r="A35" s="88">
        <v>29</v>
      </c>
      <c r="B35" s="50"/>
      <c r="C35" s="62"/>
      <c r="D35" s="117"/>
      <c r="E35" s="126"/>
      <c r="F35" s="190"/>
      <c r="G35" s="20"/>
      <c r="H35" s="20"/>
      <c r="I35" s="19"/>
      <c r="J35" s="246" t="str">
        <f t="shared" si="16"/>
        <v/>
      </c>
      <c r="K35" s="7"/>
      <c r="L35" s="97"/>
      <c r="M35" s="259"/>
      <c r="N35" s="257"/>
      <c r="O35" s="246" t="str">
        <f t="shared" si="0"/>
        <v/>
      </c>
      <c r="P35" s="97"/>
      <c r="Q35" s="257"/>
      <c r="R35" s="257"/>
      <c r="S35" s="246" t="str">
        <f t="shared" si="1"/>
        <v/>
      </c>
      <c r="T35" s="97"/>
      <c r="U35" s="257"/>
      <c r="V35" s="257"/>
      <c r="W35" s="246" t="str">
        <f t="shared" si="2"/>
        <v/>
      </c>
      <c r="X35" s="97"/>
      <c r="Y35" s="257"/>
      <c r="Z35" s="257"/>
      <c r="AA35" s="246" t="str">
        <f t="shared" si="3"/>
        <v/>
      </c>
      <c r="AB35" s="97"/>
      <c r="AC35" s="257"/>
      <c r="AD35" s="257"/>
      <c r="AE35" s="246" t="str">
        <f t="shared" si="4"/>
        <v/>
      </c>
      <c r="AF35" s="97"/>
      <c r="AG35" s="257"/>
      <c r="AH35" s="257"/>
      <c r="AI35" s="246" t="str">
        <f t="shared" si="5"/>
        <v/>
      </c>
      <c r="AJ35" s="97"/>
      <c r="AK35" s="257"/>
      <c r="AL35" s="257"/>
      <c r="AM35" s="246" t="str">
        <f t="shared" si="6"/>
        <v/>
      </c>
      <c r="AN35" s="97"/>
      <c r="AO35" s="257"/>
      <c r="AP35" s="257"/>
      <c r="AQ35" s="246" t="str">
        <f t="shared" si="7"/>
        <v/>
      </c>
      <c r="AR35" s="97"/>
      <c r="AS35" s="257"/>
      <c r="AT35" s="257"/>
      <c r="AU35" s="246" t="str">
        <f t="shared" si="8"/>
        <v/>
      </c>
      <c r="AV35" s="97"/>
      <c r="AW35" s="257"/>
      <c r="AX35" s="257"/>
      <c r="AY35" s="246" t="str">
        <f t="shared" si="9"/>
        <v/>
      </c>
      <c r="AZ35" s="97"/>
      <c r="BA35" s="257"/>
      <c r="BB35" s="257"/>
      <c r="BC35" s="246" t="str">
        <f t="shared" si="10"/>
        <v/>
      </c>
      <c r="BD35" s="97"/>
      <c r="BE35" s="257"/>
      <c r="BF35" s="257"/>
      <c r="BG35" s="246" t="str">
        <f t="shared" si="11"/>
        <v/>
      </c>
      <c r="BH35" s="97"/>
      <c r="BI35" s="257"/>
      <c r="BJ35" s="257"/>
      <c r="BK35" s="246" t="str">
        <f t="shared" si="12"/>
        <v/>
      </c>
      <c r="BL35" s="97"/>
      <c r="BM35" s="257"/>
      <c r="BN35" s="257"/>
      <c r="BO35" s="246" t="str">
        <f t="shared" si="13"/>
        <v/>
      </c>
      <c r="BP35" s="97"/>
      <c r="BQ35" s="257"/>
      <c r="BR35" s="257"/>
      <c r="BS35" s="246" t="str">
        <f t="shared" si="14"/>
        <v/>
      </c>
      <c r="BT35" s="97"/>
      <c r="BU35" s="257"/>
      <c r="BV35" s="257"/>
      <c r="BW35" s="246" t="str">
        <f t="shared" si="15"/>
        <v/>
      </c>
    </row>
    <row r="36" spans="1:75">
      <c r="A36" s="88">
        <v>30</v>
      </c>
      <c r="B36" s="50"/>
      <c r="C36" s="62"/>
      <c r="D36" s="117"/>
      <c r="E36" s="126"/>
      <c r="F36" s="190"/>
      <c r="G36" s="20"/>
      <c r="H36" s="20"/>
      <c r="I36" s="19"/>
      <c r="J36" s="246" t="str">
        <f t="shared" si="16"/>
        <v/>
      </c>
      <c r="K36" s="7"/>
      <c r="L36" s="97"/>
      <c r="M36" s="259"/>
      <c r="N36" s="257"/>
      <c r="O36" s="246" t="str">
        <f t="shared" si="0"/>
        <v/>
      </c>
      <c r="P36" s="97"/>
      <c r="Q36" s="257"/>
      <c r="R36" s="257"/>
      <c r="S36" s="246" t="str">
        <f t="shared" si="1"/>
        <v/>
      </c>
      <c r="T36" s="97"/>
      <c r="U36" s="257"/>
      <c r="V36" s="257"/>
      <c r="W36" s="246" t="str">
        <f t="shared" si="2"/>
        <v/>
      </c>
      <c r="X36" s="97"/>
      <c r="Y36" s="257"/>
      <c r="Z36" s="257"/>
      <c r="AA36" s="246" t="str">
        <f t="shared" si="3"/>
        <v/>
      </c>
      <c r="AB36" s="97"/>
      <c r="AC36" s="257"/>
      <c r="AD36" s="257"/>
      <c r="AE36" s="246" t="str">
        <f t="shared" si="4"/>
        <v/>
      </c>
      <c r="AF36" s="97"/>
      <c r="AG36" s="257"/>
      <c r="AH36" s="257"/>
      <c r="AI36" s="246" t="str">
        <f t="shared" si="5"/>
        <v/>
      </c>
      <c r="AJ36" s="97"/>
      <c r="AK36" s="257"/>
      <c r="AL36" s="257"/>
      <c r="AM36" s="246" t="str">
        <f t="shared" si="6"/>
        <v/>
      </c>
      <c r="AN36" s="97"/>
      <c r="AO36" s="257"/>
      <c r="AP36" s="257"/>
      <c r="AQ36" s="246" t="str">
        <f t="shared" si="7"/>
        <v/>
      </c>
      <c r="AR36" s="97"/>
      <c r="AS36" s="257"/>
      <c r="AT36" s="257"/>
      <c r="AU36" s="246" t="str">
        <f t="shared" si="8"/>
        <v/>
      </c>
      <c r="AV36" s="97"/>
      <c r="AW36" s="257"/>
      <c r="AX36" s="257"/>
      <c r="AY36" s="246" t="str">
        <f t="shared" si="9"/>
        <v/>
      </c>
      <c r="AZ36" s="97"/>
      <c r="BA36" s="257"/>
      <c r="BB36" s="257"/>
      <c r="BC36" s="246" t="str">
        <f t="shared" si="10"/>
        <v/>
      </c>
      <c r="BD36" s="97"/>
      <c r="BE36" s="257"/>
      <c r="BF36" s="257"/>
      <c r="BG36" s="246" t="str">
        <f t="shared" si="11"/>
        <v/>
      </c>
      <c r="BH36" s="97"/>
      <c r="BI36" s="257"/>
      <c r="BJ36" s="257"/>
      <c r="BK36" s="246" t="str">
        <f t="shared" si="12"/>
        <v/>
      </c>
      <c r="BL36" s="97"/>
      <c r="BM36" s="257"/>
      <c r="BN36" s="257"/>
      <c r="BO36" s="246" t="str">
        <f t="shared" si="13"/>
        <v/>
      </c>
      <c r="BP36" s="97"/>
      <c r="BQ36" s="257"/>
      <c r="BR36" s="257"/>
      <c r="BS36" s="246" t="str">
        <f t="shared" si="14"/>
        <v/>
      </c>
      <c r="BT36" s="97"/>
      <c r="BU36" s="257"/>
      <c r="BV36" s="257"/>
      <c r="BW36" s="246" t="str">
        <f t="shared" si="15"/>
        <v/>
      </c>
    </row>
    <row r="37" spans="1:75">
      <c r="A37" s="88">
        <v>31</v>
      </c>
      <c r="B37" s="50"/>
      <c r="C37" s="62"/>
      <c r="D37" s="117"/>
      <c r="E37" s="126"/>
      <c r="F37" s="190"/>
      <c r="G37" s="20"/>
      <c r="H37" s="20"/>
      <c r="I37" s="19"/>
      <c r="J37" s="246" t="str">
        <f t="shared" si="16"/>
        <v/>
      </c>
      <c r="K37" s="7"/>
      <c r="L37" s="97"/>
      <c r="M37" s="259"/>
      <c r="N37" s="257"/>
      <c r="O37" s="246" t="str">
        <f t="shared" si="0"/>
        <v/>
      </c>
      <c r="P37" s="97"/>
      <c r="Q37" s="257"/>
      <c r="R37" s="257"/>
      <c r="S37" s="246" t="str">
        <f t="shared" si="1"/>
        <v/>
      </c>
      <c r="T37" s="97"/>
      <c r="U37" s="257"/>
      <c r="V37" s="257"/>
      <c r="W37" s="246" t="str">
        <f t="shared" si="2"/>
        <v/>
      </c>
      <c r="X37" s="97"/>
      <c r="Y37" s="257"/>
      <c r="Z37" s="257"/>
      <c r="AA37" s="246" t="str">
        <f t="shared" si="3"/>
        <v/>
      </c>
      <c r="AB37" s="97"/>
      <c r="AC37" s="257"/>
      <c r="AD37" s="257"/>
      <c r="AE37" s="246" t="str">
        <f t="shared" si="4"/>
        <v/>
      </c>
      <c r="AF37" s="97"/>
      <c r="AG37" s="257"/>
      <c r="AH37" s="257"/>
      <c r="AI37" s="246" t="str">
        <f t="shared" si="5"/>
        <v/>
      </c>
      <c r="AJ37" s="97"/>
      <c r="AK37" s="257"/>
      <c r="AL37" s="257"/>
      <c r="AM37" s="246" t="str">
        <f t="shared" si="6"/>
        <v/>
      </c>
      <c r="AN37" s="97"/>
      <c r="AO37" s="257"/>
      <c r="AP37" s="257"/>
      <c r="AQ37" s="246" t="str">
        <f t="shared" si="7"/>
        <v/>
      </c>
      <c r="AR37" s="97"/>
      <c r="AS37" s="257"/>
      <c r="AT37" s="257"/>
      <c r="AU37" s="246" t="str">
        <f t="shared" si="8"/>
        <v/>
      </c>
      <c r="AV37" s="97"/>
      <c r="AW37" s="257"/>
      <c r="AX37" s="257"/>
      <c r="AY37" s="246" t="str">
        <f t="shared" si="9"/>
        <v/>
      </c>
      <c r="AZ37" s="97"/>
      <c r="BA37" s="257"/>
      <c r="BB37" s="257"/>
      <c r="BC37" s="246" t="str">
        <f t="shared" si="10"/>
        <v/>
      </c>
      <c r="BD37" s="97"/>
      <c r="BE37" s="257"/>
      <c r="BF37" s="257"/>
      <c r="BG37" s="246" t="str">
        <f t="shared" si="11"/>
        <v/>
      </c>
      <c r="BH37" s="97"/>
      <c r="BI37" s="257"/>
      <c r="BJ37" s="257"/>
      <c r="BK37" s="246" t="str">
        <f t="shared" si="12"/>
        <v/>
      </c>
      <c r="BL37" s="97"/>
      <c r="BM37" s="257"/>
      <c r="BN37" s="257"/>
      <c r="BO37" s="246" t="str">
        <f t="shared" si="13"/>
        <v/>
      </c>
      <c r="BP37" s="97"/>
      <c r="BQ37" s="257"/>
      <c r="BR37" s="257"/>
      <c r="BS37" s="246" t="str">
        <f t="shared" si="14"/>
        <v/>
      </c>
      <c r="BT37" s="97"/>
      <c r="BU37" s="257"/>
      <c r="BV37" s="257"/>
      <c r="BW37" s="246" t="str">
        <f t="shared" si="15"/>
        <v/>
      </c>
    </row>
    <row r="38" spans="1:75">
      <c r="A38" s="88">
        <v>32</v>
      </c>
      <c r="B38" s="50"/>
      <c r="C38" s="62"/>
      <c r="D38" s="117"/>
      <c r="E38" s="126"/>
      <c r="F38" s="190"/>
      <c r="G38" s="20"/>
      <c r="H38" s="20"/>
      <c r="I38" s="19"/>
      <c r="J38" s="246" t="str">
        <f t="shared" si="16"/>
        <v/>
      </c>
      <c r="K38" s="7"/>
      <c r="L38" s="97"/>
      <c r="M38" s="259"/>
      <c r="N38" s="257"/>
      <c r="O38" s="246" t="str">
        <f t="shared" si="0"/>
        <v/>
      </c>
      <c r="P38" s="97"/>
      <c r="Q38" s="257"/>
      <c r="R38" s="257"/>
      <c r="S38" s="246" t="str">
        <f t="shared" si="1"/>
        <v/>
      </c>
      <c r="T38" s="97"/>
      <c r="U38" s="257"/>
      <c r="V38" s="257"/>
      <c r="W38" s="246" t="str">
        <f t="shared" si="2"/>
        <v/>
      </c>
      <c r="X38" s="97"/>
      <c r="Y38" s="257"/>
      <c r="Z38" s="257"/>
      <c r="AA38" s="246" t="str">
        <f t="shared" si="3"/>
        <v/>
      </c>
      <c r="AB38" s="97"/>
      <c r="AC38" s="257"/>
      <c r="AD38" s="257"/>
      <c r="AE38" s="246" t="str">
        <f t="shared" si="4"/>
        <v/>
      </c>
      <c r="AF38" s="97"/>
      <c r="AG38" s="257"/>
      <c r="AH38" s="257"/>
      <c r="AI38" s="246" t="str">
        <f t="shared" si="5"/>
        <v/>
      </c>
      <c r="AJ38" s="97"/>
      <c r="AK38" s="257"/>
      <c r="AL38" s="257"/>
      <c r="AM38" s="246" t="str">
        <f t="shared" si="6"/>
        <v/>
      </c>
      <c r="AN38" s="97"/>
      <c r="AO38" s="257"/>
      <c r="AP38" s="257"/>
      <c r="AQ38" s="246" t="str">
        <f t="shared" si="7"/>
        <v/>
      </c>
      <c r="AR38" s="97"/>
      <c r="AS38" s="257"/>
      <c r="AT38" s="257"/>
      <c r="AU38" s="246" t="str">
        <f t="shared" si="8"/>
        <v/>
      </c>
      <c r="AV38" s="97"/>
      <c r="AW38" s="257"/>
      <c r="AX38" s="257"/>
      <c r="AY38" s="246" t="str">
        <f t="shared" si="9"/>
        <v/>
      </c>
      <c r="AZ38" s="97"/>
      <c r="BA38" s="257"/>
      <c r="BB38" s="257"/>
      <c r="BC38" s="246" t="str">
        <f t="shared" si="10"/>
        <v/>
      </c>
      <c r="BD38" s="97"/>
      <c r="BE38" s="257"/>
      <c r="BF38" s="257"/>
      <c r="BG38" s="246" t="str">
        <f t="shared" si="11"/>
        <v/>
      </c>
      <c r="BH38" s="97"/>
      <c r="BI38" s="257"/>
      <c r="BJ38" s="257"/>
      <c r="BK38" s="246" t="str">
        <f t="shared" si="12"/>
        <v/>
      </c>
      <c r="BL38" s="97"/>
      <c r="BM38" s="257"/>
      <c r="BN38" s="257"/>
      <c r="BO38" s="246" t="str">
        <f t="shared" si="13"/>
        <v/>
      </c>
      <c r="BP38" s="97"/>
      <c r="BQ38" s="257"/>
      <c r="BR38" s="257"/>
      <c r="BS38" s="246" t="str">
        <f t="shared" si="14"/>
        <v/>
      </c>
      <c r="BT38" s="97"/>
      <c r="BU38" s="257"/>
      <c r="BV38" s="257"/>
      <c r="BW38" s="246" t="str">
        <f t="shared" si="15"/>
        <v/>
      </c>
    </row>
    <row r="39" spans="1:75">
      <c r="A39" s="88">
        <v>33</v>
      </c>
      <c r="B39" s="50"/>
      <c r="C39" s="62"/>
      <c r="D39" s="117"/>
      <c r="E39" s="126"/>
      <c r="F39" s="190"/>
      <c r="G39" s="20"/>
      <c r="H39" s="20"/>
      <c r="I39" s="19"/>
      <c r="J39" s="246" t="str">
        <f t="shared" si="16"/>
        <v/>
      </c>
      <c r="K39" s="7"/>
      <c r="L39" s="97"/>
      <c r="M39" s="259"/>
      <c r="N39" s="257"/>
      <c r="O39" s="246" t="str">
        <f t="shared" si="0"/>
        <v/>
      </c>
      <c r="P39" s="97"/>
      <c r="Q39" s="257"/>
      <c r="R39" s="257"/>
      <c r="S39" s="246" t="str">
        <f t="shared" si="1"/>
        <v/>
      </c>
      <c r="T39" s="97"/>
      <c r="U39" s="257"/>
      <c r="V39" s="257"/>
      <c r="W39" s="246" t="str">
        <f t="shared" si="2"/>
        <v/>
      </c>
      <c r="X39" s="97"/>
      <c r="Y39" s="257"/>
      <c r="Z39" s="257"/>
      <c r="AA39" s="246" t="str">
        <f t="shared" si="3"/>
        <v/>
      </c>
      <c r="AB39" s="97"/>
      <c r="AC39" s="257"/>
      <c r="AD39" s="257"/>
      <c r="AE39" s="246" t="str">
        <f t="shared" si="4"/>
        <v/>
      </c>
      <c r="AF39" s="97"/>
      <c r="AG39" s="257"/>
      <c r="AH39" s="257"/>
      <c r="AI39" s="246" t="str">
        <f t="shared" si="5"/>
        <v/>
      </c>
      <c r="AJ39" s="97"/>
      <c r="AK39" s="257"/>
      <c r="AL39" s="257"/>
      <c r="AM39" s="246" t="str">
        <f t="shared" si="6"/>
        <v/>
      </c>
      <c r="AN39" s="97"/>
      <c r="AO39" s="257"/>
      <c r="AP39" s="257"/>
      <c r="AQ39" s="246" t="str">
        <f t="shared" si="7"/>
        <v/>
      </c>
      <c r="AR39" s="97"/>
      <c r="AS39" s="257"/>
      <c r="AT39" s="257"/>
      <c r="AU39" s="246" t="str">
        <f t="shared" si="8"/>
        <v/>
      </c>
      <c r="AV39" s="97"/>
      <c r="AW39" s="257"/>
      <c r="AX39" s="257"/>
      <c r="AY39" s="246" t="str">
        <f t="shared" si="9"/>
        <v/>
      </c>
      <c r="AZ39" s="97"/>
      <c r="BA39" s="257"/>
      <c r="BB39" s="257"/>
      <c r="BC39" s="246" t="str">
        <f t="shared" si="10"/>
        <v/>
      </c>
      <c r="BD39" s="97"/>
      <c r="BE39" s="257"/>
      <c r="BF39" s="257"/>
      <c r="BG39" s="246" t="str">
        <f t="shared" si="11"/>
        <v/>
      </c>
      <c r="BH39" s="97"/>
      <c r="BI39" s="257"/>
      <c r="BJ39" s="257"/>
      <c r="BK39" s="246" t="str">
        <f t="shared" si="12"/>
        <v/>
      </c>
      <c r="BL39" s="97"/>
      <c r="BM39" s="257"/>
      <c r="BN39" s="257"/>
      <c r="BO39" s="246" t="str">
        <f t="shared" si="13"/>
        <v/>
      </c>
      <c r="BP39" s="97"/>
      <c r="BQ39" s="257"/>
      <c r="BR39" s="257"/>
      <c r="BS39" s="246" t="str">
        <f t="shared" si="14"/>
        <v/>
      </c>
      <c r="BT39" s="97"/>
      <c r="BU39" s="257"/>
      <c r="BV39" s="257"/>
      <c r="BW39" s="246" t="str">
        <f t="shared" si="15"/>
        <v/>
      </c>
    </row>
    <row r="40" spans="1:75">
      <c r="A40" s="88">
        <v>34</v>
      </c>
      <c r="B40" s="50"/>
      <c r="C40" s="62"/>
      <c r="D40" s="117"/>
      <c r="E40" s="126"/>
      <c r="F40" s="190"/>
      <c r="G40" s="20"/>
      <c r="H40" s="20"/>
      <c r="I40" s="19"/>
      <c r="J40" s="246" t="str">
        <f t="shared" si="16"/>
        <v/>
      </c>
      <c r="K40" s="7"/>
      <c r="L40" s="97"/>
      <c r="M40" s="259"/>
      <c r="N40" s="257"/>
      <c r="O40" s="246" t="str">
        <f t="shared" si="0"/>
        <v/>
      </c>
      <c r="P40" s="97"/>
      <c r="Q40" s="257"/>
      <c r="R40" s="257"/>
      <c r="S40" s="246" t="str">
        <f t="shared" si="1"/>
        <v/>
      </c>
      <c r="T40" s="97"/>
      <c r="U40" s="257"/>
      <c r="V40" s="257"/>
      <c r="W40" s="246" t="str">
        <f t="shared" si="2"/>
        <v/>
      </c>
      <c r="X40" s="97"/>
      <c r="Y40" s="257"/>
      <c r="Z40" s="257"/>
      <c r="AA40" s="246" t="str">
        <f t="shared" si="3"/>
        <v/>
      </c>
      <c r="AB40" s="97"/>
      <c r="AC40" s="257"/>
      <c r="AD40" s="257"/>
      <c r="AE40" s="246" t="str">
        <f t="shared" si="4"/>
        <v/>
      </c>
      <c r="AF40" s="97"/>
      <c r="AG40" s="257"/>
      <c r="AH40" s="257"/>
      <c r="AI40" s="246" t="str">
        <f t="shared" si="5"/>
        <v/>
      </c>
      <c r="AJ40" s="97"/>
      <c r="AK40" s="257"/>
      <c r="AL40" s="257"/>
      <c r="AM40" s="246" t="str">
        <f t="shared" si="6"/>
        <v/>
      </c>
      <c r="AN40" s="97"/>
      <c r="AO40" s="257"/>
      <c r="AP40" s="257"/>
      <c r="AQ40" s="246" t="str">
        <f t="shared" si="7"/>
        <v/>
      </c>
      <c r="AR40" s="97"/>
      <c r="AS40" s="257"/>
      <c r="AT40" s="257"/>
      <c r="AU40" s="246" t="str">
        <f t="shared" si="8"/>
        <v/>
      </c>
      <c r="AV40" s="97"/>
      <c r="AW40" s="257"/>
      <c r="AX40" s="257"/>
      <c r="AY40" s="246" t="str">
        <f t="shared" si="9"/>
        <v/>
      </c>
      <c r="AZ40" s="97"/>
      <c r="BA40" s="257"/>
      <c r="BB40" s="257"/>
      <c r="BC40" s="246" t="str">
        <f t="shared" si="10"/>
        <v/>
      </c>
      <c r="BD40" s="97"/>
      <c r="BE40" s="257"/>
      <c r="BF40" s="257"/>
      <c r="BG40" s="246" t="str">
        <f t="shared" si="11"/>
        <v/>
      </c>
      <c r="BH40" s="97"/>
      <c r="BI40" s="257"/>
      <c r="BJ40" s="257"/>
      <c r="BK40" s="246" t="str">
        <f t="shared" si="12"/>
        <v/>
      </c>
      <c r="BL40" s="97"/>
      <c r="BM40" s="257"/>
      <c r="BN40" s="257"/>
      <c r="BO40" s="246" t="str">
        <f t="shared" si="13"/>
        <v/>
      </c>
      <c r="BP40" s="97"/>
      <c r="BQ40" s="257"/>
      <c r="BR40" s="257"/>
      <c r="BS40" s="246" t="str">
        <f t="shared" si="14"/>
        <v/>
      </c>
      <c r="BT40" s="97"/>
      <c r="BU40" s="257"/>
      <c r="BV40" s="257"/>
      <c r="BW40" s="246" t="str">
        <f t="shared" si="15"/>
        <v/>
      </c>
    </row>
    <row r="41" spans="1:75">
      <c r="A41" s="88">
        <v>35</v>
      </c>
      <c r="B41" s="50"/>
      <c r="C41" s="62"/>
      <c r="D41" s="117"/>
      <c r="E41" s="126"/>
      <c r="F41" s="190"/>
      <c r="G41" s="20"/>
      <c r="H41" s="20"/>
      <c r="I41" s="19"/>
      <c r="J41" s="246" t="str">
        <f t="shared" si="16"/>
        <v/>
      </c>
      <c r="K41" s="7"/>
      <c r="L41" s="97"/>
      <c r="M41" s="259"/>
      <c r="N41" s="257"/>
      <c r="O41" s="246" t="str">
        <f t="shared" si="0"/>
        <v/>
      </c>
      <c r="P41" s="97"/>
      <c r="Q41" s="257"/>
      <c r="R41" s="257"/>
      <c r="S41" s="246" t="str">
        <f t="shared" si="1"/>
        <v/>
      </c>
      <c r="T41" s="97"/>
      <c r="U41" s="257"/>
      <c r="V41" s="257"/>
      <c r="W41" s="246" t="str">
        <f t="shared" si="2"/>
        <v/>
      </c>
      <c r="X41" s="97"/>
      <c r="Y41" s="257"/>
      <c r="Z41" s="257"/>
      <c r="AA41" s="246" t="str">
        <f t="shared" si="3"/>
        <v/>
      </c>
      <c r="AB41" s="97"/>
      <c r="AC41" s="257"/>
      <c r="AD41" s="257"/>
      <c r="AE41" s="246" t="str">
        <f t="shared" si="4"/>
        <v/>
      </c>
      <c r="AF41" s="97"/>
      <c r="AG41" s="257"/>
      <c r="AH41" s="257"/>
      <c r="AI41" s="246" t="str">
        <f t="shared" si="5"/>
        <v/>
      </c>
      <c r="AJ41" s="97"/>
      <c r="AK41" s="257"/>
      <c r="AL41" s="257"/>
      <c r="AM41" s="246" t="str">
        <f t="shared" si="6"/>
        <v/>
      </c>
      <c r="AN41" s="97"/>
      <c r="AO41" s="257"/>
      <c r="AP41" s="257"/>
      <c r="AQ41" s="246" t="str">
        <f t="shared" si="7"/>
        <v/>
      </c>
      <c r="AR41" s="97"/>
      <c r="AS41" s="257"/>
      <c r="AT41" s="257"/>
      <c r="AU41" s="246" t="str">
        <f t="shared" si="8"/>
        <v/>
      </c>
      <c r="AV41" s="97"/>
      <c r="AW41" s="257"/>
      <c r="AX41" s="257"/>
      <c r="AY41" s="246" t="str">
        <f t="shared" si="9"/>
        <v/>
      </c>
      <c r="AZ41" s="97"/>
      <c r="BA41" s="257"/>
      <c r="BB41" s="257"/>
      <c r="BC41" s="246" t="str">
        <f t="shared" si="10"/>
        <v/>
      </c>
      <c r="BD41" s="97"/>
      <c r="BE41" s="257"/>
      <c r="BF41" s="257"/>
      <c r="BG41" s="246" t="str">
        <f t="shared" si="11"/>
        <v/>
      </c>
      <c r="BH41" s="97"/>
      <c r="BI41" s="257"/>
      <c r="BJ41" s="257"/>
      <c r="BK41" s="246" t="str">
        <f t="shared" si="12"/>
        <v/>
      </c>
      <c r="BL41" s="97"/>
      <c r="BM41" s="257"/>
      <c r="BN41" s="257"/>
      <c r="BO41" s="246" t="str">
        <f t="shared" si="13"/>
        <v/>
      </c>
      <c r="BP41" s="97"/>
      <c r="BQ41" s="257"/>
      <c r="BR41" s="257"/>
      <c r="BS41" s="246" t="str">
        <f t="shared" si="14"/>
        <v/>
      </c>
      <c r="BT41" s="97"/>
      <c r="BU41" s="257"/>
      <c r="BV41" s="257"/>
      <c r="BW41" s="246" t="str">
        <f t="shared" si="15"/>
        <v/>
      </c>
    </row>
    <row r="42" spans="1:75">
      <c r="A42" s="88">
        <v>36</v>
      </c>
      <c r="B42" s="50"/>
      <c r="C42" s="62"/>
      <c r="D42" s="117"/>
      <c r="E42" s="126"/>
      <c r="F42" s="190"/>
      <c r="G42" s="20"/>
      <c r="H42" s="20"/>
      <c r="I42" s="19"/>
      <c r="J42" s="246" t="str">
        <f t="shared" si="16"/>
        <v/>
      </c>
      <c r="K42" s="7"/>
      <c r="L42" s="97"/>
      <c r="M42" s="259"/>
      <c r="N42" s="257"/>
      <c r="O42" s="246" t="str">
        <f t="shared" si="0"/>
        <v/>
      </c>
      <c r="P42" s="97"/>
      <c r="Q42" s="257"/>
      <c r="R42" s="257"/>
      <c r="S42" s="246" t="str">
        <f t="shared" si="1"/>
        <v/>
      </c>
      <c r="T42" s="97"/>
      <c r="U42" s="257"/>
      <c r="V42" s="257"/>
      <c r="W42" s="246" t="str">
        <f t="shared" si="2"/>
        <v/>
      </c>
      <c r="X42" s="97"/>
      <c r="Y42" s="257"/>
      <c r="Z42" s="257"/>
      <c r="AA42" s="246" t="str">
        <f t="shared" si="3"/>
        <v/>
      </c>
      <c r="AB42" s="97"/>
      <c r="AC42" s="257"/>
      <c r="AD42" s="257"/>
      <c r="AE42" s="246" t="str">
        <f t="shared" si="4"/>
        <v/>
      </c>
      <c r="AF42" s="97"/>
      <c r="AG42" s="257"/>
      <c r="AH42" s="257"/>
      <c r="AI42" s="246" t="str">
        <f t="shared" si="5"/>
        <v/>
      </c>
      <c r="AJ42" s="97"/>
      <c r="AK42" s="257"/>
      <c r="AL42" s="257"/>
      <c r="AM42" s="246" t="str">
        <f t="shared" si="6"/>
        <v/>
      </c>
      <c r="AN42" s="97"/>
      <c r="AO42" s="257"/>
      <c r="AP42" s="257"/>
      <c r="AQ42" s="246" t="str">
        <f t="shared" si="7"/>
        <v/>
      </c>
      <c r="AR42" s="97"/>
      <c r="AS42" s="257"/>
      <c r="AT42" s="257"/>
      <c r="AU42" s="246" t="str">
        <f t="shared" si="8"/>
        <v/>
      </c>
      <c r="AV42" s="97"/>
      <c r="AW42" s="257"/>
      <c r="AX42" s="257"/>
      <c r="AY42" s="246" t="str">
        <f t="shared" si="9"/>
        <v/>
      </c>
      <c r="AZ42" s="97"/>
      <c r="BA42" s="257"/>
      <c r="BB42" s="257"/>
      <c r="BC42" s="246" t="str">
        <f t="shared" si="10"/>
        <v/>
      </c>
      <c r="BD42" s="97"/>
      <c r="BE42" s="257"/>
      <c r="BF42" s="257"/>
      <c r="BG42" s="246" t="str">
        <f t="shared" si="11"/>
        <v/>
      </c>
      <c r="BH42" s="97"/>
      <c r="BI42" s="257"/>
      <c r="BJ42" s="257"/>
      <c r="BK42" s="246" t="str">
        <f t="shared" si="12"/>
        <v/>
      </c>
      <c r="BL42" s="97"/>
      <c r="BM42" s="257"/>
      <c r="BN42" s="257"/>
      <c r="BO42" s="246" t="str">
        <f t="shared" si="13"/>
        <v/>
      </c>
      <c r="BP42" s="97"/>
      <c r="BQ42" s="257"/>
      <c r="BR42" s="257"/>
      <c r="BS42" s="246" t="str">
        <f t="shared" si="14"/>
        <v/>
      </c>
      <c r="BT42" s="97"/>
      <c r="BU42" s="257"/>
      <c r="BV42" s="257"/>
      <c r="BW42" s="246" t="str">
        <f t="shared" si="15"/>
        <v/>
      </c>
    </row>
    <row r="43" spans="1:75">
      <c r="A43" s="88">
        <v>37</v>
      </c>
      <c r="B43" s="50"/>
      <c r="C43" s="62"/>
      <c r="D43" s="117"/>
      <c r="E43" s="126"/>
      <c r="F43" s="190"/>
      <c r="G43" s="20"/>
      <c r="H43" s="20"/>
      <c r="I43" s="19"/>
      <c r="J43" s="246" t="str">
        <f t="shared" si="16"/>
        <v/>
      </c>
      <c r="K43" s="7"/>
      <c r="L43" s="97"/>
      <c r="M43" s="259"/>
      <c r="N43" s="257"/>
      <c r="O43" s="246" t="str">
        <f t="shared" si="0"/>
        <v/>
      </c>
      <c r="P43" s="97"/>
      <c r="Q43" s="257"/>
      <c r="R43" s="257"/>
      <c r="S43" s="246" t="str">
        <f t="shared" si="1"/>
        <v/>
      </c>
      <c r="T43" s="97"/>
      <c r="U43" s="257"/>
      <c r="V43" s="257"/>
      <c r="W43" s="246" t="str">
        <f t="shared" si="2"/>
        <v/>
      </c>
      <c r="X43" s="97"/>
      <c r="Y43" s="257"/>
      <c r="Z43" s="257"/>
      <c r="AA43" s="246" t="str">
        <f t="shared" si="3"/>
        <v/>
      </c>
      <c r="AB43" s="97"/>
      <c r="AC43" s="257"/>
      <c r="AD43" s="257"/>
      <c r="AE43" s="246" t="str">
        <f t="shared" si="4"/>
        <v/>
      </c>
      <c r="AF43" s="97"/>
      <c r="AG43" s="257"/>
      <c r="AH43" s="257"/>
      <c r="AI43" s="246" t="str">
        <f t="shared" si="5"/>
        <v/>
      </c>
      <c r="AJ43" s="97"/>
      <c r="AK43" s="257"/>
      <c r="AL43" s="257"/>
      <c r="AM43" s="246" t="str">
        <f t="shared" si="6"/>
        <v/>
      </c>
      <c r="AN43" s="97"/>
      <c r="AO43" s="257"/>
      <c r="AP43" s="257"/>
      <c r="AQ43" s="246" t="str">
        <f t="shared" si="7"/>
        <v/>
      </c>
      <c r="AR43" s="97"/>
      <c r="AS43" s="257"/>
      <c r="AT43" s="257"/>
      <c r="AU43" s="246" t="str">
        <f t="shared" si="8"/>
        <v/>
      </c>
      <c r="AV43" s="97"/>
      <c r="AW43" s="257"/>
      <c r="AX43" s="257"/>
      <c r="AY43" s="246" t="str">
        <f t="shared" si="9"/>
        <v/>
      </c>
      <c r="AZ43" s="97"/>
      <c r="BA43" s="257"/>
      <c r="BB43" s="257"/>
      <c r="BC43" s="246" t="str">
        <f t="shared" si="10"/>
        <v/>
      </c>
      <c r="BD43" s="97"/>
      <c r="BE43" s="257"/>
      <c r="BF43" s="257"/>
      <c r="BG43" s="246" t="str">
        <f t="shared" si="11"/>
        <v/>
      </c>
      <c r="BH43" s="97"/>
      <c r="BI43" s="257"/>
      <c r="BJ43" s="257"/>
      <c r="BK43" s="246" t="str">
        <f t="shared" si="12"/>
        <v/>
      </c>
      <c r="BL43" s="97"/>
      <c r="BM43" s="257"/>
      <c r="BN43" s="257"/>
      <c r="BO43" s="246" t="str">
        <f t="shared" si="13"/>
        <v/>
      </c>
      <c r="BP43" s="97"/>
      <c r="BQ43" s="257"/>
      <c r="BR43" s="257"/>
      <c r="BS43" s="246" t="str">
        <f t="shared" si="14"/>
        <v/>
      </c>
      <c r="BT43" s="97"/>
      <c r="BU43" s="257"/>
      <c r="BV43" s="257"/>
      <c r="BW43" s="246" t="str">
        <f t="shared" si="15"/>
        <v/>
      </c>
    </row>
    <row r="44" spans="1:75">
      <c r="A44" s="88">
        <v>38</v>
      </c>
      <c r="B44" s="50"/>
      <c r="C44" s="62"/>
      <c r="D44" s="117"/>
      <c r="E44" s="126"/>
      <c r="F44" s="190"/>
      <c r="G44" s="20"/>
      <c r="H44" s="20"/>
      <c r="I44" s="19"/>
      <c r="J44" s="246" t="str">
        <f t="shared" si="16"/>
        <v/>
      </c>
      <c r="K44" s="7"/>
      <c r="L44" s="97"/>
      <c r="M44" s="259"/>
      <c r="N44" s="257"/>
      <c r="O44" s="246" t="str">
        <f t="shared" si="0"/>
        <v/>
      </c>
      <c r="P44" s="97"/>
      <c r="Q44" s="257"/>
      <c r="R44" s="257"/>
      <c r="S44" s="246" t="str">
        <f t="shared" si="1"/>
        <v/>
      </c>
      <c r="T44" s="97"/>
      <c r="U44" s="257"/>
      <c r="V44" s="257"/>
      <c r="W44" s="246" t="str">
        <f t="shared" si="2"/>
        <v/>
      </c>
      <c r="X44" s="97"/>
      <c r="Y44" s="257"/>
      <c r="Z44" s="257"/>
      <c r="AA44" s="246" t="str">
        <f t="shared" si="3"/>
        <v/>
      </c>
      <c r="AB44" s="97"/>
      <c r="AC44" s="257"/>
      <c r="AD44" s="257"/>
      <c r="AE44" s="246" t="str">
        <f t="shared" si="4"/>
        <v/>
      </c>
      <c r="AF44" s="97"/>
      <c r="AG44" s="257"/>
      <c r="AH44" s="257"/>
      <c r="AI44" s="246" t="str">
        <f t="shared" si="5"/>
        <v/>
      </c>
      <c r="AJ44" s="97"/>
      <c r="AK44" s="257"/>
      <c r="AL44" s="257"/>
      <c r="AM44" s="246" t="str">
        <f t="shared" si="6"/>
        <v/>
      </c>
      <c r="AN44" s="97"/>
      <c r="AO44" s="257"/>
      <c r="AP44" s="257"/>
      <c r="AQ44" s="246" t="str">
        <f t="shared" si="7"/>
        <v/>
      </c>
      <c r="AR44" s="97"/>
      <c r="AS44" s="257"/>
      <c r="AT44" s="257"/>
      <c r="AU44" s="246" t="str">
        <f t="shared" si="8"/>
        <v/>
      </c>
      <c r="AV44" s="97"/>
      <c r="AW44" s="257"/>
      <c r="AX44" s="257"/>
      <c r="AY44" s="246" t="str">
        <f t="shared" si="9"/>
        <v/>
      </c>
      <c r="AZ44" s="97"/>
      <c r="BA44" s="257"/>
      <c r="BB44" s="257"/>
      <c r="BC44" s="246" t="str">
        <f t="shared" si="10"/>
        <v/>
      </c>
      <c r="BD44" s="97"/>
      <c r="BE44" s="257"/>
      <c r="BF44" s="257"/>
      <c r="BG44" s="246" t="str">
        <f t="shared" si="11"/>
        <v/>
      </c>
      <c r="BH44" s="97"/>
      <c r="BI44" s="257"/>
      <c r="BJ44" s="257"/>
      <c r="BK44" s="246" t="str">
        <f t="shared" si="12"/>
        <v/>
      </c>
      <c r="BL44" s="97"/>
      <c r="BM44" s="257"/>
      <c r="BN44" s="257"/>
      <c r="BO44" s="246" t="str">
        <f t="shared" si="13"/>
        <v/>
      </c>
      <c r="BP44" s="97"/>
      <c r="BQ44" s="257"/>
      <c r="BR44" s="257"/>
      <c r="BS44" s="246" t="str">
        <f t="shared" si="14"/>
        <v/>
      </c>
      <c r="BT44" s="97"/>
      <c r="BU44" s="257"/>
      <c r="BV44" s="257"/>
      <c r="BW44" s="246" t="str">
        <f t="shared" si="15"/>
        <v/>
      </c>
    </row>
    <row r="45" spans="1:75">
      <c r="A45" s="88">
        <v>39</v>
      </c>
      <c r="B45" s="50"/>
      <c r="C45" s="62"/>
      <c r="D45" s="117"/>
      <c r="E45" s="126"/>
      <c r="F45" s="190"/>
      <c r="G45" s="20"/>
      <c r="H45" s="20"/>
      <c r="I45" s="19"/>
      <c r="J45" s="246" t="str">
        <f t="shared" si="16"/>
        <v/>
      </c>
      <c r="K45" s="7"/>
      <c r="L45" s="97"/>
      <c r="M45" s="259"/>
      <c r="N45" s="257"/>
      <c r="O45" s="246" t="str">
        <f t="shared" si="0"/>
        <v/>
      </c>
      <c r="P45" s="97"/>
      <c r="Q45" s="257"/>
      <c r="R45" s="257"/>
      <c r="S45" s="246" t="str">
        <f t="shared" si="1"/>
        <v/>
      </c>
      <c r="T45" s="97"/>
      <c r="U45" s="257"/>
      <c r="V45" s="257"/>
      <c r="W45" s="246" t="str">
        <f t="shared" si="2"/>
        <v/>
      </c>
      <c r="X45" s="97"/>
      <c r="Y45" s="257"/>
      <c r="Z45" s="257"/>
      <c r="AA45" s="246" t="str">
        <f t="shared" si="3"/>
        <v/>
      </c>
      <c r="AB45" s="97"/>
      <c r="AC45" s="257"/>
      <c r="AD45" s="257"/>
      <c r="AE45" s="246" t="str">
        <f t="shared" si="4"/>
        <v/>
      </c>
      <c r="AF45" s="97"/>
      <c r="AG45" s="257"/>
      <c r="AH45" s="257"/>
      <c r="AI45" s="246" t="str">
        <f t="shared" si="5"/>
        <v/>
      </c>
      <c r="AJ45" s="97"/>
      <c r="AK45" s="257"/>
      <c r="AL45" s="257"/>
      <c r="AM45" s="246" t="str">
        <f t="shared" si="6"/>
        <v/>
      </c>
      <c r="AN45" s="97"/>
      <c r="AO45" s="257"/>
      <c r="AP45" s="257"/>
      <c r="AQ45" s="246" t="str">
        <f t="shared" si="7"/>
        <v/>
      </c>
      <c r="AR45" s="97"/>
      <c r="AS45" s="257"/>
      <c r="AT45" s="257"/>
      <c r="AU45" s="246" t="str">
        <f t="shared" si="8"/>
        <v/>
      </c>
      <c r="AV45" s="97"/>
      <c r="AW45" s="257"/>
      <c r="AX45" s="257"/>
      <c r="AY45" s="246" t="str">
        <f t="shared" si="9"/>
        <v/>
      </c>
      <c r="AZ45" s="97"/>
      <c r="BA45" s="257"/>
      <c r="BB45" s="257"/>
      <c r="BC45" s="246" t="str">
        <f t="shared" si="10"/>
        <v/>
      </c>
      <c r="BD45" s="97"/>
      <c r="BE45" s="257"/>
      <c r="BF45" s="257"/>
      <c r="BG45" s="246" t="str">
        <f t="shared" si="11"/>
        <v/>
      </c>
      <c r="BH45" s="97"/>
      <c r="BI45" s="257"/>
      <c r="BJ45" s="257"/>
      <c r="BK45" s="246" t="str">
        <f t="shared" si="12"/>
        <v/>
      </c>
      <c r="BL45" s="97"/>
      <c r="BM45" s="257"/>
      <c r="BN45" s="257"/>
      <c r="BO45" s="246" t="str">
        <f t="shared" si="13"/>
        <v/>
      </c>
      <c r="BP45" s="97"/>
      <c r="BQ45" s="257"/>
      <c r="BR45" s="257"/>
      <c r="BS45" s="246" t="str">
        <f t="shared" si="14"/>
        <v/>
      </c>
      <c r="BT45" s="97"/>
      <c r="BU45" s="257"/>
      <c r="BV45" s="257"/>
      <c r="BW45" s="246" t="str">
        <f t="shared" si="15"/>
        <v/>
      </c>
    </row>
    <row r="46" spans="1:75">
      <c r="A46" s="88">
        <v>40</v>
      </c>
      <c r="B46" s="50"/>
      <c r="C46" s="62"/>
      <c r="D46" s="117"/>
      <c r="E46" s="126"/>
      <c r="F46" s="190"/>
      <c r="G46" s="20"/>
      <c r="H46" s="20"/>
      <c r="I46" s="19"/>
      <c r="J46" s="246" t="str">
        <f t="shared" si="16"/>
        <v/>
      </c>
      <c r="K46" s="7"/>
      <c r="L46" s="97"/>
      <c r="M46" s="259"/>
      <c r="N46" s="257"/>
      <c r="O46" s="246" t="str">
        <f t="shared" si="0"/>
        <v/>
      </c>
      <c r="P46" s="97"/>
      <c r="Q46" s="257"/>
      <c r="R46" s="257"/>
      <c r="S46" s="246" t="str">
        <f t="shared" si="1"/>
        <v/>
      </c>
      <c r="T46" s="97"/>
      <c r="U46" s="257"/>
      <c r="V46" s="257"/>
      <c r="W46" s="246" t="str">
        <f t="shared" si="2"/>
        <v/>
      </c>
      <c r="X46" s="97"/>
      <c r="Y46" s="257"/>
      <c r="Z46" s="257"/>
      <c r="AA46" s="246" t="str">
        <f t="shared" si="3"/>
        <v/>
      </c>
      <c r="AB46" s="97"/>
      <c r="AC46" s="257"/>
      <c r="AD46" s="257"/>
      <c r="AE46" s="246" t="str">
        <f t="shared" si="4"/>
        <v/>
      </c>
      <c r="AF46" s="97"/>
      <c r="AG46" s="257"/>
      <c r="AH46" s="257"/>
      <c r="AI46" s="246" t="str">
        <f t="shared" si="5"/>
        <v/>
      </c>
      <c r="AJ46" s="97"/>
      <c r="AK46" s="257"/>
      <c r="AL46" s="257"/>
      <c r="AM46" s="246" t="str">
        <f t="shared" si="6"/>
        <v/>
      </c>
      <c r="AN46" s="97"/>
      <c r="AO46" s="257"/>
      <c r="AP46" s="257"/>
      <c r="AQ46" s="246" t="str">
        <f t="shared" si="7"/>
        <v/>
      </c>
      <c r="AR46" s="97"/>
      <c r="AS46" s="257"/>
      <c r="AT46" s="257"/>
      <c r="AU46" s="246" t="str">
        <f t="shared" si="8"/>
        <v/>
      </c>
      <c r="AV46" s="97"/>
      <c r="AW46" s="257"/>
      <c r="AX46" s="257"/>
      <c r="AY46" s="246" t="str">
        <f t="shared" si="9"/>
        <v/>
      </c>
      <c r="AZ46" s="97"/>
      <c r="BA46" s="257"/>
      <c r="BB46" s="257"/>
      <c r="BC46" s="246" t="str">
        <f t="shared" si="10"/>
        <v/>
      </c>
      <c r="BD46" s="97"/>
      <c r="BE46" s="257"/>
      <c r="BF46" s="257"/>
      <c r="BG46" s="246" t="str">
        <f t="shared" si="11"/>
        <v/>
      </c>
      <c r="BH46" s="97"/>
      <c r="BI46" s="257"/>
      <c r="BJ46" s="257"/>
      <c r="BK46" s="246" t="str">
        <f t="shared" si="12"/>
        <v/>
      </c>
      <c r="BL46" s="97"/>
      <c r="BM46" s="257"/>
      <c r="BN46" s="257"/>
      <c r="BO46" s="246" t="str">
        <f t="shared" si="13"/>
        <v/>
      </c>
      <c r="BP46" s="97"/>
      <c r="BQ46" s="257"/>
      <c r="BR46" s="257"/>
      <c r="BS46" s="246" t="str">
        <f t="shared" si="14"/>
        <v/>
      </c>
      <c r="BT46" s="97"/>
      <c r="BU46" s="257"/>
      <c r="BV46" s="257"/>
      <c r="BW46" s="246" t="str">
        <f t="shared" si="15"/>
        <v/>
      </c>
    </row>
    <row r="47" spans="1:75">
      <c r="A47" s="88">
        <v>41</v>
      </c>
      <c r="B47" s="50"/>
      <c r="C47" s="62"/>
      <c r="D47" s="117"/>
      <c r="E47" s="126"/>
      <c r="F47" s="190"/>
      <c r="G47" s="20"/>
      <c r="H47" s="20"/>
      <c r="I47" s="19"/>
      <c r="J47" s="246" t="str">
        <f t="shared" si="16"/>
        <v/>
      </c>
      <c r="K47" s="7"/>
      <c r="L47" s="97"/>
      <c r="M47" s="259"/>
      <c r="N47" s="257"/>
      <c r="O47" s="246" t="str">
        <f t="shared" si="0"/>
        <v/>
      </c>
      <c r="P47" s="97"/>
      <c r="Q47" s="257"/>
      <c r="R47" s="257"/>
      <c r="S47" s="246" t="str">
        <f t="shared" si="1"/>
        <v/>
      </c>
      <c r="T47" s="97"/>
      <c r="U47" s="257"/>
      <c r="V47" s="257"/>
      <c r="W47" s="246" t="str">
        <f t="shared" si="2"/>
        <v/>
      </c>
      <c r="X47" s="97"/>
      <c r="Y47" s="257"/>
      <c r="Z47" s="257"/>
      <c r="AA47" s="246" t="str">
        <f t="shared" si="3"/>
        <v/>
      </c>
      <c r="AB47" s="97"/>
      <c r="AC47" s="257"/>
      <c r="AD47" s="257"/>
      <c r="AE47" s="246" t="str">
        <f t="shared" si="4"/>
        <v/>
      </c>
      <c r="AF47" s="97"/>
      <c r="AG47" s="257"/>
      <c r="AH47" s="257"/>
      <c r="AI47" s="246" t="str">
        <f t="shared" si="5"/>
        <v/>
      </c>
      <c r="AJ47" s="97"/>
      <c r="AK47" s="257"/>
      <c r="AL47" s="257"/>
      <c r="AM47" s="246" t="str">
        <f t="shared" si="6"/>
        <v/>
      </c>
      <c r="AN47" s="97"/>
      <c r="AO47" s="257"/>
      <c r="AP47" s="257"/>
      <c r="AQ47" s="246" t="str">
        <f t="shared" si="7"/>
        <v/>
      </c>
      <c r="AR47" s="97"/>
      <c r="AS47" s="257"/>
      <c r="AT47" s="257"/>
      <c r="AU47" s="246" t="str">
        <f t="shared" si="8"/>
        <v/>
      </c>
      <c r="AV47" s="97"/>
      <c r="AW47" s="257"/>
      <c r="AX47" s="257"/>
      <c r="AY47" s="246" t="str">
        <f t="shared" si="9"/>
        <v/>
      </c>
      <c r="AZ47" s="97"/>
      <c r="BA47" s="257"/>
      <c r="BB47" s="257"/>
      <c r="BC47" s="246" t="str">
        <f t="shared" si="10"/>
        <v/>
      </c>
      <c r="BD47" s="97"/>
      <c r="BE47" s="257"/>
      <c r="BF47" s="257"/>
      <c r="BG47" s="246" t="str">
        <f t="shared" si="11"/>
        <v/>
      </c>
      <c r="BH47" s="97"/>
      <c r="BI47" s="257"/>
      <c r="BJ47" s="257"/>
      <c r="BK47" s="246" t="str">
        <f t="shared" si="12"/>
        <v/>
      </c>
      <c r="BL47" s="97"/>
      <c r="BM47" s="257"/>
      <c r="BN47" s="257"/>
      <c r="BO47" s="246" t="str">
        <f t="shared" si="13"/>
        <v/>
      </c>
      <c r="BP47" s="97"/>
      <c r="BQ47" s="257"/>
      <c r="BR47" s="257"/>
      <c r="BS47" s="246" t="str">
        <f t="shared" si="14"/>
        <v/>
      </c>
      <c r="BT47" s="97"/>
      <c r="BU47" s="257"/>
      <c r="BV47" s="257"/>
      <c r="BW47" s="246" t="str">
        <f t="shared" si="15"/>
        <v/>
      </c>
    </row>
    <row r="48" spans="1:75">
      <c r="A48" s="88">
        <v>42</v>
      </c>
      <c r="B48" s="50"/>
      <c r="C48" s="62"/>
      <c r="D48" s="117"/>
      <c r="E48" s="126"/>
      <c r="F48" s="190"/>
      <c r="G48" s="20"/>
      <c r="H48" s="20"/>
      <c r="I48" s="19"/>
      <c r="J48" s="246" t="str">
        <f t="shared" si="16"/>
        <v/>
      </c>
      <c r="K48" s="7"/>
      <c r="L48" s="97"/>
      <c r="M48" s="259"/>
      <c r="N48" s="257"/>
      <c r="O48" s="246" t="str">
        <f t="shared" si="0"/>
        <v/>
      </c>
      <c r="P48" s="97"/>
      <c r="Q48" s="257"/>
      <c r="R48" s="257"/>
      <c r="S48" s="246" t="str">
        <f t="shared" si="1"/>
        <v/>
      </c>
      <c r="T48" s="97"/>
      <c r="U48" s="257"/>
      <c r="V48" s="257"/>
      <c r="W48" s="246" t="str">
        <f t="shared" si="2"/>
        <v/>
      </c>
      <c r="X48" s="97"/>
      <c r="Y48" s="257"/>
      <c r="Z48" s="257"/>
      <c r="AA48" s="246" t="str">
        <f t="shared" si="3"/>
        <v/>
      </c>
      <c r="AB48" s="97"/>
      <c r="AC48" s="257"/>
      <c r="AD48" s="257"/>
      <c r="AE48" s="246" t="str">
        <f t="shared" si="4"/>
        <v/>
      </c>
      <c r="AF48" s="97"/>
      <c r="AG48" s="257"/>
      <c r="AH48" s="257"/>
      <c r="AI48" s="246" t="str">
        <f t="shared" si="5"/>
        <v/>
      </c>
      <c r="AJ48" s="97"/>
      <c r="AK48" s="257"/>
      <c r="AL48" s="257"/>
      <c r="AM48" s="246" t="str">
        <f t="shared" si="6"/>
        <v/>
      </c>
      <c r="AN48" s="97"/>
      <c r="AO48" s="257"/>
      <c r="AP48" s="257"/>
      <c r="AQ48" s="246" t="str">
        <f t="shared" si="7"/>
        <v/>
      </c>
      <c r="AR48" s="97"/>
      <c r="AS48" s="257"/>
      <c r="AT48" s="257"/>
      <c r="AU48" s="246" t="str">
        <f t="shared" si="8"/>
        <v/>
      </c>
      <c r="AV48" s="97"/>
      <c r="AW48" s="257"/>
      <c r="AX48" s="257"/>
      <c r="AY48" s="246" t="str">
        <f t="shared" si="9"/>
        <v/>
      </c>
      <c r="AZ48" s="97"/>
      <c r="BA48" s="257"/>
      <c r="BB48" s="257"/>
      <c r="BC48" s="246" t="str">
        <f t="shared" si="10"/>
        <v/>
      </c>
      <c r="BD48" s="97"/>
      <c r="BE48" s="257"/>
      <c r="BF48" s="257"/>
      <c r="BG48" s="246" t="str">
        <f t="shared" si="11"/>
        <v/>
      </c>
      <c r="BH48" s="97"/>
      <c r="BI48" s="257"/>
      <c r="BJ48" s="257"/>
      <c r="BK48" s="246" t="str">
        <f t="shared" si="12"/>
        <v/>
      </c>
      <c r="BL48" s="97"/>
      <c r="BM48" s="257"/>
      <c r="BN48" s="257"/>
      <c r="BO48" s="246" t="str">
        <f t="shared" si="13"/>
        <v/>
      </c>
      <c r="BP48" s="97"/>
      <c r="BQ48" s="257"/>
      <c r="BR48" s="257"/>
      <c r="BS48" s="246" t="str">
        <f t="shared" si="14"/>
        <v/>
      </c>
      <c r="BT48" s="97"/>
      <c r="BU48" s="257"/>
      <c r="BV48" s="257"/>
      <c r="BW48" s="246" t="str">
        <f t="shared" si="15"/>
        <v/>
      </c>
    </row>
    <row r="49" spans="1:75">
      <c r="A49" s="88">
        <v>43</v>
      </c>
      <c r="B49" s="50"/>
      <c r="C49" s="62"/>
      <c r="D49" s="117"/>
      <c r="E49" s="126"/>
      <c r="F49" s="190"/>
      <c r="G49" s="20"/>
      <c r="H49" s="20"/>
      <c r="I49" s="19"/>
      <c r="J49" s="246" t="str">
        <f t="shared" si="16"/>
        <v/>
      </c>
      <c r="K49" s="7"/>
      <c r="L49" s="97"/>
      <c r="M49" s="259"/>
      <c r="N49" s="257"/>
      <c r="O49" s="246" t="str">
        <f t="shared" si="0"/>
        <v/>
      </c>
      <c r="P49" s="97"/>
      <c r="Q49" s="257"/>
      <c r="R49" s="257"/>
      <c r="S49" s="246" t="str">
        <f t="shared" si="1"/>
        <v/>
      </c>
      <c r="T49" s="97"/>
      <c r="U49" s="257"/>
      <c r="V49" s="257"/>
      <c r="W49" s="246" t="str">
        <f t="shared" si="2"/>
        <v/>
      </c>
      <c r="X49" s="97"/>
      <c r="Y49" s="257"/>
      <c r="Z49" s="257"/>
      <c r="AA49" s="246" t="str">
        <f t="shared" si="3"/>
        <v/>
      </c>
      <c r="AB49" s="97"/>
      <c r="AC49" s="257"/>
      <c r="AD49" s="257"/>
      <c r="AE49" s="246" t="str">
        <f t="shared" si="4"/>
        <v/>
      </c>
      <c r="AF49" s="97"/>
      <c r="AG49" s="257"/>
      <c r="AH49" s="257"/>
      <c r="AI49" s="246" t="str">
        <f t="shared" si="5"/>
        <v/>
      </c>
      <c r="AJ49" s="97"/>
      <c r="AK49" s="257"/>
      <c r="AL49" s="257"/>
      <c r="AM49" s="246" t="str">
        <f t="shared" si="6"/>
        <v/>
      </c>
      <c r="AN49" s="97"/>
      <c r="AO49" s="257"/>
      <c r="AP49" s="257"/>
      <c r="AQ49" s="246" t="str">
        <f t="shared" si="7"/>
        <v/>
      </c>
      <c r="AR49" s="97"/>
      <c r="AS49" s="257"/>
      <c r="AT49" s="257"/>
      <c r="AU49" s="246" t="str">
        <f t="shared" si="8"/>
        <v/>
      </c>
      <c r="AV49" s="97"/>
      <c r="AW49" s="257"/>
      <c r="AX49" s="257"/>
      <c r="AY49" s="246" t="str">
        <f t="shared" si="9"/>
        <v/>
      </c>
      <c r="AZ49" s="97"/>
      <c r="BA49" s="257"/>
      <c r="BB49" s="257"/>
      <c r="BC49" s="246" t="str">
        <f t="shared" si="10"/>
        <v/>
      </c>
      <c r="BD49" s="97"/>
      <c r="BE49" s="257"/>
      <c r="BF49" s="257"/>
      <c r="BG49" s="246" t="str">
        <f t="shared" si="11"/>
        <v/>
      </c>
      <c r="BH49" s="97"/>
      <c r="BI49" s="257"/>
      <c r="BJ49" s="257"/>
      <c r="BK49" s="246" t="str">
        <f t="shared" si="12"/>
        <v/>
      </c>
      <c r="BL49" s="97"/>
      <c r="BM49" s="257"/>
      <c r="BN49" s="257"/>
      <c r="BO49" s="246" t="str">
        <f t="shared" si="13"/>
        <v/>
      </c>
      <c r="BP49" s="97"/>
      <c r="BQ49" s="257"/>
      <c r="BR49" s="257"/>
      <c r="BS49" s="246" t="str">
        <f t="shared" si="14"/>
        <v/>
      </c>
      <c r="BT49" s="97"/>
      <c r="BU49" s="257"/>
      <c r="BV49" s="257"/>
      <c r="BW49" s="246" t="str">
        <f t="shared" si="15"/>
        <v/>
      </c>
    </row>
    <row r="50" spans="1:75">
      <c r="A50" s="88">
        <v>44</v>
      </c>
      <c r="B50" s="50"/>
      <c r="C50" s="62"/>
      <c r="D50" s="117"/>
      <c r="E50" s="126"/>
      <c r="F50" s="190"/>
      <c r="G50" s="20"/>
      <c r="H50" s="20"/>
      <c r="I50" s="19"/>
      <c r="J50" s="246" t="str">
        <f t="shared" si="16"/>
        <v/>
      </c>
      <c r="K50" s="7"/>
      <c r="L50" s="97"/>
      <c r="M50" s="259"/>
      <c r="N50" s="257"/>
      <c r="O50" s="246" t="str">
        <f t="shared" si="0"/>
        <v/>
      </c>
      <c r="P50" s="97"/>
      <c r="Q50" s="257"/>
      <c r="R50" s="257"/>
      <c r="S50" s="246" t="str">
        <f t="shared" si="1"/>
        <v/>
      </c>
      <c r="T50" s="97"/>
      <c r="U50" s="257"/>
      <c r="V50" s="257"/>
      <c r="W50" s="246" t="str">
        <f t="shared" si="2"/>
        <v/>
      </c>
      <c r="X50" s="97"/>
      <c r="Y50" s="257"/>
      <c r="Z50" s="257"/>
      <c r="AA50" s="246" t="str">
        <f t="shared" si="3"/>
        <v/>
      </c>
      <c r="AB50" s="97"/>
      <c r="AC50" s="257"/>
      <c r="AD50" s="257"/>
      <c r="AE50" s="246" t="str">
        <f t="shared" si="4"/>
        <v/>
      </c>
      <c r="AF50" s="97"/>
      <c r="AG50" s="257"/>
      <c r="AH50" s="257"/>
      <c r="AI50" s="246" t="str">
        <f t="shared" si="5"/>
        <v/>
      </c>
      <c r="AJ50" s="97"/>
      <c r="AK50" s="257"/>
      <c r="AL50" s="257"/>
      <c r="AM50" s="246" t="str">
        <f t="shared" si="6"/>
        <v/>
      </c>
      <c r="AN50" s="97"/>
      <c r="AO50" s="257"/>
      <c r="AP50" s="257"/>
      <c r="AQ50" s="246" t="str">
        <f t="shared" si="7"/>
        <v/>
      </c>
      <c r="AR50" s="97"/>
      <c r="AS50" s="257"/>
      <c r="AT50" s="257"/>
      <c r="AU50" s="246" t="str">
        <f t="shared" si="8"/>
        <v/>
      </c>
      <c r="AV50" s="97"/>
      <c r="AW50" s="257"/>
      <c r="AX50" s="257"/>
      <c r="AY50" s="246" t="str">
        <f t="shared" si="9"/>
        <v/>
      </c>
      <c r="AZ50" s="97"/>
      <c r="BA50" s="257"/>
      <c r="BB50" s="257"/>
      <c r="BC50" s="246" t="str">
        <f t="shared" si="10"/>
        <v/>
      </c>
      <c r="BD50" s="97"/>
      <c r="BE50" s="257"/>
      <c r="BF50" s="257"/>
      <c r="BG50" s="246" t="str">
        <f t="shared" si="11"/>
        <v/>
      </c>
      <c r="BH50" s="97"/>
      <c r="BI50" s="257"/>
      <c r="BJ50" s="257"/>
      <c r="BK50" s="246" t="str">
        <f t="shared" si="12"/>
        <v/>
      </c>
      <c r="BL50" s="97"/>
      <c r="BM50" s="257"/>
      <c r="BN50" s="257"/>
      <c r="BO50" s="246" t="str">
        <f t="shared" si="13"/>
        <v/>
      </c>
      <c r="BP50" s="97"/>
      <c r="BQ50" s="257"/>
      <c r="BR50" s="257"/>
      <c r="BS50" s="246" t="str">
        <f t="shared" si="14"/>
        <v/>
      </c>
      <c r="BT50" s="97"/>
      <c r="BU50" s="257"/>
      <c r="BV50" s="257"/>
      <c r="BW50" s="246" t="str">
        <f t="shared" si="15"/>
        <v/>
      </c>
    </row>
    <row r="51" spans="1:75">
      <c r="A51" s="88">
        <v>45</v>
      </c>
      <c r="B51" s="50"/>
      <c r="C51" s="62"/>
      <c r="D51" s="117"/>
      <c r="E51" s="126"/>
      <c r="F51" s="190"/>
      <c r="G51" s="20"/>
      <c r="H51" s="20"/>
      <c r="I51" s="19"/>
      <c r="J51" s="246" t="str">
        <f t="shared" si="16"/>
        <v/>
      </c>
      <c r="K51" s="7"/>
      <c r="L51" s="97"/>
      <c r="M51" s="259"/>
      <c r="N51" s="257"/>
      <c r="O51" s="246" t="str">
        <f t="shared" si="0"/>
        <v/>
      </c>
      <c r="P51" s="97"/>
      <c r="Q51" s="257"/>
      <c r="R51" s="257"/>
      <c r="S51" s="246" t="str">
        <f t="shared" si="1"/>
        <v/>
      </c>
      <c r="T51" s="97"/>
      <c r="U51" s="257"/>
      <c r="V51" s="257"/>
      <c r="W51" s="246" t="str">
        <f t="shared" si="2"/>
        <v/>
      </c>
      <c r="X51" s="97"/>
      <c r="Y51" s="257"/>
      <c r="Z51" s="257"/>
      <c r="AA51" s="246" t="str">
        <f t="shared" si="3"/>
        <v/>
      </c>
      <c r="AB51" s="97"/>
      <c r="AC51" s="257"/>
      <c r="AD51" s="257"/>
      <c r="AE51" s="246" t="str">
        <f t="shared" si="4"/>
        <v/>
      </c>
      <c r="AF51" s="97"/>
      <c r="AG51" s="257"/>
      <c r="AH51" s="257"/>
      <c r="AI51" s="246" t="str">
        <f t="shared" si="5"/>
        <v/>
      </c>
      <c r="AJ51" s="97"/>
      <c r="AK51" s="257"/>
      <c r="AL51" s="257"/>
      <c r="AM51" s="246" t="str">
        <f t="shared" si="6"/>
        <v/>
      </c>
      <c r="AN51" s="97"/>
      <c r="AO51" s="257"/>
      <c r="AP51" s="257"/>
      <c r="AQ51" s="246" t="str">
        <f t="shared" si="7"/>
        <v/>
      </c>
      <c r="AR51" s="97"/>
      <c r="AS51" s="257"/>
      <c r="AT51" s="257"/>
      <c r="AU51" s="246" t="str">
        <f t="shared" si="8"/>
        <v/>
      </c>
      <c r="AV51" s="97"/>
      <c r="AW51" s="257"/>
      <c r="AX51" s="257"/>
      <c r="AY51" s="246" t="str">
        <f t="shared" si="9"/>
        <v/>
      </c>
      <c r="AZ51" s="97"/>
      <c r="BA51" s="257"/>
      <c r="BB51" s="257"/>
      <c r="BC51" s="246" t="str">
        <f t="shared" si="10"/>
        <v/>
      </c>
      <c r="BD51" s="97"/>
      <c r="BE51" s="257"/>
      <c r="BF51" s="257"/>
      <c r="BG51" s="246" t="str">
        <f t="shared" si="11"/>
        <v/>
      </c>
      <c r="BH51" s="97"/>
      <c r="BI51" s="257"/>
      <c r="BJ51" s="257"/>
      <c r="BK51" s="246" t="str">
        <f t="shared" si="12"/>
        <v/>
      </c>
      <c r="BL51" s="97"/>
      <c r="BM51" s="257"/>
      <c r="BN51" s="257"/>
      <c r="BO51" s="246" t="str">
        <f t="shared" si="13"/>
        <v/>
      </c>
      <c r="BP51" s="97"/>
      <c r="BQ51" s="257"/>
      <c r="BR51" s="257"/>
      <c r="BS51" s="246" t="str">
        <f t="shared" si="14"/>
        <v/>
      </c>
      <c r="BT51" s="97"/>
      <c r="BU51" s="257"/>
      <c r="BV51" s="257"/>
      <c r="BW51" s="246" t="str">
        <f t="shared" si="15"/>
        <v/>
      </c>
    </row>
    <row r="52" spans="1:75">
      <c r="A52" s="88">
        <v>46</v>
      </c>
      <c r="B52" s="50"/>
      <c r="C52" s="62"/>
      <c r="D52" s="117"/>
      <c r="E52" s="126"/>
      <c r="F52" s="190"/>
      <c r="G52" s="20"/>
      <c r="H52" s="20"/>
      <c r="I52" s="19"/>
      <c r="J52" s="246" t="str">
        <f t="shared" si="16"/>
        <v/>
      </c>
      <c r="K52" s="7"/>
      <c r="L52" s="97"/>
      <c r="M52" s="259"/>
      <c r="N52" s="257"/>
      <c r="O52" s="246" t="str">
        <f t="shared" si="0"/>
        <v/>
      </c>
      <c r="P52" s="97"/>
      <c r="Q52" s="257"/>
      <c r="R52" s="257"/>
      <c r="S52" s="246" t="str">
        <f t="shared" si="1"/>
        <v/>
      </c>
      <c r="T52" s="97"/>
      <c r="U52" s="257"/>
      <c r="V52" s="257"/>
      <c r="W52" s="246" t="str">
        <f t="shared" si="2"/>
        <v/>
      </c>
      <c r="X52" s="97"/>
      <c r="Y52" s="257"/>
      <c r="Z52" s="257"/>
      <c r="AA52" s="246" t="str">
        <f t="shared" si="3"/>
        <v/>
      </c>
      <c r="AB52" s="97"/>
      <c r="AC52" s="257"/>
      <c r="AD52" s="257"/>
      <c r="AE52" s="246" t="str">
        <f t="shared" si="4"/>
        <v/>
      </c>
      <c r="AF52" s="97"/>
      <c r="AG52" s="257"/>
      <c r="AH52" s="257"/>
      <c r="AI52" s="246" t="str">
        <f t="shared" si="5"/>
        <v/>
      </c>
      <c r="AJ52" s="97"/>
      <c r="AK52" s="257"/>
      <c r="AL52" s="257"/>
      <c r="AM52" s="246" t="str">
        <f t="shared" si="6"/>
        <v/>
      </c>
      <c r="AN52" s="97"/>
      <c r="AO52" s="257"/>
      <c r="AP52" s="257"/>
      <c r="AQ52" s="246" t="str">
        <f t="shared" si="7"/>
        <v/>
      </c>
      <c r="AR52" s="97"/>
      <c r="AS52" s="257"/>
      <c r="AT52" s="257"/>
      <c r="AU52" s="246" t="str">
        <f t="shared" si="8"/>
        <v/>
      </c>
      <c r="AV52" s="97"/>
      <c r="AW52" s="257"/>
      <c r="AX52" s="257"/>
      <c r="AY52" s="246" t="str">
        <f t="shared" si="9"/>
        <v/>
      </c>
      <c r="AZ52" s="97"/>
      <c r="BA52" s="257"/>
      <c r="BB52" s="257"/>
      <c r="BC52" s="246" t="str">
        <f t="shared" si="10"/>
        <v/>
      </c>
      <c r="BD52" s="97"/>
      <c r="BE52" s="257"/>
      <c r="BF52" s="257"/>
      <c r="BG52" s="246" t="str">
        <f t="shared" si="11"/>
        <v/>
      </c>
      <c r="BH52" s="97"/>
      <c r="BI52" s="257"/>
      <c r="BJ52" s="257"/>
      <c r="BK52" s="246" t="str">
        <f t="shared" si="12"/>
        <v/>
      </c>
      <c r="BL52" s="97"/>
      <c r="BM52" s="257"/>
      <c r="BN52" s="257"/>
      <c r="BO52" s="246" t="str">
        <f t="shared" si="13"/>
        <v/>
      </c>
      <c r="BP52" s="97"/>
      <c r="BQ52" s="257"/>
      <c r="BR52" s="257"/>
      <c r="BS52" s="246" t="str">
        <f t="shared" si="14"/>
        <v/>
      </c>
      <c r="BT52" s="97"/>
      <c r="BU52" s="257"/>
      <c r="BV52" s="257"/>
      <c r="BW52" s="246" t="str">
        <f t="shared" si="15"/>
        <v/>
      </c>
    </row>
    <row r="53" spans="1:75">
      <c r="A53" s="88">
        <v>47</v>
      </c>
      <c r="B53" s="50"/>
      <c r="C53" s="62"/>
      <c r="D53" s="117"/>
      <c r="E53" s="126"/>
      <c r="F53" s="190"/>
      <c r="G53" s="20"/>
      <c r="H53" s="20"/>
      <c r="I53" s="19"/>
      <c r="J53" s="246" t="str">
        <f t="shared" si="16"/>
        <v/>
      </c>
      <c r="K53" s="7"/>
      <c r="L53" s="97"/>
      <c r="M53" s="259"/>
      <c r="N53" s="257"/>
      <c r="O53" s="246" t="str">
        <f t="shared" si="0"/>
        <v/>
      </c>
      <c r="P53" s="97"/>
      <c r="Q53" s="257"/>
      <c r="R53" s="257"/>
      <c r="S53" s="246" t="str">
        <f t="shared" si="1"/>
        <v/>
      </c>
      <c r="T53" s="97"/>
      <c r="U53" s="257"/>
      <c r="V53" s="257"/>
      <c r="W53" s="246" t="str">
        <f t="shared" si="2"/>
        <v/>
      </c>
      <c r="X53" s="97"/>
      <c r="Y53" s="257"/>
      <c r="Z53" s="257"/>
      <c r="AA53" s="246" t="str">
        <f t="shared" si="3"/>
        <v/>
      </c>
      <c r="AB53" s="97"/>
      <c r="AC53" s="257"/>
      <c r="AD53" s="257"/>
      <c r="AE53" s="246" t="str">
        <f t="shared" si="4"/>
        <v/>
      </c>
      <c r="AF53" s="97"/>
      <c r="AG53" s="257"/>
      <c r="AH53" s="257"/>
      <c r="AI53" s="246" t="str">
        <f t="shared" si="5"/>
        <v/>
      </c>
      <c r="AJ53" s="97"/>
      <c r="AK53" s="257"/>
      <c r="AL53" s="257"/>
      <c r="AM53" s="246" t="str">
        <f t="shared" si="6"/>
        <v/>
      </c>
      <c r="AN53" s="97"/>
      <c r="AO53" s="257"/>
      <c r="AP53" s="257"/>
      <c r="AQ53" s="246" t="str">
        <f t="shared" si="7"/>
        <v/>
      </c>
      <c r="AR53" s="97"/>
      <c r="AS53" s="257"/>
      <c r="AT53" s="257"/>
      <c r="AU53" s="246" t="str">
        <f t="shared" si="8"/>
        <v/>
      </c>
      <c r="AV53" s="97"/>
      <c r="AW53" s="257"/>
      <c r="AX53" s="257"/>
      <c r="AY53" s="246" t="str">
        <f t="shared" si="9"/>
        <v/>
      </c>
      <c r="AZ53" s="97"/>
      <c r="BA53" s="257"/>
      <c r="BB53" s="257"/>
      <c r="BC53" s="246" t="str">
        <f t="shared" si="10"/>
        <v/>
      </c>
      <c r="BD53" s="97"/>
      <c r="BE53" s="257"/>
      <c r="BF53" s="257"/>
      <c r="BG53" s="246" t="str">
        <f t="shared" si="11"/>
        <v/>
      </c>
      <c r="BH53" s="97"/>
      <c r="BI53" s="257"/>
      <c r="BJ53" s="257"/>
      <c r="BK53" s="246" t="str">
        <f t="shared" si="12"/>
        <v/>
      </c>
      <c r="BL53" s="97"/>
      <c r="BM53" s="257"/>
      <c r="BN53" s="257"/>
      <c r="BO53" s="246" t="str">
        <f t="shared" si="13"/>
        <v/>
      </c>
      <c r="BP53" s="97"/>
      <c r="BQ53" s="257"/>
      <c r="BR53" s="257"/>
      <c r="BS53" s="246" t="str">
        <f t="shared" si="14"/>
        <v/>
      </c>
      <c r="BT53" s="97"/>
      <c r="BU53" s="257"/>
      <c r="BV53" s="257"/>
      <c r="BW53" s="246" t="str">
        <f t="shared" si="15"/>
        <v/>
      </c>
    </row>
    <row r="54" spans="1:75">
      <c r="A54" s="88">
        <v>48</v>
      </c>
      <c r="B54" s="50"/>
      <c r="C54" s="62"/>
      <c r="D54" s="117"/>
      <c r="E54" s="126"/>
      <c r="F54" s="190"/>
      <c r="G54" s="20"/>
      <c r="H54" s="20"/>
      <c r="I54" s="19"/>
      <c r="J54" s="246" t="str">
        <f t="shared" si="16"/>
        <v/>
      </c>
      <c r="K54" s="7"/>
      <c r="L54" s="97"/>
      <c r="M54" s="259"/>
      <c r="N54" s="257"/>
      <c r="O54" s="246" t="str">
        <f t="shared" si="0"/>
        <v/>
      </c>
      <c r="P54" s="97"/>
      <c r="Q54" s="257"/>
      <c r="R54" s="257"/>
      <c r="S54" s="246" t="str">
        <f t="shared" si="1"/>
        <v/>
      </c>
      <c r="T54" s="97"/>
      <c r="U54" s="257"/>
      <c r="V54" s="257"/>
      <c r="W54" s="246" t="str">
        <f t="shared" si="2"/>
        <v/>
      </c>
      <c r="X54" s="97"/>
      <c r="Y54" s="257"/>
      <c r="Z54" s="257"/>
      <c r="AA54" s="246" t="str">
        <f t="shared" si="3"/>
        <v/>
      </c>
      <c r="AB54" s="97"/>
      <c r="AC54" s="257"/>
      <c r="AD54" s="257"/>
      <c r="AE54" s="246" t="str">
        <f t="shared" si="4"/>
        <v/>
      </c>
      <c r="AF54" s="97"/>
      <c r="AG54" s="257"/>
      <c r="AH54" s="257"/>
      <c r="AI54" s="246" t="str">
        <f t="shared" si="5"/>
        <v/>
      </c>
      <c r="AJ54" s="97"/>
      <c r="AK54" s="257"/>
      <c r="AL54" s="257"/>
      <c r="AM54" s="246" t="str">
        <f t="shared" si="6"/>
        <v/>
      </c>
      <c r="AN54" s="97"/>
      <c r="AO54" s="257"/>
      <c r="AP54" s="257"/>
      <c r="AQ54" s="246" t="str">
        <f t="shared" si="7"/>
        <v/>
      </c>
      <c r="AR54" s="97"/>
      <c r="AS54" s="257"/>
      <c r="AT54" s="257"/>
      <c r="AU54" s="246" t="str">
        <f t="shared" si="8"/>
        <v/>
      </c>
      <c r="AV54" s="97"/>
      <c r="AW54" s="257"/>
      <c r="AX54" s="257"/>
      <c r="AY54" s="246" t="str">
        <f t="shared" si="9"/>
        <v/>
      </c>
      <c r="AZ54" s="97"/>
      <c r="BA54" s="257"/>
      <c r="BB54" s="257"/>
      <c r="BC54" s="246" t="str">
        <f t="shared" si="10"/>
        <v/>
      </c>
      <c r="BD54" s="97"/>
      <c r="BE54" s="257"/>
      <c r="BF54" s="257"/>
      <c r="BG54" s="246" t="str">
        <f t="shared" si="11"/>
        <v/>
      </c>
      <c r="BH54" s="97"/>
      <c r="BI54" s="257"/>
      <c r="BJ54" s="257"/>
      <c r="BK54" s="246" t="str">
        <f t="shared" si="12"/>
        <v/>
      </c>
      <c r="BL54" s="97"/>
      <c r="BM54" s="257"/>
      <c r="BN54" s="257"/>
      <c r="BO54" s="246" t="str">
        <f t="shared" si="13"/>
        <v/>
      </c>
      <c r="BP54" s="97"/>
      <c r="BQ54" s="257"/>
      <c r="BR54" s="257"/>
      <c r="BS54" s="246" t="str">
        <f t="shared" si="14"/>
        <v/>
      </c>
      <c r="BT54" s="97"/>
      <c r="BU54" s="257"/>
      <c r="BV54" s="257"/>
      <c r="BW54" s="246" t="str">
        <f t="shared" si="15"/>
        <v/>
      </c>
    </row>
    <row r="55" spans="1:75">
      <c r="A55" s="88">
        <v>49</v>
      </c>
      <c r="B55" s="50"/>
      <c r="C55" s="62"/>
      <c r="D55" s="117"/>
      <c r="E55" s="126"/>
      <c r="F55" s="190"/>
      <c r="G55" s="20"/>
      <c r="H55" s="20"/>
      <c r="I55" s="19"/>
      <c r="J55" s="246" t="str">
        <f t="shared" si="16"/>
        <v/>
      </c>
      <c r="K55" s="7"/>
      <c r="L55" s="97"/>
      <c r="M55" s="259"/>
      <c r="N55" s="257"/>
      <c r="O55" s="246" t="str">
        <f t="shared" si="0"/>
        <v/>
      </c>
      <c r="P55" s="97"/>
      <c r="Q55" s="257"/>
      <c r="R55" s="257"/>
      <c r="S55" s="246" t="str">
        <f t="shared" si="1"/>
        <v/>
      </c>
      <c r="T55" s="97"/>
      <c r="U55" s="257"/>
      <c r="V55" s="257"/>
      <c r="W55" s="246" t="str">
        <f t="shared" si="2"/>
        <v/>
      </c>
      <c r="X55" s="97"/>
      <c r="Y55" s="257"/>
      <c r="Z55" s="257"/>
      <c r="AA55" s="246" t="str">
        <f t="shared" si="3"/>
        <v/>
      </c>
      <c r="AB55" s="97"/>
      <c r="AC55" s="257"/>
      <c r="AD55" s="257"/>
      <c r="AE55" s="246" t="str">
        <f t="shared" si="4"/>
        <v/>
      </c>
      <c r="AF55" s="97"/>
      <c r="AG55" s="257"/>
      <c r="AH55" s="257"/>
      <c r="AI55" s="246" t="str">
        <f t="shared" si="5"/>
        <v/>
      </c>
      <c r="AJ55" s="97"/>
      <c r="AK55" s="257"/>
      <c r="AL55" s="257"/>
      <c r="AM55" s="246" t="str">
        <f t="shared" si="6"/>
        <v/>
      </c>
      <c r="AN55" s="97"/>
      <c r="AO55" s="257"/>
      <c r="AP55" s="257"/>
      <c r="AQ55" s="246" t="str">
        <f t="shared" si="7"/>
        <v/>
      </c>
      <c r="AR55" s="97"/>
      <c r="AS55" s="257"/>
      <c r="AT55" s="257"/>
      <c r="AU55" s="246" t="str">
        <f t="shared" si="8"/>
        <v/>
      </c>
      <c r="AV55" s="97"/>
      <c r="AW55" s="257"/>
      <c r="AX55" s="257"/>
      <c r="AY55" s="246" t="str">
        <f t="shared" si="9"/>
        <v/>
      </c>
      <c r="AZ55" s="97"/>
      <c r="BA55" s="257"/>
      <c r="BB55" s="257"/>
      <c r="BC55" s="246" t="str">
        <f t="shared" si="10"/>
        <v/>
      </c>
      <c r="BD55" s="97"/>
      <c r="BE55" s="257"/>
      <c r="BF55" s="257"/>
      <c r="BG55" s="246" t="str">
        <f t="shared" si="11"/>
        <v/>
      </c>
      <c r="BH55" s="97"/>
      <c r="BI55" s="257"/>
      <c r="BJ55" s="257"/>
      <c r="BK55" s="246" t="str">
        <f t="shared" si="12"/>
        <v/>
      </c>
      <c r="BL55" s="97"/>
      <c r="BM55" s="257"/>
      <c r="BN55" s="257"/>
      <c r="BO55" s="246" t="str">
        <f t="shared" si="13"/>
        <v/>
      </c>
      <c r="BP55" s="97"/>
      <c r="BQ55" s="257"/>
      <c r="BR55" s="257"/>
      <c r="BS55" s="246" t="str">
        <f t="shared" si="14"/>
        <v/>
      </c>
      <c r="BT55" s="97"/>
      <c r="BU55" s="257"/>
      <c r="BV55" s="257"/>
      <c r="BW55" s="246" t="str">
        <f t="shared" si="15"/>
        <v/>
      </c>
    </row>
    <row r="56" spans="1:75">
      <c r="A56" s="88">
        <v>50</v>
      </c>
      <c r="B56" s="50"/>
      <c r="C56" s="62"/>
      <c r="D56" s="117"/>
      <c r="E56" s="126"/>
      <c r="F56" s="190"/>
      <c r="G56" s="20"/>
      <c r="H56" s="20"/>
      <c r="I56" s="19"/>
      <c r="J56" s="246" t="str">
        <f t="shared" si="16"/>
        <v/>
      </c>
      <c r="K56" s="7"/>
      <c r="L56" s="97"/>
      <c r="M56" s="259"/>
      <c r="N56" s="257"/>
      <c r="O56" s="246" t="str">
        <f t="shared" si="0"/>
        <v/>
      </c>
      <c r="P56" s="97"/>
      <c r="Q56" s="257"/>
      <c r="R56" s="257"/>
      <c r="S56" s="246" t="str">
        <f t="shared" si="1"/>
        <v/>
      </c>
      <c r="T56" s="97"/>
      <c r="U56" s="257"/>
      <c r="V56" s="257"/>
      <c r="W56" s="246" t="str">
        <f t="shared" si="2"/>
        <v/>
      </c>
      <c r="X56" s="97"/>
      <c r="Y56" s="257"/>
      <c r="Z56" s="257"/>
      <c r="AA56" s="246" t="str">
        <f t="shared" si="3"/>
        <v/>
      </c>
      <c r="AB56" s="97"/>
      <c r="AC56" s="257"/>
      <c r="AD56" s="257"/>
      <c r="AE56" s="246" t="str">
        <f t="shared" si="4"/>
        <v/>
      </c>
      <c r="AF56" s="97"/>
      <c r="AG56" s="257"/>
      <c r="AH56" s="257"/>
      <c r="AI56" s="246" t="str">
        <f t="shared" si="5"/>
        <v/>
      </c>
      <c r="AJ56" s="97"/>
      <c r="AK56" s="257"/>
      <c r="AL56" s="257"/>
      <c r="AM56" s="246" t="str">
        <f t="shared" si="6"/>
        <v/>
      </c>
      <c r="AN56" s="97"/>
      <c r="AO56" s="257"/>
      <c r="AP56" s="257"/>
      <c r="AQ56" s="246" t="str">
        <f t="shared" si="7"/>
        <v/>
      </c>
      <c r="AR56" s="97"/>
      <c r="AS56" s="257"/>
      <c r="AT56" s="257"/>
      <c r="AU56" s="246" t="str">
        <f t="shared" si="8"/>
        <v/>
      </c>
      <c r="AV56" s="97"/>
      <c r="AW56" s="257"/>
      <c r="AX56" s="257"/>
      <c r="AY56" s="246" t="str">
        <f t="shared" si="9"/>
        <v/>
      </c>
      <c r="AZ56" s="97"/>
      <c r="BA56" s="257"/>
      <c r="BB56" s="257"/>
      <c r="BC56" s="246" t="str">
        <f t="shared" si="10"/>
        <v/>
      </c>
      <c r="BD56" s="97"/>
      <c r="BE56" s="257"/>
      <c r="BF56" s="257"/>
      <c r="BG56" s="246" t="str">
        <f t="shared" si="11"/>
        <v/>
      </c>
      <c r="BH56" s="97"/>
      <c r="BI56" s="257"/>
      <c r="BJ56" s="257"/>
      <c r="BK56" s="246" t="str">
        <f t="shared" si="12"/>
        <v/>
      </c>
      <c r="BL56" s="97"/>
      <c r="BM56" s="257"/>
      <c r="BN56" s="257"/>
      <c r="BO56" s="246" t="str">
        <f t="shared" si="13"/>
        <v/>
      </c>
      <c r="BP56" s="97"/>
      <c r="BQ56" s="257"/>
      <c r="BR56" s="257"/>
      <c r="BS56" s="246" t="str">
        <f t="shared" si="14"/>
        <v/>
      </c>
      <c r="BT56" s="97"/>
      <c r="BU56" s="257"/>
      <c r="BV56" s="257"/>
      <c r="BW56" s="246" t="str">
        <f t="shared" si="15"/>
        <v/>
      </c>
    </row>
    <row r="57" spans="1:75">
      <c r="A57" s="88">
        <v>51</v>
      </c>
      <c r="B57" s="50"/>
      <c r="C57" s="62"/>
      <c r="D57" s="117"/>
      <c r="E57" s="126"/>
      <c r="F57" s="190"/>
      <c r="G57" s="20"/>
      <c r="H57" s="20"/>
      <c r="I57" s="19"/>
      <c r="J57" s="246" t="str">
        <f t="shared" si="16"/>
        <v/>
      </c>
      <c r="K57" s="7"/>
      <c r="L57" s="97"/>
      <c r="M57" s="259"/>
      <c r="N57" s="257"/>
      <c r="O57" s="246" t="str">
        <f t="shared" si="0"/>
        <v/>
      </c>
      <c r="P57" s="97"/>
      <c r="Q57" s="257"/>
      <c r="R57" s="257"/>
      <c r="S57" s="246" t="str">
        <f t="shared" si="1"/>
        <v/>
      </c>
      <c r="T57" s="97"/>
      <c r="U57" s="257"/>
      <c r="V57" s="257"/>
      <c r="W57" s="246" t="str">
        <f t="shared" si="2"/>
        <v/>
      </c>
      <c r="X57" s="97"/>
      <c r="Y57" s="257"/>
      <c r="Z57" s="257"/>
      <c r="AA57" s="246" t="str">
        <f t="shared" si="3"/>
        <v/>
      </c>
      <c r="AB57" s="97"/>
      <c r="AC57" s="257"/>
      <c r="AD57" s="257"/>
      <c r="AE57" s="246" t="str">
        <f t="shared" si="4"/>
        <v/>
      </c>
      <c r="AF57" s="97"/>
      <c r="AG57" s="257"/>
      <c r="AH57" s="257"/>
      <c r="AI57" s="246" t="str">
        <f t="shared" si="5"/>
        <v/>
      </c>
      <c r="AJ57" s="97"/>
      <c r="AK57" s="257"/>
      <c r="AL57" s="257"/>
      <c r="AM57" s="246" t="str">
        <f t="shared" si="6"/>
        <v/>
      </c>
      <c r="AN57" s="97"/>
      <c r="AO57" s="257"/>
      <c r="AP57" s="257"/>
      <c r="AQ57" s="246" t="str">
        <f t="shared" si="7"/>
        <v/>
      </c>
      <c r="AR57" s="97"/>
      <c r="AS57" s="257"/>
      <c r="AT57" s="257"/>
      <c r="AU57" s="246" t="str">
        <f t="shared" si="8"/>
        <v/>
      </c>
      <c r="AV57" s="97"/>
      <c r="AW57" s="257"/>
      <c r="AX57" s="257"/>
      <c r="AY57" s="246" t="str">
        <f t="shared" si="9"/>
        <v/>
      </c>
      <c r="AZ57" s="97"/>
      <c r="BA57" s="257"/>
      <c r="BB57" s="257"/>
      <c r="BC57" s="246" t="str">
        <f t="shared" si="10"/>
        <v/>
      </c>
      <c r="BD57" s="97"/>
      <c r="BE57" s="257"/>
      <c r="BF57" s="257"/>
      <c r="BG57" s="246" t="str">
        <f t="shared" si="11"/>
        <v/>
      </c>
      <c r="BH57" s="97"/>
      <c r="BI57" s="257"/>
      <c r="BJ57" s="257"/>
      <c r="BK57" s="246" t="str">
        <f t="shared" si="12"/>
        <v/>
      </c>
      <c r="BL57" s="97"/>
      <c r="BM57" s="257"/>
      <c r="BN57" s="257"/>
      <c r="BO57" s="246" t="str">
        <f t="shared" si="13"/>
        <v/>
      </c>
      <c r="BP57" s="97"/>
      <c r="BQ57" s="257"/>
      <c r="BR57" s="257"/>
      <c r="BS57" s="246" t="str">
        <f t="shared" si="14"/>
        <v/>
      </c>
      <c r="BT57" s="97"/>
      <c r="BU57" s="257"/>
      <c r="BV57" s="257"/>
      <c r="BW57" s="246" t="str">
        <f t="shared" si="15"/>
        <v/>
      </c>
    </row>
    <row r="58" spans="1:75">
      <c r="A58" s="88">
        <v>52</v>
      </c>
      <c r="B58" s="50"/>
      <c r="C58" s="62"/>
      <c r="D58" s="117"/>
      <c r="E58" s="126"/>
      <c r="F58" s="190"/>
      <c r="G58" s="20"/>
      <c r="H58" s="20"/>
      <c r="I58" s="19"/>
      <c r="J58" s="246" t="str">
        <f t="shared" si="16"/>
        <v/>
      </c>
      <c r="K58" s="7"/>
      <c r="L58" s="97"/>
      <c r="M58" s="259"/>
      <c r="N58" s="257"/>
      <c r="O58" s="246" t="str">
        <f t="shared" si="0"/>
        <v/>
      </c>
      <c r="P58" s="97"/>
      <c r="Q58" s="257"/>
      <c r="R58" s="257"/>
      <c r="S58" s="246" t="str">
        <f t="shared" si="1"/>
        <v/>
      </c>
      <c r="T58" s="97"/>
      <c r="U58" s="257"/>
      <c r="V58" s="257"/>
      <c r="W58" s="246" t="str">
        <f t="shared" si="2"/>
        <v/>
      </c>
      <c r="X58" s="97"/>
      <c r="Y58" s="257"/>
      <c r="Z58" s="257"/>
      <c r="AA58" s="246" t="str">
        <f t="shared" si="3"/>
        <v/>
      </c>
      <c r="AB58" s="97"/>
      <c r="AC58" s="257"/>
      <c r="AD58" s="257"/>
      <c r="AE58" s="246" t="str">
        <f t="shared" si="4"/>
        <v/>
      </c>
      <c r="AF58" s="97"/>
      <c r="AG58" s="257"/>
      <c r="AH58" s="257"/>
      <c r="AI58" s="246" t="str">
        <f t="shared" si="5"/>
        <v/>
      </c>
      <c r="AJ58" s="97"/>
      <c r="AK58" s="257"/>
      <c r="AL58" s="257"/>
      <c r="AM58" s="246" t="str">
        <f t="shared" si="6"/>
        <v/>
      </c>
      <c r="AN58" s="97"/>
      <c r="AO58" s="257"/>
      <c r="AP58" s="257"/>
      <c r="AQ58" s="246" t="str">
        <f t="shared" si="7"/>
        <v/>
      </c>
      <c r="AR58" s="97"/>
      <c r="AS58" s="257"/>
      <c r="AT58" s="257"/>
      <c r="AU58" s="246" t="str">
        <f t="shared" si="8"/>
        <v/>
      </c>
      <c r="AV58" s="97"/>
      <c r="AW58" s="257"/>
      <c r="AX58" s="257"/>
      <c r="AY58" s="246" t="str">
        <f t="shared" si="9"/>
        <v/>
      </c>
      <c r="AZ58" s="97"/>
      <c r="BA58" s="257"/>
      <c r="BB58" s="257"/>
      <c r="BC58" s="246" t="str">
        <f t="shared" si="10"/>
        <v/>
      </c>
      <c r="BD58" s="97"/>
      <c r="BE58" s="257"/>
      <c r="BF58" s="257"/>
      <c r="BG58" s="246" t="str">
        <f t="shared" si="11"/>
        <v/>
      </c>
      <c r="BH58" s="97"/>
      <c r="BI58" s="257"/>
      <c r="BJ58" s="257"/>
      <c r="BK58" s="246" t="str">
        <f t="shared" si="12"/>
        <v/>
      </c>
      <c r="BL58" s="97"/>
      <c r="BM58" s="257"/>
      <c r="BN58" s="257"/>
      <c r="BO58" s="246" t="str">
        <f t="shared" si="13"/>
        <v/>
      </c>
      <c r="BP58" s="97"/>
      <c r="BQ58" s="257"/>
      <c r="BR58" s="257"/>
      <c r="BS58" s="246" t="str">
        <f t="shared" si="14"/>
        <v/>
      </c>
      <c r="BT58" s="97"/>
      <c r="BU58" s="257"/>
      <c r="BV58" s="257"/>
      <c r="BW58" s="246" t="str">
        <f t="shared" si="15"/>
        <v/>
      </c>
    </row>
    <row r="59" spans="1:75">
      <c r="A59" s="88">
        <v>53</v>
      </c>
      <c r="B59" s="50"/>
      <c r="C59" s="62"/>
      <c r="D59" s="117"/>
      <c r="E59" s="126"/>
      <c r="F59" s="190"/>
      <c r="G59" s="20"/>
      <c r="H59" s="20"/>
      <c r="I59" s="19"/>
      <c r="J59" s="246" t="str">
        <f t="shared" si="16"/>
        <v/>
      </c>
      <c r="K59" s="7"/>
      <c r="L59" s="97"/>
      <c r="M59" s="259"/>
      <c r="N59" s="257"/>
      <c r="O59" s="246" t="str">
        <f t="shared" si="0"/>
        <v/>
      </c>
      <c r="P59" s="97"/>
      <c r="Q59" s="257"/>
      <c r="R59" s="257"/>
      <c r="S59" s="246" t="str">
        <f t="shared" si="1"/>
        <v/>
      </c>
      <c r="T59" s="97"/>
      <c r="U59" s="257"/>
      <c r="V59" s="257"/>
      <c r="W59" s="246" t="str">
        <f t="shared" si="2"/>
        <v/>
      </c>
      <c r="X59" s="97"/>
      <c r="Y59" s="257"/>
      <c r="Z59" s="257"/>
      <c r="AA59" s="246" t="str">
        <f t="shared" si="3"/>
        <v/>
      </c>
      <c r="AB59" s="97"/>
      <c r="AC59" s="257"/>
      <c r="AD59" s="257"/>
      <c r="AE59" s="246" t="str">
        <f t="shared" si="4"/>
        <v/>
      </c>
      <c r="AF59" s="97"/>
      <c r="AG59" s="257"/>
      <c r="AH59" s="257"/>
      <c r="AI59" s="246" t="str">
        <f t="shared" si="5"/>
        <v/>
      </c>
      <c r="AJ59" s="97"/>
      <c r="AK59" s="257"/>
      <c r="AL59" s="257"/>
      <c r="AM59" s="246" t="str">
        <f t="shared" si="6"/>
        <v/>
      </c>
      <c r="AN59" s="97"/>
      <c r="AO59" s="257"/>
      <c r="AP59" s="257"/>
      <c r="AQ59" s="246" t="str">
        <f t="shared" si="7"/>
        <v/>
      </c>
      <c r="AR59" s="97"/>
      <c r="AS59" s="257"/>
      <c r="AT59" s="257"/>
      <c r="AU59" s="246" t="str">
        <f t="shared" si="8"/>
        <v/>
      </c>
      <c r="AV59" s="97"/>
      <c r="AW59" s="257"/>
      <c r="AX59" s="257"/>
      <c r="AY59" s="246" t="str">
        <f t="shared" si="9"/>
        <v/>
      </c>
      <c r="AZ59" s="97"/>
      <c r="BA59" s="257"/>
      <c r="BB59" s="257"/>
      <c r="BC59" s="246" t="str">
        <f t="shared" si="10"/>
        <v/>
      </c>
      <c r="BD59" s="97"/>
      <c r="BE59" s="257"/>
      <c r="BF59" s="257"/>
      <c r="BG59" s="246" t="str">
        <f t="shared" si="11"/>
        <v/>
      </c>
      <c r="BH59" s="97"/>
      <c r="BI59" s="257"/>
      <c r="BJ59" s="257"/>
      <c r="BK59" s="246" t="str">
        <f t="shared" si="12"/>
        <v/>
      </c>
      <c r="BL59" s="97"/>
      <c r="BM59" s="257"/>
      <c r="BN59" s="257"/>
      <c r="BO59" s="246" t="str">
        <f t="shared" si="13"/>
        <v/>
      </c>
      <c r="BP59" s="97"/>
      <c r="BQ59" s="257"/>
      <c r="BR59" s="257"/>
      <c r="BS59" s="246" t="str">
        <f t="shared" si="14"/>
        <v/>
      </c>
      <c r="BT59" s="97"/>
      <c r="BU59" s="257"/>
      <c r="BV59" s="257"/>
      <c r="BW59" s="246" t="str">
        <f t="shared" si="15"/>
        <v/>
      </c>
    </row>
    <row r="60" spans="1:75">
      <c r="A60" s="88">
        <v>54</v>
      </c>
      <c r="B60" s="50"/>
      <c r="C60" s="62"/>
      <c r="D60" s="117"/>
      <c r="E60" s="126"/>
      <c r="F60" s="190"/>
      <c r="G60" s="20"/>
      <c r="H60" s="20"/>
      <c r="I60" s="19"/>
      <c r="J60" s="246" t="str">
        <f t="shared" si="16"/>
        <v/>
      </c>
      <c r="K60" s="7"/>
      <c r="L60" s="97"/>
      <c r="M60" s="259"/>
      <c r="N60" s="257"/>
      <c r="O60" s="246" t="str">
        <f t="shared" si="0"/>
        <v/>
      </c>
      <c r="P60" s="97"/>
      <c r="Q60" s="257"/>
      <c r="R60" s="257"/>
      <c r="S60" s="246" t="str">
        <f t="shared" si="1"/>
        <v/>
      </c>
      <c r="T60" s="97"/>
      <c r="U60" s="257"/>
      <c r="V60" s="257"/>
      <c r="W60" s="246" t="str">
        <f t="shared" si="2"/>
        <v/>
      </c>
      <c r="X60" s="97"/>
      <c r="Y60" s="257"/>
      <c r="Z60" s="257"/>
      <c r="AA60" s="246" t="str">
        <f t="shared" si="3"/>
        <v/>
      </c>
      <c r="AB60" s="97"/>
      <c r="AC60" s="257"/>
      <c r="AD60" s="257"/>
      <c r="AE60" s="246" t="str">
        <f t="shared" si="4"/>
        <v/>
      </c>
      <c r="AF60" s="97"/>
      <c r="AG60" s="257"/>
      <c r="AH60" s="257"/>
      <c r="AI60" s="246" t="str">
        <f t="shared" si="5"/>
        <v/>
      </c>
      <c r="AJ60" s="97"/>
      <c r="AK60" s="257"/>
      <c r="AL60" s="257"/>
      <c r="AM60" s="246" t="str">
        <f t="shared" si="6"/>
        <v/>
      </c>
      <c r="AN60" s="97"/>
      <c r="AO60" s="257"/>
      <c r="AP60" s="257"/>
      <c r="AQ60" s="246" t="str">
        <f t="shared" si="7"/>
        <v/>
      </c>
      <c r="AR60" s="97"/>
      <c r="AS60" s="257"/>
      <c r="AT60" s="257"/>
      <c r="AU60" s="246" t="str">
        <f t="shared" si="8"/>
        <v/>
      </c>
      <c r="AV60" s="97"/>
      <c r="AW60" s="257"/>
      <c r="AX60" s="257"/>
      <c r="AY60" s="246" t="str">
        <f t="shared" si="9"/>
        <v/>
      </c>
      <c r="AZ60" s="97"/>
      <c r="BA60" s="257"/>
      <c r="BB60" s="257"/>
      <c r="BC60" s="246" t="str">
        <f t="shared" si="10"/>
        <v/>
      </c>
      <c r="BD60" s="97"/>
      <c r="BE60" s="257"/>
      <c r="BF60" s="257"/>
      <c r="BG60" s="246" t="str">
        <f t="shared" si="11"/>
        <v/>
      </c>
      <c r="BH60" s="97"/>
      <c r="BI60" s="257"/>
      <c r="BJ60" s="257"/>
      <c r="BK60" s="246" t="str">
        <f t="shared" si="12"/>
        <v/>
      </c>
      <c r="BL60" s="97"/>
      <c r="BM60" s="257"/>
      <c r="BN60" s="257"/>
      <c r="BO60" s="246" t="str">
        <f t="shared" si="13"/>
        <v/>
      </c>
      <c r="BP60" s="97"/>
      <c r="BQ60" s="257"/>
      <c r="BR60" s="257"/>
      <c r="BS60" s="246" t="str">
        <f t="shared" si="14"/>
        <v/>
      </c>
      <c r="BT60" s="97"/>
      <c r="BU60" s="257"/>
      <c r="BV60" s="257"/>
      <c r="BW60" s="246" t="str">
        <f t="shared" si="15"/>
        <v/>
      </c>
    </row>
    <row r="61" spans="1:75">
      <c r="A61" s="88">
        <v>55</v>
      </c>
      <c r="B61" s="50"/>
      <c r="C61" s="62"/>
      <c r="D61" s="117"/>
      <c r="E61" s="126"/>
      <c r="F61" s="190"/>
      <c r="G61" s="20"/>
      <c r="H61" s="20"/>
      <c r="I61" s="19"/>
      <c r="J61" s="246" t="str">
        <f t="shared" si="16"/>
        <v/>
      </c>
      <c r="K61" s="7"/>
      <c r="L61" s="97"/>
      <c r="M61" s="259"/>
      <c r="N61" s="257"/>
      <c r="O61" s="246" t="str">
        <f t="shared" si="0"/>
        <v/>
      </c>
      <c r="P61" s="97"/>
      <c r="Q61" s="257"/>
      <c r="R61" s="257"/>
      <c r="S61" s="246" t="str">
        <f t="shared" si="1"/>
        <v/>
      </c>
      <c r="T61" s="97"/>
      <c r="U61" s="257"/>
      <c r="V61" s="257"/>
      <c r="W61" s="246" t="str">
        <f t="shared" si="2"/>
        <v/>
      </c>
      <c r="X61" s="97"/>
      <c r="Y61" s="257"/>
      <c r="Z61" s="257"/>
      <c r="AA61" s="246" t="str">
        <f t="shared" si="3"/>
        <v/>
      </c>
      <c r="AB61" s="97"/>
      <c r="AC61" s="257"/>
      <c r="AD61" s="257"/>
      <c r="AE61" s="246" t="str">
        <f t="shared" si="4"/>
        <v/>
      </c>
      <c r="AF61" s="97"/>
      <c r="AG61" s="257"/>
      <c r="AH61" s="257"/>
      <c r="AI61" s="246" t="str">
        <f t="shared" si="5"/>
        <v/>
      </c>
      <c r="AJ61" s="97"/>
      <c r="AK61" s="257"/>
      <c r="AL61" s="257"/>
      <c r="AM61" s="246" t="str">
        <f t="shared" si="6"/>
        <v/>
      </c>
      <c r="AN61" s="97"/>
      <c r="AO61" s="257"/>
      <c r="AP61" s="257"/>
      <c r="AQ61" s="246" t="str">
        <f t="shared" si="7"/>
        <v/>
      </c>
      <c r="AR61" s="97"/>
      <c r="AS61" s="257"/>
      <c r="AT61" s="257"/>
      <c r="AU61" s="246" t="str">
        <f t="shared" si="8"/>
        <v/>
      </c>
      <c r="AV61" s="97"/>
      <c r="AW61" s="257"/>
      <c r="AX61" s="257"/>
      <c r="AY61" s="246" t="str">
        <f t="shared" si="9"/>
        <v/>
      </c>
      <c r="AZ61" s="97"/>
      <c r="BA61" s="257"/>
      <c r="BB61" s="257"/>
      <c r="BC61" s="246" t="str">
        <f t="shared" si="10"/>
        <v/>
      </c>
      <c r="BD61" s="97"/>
      <c r="BE61" s="257"/>
      <c r="BF61" s="257"/>
      <c r="BG61" s="246" t="str">
        <f t="shared" si="11"/>
        <v/>
      </c>
      <c r="BH61" s="97"/>
      <c r="BI61" s="257"/>
      <c r="BJ61" s="257"/>
      <c r="BK61" s="246" t="str">
        <f t="shared" si="12"/>
        <v/>
      </c>
      <c r="BL61" s="97"/>
      <c r="BM61" s="257"/>
      <c r="BN61" s="257"/>
      <c r="BO61" s="246" t="str">
        <f t="shared" si="13"/>
        <v/>
      </c>
      <c r="BP61" s="97"/>
      <c r="BQ61" s="257"/>
      <c r="BR61" s="257"/>
      <c r="BS61" s="246" t="str">
        <f t="shared" si="14"/>
        <v/>
      </c>
      <c r="BT61" s="97"/>
      <c r="BU61" s="257"/>
      <c r="BV61" s="257"/>
      <c r="BW61" s="246" t="str">
        <f t="shared" si="15"/>
        <v/>
      </c>
    </row>
    <row r="62" spans="1:75">
      <c r="A62" s="88">
        <v>56</v>
      </c>
      <c r="B62" s="50"/>
      <c r="C62" s="62"/>
      <c r="D62" s="117"/>
      <c r="E62" s="126"/>
      <c r="F62" s="190"/>
      <c r="G62" s="20"/>
      <c r="H62" s="20"/>
      <c r="I62" s="19"/>
      <c r="J62" s="246" t="str">
        <f t="shared" si="16"/>
        <v/>
      </c>
      <c r="K62" s="7"/>
      <c r="L62" s="97"/>
      <c r="M62" s="259"/>
      <c r="N62" s="257"/>
      <c r="O62" s="246" t="str">
        <f t="shared" si="0"/>
        <v/>
      </c>
      <c r="P62" s="97"/>
      <c r="Q62" s="257"/>
      <c r="R62" s="257"/>
      <c r="S62" s="246" t="str">
        <f t="shared" si="1"/>
        <v/>
      </c>
      <c r="T62" s="97"/>
      <c r="U62" s="257"/>
      <c r="V62" s="257"/>
      <c r="W62" s="246" t="str">
        <f t="shared" si="2"/>
        <v/>
      </c>
      <c r="X62" s="97"/>
      <c r="Y62" s="257"/>
      <c r="Z62" s="257"/>
      <c r="AA62" s="246" t="str">
        <f t="shared" si="3"/>
        <v/>
      </c>
      <c r="AB62" s="97"/>
      <c r="AC62" s="257"/>
      <c r="AD62" s="257"/>
      <c r="AE62" s="246" t="str">
        <f t="shared" si="4"/>
        <v/>
      </c>
      <c r="AF62" s="97"/>
      <c r="AG62" s="257"/>
      <c r="AH62" s="257"/>
      <c r="AI62" s="246" t="str">
        <f t="shared" si="5"/>
        <v/>
      </c>
      <c r="AJ62" s="97"/>
      <c r="AK62" s="257"/>
      <c r="AL62" s="257"/>
      <c r="AM62" s="246" t="str">
        <f t="shared" si="6"/>
        <v/>
      </c>
      <c r="AN62" s="97"/>
      <c r="AO62" s="257"/>
      <c r="AP62" s="257"/>
      <c r="AQ62" s="246" t="str">
        <f t="shared" si="7"/>
        <v/>
      </c>
      <c r="AR62" s="97"/>
      <c r="AS62" s="257"/>
      <c r="AT62" s="257"/>
      <c r="AU62" s="246" t="str">
        <f t="shared" si="8"/>
        <v/>
      </c>
      <c r="AV62" s="97"/>
      <c r="AW62" s="257"/>
      <c r="AX62" s="257"/>
      <c r="AY62" s="246" t="str">
        <f t="shared" si="9"/>
        <v/>
      </c>
      <c r="AZ62" s="97"/>
      <c r="BA62" s="257"/>
      <c r="BB62" s="257"/>
      <c r="BC62" s="246" t="str">
        <f t="shared" si="10"/>
        <v/>
      </c>
      <c r="BD62" s="97"/>
      <c r="BE62" s="257"/>
      <c r="BF62" s="257"/>
      <c r="BG62" s="246" t="str">
        <f t="shared" si="11"/>
        <v/>
      </c>
      <c r="BH62" s="97"/>
      <c r="BI62" s="257"/>
      <c r="BJ62" s="257"/>
      <c r="BK62" s="246" t="str">
        <f t="shared" si="12"/>
        <v/>
      </c>
      <c r="BL62" s="97"/>
      <c r="BM62" s="257"/>
      <c r="BN62" s="257"/>
      <c r="BO62" s="246" t="str">
        <f t="shared" si="13"/>
        <v/>
      </c>
      <c r="BP62" s="97"/>
      <c r="BQ62" s="257"/>
      <c r="BR62" s="257"/>
      <c r="BS62" s="246" t="str">
        <f t="shared" si="14"/>
        <v/>
      </c>
      <c r="BT62" s="97"/>
      <c r="BU62" s="257"/>
      <c r="BV62" s="257"/>
      <c r="BW62" s="246" t="str">
        <f t="shared" si="15"/>
        <v/>
      </c>
    </row>
    <row r="63" spans="1:75">
      <c r="A63" s="88">
        <v>57</v>
      </c>
      <c r="B63" s="50"/>
      <c r="C63" s="62"/>
      <c r="D63" s="117"/>
      <c r="E63" s="126"/>
      <c r="F63" s="190"/>
      <c r="G63" s="20"/>
      <c r="H63" s="20"/>
      <c r="I63" s="19"/>
      <c r="J63" s="246" t="str">
        <f t="shared" si="16"/>
        <v/>
      </c>
      <c r="K63" s="7"/>
      <c r="L63" s="97"/>
      <c r="M63" s="259"/>
      <c r="N63" s="257"/>
      <c r="O63" s="246" t="str">
        <f t="shared" si="0"/>
        <v/>
      </c>
      <c r="P63" s="97"/>
      <c r="Q63" s="257"/>
      <c r="R63" s="257"/>
      <c r="S63" s="246" t="str">
        <f t="shared" si="1"/>
        <v/>
      </c>
      <c r="T63" s="97"/>
      <c r="U63" s="257"/>
      <c r="V63" s="257"/>
      <c r="W63" s="246" t="str">
        <f t="shared" si="2"/>
        <v/>
      </c>
      <c r="X63" s="97"/>
      <c r="Y63" s="257"/>
      <c r="Z63" s="257"/>
      <c r="AA63" s="246" t="str">
        <f t="shared" si="3"/>
        <v/>
      </c>
      <c r="AB63" s="97"/>
      <c r="AC63" s="257"/>
      <c r="AD63" s="257"/>
      <c r="AE63" s="246" t="str">
        <f t="shared" si="4"/>
        <v/>
      </c>
      <c r="AF63" s="97"/>
      <c r="AG63" s="257"/>
      <c r="AH63" s="257"/>
      <c r="AI63" s="246" t="str">
        <f t="shared" si="5"/>
        <v/>
      </c>
      <c r="AJ63" s="97"/>
      <c r="AK63" s="257"/>
      <c r="AL63" s="257"/>
      <c r="AM63" s="246" t="str">
        <f t="shared" si="6"/>
        <v/>
      </c>
      <c r="AN63" s="97"/>
      <c r="AO63" s="257"/>
      <c r="AP63" s="257"/>
      <c r="AQ63" s="246" t="str">
        <f t="shared" si="7"/>
        <v/>
      </c>
      <c r="AR63" s="97"/>
      <c r="AS63" s="257"/>
      <c r="AT63" s="257"/>
      <c r="AU63" s="246" t="str">
        <f t="shared" si="8"/>
        <v/>
      </c>
      <c r="AV63" s="97"/>
      <c r="AW63" s="257"/>
      <c r="AX63" s="257"/>
      <c r="AY63" s="246" t="str">
        <f t="shared" si="9"/>
        <v/>
      </c>
      <c r="AZ63" s="97"/>
      <c r="BA63" s="257"/>
      <c r="BB63" s="257"/>
      <c r="BC63" s="246" t="str">
        <f t="shared" si="10"/>
        <v/>
      </c>
      <c r="BD63" s="97"/>
      <c r="BE63" s="257"/>
      <c r="BF63" s="257"/>
      <c r="BG63" s="246" t="str">
        <f t="shared" si="11"/>
        <v/>
      </c>
      <c r="BH63" s="97"/>
      <c r="BI63" s="257"/>
      <c r="BJ63" s="257"/>
      <c r="BK63" s="246" t="str">
        <f t="shared" si="12"/>
        <v/>
      </c>
      <c r="BL63" s="97"/>
      <c r="BM63" s="257"/>
      <c r="BN63" s="257"/>
      <c r="BO63" s="246" t="str">
        <f t="shared" si="13"/>
        <v/>
      </c>
      <c r="BP63" s="97"/>
      <c r="BQ63" s="257"/>
      <c r="BR63" s="257"/>
      <c r="BS63" s="246" t="str">
        <f t="shared" si="14"/>
        <v/>
      </c>
      <c r="BT63" s="97"/>
      <c r="BU63" s="257"/>
      <c r="BV63" s="257"/>
      <c r="BW63" s="246" t="str">
        <f t="shared" si="15"/>
        <v/>
      </c>
    </row>
    <row r="64" spans="1:75">
      <c r="A64" s="88">
        <v>58</v>
      </c>
      <c r="B64" s="50"/>
      <c r="C64" s="62"/>
      <c r="D64" s="117"/>
      <c r="E64" s="126"/>
      <c r="F64" s="190"/>
      <c r="G64" s="20"/>
      <c r="H64" s="20"/>
      <c r="I64" s="19"/>
      <c r="J64" s="246" t="str">
        <f t="shared" si="16"/>
        <v/>
      </c>
      <c r="K64" s="7"/>
      <c r="L64" s="97"/>
      <c r="M64" s="259"/>
      <c r="N64" s="257"/>
      <c r="O64" s="246" t="str">
        <f t="shared" si="0"/>
        <v/>
      </c>
      <c r="P64" s="97"/>
      <c r="Q64" s="257"/>
      <c r="R64" s="257"/>
      <c r="S64" s="246" t="str">
        <f t="shared" si="1"/>
        <v/>
      </c>
      <c r="T64" s="97"/>
      <c r="U64" s="257"/>
      <c r="V64" s="257"/>
      <c r="W64" s="246" t="str">
        <f t="shared" si="2"/>
        <v/>
      </c>
      <c r="X64" s="97"/>
      <c r="Y64" s="257"/>
      <c r="Z64" s="257"/>
      <c r="AA64" s="246" t="str">
        <f t="shared" si="3"/>
        <v/>
      </c>
      <c r="AB64" s="97"/>
      <c r="AC64" s="257"/>
      <c r="AD64" s="257"/>
      <c r="AE64" s="246" t="str">
        <f t="shared" si="4"/>
        <v/>
      </c>
      <c r="AF64" s="97"/>
      <c r="AG64" s="257"/>
      <c r="AH64" s="257"/>
      <c r="AI64" s="246" t="str">
        <f t="shared" si="5"/>
        <v/>
      </c>
      <c r="AJ64" s="97"/>
      <c r="AK64" s="257"/>
      <c r="AL64" s="257"/>
      <c r="AM64" s="246" t="str">
        <f t="shared" si="6"/>
        <v/>
      </c>
      <c r="AN64" s="97"/>
      <c r="AO64" s="257"/>
      <c r="AP64" s="257"/>
      <c r="AQ64" s="246" t="str">
        <f t="shared" si="7"/>
        <v/>
      </c>
      <c r="AR64" s="97"/>
      <c r="AS64" s="257"/>
      <c r="AT64" s="257"/>
      <c r="AU64" s="246" t="str">
        <f t="shared" si="8"/>
        <v/>
      </c>
      <c r="AV64" s="97"/>
      <c r="AW64" s="257"/>
      <c r="AX64" s="257"/>
      <c r="AY64" s="246" t="str">
        <f t="shared" si="9"/>
        <v/>
      </c>
      <c r="AZ64" s="97"/>
      <c r="BA64" s="257"/>
      <c r="BB64" s="257"/>
      <c r="BC64" s="246" t="str">
        <f t="shared" si="10"/>
        <v/>
      </c>
      <c r="BD64" s="97"/>
      <c r="BE64" s="257"/>
      <c r="BF64" s="257"/>
      <c r="BG64" s="246" t="str">
        <f t="shared" si="11"/>
        <v/>
      </c>
      <c r="BH64" s="97"/>
      <c r="BI64" s="257"/>
      <c r="BJ64" s="257"/>
      <c r="BK64" s="246" t="str">
        <f t="shared" si="12"/>
        <v/>
      </c>
      <c r="BL64" s="97"/>
      <c r="BM64" s="257"/>
      <c r="BN64" s="257"/>
      <c r="BO64" s="246" t="str">
        <f t="shared" si="13"/>
        <v/>
      </c>
      <c r="BP64" s="97"/>
      <c r="BQ64" s="257"/>
      <c r="BR64" s="257"/>
      <c r="BS64" s="246" t="str">
        <f t="shared" si="14"/>
        <v/>
      </c>
      <c r="BT64" s="97"/>
      <c r="BU64" s="257"/>
      <c r="BV64" s="257"/>
      <c r="BW64" s="246" t="str">
        <f t="shared" si="15"/>
        <v/>
      </c>
    </row>
    <row r="65" spans="1:75">
      <c r="A65" s="88">
        <v>59</v>
      </c>
      <c r="B65" s="50"/>
      <c r="C65" s="62"/>
      <c r="D65" s="117"/>
      <c r="E65" s="126"/>
      <c r="F65" s="190"/>
      <c r="G65" s="20"/>
      <c r="H65" s="20"/>
      <c r="I65" s="19"/>
      <c r="J65" s="246" t="str">
        <f t="shared" si="16"/>
        <v/>
      </c>
      <c r="K65" s="7"/>
      <c r="L65" s="97"/>
      <c r="M65" s="259"/>
      <c r="N65" s="257"/>
      <c r="O65" s="246" t="str">
        <f t="shared" si="0"/>
        <v/>
      </c>
      <c r="P65" s="97"/>
      <c r="Q65" s="257"/>
      <c r="R65" s="257"/>
      <c r="S65" s="246" t="str">
        <f t="shared" si="1"/>
        <v/>
      </c>
      <c r="T65" s="97"/>
      <c r="U65" s="257"/>
      <c r="V65" s="257"/>
      <c r="W65" s="246" t="str">
        <f t="shared" si="2"/>
        <v/>
      </c>
      <c r="X65" s="97"/>
      <c r="Y65" s="257"/>
      <c r="Z65" s="257"/>
      <c r="AA65" s="246" t="str">
        <f t="shared" si="3"/>
        <v/>
      </c>
      <c r="AB65" s="97"/>
      <c r="AC65" s="257"/>
      <c r="AD65" s="257"/>
      <c r="AE65" s="246" t="str">
        <f t="shared" si="4"/>
        <v/>
      </c>
      <c r="AF65" s="97"/>
      <c r="AG65" s="257"/>
      <c r="AH65" s="257"/>
      <c r="AI65" s="246" t="str">
        <f t="shared" si="5"/>
        <v/>
      </c>
      <c r="AJ65" s="97"/>
      <c r="AK65" s="257"/>
      <c r="AL65" s="257"/>
      <c r="AM65" s="246" t="str">
        <f t="shared" si="6"/>
        <v/>
      </c>
      <c r="AN65" s="97"/>
      <c r="AO65" s="257"/>
      <c r="AP65" s="257"/>
      <c r="AQ65" s="246" t="str">
        <f t="shared" si="7"/>
        <v/>
      </c>
      <c r="AR65" s="97"/>
      <c r="AS65" s="257"/>
      <c r="AT65" s="257"/>
      <c r="AU65" s="246" t="str">
        <f t="shared" si="8"/>
        <v/>
      </c>
      <c r="AV65" s="97"/>
      <c r="AW65" s="257"/>
      <c r="AX65" s="257"/>
      <c r="AY65" s="246" t="str">
        <f t="shared" si="9"/>
        <v/>
      </c>
      <c r="AZ65" s="97"/>
      <c r="BA65" s="257"/>
      <c r="BB65" s="257"/>
      <c r="BC65" s="246" t="str">
        <f t="shared" si="10"/>
        <v/>
      </c>
      <c r="BD65" s="97"/>
      <c r="BE65" s="257"/>
      <c r="BF65" s="257"/>
      <c r="BG65" s="246" t="str">
        <f t="shared" si="11"/>
        <v/>
      </c>
      <c r="BH65" s="97"/>
      <c r="BI65" s="257"/>
      <c r="BJ65" s="257"/>
      <c r="BK65" s="246" t="str">
        <f t="shared" si="12"/>
        <v/>
      </c>
      <c r="BL65" s="97"/>
      <c r="BM65" s="257"/>
      <c r="BN65" s="257"/>
      <c r="BO65" s="246" t="str">
        <f t="shared" si="13"/>
        <v/>
      </c>
      <c r="BP65" s="97"/>
      <c r="BQ65" s="257"/>
      <c r="BR65" s="257"/>
      <c r="BS65" s="246" t="str">
        <f t="shared" si="14"/>
        <v/>
      </c>
      <c r="BT65" s="97"/>
      <c r="BU65" s="257"/>
      <c r="BV65" s="257"/>
      <c r="BW65" s="246" t="str">
        <f t="shared" si="15"/>
        <v/>
      </c>
    </row>
    <row r="66" spans="1:75">
      <c r="A66" s="88">
        <v>60</v>
      </c>
      <c r="B66" s="50"/>
      <c r="C66" s="62"/>
      <c r="D66" s="117"/>
      <c r="E66" s="126"/>
      <c r="F66" s="190"/>
      <c r="G66" s="20"/>
      <c r="H66" s="20"/>
      <c r="I66" s="19"/>
      <c r="J66" s="246" t="str">
        <f t="shared" si="16"/>
        <v/>
      </c>
      <c r="K66" s="7"/>
      <c r="L66" s="97"/>
      <c r="M66" s="259"/>
      <c r="N66" s="257"/>
      <c r="O66" s="246" t="str">
        <f t="shared" si="0"/>
        <v/>
      </c>
      <c r="P66" s="97"/>
      <c r="Q66" s="257"/>
      <c r="R66" s="257"/>
      <c r="S66" s="246" t="str">
        <f t="shared" si="1"/>
        <v/>
      </c>
      <c r="T66" s="97"/>
      <c r="U66" s="257"/>
      <c r="V66" s="257"/>
      <c r="W66" s="246" t="str">
        <f t="shared" si="2"/>
        <v/>
      </c>
      <c r="X66" s="97"/>
      <c r="Y66" s="257"/>
      <c r="Z66" s="257"/>
      <c r="AA66" s="246" t="str">
        <f t="shared" si="3"/>
        <v/>
      </c>
      <c r="AB66" s="97"/>
      <c r="AC66" s="257"/>
      <c r="AD66" s="257"/>
      <c r="AE66" s="246" t="str">
        <f t="shared" si="4"/>
        <v/>
      </c>
      <c r="AF66" s="97"/>
      <c r="AG66" s="257"/>
      <c r="AH66" s="257"/>
      <c r="AI66" s="246" t="str">
        <f t="shared" si="5"/>
        <v/>
      </c>
      <c r="AJ66" s="97"/>
      <c r="AK66" s="257"/>
      <c r="AL66" s="257"/>
      <c r="AM66" s="246" t="str">
        <f t="shared" si="6"/>
        <v/>
      </c>
      <c r="AN66" s="97"/>
      <c r="AO66" s="257"/>
      <c r="AP66" s="257"/>
      <c r="AQ66" s="246" t="str">
        <f t="shared" si="7"/>
        <v/>
      </c>
      <c r="AR66" s="97"/>
      <c r="AS66" s="257"/>
      <c r="AT66" s="257"/>
      <c r="AU66" s="246" t="str">
        <f t="shared" si="8"/>
        <v/>
      </c>
      <c r="AV66" s="97"/>
      <c r="AW66" s="257"/>
      <c r="AX66" s="257"/>
      <c r="AY66" s="246" t="str">
        <f t="shared" si="9"/>
        <v/>
      </c>
      <c r="AZ66" s="97"/>
      <c r="BA66" s="257"/>
      <c r="BB66" s="257"/>
      <c r="BC66" s="246" t="str">
        <f t="shared" si="10"/>
        <v/>
      </c>
      <c r="BD66" s="97"/>
      <c r="BE66" s="257"/>
      <c r="BF66" s="257"/>
      <c r="BG66" s="246" t="str">
        <f t="shared" si="11"/>
        <v/>
      </c>
      <c r="BH66" s="97"/>
      <c r="BI66" s="257"/>
      <c r="BJ66" s="257"/>
      <c r="BK66" s="246" t="str">
        <f t="shared" si="12"/>
        <v/>
      </c>
      <c r="BL66" s="97"/>
      <c r="BM66" s="257"/>
      <c r="BN66" s="257"/>
      <c r="BO66" s="246" t="str">
        <f t="shared" si="13"/>
        <v/>
      </c>
      <c r="BP66" s="97"/>
      <c r="BQ66" s="257"/>
      <c r="BR66" s="257"/>
      <c r="BS66" s="246" t="str">
        <f t="shared" si="14"/>
        <v/>
      </c>
      <c r="BT66" s="97"/>
      <c r="BU66" s="257"/>
      <c r="BV66" s="257"/>
      <c r="BW66" s="246" t="str">
        <f t="shared" si="15"/>
        <v/>
      </c>
    </row>
    <row r="67" spans="1:75">
      <c r="A67" s="88">
        <v>61</v>
      </c>
      <c r="B67" s="50"/>
      <c r="C67" s="62"/>
      <c r="D67" s="117"/>
      <c r="E67" s="126"/>
      <c r="F67" s="190"/>
      <c r="G67" s="20"/>
      <c r="H67" s="20"/>
      <c r="I67" s="19"/>
      <c r="J67" s="246" t="str">
        <f t="shared" si="16"/>
        <v/>
      </c>
      <c r="K67" s="7"/>
      <c r="L67" s="97"/>
      <c r="M67" s="259"/>
      <c r="N67" s="257"/>
      <c r="O67" s="246" t="str">
        <f t="shared" si="0"/>
        <v/>
      </c>
      <c r="P67" s="97"/>
      <c r="Q67" s="257"/>
      <c r="R67" s="257"/>
      <c r="S67" s="246" t="str">
        <f t="shared" si="1"/>
        <v/>
      </c>
      <c r="T67" s="97"/>
      <c r="U67" s="257"/>
      <c r="V67" s="257"/>
      <c r="W67" s="246" t="str">
        <f t="shared" si="2"/>
        <v/>
      </c>
      <c r="X67" s="97"/>
      <c r="Y67" s="257"/>
      <c r="Z67" s="257"/>
      <c r="AA67" s="246" t="str">
        <f t="shared" si="3"/>
        <v/>
      </c>
      <c r="AB67" s="97"/>
      <c r="AC67" s="257"/>
      <c r="AD67" s="257"/>
      <c r="AE67" s="246" t="str">
        <f t="shared" si="4"/>
        <v/>
      </c>
      <c r="AF67" s="97"/>
      <c r="AG67" s="257"/>
      <c r="AH67" s="257"/>
      <c r="AI67" s="246" t="str">
        <f t="shared" si="5"/>
        <v/>
      </c>
      <c r="AJ67" s="97"/>
      <c r="AK67" s="257"/>
      <c r="AL67" s="257"/>
      <c r="AM67" s="246" t="str">
        <f t="shared" si="6"/>
        <v/>
      </c>
      <c r="AN67" s="97"/>
      <c r="AO67" s="257"/>
      <c r="AP67" s="257"/>
      <c r="AQ67" s="246" t="str">
        <f t="shared" si="7"/>
        <v/>
      </c>
      <c r="AR67" s="97"/>
      <c r="AS67" s="257"/>
      <c r="AT67" s="257"/>
      <c r="AU67" s="246" t="str">
        <f t="shared" si="8"/>
        <v/>
      </c>
      <c r="AV67" s="97"/>
      <c r="AW67" s="257"/>
      <c r="AX67" s="257"/>
      <c r="AY67" s="246" t="str">
        <f t="shared" si="9"/>
        <v/>
      </c>
      <c r="AZ67" s="97"/>
      <c r="BA67" s="257"/>
      <c r="BB67" s="257"/>
      <c r="BC67" s="246" t="str">
        <f t="shared" si="10"/>
        <v/>
      </c>
      <c r="BD67" s="97"/>
      <c r="BE67" s="257"/>
      <c r="BF67" s="257"/>
      <c r="BG67" s="246" t="str">
        <f t="shared" si="11"/>
        <v/>
      </c>
      <c r="BH67" s="97"/>
      <c r="BI67" s="257"/>
      <c r="BJ67" s="257"/>
      <c r="BK67" s="246" t="str">
        <f t="shared" si="12"/>
        <v/>
      </c>
      <c r="BL67" s="97"/>
      <c r="BM67" s="257"/>
      <c r="BN67" s="257"/>
      <c r="BO67" s="246" t="str">
        <f t="shared" si="13"/>
        <v/>
      </c>
      <c r="BP67" s="97"/>
      <c r="BQ67" s="257"/>
      <c r="BR67" s="257"/>
      <c r="BS67" s="246" t="str">
        <f t="shared" si="14"/>
        <v/>
      </c>
      <c r="BT67" s="97"/>
      <c r="BU67" s="257"/>
      <c r="BV67" s="257"/>
      <c r="BW67" s="246" t="str">
        <f t="shared" si="15"/>
        <v/>
      </c>
    </row>
    <row r="68" spans="1:75">
      <c r="A68" s="88">
        <v>62</v>
      </c>
      <c r="B68" s="50"/>
      <c r="C68" s="62"/>
      <c r="D68" s="117"/>
      <c r="E68" s="126"/>
      <c r="F68" s="190"/>
      <c r="G68" s="20"/>
      <c r="H68" s="20"/>
      <c r="I68" s="19"/>
      <c r="J68" s="246" t="str">
        <f t="shared" si="16"/>
        <v/>
      </c>
      <c r="K68" s="7"/>
      <c r="L68" s="97"/>
      <c r="M68" s="259"/>
      <c r="N68" s="257"/>
      <c r="O68" s="246" t="str">
        <f t="shared" si="0"/>
        <v/>
      </c>
      <c r="P68" s="97"/>
      <c r="Q68" s="257"/>
      <c r="R68" s="257"/>
      <c r="S68" s="246" t="str">
        <f t="shared" si="1"/>
        <v/>
      </c>
      <c r="T68" s="97"/>
      <c r="U68" s="257"/>
      <c r="V68" s="257"/>
      <c r="W68" s="246" t="str">
        <f t="shared" si="2"/>
        <v/>
      </c>
      <c r="X68" s="97"/>
      <c r="Y68" s="257"/>
      <c r="Z68" s="257"/>
      <c r="AA68" s="246" t="str">
        <f t="shared" si="3"/>
        <v/>
      </c>
      <c r="AB68" s="97"/>
      <c r="AC68" s="257"/>
      <c r="AD68" s="257"/>
      <c r="AE68" s="246" t="str">
        <f t="shared" si="4"/>
        <v/>
      </c>
      <c r="AF68" s="97"/>
      <c r="AG68" s="257"/>
      <c r="AH68" s="257"/>
      <c r="AI68" s="246" t="str">
        <f t="shared" si="5"/>
        <v/>
      </c>
      <c r="AJ68" s="97"/>
      <c r="AK68" s="257"/>
      <c r="AL68" s="257"/>
      <c r="AM68" s="246" t="str">
        <f t="shared" si="6"/>
        <v/>
      </c>
      <c r="AN68" s="97"/>
      <c r="AO68" s="257"/>
      <c r="AP68" s="257"/>
      <c r="AQ68" s="246" t="str">
        <f t="shared" si="7"/>
        <v/>
      </c>
      <c r="AR68" s="97"/>
      <c r="AS68" s="257"/>
      <c r="AT68" s="257"/>
      <c r="AU68" s="246" t="str">
        <f t="shared" si="8"/>
        <v/>
      </c>
      <c r="AV68" s="97"/>
      <c r="AW68" s="257"/>
      <c r="AX68" s="257"/>
      <c r="AY68" s="246" t="str">
        <f t="shared" si="9"/>
        <v/>
      </c>
      <c r="AZ68" s="97"/>
      <c r="BA68" s="257"/>
      <c r="BB68" s="257"/>
      <c r="BC68" s="246" t="str">
        <f t="shared" si="10"/>
        <v/>
      </c>
      <c r="BD68" s="97"/>
      <c r="BE68" s="257"/>
      <c r="BF68" s="257"/>
      <c r="BG68" s="246" t="str">
        <f t="shared" si="11"/>
        <v/>
      </c>
      <c r="BH68" s="97"/>
      <c r="BI68" s="257"/>
      <c r="BJ68" s="257"/>
      <c r="BK68" s="246" t="str">
        <f t="shared" si="12"/>
        <v/>
      </c>
      <c r="BL68" s="97"/>
      <c r="BM68" s="257"/>
      <c r="BN68" s="257"/>
      <c r="BO68" s="246" t="str">
        <f t="shared" si="13"/>
        <v/>
      </c>
      <c r="BP68" s="97"/>
      <c r="BQ68" s="257"/>
      <c r="BR68" s="257"/>
      <c r="BS68" s="246" t="str">
        <f t="shared" si="14"/>
        <v/>
      </c>
      <c r="BT68" s="97"/>
      <c r="BU68" s="257"/>
      <c r="BV68" s="257"/>
      <c r="BW68" s="246" t="str">
        <f t="shared" si="15"/>
        <v/>
      </c>
    </row>
    <row r="69" spans="1:75">
      <c r="A69" s="88">
        <v>63</v>
      </c>
      <c r="B69" s="50"/>
      <c r="C69" s="62"/>
      <c r="D69" s="117"/>
      <c r="E69" s="126"/>
      <c r="F69" s="190"/>
      <c r="G69" s="20"/>
      <c r="H69" s="20"/>
      <c r="I69" s="19"/>
      <c r="J69" s="246" t="str">
        <f t="shared" si="16"/>
        <v/>
      </c>
      <c r="K69" s="7"/>
      <c r="L69" s="97"/>
      <c r="M69" s="259"/>
      <c r="N69" s="257"/>
      <c r="O69" s="246" t="str">
        <f t="shared" si="0"/>
        <v/>
      </c>
      <c r="P69" s="97"/>
      <c r="Q69" s="257"/>
      <c r="R69" s="257"/>
      <c r="S69" s="246" t="str">
        <f t="shared" si="1"/>
        <v/>
      </c>
      <c r="T69" s="97"/>
      <c r="U69" s="257"/>
      <c r="V69" s="257"/>
      <c r="W69" s="246" t="str">
        <f t="shared" si="2"/>
        <v/>
      </c>
      <c r="X69" s="97"/>
      <c r="Y69" s="257"/>
      <c r="Z69" s="257"/>
      <c r="AA69" s="246" t="str">
        <f t="shared" si="3"/>
        <v/>
      </c>
      <c r="AB69" s="97"/>
      <c r="AC69" s="257"/>
      <c r="AD69" s="257"/>
      <c r="AE69" s="246" t="str">
        <f t="shared" si="4"/>
        <v/>
      </c>
      <c r="AF69" s="97"/>
      <c r="AG69" s="257"/>
      <c r="AH69" s="257"/>
      <c r="AI69" s="246" t="str">
        <f t="shared" si="5"/>
        <v/>
      </c>
      <c r="AJ69" s="97"/>
      <c r="AK69" s="257"/>
      <c r="AL69" s="257"/>
      <c r="AM69" s="246" t="str">
        <f t="shared" si="6"/>
        <v/>
      </c>
      <c r="AN69" s="97"/>
      <c r="AO69" s="257"/>
      <c r="AP69" s="257"/>
      <c r="AQ69" s="246" t="str">
        <f t="shared" si="7"/>
        <v/>
      </c>
      <c r="AR69" s="97"/>
      <c r="AS69" s="257"/>
      <c r="AT69" s="257"/>
      <c r="AU69" s="246" t="str">
        <f t="shared" si="8"/>
        <v/>
      </c>
      <c r="AV69" s="97"/>
      <c r="AW69" s="257"/>
      <c r="AX69" s="257"/>
      <c r="AY69" s="246" t="str">
        <f t="shared" si="9"/>
        <v/>
      </c>
      <c r="AZ69" s="97"/>
      <c r="BA69" s="257"/>
      <c r="BB69" s="257"/>
      <c r="BC69" s="246" t="str">
        <f t="shared" si="10"/>
        <v/>
      </c>
      <c r="BD69" s="97"/>
      <c r="BE69" s="257"/>
      <c r="BF69" s="257"/>
      <c r="BG69" s="246" t="str">
        <f t="shared" si="11"/>
        <v/>
      </c>
      <c r="BH69" s="97"/>
      <c r="BI69" s="257"/>
      <c r="BJ69" s="257"/>
      <c r="BK69" s="246" t="str">
        <f t="shared" si="12"/>
        <v/>
      </c>
      <c r="BL69" s="97"/>
      <c r="BM69" s="257"/>
      <c r="BN69" s="257"/>
      <c r="BO69" s="246" t="str">
        <f t="shared" si="13"/>
        <v/>
      </c>
      <c r="BP69" s="97"/>
      <c r="BQ69" s="257"/>
      <c r="BR69" s="257"/>
      <c r="BS69" s="246" t="str">
        <f t="shared" si="14"/>
        <v/>
      </c>
      <c r="BT69" s="97"/>
      <c r="BU69" s="257"/>
      <c r="BV69" s="257"/>
      <c r="BW69" s="246" t="str">
        <f t="shared" si="15"/>
        <v/>
      </c>
    </row>
    <row r="70" spans="1:75">
      <c r="A70" s="88">
        <v>64</v>
      </c>
      <c r="B70" s="50"/>
      <c r="C70" s="62"/>
      <c r="D70" s="117"/>
      <c r="E70" s="126"/>
      <c r="F70" s="190"/>
      <c r="G70" s="20"/>
      <c r="H70" s="20"/>
      <c r="I70" s="19"/>
      <c r="J70" s="246" t="str">
        <f t="shared" si="16"/>
        <v/>
      </c>
      <c r="K70" s="7"/>
      <c r="L70" s="97"/>
      <c r="M70" s="259"/>
      <c r="N70" s="257"/>
      <c r="O70" s="246" t="str">
        <f t="shared" si="0"/>
        <v/>
      </c>
      <c r="P70" s="97"/>
      <c r="Q70" s="257"/>
      <c r="R70" s="257"/>
      <c r="S70" s="246" t="str">
        <f t="shared" si="1"/>
        <v/>
      </c>
      <c r="T70" s="97"/>
      <c r="U70" s="257"/>
      <c r="V70" s="257"/>
      <c r="W70" s="246" t="str">
        <f t="shared" si="2"/>
        <v/>
      </c>
      <c r="X70" s="97"/>
      <c r="Y70" s="257"/>
      <c r="Z70" s="257"/>
      <c r="AA70" s="246" t="str">
        <f t="shared" si="3"/>
        <v/>
      </c>
      <c r="AB70" s="97"/>
      <c r="AC70" s="257"/>
      <c r="AD70" s="257"/>
      <c r="AE70" s="246" t="str">
        <f t="shared" si="4"/>
        <v/>
      </c>
      <c r="AF70" s="97"/>
      <c r="AG70" s="257"/>
      <c r="AH70" s="257"/>
      <c r="AI70" s="246" t="str">
        <f t="shared" si="5"/>
        <v/>
      </c>
      <c r="AJ70" s="97"/>
      <c r="AK70" s="257"/>
      <c r="AL70" s="257"/>
      <c r="AM70" s="246" t="str">
        <f t="shared" si="6"/>
        <v/>
      </c>
      <c r="AN70" s="97"/>
      <c r="AO70" s="257"/>
      <c r="AP70" s="257"/>
      <c r="AQ70" s="246" t="str">
        <f t="shared" si="7"/>
        <v/>
      </c>
      <c r="AR70" s="97"/>
      <c r="AS70" s="257"/>
      <c r="AT70" s="257"/>
      <c r="AU70" s="246" t="str">
        <f t="shared" si="8"/>
        <v/>
      </c>
      <c r="AV70" s="97"/>
      <c r="AW70" s="257"/>
      <c r="AX70" s="257"/>
      <c r="AY70" s="246" t="str">
        <f t="shared" si="9"/>
        <v/>
      </c>
      <c r="AZ70" s="97"/>
      <c r="BA70" s="257"/>
      <c r="BB70" s="257"/>
      <c r="BC70" s="246" t="str">
        <f t="shared" si="10"/>
        <v/>
      </c>
      <c r="BD70" s="97"/>
      <c r="BE70" s="257"/>
      <c r="BF70" s="257"/>
      <c r="BG70" s="246" t="str">
        <f t="shared" si="11"/>
        <v/>
      </c>
      <c r="BH70" s="97"/>
      <c r="BI70" s="257"/>
      <c r="BJ70" s="257"/>
      <c r="BK70" s="246" t="str">
        <f t="shared" si="12"/>
        <v/>
      </c>
      <c r="BL70" s="97"/>
      <c r="BM70" s="257"/>
      <c r="BN70" s="257"/>
      <c r="BO70" s="246" t="str">
        <f t="shared" si="13"/>
        <v/>
      </c>
      <c r="BP70" s="97"/>
      <c r="BQ70" s="257"/>
      <c r="BR70" s="257"/>
      <c r="BS70" s="246" t="str">
        <f t="shared" si="14"/>
        <v/>
      </c>
      <c r="BT70" s="97"/>
      <c r="BU70" s="257"/>
      <c r="BV70" s="257"/>
      <c r="BW70" s="246" t="str">
        <f t="shared" si="15"/>
        <v/>
      </c>
    </row>
    <row r="71" spans="1:75">
      <c r="A71" s="88">
        <v>65</v>
      </c>
      <c r="B71" s="50"/>
      <c r="C71" s="62"/>
      <c r="D71" s="117"/>
      <c r="E71" s="126"/>
      <c r="F71" s="191"/>
      <c r="G71" s="20"/>
      <c r="H71" s="20"/>
      <c r="I71" s="19"/>
      <c r="J71" s="246" t="str">
        <f t="shared" si="16"/>
        <v/>
      </c>
      <c r="K71" s="7"/>
      <c r="L71" s="97"/>
      <c r="M71" s="259"/>
      <c r="N71" s="257"/>
      <c r="O71" s="246" t="str">
        <f t="shared" ref="O71:O82" si="17">IF(K$4="","",IF($C71="","",IF(AND($B71="",M71=""),"*",IF(AND($B71="v",NOT(M71="")),"*",IF(AND($B71="",NOT(M71="")),"",IF(AND($B71="v",M71=""),""))))))</f>
        <v/>
      </c>
      <c r="P71" s="97"/>
      <c r="Q71" s="257"/>
      <c r="R71" s="257"/>
      <c r="S71" s="246" t="str">
        <f t="shared" ref="S71:S82" si="18">IF(O$4="","",IF($C71="","",IF(AND($B71="",Q71=""),"*",IF(AND($B71="v",NOT(Q71="")),"*",IF(AND($B71="",NOT(Q71="")),"",IF(AND($B71="v",Q71=""),""))))))</f>
        <v/>
      </c>
      <c r="T71" s="97"/>
      <c r="U71" s="257"/>
      <c r="V71" s="257"/>
      <c r="W71" s="246" t="str">
        <f t="shared" ref="W71:W82" si="19">IF(S$4="","",IF($C71="","",IF(AND($B71="",U71=""),"*",IF(AND($B71="v",NOT(U71="")),"*",IF(AND($B71="",NOT(U71="")),"",IF(AND($B71="v",U71=""),""))))))</f>
        <v/>
      </c>
      <c r="X71" s="97"/>
      <c r="Y71" s="257"/>
      <c r="Z71" s="257"/>
      <c r="AA71" s="246" t="str">
        <f t="shared" ref="AA71:AA82" si="20">IF(W$4="","",IF($C71="","",IF(AND($B71="",Y71=""),"*",IF(AND($B71="v",NOT(Y71="")),"*",IF(AND($B71="",NOT(Y71="")),"",IF(AND($B71="v",Y71=""),""))))))</f>
        <v/>
      </c>
      <c r="AB71" s="97"/>
      <c r="AC71" s="257"/>
      <c r="AD71" s="257"/>
      <c r="AE71" s="246" t="str">
        <f t="shared" ref="AE71:AE82" si="21">IF(AA$4="","",IF($C71="","",IF(AND($B71="",AC71=""),"*",IF(AND($B71="v",NOT(AC71="")),"*",IF(AND($B71="",NOT(AC71="")),"",IF(AND($B71="v",AC71=""),""))))))</f>
        <v/>
      </c>
      <c r="AF71" s="97"/>
      <c r="AG71" s="257"/>
      <c r="AH71" s="257"/>
      <c r="AI71" s="246" t="str">
        <f t="shared" ref="AI71:AI82" si="22">IF(AE$4="","",IF($C71="","",IF(AND($B71="",AG71=""),"*",IF(AND($B71="v",NOT(AG71="")),"*",IF(AND($B71="",NOT(AG71="")),"",IF(AND($B71="v",AG71=""),""))))))</f>
        <v/>
      </c>
      <c r="AJ71" s="97"/>
      <c r="AK71" s="257"/>
      <c r="AL71" s="257"/>
      <c r="AM71" s="246" t="str">
        <f t="shared" ref="AM71:AM82" si="23">IF(AI$4="","",IF($C71="","",IF(AND($B71="",AK71=""),"*",IF(AND($B71="v",NOT(AK71="")),"*",IF(AND($B71="",NOT(AK71="")),"",IF(AND($B71="v",AK71=""),""))))))</f>
        <v/>
      </c>
      <c r="AN71" s="97"/>
      <c r="AO71" s="257"/>
      <c r="AP71" s="257"/>
      <c r="AQ71" s="246" t="str">
        <f t="shared" ref="AQ71:AQ82" si="24">IF(AM$4="","",IF($C71="","",IF(AND($B71="",AO71=""),"*",IF(AND($B71="v",NOT(AO71="")),"*",IF(AND($B71="",NOT(AO71="")),"",IF(AND($B71="v",AO71=""),""))))))</f>
        <v/>
      </c>
      <c r="AR71" s="97"/>
      <c r="AS71" s="257"/>
      <c r="AT71" s="257"/>
      <c r="AU71" s="246" t="str">
        <f t="shared" ref="AU71:AU82" si="25">IF(AQ$4="","",IF($C71="","",IF(AND($B71="",AS71=""),"*",IF(AND($B71="v",NOT(AS71="")),"*",IF(AND($B71="",NOT(AS71="")),"",IF(AND($B71="v",AS71=""),""))))))</f>
        <v/>
      </c>
      <c r="AV71" s="97"/>
      <c r="AW71" s="257"/>
      <c r="AX71" s="257"/>
      <c r="AY71" s="246" t="str">
        <f t="shared" ref="AY71:AY82" si="26">IF(AU$4="","",IF($C71="","",IF(AND($B71="",AW71=""),"*",IF(AND($B71="v",NOT(AW71="")),"*",IF(AND($B71="",NOT(AW71="")),"",IF(AND($B71="v",AW71=""),""))))))</f>
        <v/>
      </c>
      <c r="AZ71" s="97"/>
      <c r="BA71" s="257"/>
      <c r="BB71" s="257"/>
      <c r="BC71" s="246" t="str">
        <f t="shared" ref="BC71:BC82" si="27">IF(AY$4="","",IF($C71="","",IF(AND($B71="",BA71=""),"*",IF(AND($B71="v",NOT(BA71="")),"*",IF(AND($B71="",NOT(BA71="")),"",IF(AND($B71="v",BA71=""),""))))))</f>
        <v/>
      </c>
      <c r="BD71" s="97"/>
      <c r="BE71" s="257"/>
      <c r="BF71" s="257"/>
      <c r="BG71" s="246" t="str">
        <f t="shared" ref="BG71:BG82" si="28">IF(BC$4="","",IF($C71="","",IF(AND($B71="",BE71=""),"*",IF(AND($B71="v",NOT(BE71="")),"*",IF(AND($B71="",NOT(BE71="")),"",IF(AND($B71="v",BE71=""),""))))))</f>
        <v/>
      </c>
      <c r="BH71" s="97"/>
      <c r="BI71" s="257"/>
      <c r="BJ71" s="257"/>
      <c r="BK71" s="246" t="str">
        <f t="shared" ref="BK71:BK82" si="29">IF(BG$4="","",IF($C71="","",IF(AND($B71="",BI71=""),"*",IF(AND($B71="v",NOT(BI71="")),"*",IF(AND($B71="",NOT(BI71="")),"",IF(AND($B71="v",BI71=""),""))))))</f>
        <v/>
      </c>
      <c r="BL71" s="97"/>
      <c r="BM71" s="257"/>
      <c r="BN71" s="257"/>
      <c r="BO71" s="246" t="str">
        <f t="shared" ref="BO71:BO82" si="30">IF(BK$4="","",IF($C71="","",IF(AND($B71="",BM71=""),"*",IF(AND($B71="v",NOT(BM71="")),"*",IF(AND($B71="",NOT(BM71="")),"",IF(AND($B71="v",BM71=""),""))))))</f>
        <v/>
      </c>
      <c r="BP71" s="97"/>
      <c r="BQ71" s="257"/>
      <c r="BR71" s="257"/>
      <c r="BS71" s="246" t="str">
        <f t="shared" ref="BS71:BS82" si="31">IF(BO$4="","",IF($C71="","",IF(AND($B71="",BQ71=""),"*",IF(AND($B71="v",NOT(BQ71="")),"*",IF(AND($B71="",NOT(BQ71="")),"",IF(AND($B71="v",BQ71=""),""))))))</f>
        <v/>
      </c>
      <c r="BT71" s="97"/>
      <c r="BU71" s="257"/>
      <c r="BV71" s="257"/>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9"/>
      <c r="N72" s="257"/>
      <c r="O72" s="246" t="str">
        <f t="shared" si="17"/>
        <v/>
      </c>
      <c r="P72" s="97"/>
      <c r="Q72" s="257"/>
      <c r="R72" s="257"/>
      <c r="S72" s="246" t="str">
        <f t="shared" si="18"/>
        <v/>
      </c>
      <c r="T72" s="97"/>
      <c r="U72" s="257"/>
      <c r="V72" s="257"/>
      <c r="W72" s="246" t="str">
        <f t="shared" si="19"/>
        <v/>
      </c>
      <c r="X72" s="97"/>
      <c r="Y72" s="257"/>
      <c r="Z72" s="257"/>
      <c r="AA72" s="246" t="str">
        <f t="shared" si="20"/>
        <v/>
      </c>
      <c r="AB72" s="97"/>
      <c r="AC72" s="257"/>
      <c r="AD72" s="257"/>
      <c r="AE72" s="246" t="str">
        <f t="shared" si="21"/>
        <v/>
      </c>
      <c r="AF72" s="97"/>
      <c r="AG72" s="257"/>
      <c r="AH72" s="257"/>
      <c r="AI72" s="246" t="str">
        <f t="shared" si="22"/>
        <v/>
      </c>
      <c r="AJ72" s="97"/>
      <c r="AK72" s="257"/>
      <c r="AL72" s="257"/>
      <c r="AM72" s="246" t="str">
        <f t="shared" si="23"/>
        <v/>
      </c>
      <c r="AN72" s="97"/>
      <c r="AO72" s="257"/>
      <c r="AP72" s="257"/>
      <c r="AQ72" s="246" t="str">
        <f t="shared" si="24"/>
        <v/>
      </c>
      <c r="AR72" s="97"/>
      <c r="AS72" s="257"/>
      <c r="AT72" s="257"/>
      <c r="AU72" s="246" t="str">
        <f t="shared" si="25"/>
        <v/>
      </c>
      <c r="AV72" s="97"/>
      <c r="AW72" s="257"/>
      <c r="AX72" s="257"/>
      <c r="AY72" s="246" t="str">
        <f t="shared" si="26"/>
        <v/>
      </c>
      <c r="AZ72" s="97"/>
      <c r="BA72" s="257"/>
      <c r="BB72" s="257"/>
      <c r="BC72" s="246" t="str">
        <f t="shared" si="27"/>
        <v/>
      </c>
      <c r="BD72" s="97"/>
      <c r="BE72" s="257"/>
      <c r="BF72" s="257"/>
      <c r="BG72" s="246" t="str">
        <f t="shared" si="28"/>
        <v/>
      </c>
      <c r="BH72" s="97"/>
      <c r="BI72" s="257"/>
      <c r="BJ72" s="257"/>
      <c r="BK72" s="246" t="str">
        <f t="shared" si="29"/>
        <v/>
      </c>
      <c r="BL72" s="97"/>
      <c r="BM72" s="257"/>
      <c r="BN72" s="257"/>
      <c r="BO72" s="246" t="str">
        <f t="shared" si="30"/>
        <v/>
      </c>
      <c r="BP72" s="97"/>
      <c r="BQ72" s="257"/>
      <c r="BR72" s="257"/>
      <c r="BS72" s="246" t="str">
        <f t="shared" si="31"/>
        <v/>
      </c>
      <c r="BT72" s="97"/>
      <c r="BU72" s="257"/>
      <c r="BV72" s="257"/>
      <c r="BW72" s="246" t="str">
        <f t="shared" si="32"/>
        <v/>
      </c>
    </row>
    <row r="73" spans="1:75">
      <c r="A73" s="88">
        <v>67</v>
      </c>
      <c r="B73" s="50"/>
      <c r="C73" s="62"/>
      <c r="D73" s="117"/>
      <c r="E73" s="126"/>
      <c r="F73" s="190"/>
      <c r="G73" s="20"/>
      <c r="H73" s="20"/>
      <c r="I73" s="19"/>
      <c r="J73" s="246" t="str">
        <f t="shared" si="33"/>
        <v/>
      </c>
      <c r="K73" s="7"/>
      <c r="L73" s="97"/>
      <c r="M73" s="259"/>
      <c r="N73" s="257"/>
      <c r="O73" s="246" t="str">
        <f t="shared" si="17"/>
        <v/>
      </c>
      <c r="P73" s="97"/>
      <c r="Q73" s="257"/>
      <c r="R73" s="257"/>
      <c r="S73" s="246" t="str">
        <f t="shared" si="18"/>
        <v/>
      </c>
      <c r="T73" s="97"/>
      <c r="U73" s="257"/>
      <c r="V73" s="257"/>
      <c r="W73" s="246" t="str">
        <f t="shared" si="19"/>
        <v/>
      </c>
      <c r="X73" s="97"/>
      <c r="Y73" s="257"/>
      <c r="Z73" s="257"/>
      <c r="AA73" s="246" t="str">
        <f t="shared" si="20"/>
        <v/>
      </c>
      <c r="AB73" s="97"/>
      <c r="AC73" s="257"/>
      <c r="AD73" s="257"/>
      <c r="AE73" s="246" t="str">
        <f t="shared" si="21"/>
        <v/>
      </c>
      <c r="AF73" s="97"/>
      <c r="AG73" s="257"/>
      <c r="AH73" s="257"/>
      <c r="AI73" s="246" t="str">
        <f t="shared" si="22"/>
        <v/>
      </c>
      <c r="AJ73" s="97"/>
      <c r="AK73" s="257"/>
      <c r="AL73" s="257"/>
      <c r="AM73" s="246" t="str">
        <f t="shared" si="23"/>
        <v/>
      </c>
      <c r="AN73" s="97"/>
      <c r="AO73" s="257"/>
      <c r="AP73" s="257"/>
      <c r="AQ73" s="246" t="str">
        <f t="shared" si="24"/>
        <v/>
      </c>
      <c r="AR73" s="97"/>
      <c r="AS73" s="257"/>
      <c r="AT73" s="257"/>
      <c r="AU73" s="246" t="str">
        <f t="shared" si="25"/>
        <v/>
      </c>
      <c r="AV73" s="97"/>
      <c r="AW73" s="257"/>
      <c r="AX73" s="257"/>
      <c r="AY73" s="246" t="str">
        <f t="shared" si="26"/>
        <v/>
      </c>
      <c r="AZ73" s="97"/>
      <c r="BA73" s="257"/>
      <c r="BB73" s="257"/>
      <c r="BC73" s="246" t="str">
        <f t="shared" si="27"/>
        <v/>
      </c>
      <c r="BD73" s="97"/>
      <c r="BE73" s="257"/>
      <c r="BF73" s="257"/>
      <c r="BG73" s="246" t="str">
        <f t="shared" si="28"/>
        <v/>
      </c>
      <c r="BH73" s="97"/>
      <c r="BI73" s="257"/>
      <c r="BJ73" s="257"/>
      <c r="BK73" s="246" t="str">
        <f t="shared" si="29"/>
        <v/>
      </c>
      <c r="BL73" s="97"/>
      <c r="BM73" s="257"/>
      <c r="BN73" s="257"/>
      <c r="BO73" s="246" t="str">
        <f t="shared" si="30"/>
        <v/>
      </c>
      <c r="BP73" s="97"/>
      <c r="BQ73" s="257"/>
      <c r="BR73" s="257"/>
      <c r="BS73" s="246" t="str">
        <f t="shared" si="31"/>
        <v/>
      </c>
      <c r="BT73" s="97"/>
      <c r="BU73" s="257"/>
      <c r="BV73" s="257"/>
      <c r="BW73" s="246" t="str">
        <f t="shared" si="32"/>
        <v/>
      </c>
    </row>
    <row r="74" spans="1:75">
      <c r="A74" s="88">
        <v>68</v>
      </c>
      <c r="B74" s="50"/>
      <c r="C74" s="62"/>
      <c r="D74" s="117"/>
      <c r="E74" s="126"/>
      <c r="F74" s="190"/>
      <c r="G74" s="20"/>
      <c r="H74" s="20"/>
      <c r="I74" s="19"/>
      <c r="J74" s="246" t="str">
        <f t="shared" si="33"/>
        <v/>
      </c>
      <c r="K74" s="7"/>
      <c r="L74" s="97"/>
      <c r="M74" s="259"/>
      <c r="N74" s="257"/>
      <c r="O74" s="246" t="str">
        <f t="shared" si="17"/>
        <v/>
      </c>
      <c r="P74" s="97"/>
      <c r="Q74" s="257"/>
      <c r="R74" s="257"/>
      <c r="S74" s="246" t="str">
        <f t="shared" si="18"/>
        <v/>
      </c>
      <c r="T74" s="97"/>
      <c r="U74" s="257"/>
      <c r="V74" s="257"/>
      <c r="W74" s="246" t="str">
        <f t="shared" si="19"/>
        <v/>
      </c>
      <c r="X74" s="97"/>
      <c r="Y74" s="257"/>
      <c r="Z74" s="257"/>
      <c r="AA74" s="246" t="str">
        <f t="shared" si="20"/>
        <v/>
      </c>
      <c r="AB74" s="97"/>
      <c r="AC74" s="257"/>
      <c r="AD74" s="257"/>
      <c r="AE74" s="246" t="str">
        <f t="shared" si="21"/>
        <v/>
      </c>
      <c r="AF74" s="97"/>
      <c r="AG74" s="257"/>
      <c r="AH74" s="257"/>
      <c r="AI74" s="246" t="str">
        <f t="shared" si="22"/>
        <v/>
      </c>
      <c r="AJ74" s="97"/>
      <c r="AK74" s="257"/>
      <c r="AL74" s="257"/>
      <c r="AM74" s="246" t="str">
        <f t="shared" si="23"/>
        <v/>
      </c>
      <c r="AN74" s="97"/>
      <c r="AO74" s="257"/>
      <c r="AP74" s="257"/>
      <c r="AQ74" s="246" t="str">
        <f t="shared" si="24"/>
        <v/>
      </c>
      <c r="AR74" s="97"/>
      <c r="AS74" s="257"/>
      <c r="AT74" s="257"/>
      <c r="AU74" s="246" t="str">
        <f t="shared" si="25"/>
        <v/>
      </c>
      <c r="AV74" s="97"/>
      <c r="AW74" s="257"/>
      <c r="AX74" s="257"/>
      <c r="AY74" s="246" t="str">
        <f t="shared" si="26"/>
        <v/>
      </c>
      <c r="AZ74" s="97"/>
      <c r="BA74" s="257"/>
      <c r="BB74" s="257"/>
      <c r="BC74" s="246" t="str">
        <f t="shared" si="27"/>
        <v/>
      </c>
      <c r="BD74" s="97"/>
      <c r="BE74" s="257"/>
      <c r="BF74" s="257"/>
      <c r="BG74" s="246" t="str">
        <f t="shared" si="28"/>
        <v/>
      </c>
      <c r="BH74" s="97"/>
      <c r="BI74" s="257"/>
      <c r="BJ74" s="257"/>
      <c r="BK74" s="246" t="str">
        <f t="shared" si="29"/>
        <v/>
      </c>
      <c r="BL74" s="97"/>
      <c r="BM74" s="257"/>
      <c r="BN74" s="257"/>
      <c r="BO74" s="246" t="str">
        <f t="shared" si="30"/>
        <v/>
      </c>
      <c r="BP74" s="97"/>
      <c r="BQ74" s="257"/>
      <c r="BR74" s="257"/>
      <c r="BS74" s="246" t="str">
        <f t="shared" si="31"/>
        <v/>
      </c>
      <c r="BT74" s="97"/>
      <c r="BU74" s="257"/>
      <c r="BV74" s="257"/>
      <c r="BW74" s="246" t="str">
        <f t="shared" si="32"/>
        <v/>
      </c>
    </row>
    <row r="75" spans="1:75">
      <c r="A75" s="88">
        <v>69</v>
      </c>
      <c r="B75" s="50"/>
      <c r="C75" s="62"/>
      <c r="D75" s="117"/>
      <c r="E75" s="126"/>
      <c r="F75" s="190"/>
      <c r="G75" s="20"/>
      <c r="H75" s="20"/>
      <c r="I75" s="19"/>
      <c r="J75" s="246" t="str">
        <f t="shared" si="33"/>
        <v/>
      </c>
      <c r="K75" s="7"/>
      <c r="L75" s="97"/>
      <c r="M75" s="259"/>
      <c r="N75" s="257"/>
      <c r="O75" s="246" t="str">
        <f t="shared" si="17"/>
        <v/>
      </c>
      <c r="P75" s="97"/>
      <c r="Q75" s="257"/>
      <c r="R75" s="257"/>
      <c r="S75" s="246" t="str">
        <f t="shared" si="18"/>
        <v/>
      </c>
      <c r="T75" s="97"/>
      <c r="U75" s="257"/>
      <c r="V75" s="257"/>
      <c r="W75" s="246" t="str">
        <f t="shared" si="19"/>
        <v/>
      </c>
      <c r="X75" s="97"/>
      <c r="Y75" s="257"/>
      <c r="Z75" s="257"/>
      <c r="AA75" s="246" t="str">
        <f t="shared" si="20"/>
        <v/>
      </c>
      <c r="AB75" s="97"/>
      <c r="AC75" s="257"/>
      <c r="AD75" s="257"/>
      <c r="AE75" s="246" t="str">
        <f t="shared" si="21"/>
        <v/>
      </c>
      <c r="AF75" s="97"/>
      <c r="AG75" s="257"/>
      <c r="AH75" s="257"/>
      <c r="AI75" s="246" t="str">
        <f t="shared" si="22"/>
        <v/>
      </c>
      <c r="AJ75" s="97"/>
      <c r="AK75" s="257"/>
      <c r="AL75" s="257"/>
      <c r="AM75" s="246" t="str">
        <f t="shared" si="23"/>
        <v/>
      </c>
      <c r="AN75" s="97"/>
      <c r="AO75" s="257"/>
      <c r="AP75" s="257"/>
      <c r="AQ75" s="246" t="str">
        <f t="shared" si="24"/>
        <v/>
      </c>
      <c r="AR75" s="97"/>
      <c r="AS75" s="257"/>
      <c r="AT75" s="257"/>
      <c r="AU75" s="246" t="str">
        <f t="shared" si="25"/>
        <v/>
      </c>
      <c r="AV75" s="97"/>
      <c r="AW75" s="257"/>
      <c r="AX75" s="257"/>
      <c r="AY75" s="246" t="str">
        <f t="shared" si="26"/>
        <v/>
      </c>
      <c r="AZ75" s="97"/>
      <c r="BA75" s="257"/>
      <c r="BB75" s="257"/>
      <c r="BC75" s="246" t="str">
        <f t="shared" si="27"/>
        <v/>
      </c>
      <c r="BD75" s="97"/>
      <c r="BE75" s="257"/>
      <c r="BF75" s="257"/>
      <c r="BG75" s="246" t="str">
        <f t="shared" si="28"/>
        <v/>
      </c>
      <c r="BH75" s="97"/>
      <c r="BI75" s="257"/>
      <c r="BJ75" s="257"/>
      <c r="BK75" s="246" t="str">
        <f t="shared" si="29"/>
        <v/>
      </c>
      <c r="BL75" s="97"/>
      <c r="BM75" s="257"/>
      <c r="BN75" s="257"/>
      <c r="BO75" s="246" t="str">
        <f t="shared" si="30"/>
        <v/>
      </c>
      <c r="BP75" s="97"/>
      <c r="BQ75" s="257"/>
      <c r="BR75" s="257"/>
      <c r="BS75" s="246" t="str">
        <f t="shared" si="31"/>
        <v/>
      </c>
      <c r="BT75" s="97"/>
      <c r="BU75" s="257"/>
      <c r="BV75" s="257"/>
      <c r="BW75" s="246" t="str">
        <f t="shared" si="32"/>
        <v/>
      </c>
    </row>
    <row r="76" spans="1:75">
      <c r="A76" s="88">
        <v>70</v>
      </c>
      <c r="B76" s="50"/>
      <c r="C76" s="62"/>
      <c r="D76" s="117"/>
      <c r="E76" s="126"/>
      <c r="F76" s="190"/>
      <c r="G76" s="20"/>
      <c r="H76" s="20"/>
      <c r="I76" s="19"/>
      <c r="J76" s="246" t="str">
        <f t="shared" si="33"/>
        <v/>
      </c>
      <c r="K76" s="7"/>
      <c r="L76" s="97"/>
      <c r="M76" s="259"/>
      <c r="N76" s="257"/>
      <c r="O76" s="246" t="str">
        <f t="shared" si="17"/>
        <v/>
      </c>
      <c r="P76" s="97"/>
      <c r="Q76" s="257"/>
      <c r="R76" s="257"/>
      <c r="S76" s="246" t="str">
        <f t="shared" si="18"/>
        <v/>
      </c>
      <c r="T76" s="97"/>
      <c r="U76" s="257"/>
      <c r="V76" s="257"/>
      <c r="W76" s="246" t="str">
        <f t="shared" si="19"/>
        <v/>
      </c>
      <c r="X76" s="97"/>
      <c r="Y76" s="257"/>
      <c r="Z76" s="257"/>
      <c r="AA76" s="246" t="str">
        <f t="shared" si="20"/>
        <v/>
      </c>
      <c r="AB76" s="97"/>
      <c r="AC76" s="257"/>
      <c r="AD76" s="257"/>
      <c r="AE76" s="246" t="str">
        <f t="shared" si="21"/>
        <v/>
      </c>
      <c r="AF76" s="97"/>
      <c r="AG76" s="257"/>
      <c r="AH76" s="257"/>
      <c r="AI76" s="246" t="str">
        <f t="shared" si="22"/>
        <v/>
      </c>
      <c r="AJ76" s="97"/>
      <c r="AK76" s="257"/>
      <c r="AL76" s="257"/>
      <c r="AM76" s="246" t="str">
        <f t="shared" si="23"/>
        <v/>
      </c>
      <c r="AN76" s="97"/>
      <c r="AO76" s="257"/>
      <c r="AP76" s="257"/>
      <c r="AQ76" s="246" t="str">
        <f t="shared" si="24"/>
        <v/>
      </c>
      <c r="AR76" s="97"/>
      <c r="AS76" s="257"/>
      <c r="AT76" s="257"/>
      <c r="AU76" s="246" t="str">
        <f t="shared" si="25"/>
        <v/>
      </c>
      <c r="AV76" s="97"/>
      <c r="AW76" s="257"/>
      <c r="AX76" s="257"/>
      <c r="AY76" s="246" t="str">
        <f t="shared" si="26"/>
        <v/>
      </c>
      <c r="AZ76" s="97"/>
      <c r="BA76" s="257"/>
      <c r="BB76" s="257"/>
      <c r="BC76" s="246" t="str">
        <f t="shared" si="27"/>
        <v/>
      </c>
      <c r="BD76" s="97"/>
      <c r="BE76" s="257"/>
      <c r="BF76" s="257"/>
      <c r="BG76" s="246" t="str">
        <f t="shared" si="28"/>
        <v/>
      </c>
      <c r="BH76" s="97"/>
      <c r="BI76" s="257"/>
      <c r="BJ76" s="257"/>
      <c r="BK76" s="246" t="str">
        <f t="shared" si="29"/>
        <v/>
      </c>
      <c r="BL76" s="97"/>
      <c r="BM76" s="257"/>
      <c r="BN76" s="257"/>
      <c r="BO76" s="246" t="str">
        <f t="shared" si="30"/>
        <v/>
      </c>
      <c r="BP76" s="97"/>
      <c r="BQ76" s="257"/>
      <c r="BR76" s="257"/>
      <c r="BS76" s="246" t="str">
        <f t="shared" si="31"/>
        <v/>
      </c>
      <c r="BT76" s="97"/>
      <c r="BU76" s="257"/>
      <c r="BV76" s="257"/>
      <c r="BW76" s="246" t="str">
        <f t="shared" si="32"/>
        <v/>
      </c>
    </row>
    <row r="77" spans="1:75">
      <c r="A77" s="88">
        <v>71</v>
      </c>
      <c r="B77" s="50"/>
      <c r="C77" s="62"/>
      <c r="D77" s="117"/>
      <c r="E77" s="126"/>
      <c r="F77" s="190"/>
      <c r="G77" s="20"/>
      <c r="H77" s="20"/>
      <c r="I77" s="19"/>
      <c r="J77" s="246" t="str">
        <f t="shared" si="33"/>
        <v/>
      </c>
      <c r="K77" s="7"/>
      <c r="L77" s="97"/>
      <c r="M77" s="259"/>
      <c r="N77" s="257"/>
      <c r="O77" s="246" t="str">
        <f t="shared" si="17"/>
        <v/>
      </c>
      <c r="P77" s="97"/>
      <c r="Q77" s="257"/>
      <c r="R77" s="257"/>
      <c r="S77" s="246" t="str">
        <f t="shared" si="18"/>
        <v/>
      </c>
      <c r="T77" s="97"/>
      <c r="U77" s="257"/>
      <c r="V77" s="257"/>
      <c r="W77" s="246" t="str">
        <f t="shared" si="19"/>
        <v/>
      </c>
      <c r="X77" s="97"/>
      <c r="Y77" s="257"/>
      <c r="Z77" s="257"/>
      <c r="AA77" s="246" t="str">
        <f t="shared" si="20"/>
        <v/>
      </c>
      <c r="AB77" s="97"/>
      <c r="AC77" s="257"/>
      <c r="AD77" s="257"/>
      <c r="AE77" s="246" t="str">
        <f t="shared" si="21"/>
        <v/>
      </c>
      <c r="AF77" s="97"/>
      <c r="AG77" s="257"/>
      <c r="AH77" s="257"/>
      <c r="AI77" s="246" t="str">
        <f t="shared" si="22"/>
        <v/>
      </c>
      <c r="AJ77" s="97"/>
      <c r="AK77" s="257"/>
      <c r="AL77" s="257"/>
      <c r="AM77" s="246" t="str">
        <f t="shared" si="23"/>
        <v/>
      </c>
      <c r="AN77" s="97"/>
      <c r="AO77" s="257"/>
      <c r="AP77" s="257"/>
      <c r="AQ77" s="246" t="str">
        <f t="shared" si="24"/>
        <v/>
      </c>
      <c r="AR77" s="97"/>
      <c r="AS77" s="257"/>
      <c r="AT77" s="257"/>
      <c r="AU77" s="246" t="str">
        <f t="shared" si="25"/>
        <v/>
      </c>
      <c r="AV77" s="97"/>
      <c r="AW77" s="257"/>
      <c r="AX77" s="257"/>
      <c r="AY77" s="246" t="str">
        <f t="shared" si="26"/>
        <v/>
      </c>
      <c r="AZ77" s="97"/>
      <c r="BA77" s="257"/>
      <c r="BB77" s="257"/>
      <c r="BC77" s="246" t="str">
        <f t="shared" si="27"/>
        <v/>
      </c>
      <c r="BD77" s="97"/>
      <c r="BE77" s="257"/>
      <c r="BF77" s="257"/>
      <c r="BG77" s="246" t="str">
        <f t="shared" si="28"/>
        <v/>
      </c>
      <c r="BH77" s="97"/>
      <c r="BI77" s="257"/>
      <c r="BJ77" s="257"/>
      <c r="BK77" s="246" t="str">
        <f t="shared" si="29"/>
        <v/>
      </c>
      <c r="BL77" s="97"/>
      <c r="BM77" s="257"/>
      <c r="BN77" s="257"/>
      <c r="BO77" s="246" t="str">
        <f t="shared" si="30"/>
        <v/>
      </c>
      <c r="BP77" s="97"/>
      <c r="BQ77" s="257"/>
      <c r="BR77" s="257"/>
      <c r="BS77" s="246" t="str">
        <f t="shared" si="31"/>
        <v/>
      </c>
      <c r="BT77" s="97"/>
      <c r="BU77" s="257"/>
      <c r="BV77" s="257"/>
      <c r="BW77" s="246" t="str">
        <f t="shared" si="32"/>
        <v/>
      </c>
    </row>
    <row r="78" spans="1:75">
      <c r="A78" s="88">
        <v>72</v>
      </c>
      <c r="B78" s="50"/>
      <c r="C78" s="62"/>
      <c r="D78" s="117"/>
      <c r="E78" s="126"/>
      <c r="F78" s="190"/>
      <c r="G78" s="20"/>
      <c r="H78" s="20"/>
      <c r="I78" s="19"/>
      <c r="J78" s="246" t="str">
        <f t="shared" si="33"/>
        <v/>
      </c>
      <c r="K78" s="7"/>
      <c r="L78" s="97"/>
      <c r="M78" s="259"/>
      <c r="N78" s="257"/>
      <c r="O78" s="246" t="str">
        <f t="shared" si="17"/>
        <v/>
      </c>
      <c r="P78" s="97"/>
      <c r="Q78" s="257"/>
      <c r="R78" s="257"/>
      <c r="S78" s="246" t="str">
        <f t="shared" si="18"/>
        <v/>
      </c>
      <c r="T78" s="97"/>
      <c r="U78" s="257"/>
      <c r="V78" s="257"/>
      <c r="W78" s="246" t="str">
        <f t="shared" si="19"/>
        <v/>
      </c>
      <c r="X78" s="97"/>
      <c r="Y78" s="257"/>
      <c r="Z78" s="257"/>
      <c r="AA78" s="246" t="str">
        <f t="shared" si="20"/>
        <v/>
      </c>
      <c r="AB78" s="97"/>
      <c r="AC78" s="257"/>
      <c r="AD78" s="257"/>
      <c r="AE78" s="246" t="str">
        <f t="shared" si="21"/>
        <v/>
      </c>
      <c r="AF78" s="97"/>
      <c r="AG78" s="257"/>
      <c r="AH78" s="257"/>
      <c r="AI78" s="246" t="str">
        <f t="shared" si="22"/>
        <v/>
      </c>
      <c r="AJ78" s="97"/>
      <c r="AK78" s="257"/>
      <c r="AL78" s="257"/>
      <c r="AM78" s="246" t="str">
        <f t="shared" si="23"/>
        <v/>
      </c>
      <c r="AN78" s="97"/>
      <c r="AO78" s="257"/>
      <c r="AP78" s="257"/>
      <c r="AQ78" s="246" t="str">
        <f t="shared" si="24"/>
        <v/>
      </c>
      <c r="AR78" s="97"/>
      <c r="AS78" s="257"/>
      <c r="AT78" s="257"/>
      <c r="AU78" s="246" t="str">
        <f t="shared" si="25"/>
        <v/>
      </c>
      <c r="AV78" s="97"/>
      <c r="AW78" s="257"/>
      <c r="AX78" s="257"/>
      <c r="AY78" s="246" t="str">
        <f t="shared" si="26"/>
        <v/>
      </c>
      <c r="AZ78" s="97"/>
      <c r="BA78" s="257"/>
      <c r="BB78" s="257"/>
      <c r="BC78" s="246" t="str">
        <f t="shared" si="27"/>
        <v/>
      </c>
      <c r="BD78" s="97"/>
      <c r="BE78" s="257"/>
      <c r="BF78" s="257"/>
      <c r="BG78" s="246" t="str">
        <f t="shared" si="28"/>
        <v/>
      </c>
      <c r="BH78" s="97"/>
      <c r="BI78" s="257"/>
      <c r="BJ78" s="257"/>
      <c r="BK78" s="246" t="str">
        <f t="shared" si="29"/>
        <v/>
      </c>
      <c r="BL78" s="97"/>
      <c r="BM78" s="257"/>
      <c r="BN78" s="257"/>
      <c r="BO78" s="246" t="str">
        <f t="shared" si="30"/>
        <v/>
      </c>
      <c r="BP78" s="97"/>
      <c r="BQ78" s="257"/>
      <c r="BR78" s="257"/>
      <c r="BS78" s="246" t="str">
        <f t="shared" si="31"/>
        <v/>
      </c>
      <c r="BT78" s="97"/>
      <c r="BU78" s="257"/>
      <c r="BV78" s="257"/>
      <c r="BW78" s="246" t="str">
        <f t="shared" si="32"/>
        <v/>
      </c>
    </row>
    <row r="79" spans="1:75">
      <c r="A79" s="88">
        <v>73</v>
      </c>
      <c r="B79" s="50"/>
      <c r="C79" s="62"/>
      <c r="D79" s="117"/>
      <c r="E79" s="126"/>
      <c r="F79" s="190"/>
      <c r="G79" s="20"/>
      <c r="H79" s="20"/>
      <c r="I79" s="19"/>
      <c r="J79" s="246" t="str">
        <f t="shared" si="33"/>
        <v/>
      </c>
      <c r="K79" s="7"/>
      <c r="L79" s="97"/>
      <c r="M79" s="259"/>
      <c r="N79" s="257"/>
      <c r="O79" s="246" t="str">
        <f t="shared" si="17"/>
        <v/>
      </c>
      <c r="P79" s="97"/>
      <c r="Q79" s="257"/>
      <c r="R79" s="257"/>
      <c r="S79" s="246" t="str">
        <f t="shared" si="18"/>
        <v/>
      </c>
      <c r="T79" s="97"/>
      <c r="U79" s="257"/>
      <c r="V79" s="257"/>
      <c r="W79" s="246" t="str">
        <f t="shared" si="19"/>
        <v/>
      </c>
      <c r="X79" s="97"/>
      <c r="Y79" s="257"/>
      <c r="Z79" s="257"/>
      <c r="AA79" s="246" t="str">
        <f t="shared" si="20"/>
        <v/>
      </c>
      <c r="AB79" s="97"/>
      <c r="AC79" s="257"/>
      <c r="AD79" s="257"/>
      <c r="AE79" s="246" t="str">
        <f t="shared" si="21"/>
        <v/>
      </c>
      <c r="AF79" s="97"/>
      <c r="AG79" s="257"/>
      <c r="AH79" s="257"/>
      <c r="AI79" s="246" t="str">
        <f t="shared" si="22"/>
        <v/>
      </c>
      <c r="AJ79" s="97"/>
      <c r="AK79" s="257"/>
      <c r="AL79" s="257"/>
      <c r="AM79" s="246" t="str">
        <f t="shared" si="23"/>
        <v/>
      </c>
      <c r="AN79" s="97"/>
      <c r="AO79" s="257"/>
      <c r="AP79" s="257"/>
      <c r="AQ79" s="246" t="str">
        <f t="shared" si="24"/>
        <v/>
      </c>
      <c r="AR79" s="97"/>
      <c r="AS79" s="257"/>
      <c r="AT79" s="257"/>
      <c r="AU79" s="246" t="str">
        <f t="shared" si="25"/>
        <v/>
      </c>
      <c r="AV79" s="97"/>
      <c r="AW79" s="257"/>
      <c r="AX79" s="257"/>
      <c r="AY79" s="246" t="str">
        <f t="shared" si="26"/>
        <v/>
      </c>
      <c r="AZ79" s="97"/>
      <c r="BA79" s="257"/>
      <c r="BB79" s="257"/>
      <c r="BC79" s="246" t="str">
        <f t="shared" si="27"/>
        <v/>
      </c>
      <c r="BD79" s="97"/>
      <c r="BE79" s="257"/>
      <c r="BF79" s="257"/>
      <c r="BG79" s="246" t="str">
        <f t="shared" si="28"/>
        <v/>
      </c>
      <c r="BH79" s="97"/>
      <c r="BI79" s="257"/>
      <c r="BJ79" s="257"/>
      <c r="BK79" s="246" t="str">
        <f t="shared" si="29"/>
        <v/>
      </c>
      <c r="BL79" s="97"/>
      <c r="BM79" s="257"/>
      <c r="BN79" s="257"/>
      <c r="BO79" s="246" t="str">
        <f t="shared" si="30"/>
        <v/>
      </c>
      <c r="BP79" s="97"/>
      <c r="BQ79" s="257"/>
      <c r="BR79" s="257"/>
      <c r="BS79" s="246" t="str">
        <f t="shared" si="31"/>
        <v/>
      </c>
      <c r="BT79" s="97"/>
      <c r="BU79" s="257"/>
      <c r="BV79" s="257"/>
      <c r="BW79" s="246" t="str">
        <f t="shared" si="32"/>
        <v/>
      </c>
    </row>
    <row r="80" spans="1:75">
      <c r="A80" s="88">
        <v>74</v>
      </c>
      <c r="B80" s="50"/>
      <c r="C80" s="62"/>
      <c r="D80" s="117"/>
      <c r="E80" s="126"/>
      <c r="F80" s="190"/>
      <c r="G80" s="20"/>
      <c r="H80" s="20"/>
      <c r="I80" s="19"/>
      <c r="J80" s="246" t="str">
        <f t="shared" si="33"/>
        <v/>
      </c>
      <c r="K80" s="7"/>
      <c r="L80" s="97"/>
      <c r="M80" s="259"/>
      <c r="N80" s="257"/>
      <c r="O80" s="246" t="str">
        <f t="shared" si="17"/>
        <v/>
      </c>
      <c r="P80" s="97"/>
      <c r="Q80" s="257"/>
      <c r="R80" s="257"/>
      <c r="S80" s="246" t="str">
        <f t="shared" si="18"/>
        <v/>
      </c>
      <c r="T80" s="97"/>
      <c r="U80" s="257"/>
      <c r="V80" s="257"/>
      <c r="W80" s="246" t="str">
        <f t="shared" si="19"/>
        <v/>
      </c>
      <c r="X80" s="97"/>
      <c r="Y80" s="257"/>
      <c r="Z80" s="257"/>
      <c r="AA80" s="246" t="str">
        <f t="shared" si="20"/>
        <v/>
      </c>
      <c r="AB80" s="97"/>
      <c r="AC80" s="257"/>
      <c r="AD80" s="257"/>
      <c r="AE80" s="246" t="str">
        <f t="shared" si="21"/>
        <v/>
      </c>
      <c r="AF80" s="97"/>
      <c r="AG80" s="257"/>
      <c r="AH80" s="257"/>
      <c r="AI80" s="246" t="str">
        <f t="shared" si="22"/>
        <v/>
      </c>
      <c r="AJ80" s="97"/>
      <c r="AK80" s="257"/>
      <c r="AL80" s="257"/>
      <c r="AM80" s="246" t="str">
        <f t="shared" si="23"/>
        <v/>
      </c>
      <c r="AN80" s="97"/>
      <c r="AO80" s="257"/>
      <c r="AP80" s="257"/>
      <c r="AQ80" s="246" t="str">
        <f t="shared" si="24"/>
        <v/>
      </c>
      <c r="AR80" s="97"/>
      <c r="AS80" s="257"/>
      <c r="AT80" s="257"/>
      <c r="AU80" s="246" t="str">
        <f t="shared" si="25"/>
        <v/>
      </c>
      <c r="AV80" s="97"/>
      <c r="AW80" s="257"/>
      <c r="AX80" s="257"/>
      <c r="AY80" s="246" t="str">
        <f t="shared" si="26"/>
        <v/>
      </c>
      <c r="AZ80" s="97"/>
      <c r="BA80" s="257"/>
      <c r="BB80" s="257"/>
      <c r="BC80" s="246" t="str">
        <f t="shared" si="27"/>
        <v/>
      </c>
      <c r="BD80" s="97"/>
      <c r="BE80" s="257"/>
      <c r="BF80" s="257"/>
      <c r="BG80" s="246" t="str">
        <f t="shared" si="28"/>
        <v/>
      </c>
      <c r="BH80" s="97"/>
      <c r="BI80" s="257"/>
      <c r="BJ80" s="257"/>
      <c r="BK80" s="246" t="str">
        <f t="shared" si="29"/>
        <v/>
      </c>
      <c r="BL80" s="97"/>
      <c r="BM80" s="257"/>
      <c r="BN80" s="257"/>
      <c r="BO80" s="246" t="str">
        <f t="shared" si="30"/>
        <v/>
      </c>
      <c r="BP80" s="97"/>
      <c r="BQ80" s="257"/>
      <c r="BR80" s="257"/>
      <c r="BS80" s="246" t="str">
        <f t="shared" si="31"/>
        <v/>
      </c>
      <c r="BT80" s="97"/>
      <c r="BU80" s="257"/>
      <c r="BV80" s="257"/>
      <c r="BW80" s="246" t="str">
        <f t="shared" si="32"/>
        <v/>
      </c>
    </row>
    <row r="81" spans="1:75">
      <c r="A81" s="88">
        <v>75</v>
      </c>
      <c r="B81" s="50"/>
      <c r="C81" s="62"/>
      <c r="D81" s="117"/>
      <c r="E81" s="126"/>
      <c r="F81" s="190"/>
      <c r="G81" s="20"/>
      <c r="H81" s="20"/>
      <c r="I81" s="19"/>
      <c r="J81" s="246" t="str">
        <f t="shared" si="33"/>
        <v/>
      </c>
      <c r="K81" s="7"/>
      <c r="L81" s="97"/>
      <c r="M81" s="259"/>
      <c r="N81" s="257"/>
      <c r="O81" s="246" t="str">
        <f t="shared" si="17"/>
        <v/>
      </c>
      <c r="P81" s="97"/>
      <c r="Q81" s="257"/>
      <c r="R81" s="257"/>
      <c r="S81" s="246" t="str">
        <f t="shared" si="18"/>
        <v/>
      </c>
      <c r="T81" s="97"/>
      <c r="U81" s="257"/>
      <c r="V81" s="257"/>
      <c r="W81" s="246" t="str">
        <f t="shared" si="19"/>
        <v/>
      </c>
      <c r="X81" s="97"/>
      <c r="Y81" s="257"/>
      <c r="Z81" s="257"/>
      <c r="AA81" s="246" t="str">
        <f t="shared" si="20"/>
        <v/>
      </c>
      <c r="AB81" s="97"/>
      <c r="AC81" s="257"/>
      <c r="AD81" s="257"/>
      <c r="AE81" s="246" t="str">
        <f t="shared" si="21"/>
        <v/>
      </c>
      <c r="AF81" s="97"/>
      <c r="AG81" s="257"/>
      <c r="AH81" s="257"/>
      <c r="AI81" s="246" t="str">
        <f t="shared" si="22"/>
        <v/>
      </c>
      <c r="AJ81" s="97"/>
      <c r="AK81" s="257"/>
      <c r="AL81" s="257"/>
      <c r="AM81" s="246" t="str">
        <f t="shared" si="23"/>
        <v/>
      </c>
      <c r="AN81" s="97"/>
      <c r="AO81" s="257"/>
      <c r="AP81" s="257"/>
      <c r="AQ81" s="246" t="str">
        <f t="shared" si="24"/>
        <v/>
      </c>
      <c r="AR81" s="97"/>
      <c r="AS81" s="257"/>
      <c r="AT81" s="257"/>
      <c r="AU81" s="246" t="str">
        <f t="shared" si="25"/>
        <v/>
      </c>
      <c r="AV81" s="97"/>
      <c r="AW81" s="257"/>
      <c r="AX81" s="257"/>
      <c r="AY81" s="246" t="str">
        <f t="shared" si="26"/>
        <v/>
      </c>
      <c r="AZ81" s="97"/>
      <c r="BA81" s="257"/>
      <c r="BB81" s="257"/>
      <c r="BC81" s="246" t="str">
        <f t="shared" si="27"/>
        <v/>
      </c>
      <c r="BD81" s="97"/>
      <c r="BE81" s="257"/>
      <c r="BF81" s="257"/>
      <c r="BG81" s="246" t="str">
        <f t="shared" si="28"/>
        <v/>
      </c>
      <c r="BH81" s="97"/>
      <c r="BI81" s="257"/>
      <c r="BJ81" s="257"/>
      <c r="BK81" s="246" t="str">
        <f t="shared" si="29"/>
        <v/>
      </c>
      <c r="BL81" s="97"/>
      <c r="BM81" s="257"/>
      <c r="BN81" s="257"/>
      <c r="BO81" s="246" t="str">
        <f t="shared" si="30"/>
        <v/>
      </c>
      <c r="BP81" s="97"/>
      <c r="BQ81" s="257"/>
      <c r="BR81" s="257"/>
      <c r="BS81" s="246" t="str">
        <f t="shared" si="31"/>
        <v/>
      </c>
      <c r="BT81" s="97"/>
      <c r="BU81" s="257"/>
      <c r="BV81" s="257"/>
      <c r="BW81" s="246" t="str">
        <f t="shared" si="32"/>
        <v/>
      </c>
    </row>
    <row r="82" spans="1:75">
      <c r="A82" s="88">
        <v>76</v>
      </c>
      <c r="B82" s="50"/>
      <c r="C82" s="62"/>
      <c r="D82" s="117"/>
      <c r="E82" s="126"/>
      <c r="F82" s="190"/>
      <c r="G82" s="20"/>
      <c r="H82" s="20"/>
      <c r="I82" s="19"/>
      <c r="J82" s="246" t="str">
        <f t="shared" si="33"/>
        <v/>
      </c>
      <c r="K82" s="7"/>
      <c r="L82" s="97"/>
      <c r="M82" s="259"/>
      <c r="N82" s="257"/>
      <c r="O82" s="246" t="str">
        <f t="shared" si="17"/>
        <v/>
      </c>
      <c r="P82" s="97"/>
      <c r="Q82" s="257"/>
      <c r="R82" s="257"/>
      <c r="S82" s="246" t="str">
        <f t="shared" si="18"/>
        <v/>
      </c>
      <c r="T82" s="97"/>
      <c r="U82" s="257"/>
      <c r="V82" s="257"/>
      <c r="W82" s="246" t="str">
        <f t="shared" si="19"/>
        <v/>
      </c>
      <c r="X82" s="97"/>
      <c r="Y82" s="257"/>
      <c r="Z82" s="257"/>
      <c r="AA82" s="246" t="str">
        <f t="shared" si="20"/>
        <v/>
      </c>
      <c r="AB82" s="97"/>
      <c r="AC82" s="257"/>
      <c r="AD82" s="257"/>
      <c r="AE82" s="246" t="str">
        <f t="shared" si="21"/>
        <v/>
      </c>
      <c r="AF82" s="97"/>
      <c r="AG82" s="257"/>
      <c r="AH82" s="257"/>
      <c r="AI82" s="246" t="str">
        <f t="shared" si="22"/>
        <v/>
      </c>
      <c r="AJ82" s="97"/>
      <c r="AK82" s="257"/>
      <c r="AL82" s="257"/>
      <c r="AM82" s="246" t="str">
        <f t="shared" si="23"/>
        <v/>
      </c>
      <c r="AN82" s="97"/>
      <c r="AO82" s="257"/>
      <c r="AP82" s="257"/>
      <c r="AQ82" s="246" t="str">
        <f t="shared" si="24"/>
        <v/>
      </c>
      <c r="AR82" s="97"/>
      <c r="AS82" s="257"/>
      <c r="AT82" s="257"/>
      <c r="AU82" s="246" t="str">
        <f t="shared" si="25"/>
        <v/>
      </c>
      <c r="AV82" s="97"/>
      <c r="AW82" s="257"/>
      <c r="AX82" s="257"/>
      <c r="AY82" s="246" t="str">
        <f t="shared" si="26"/>
        <v/>
      </c>
      <c r="AZ82" s="97"/>
      <c r="BA82" s="257"/>
      <c r="BB82" s="257"/>
      <c r="BC82" s="246" t="str">
        <f t="shared" si="27"/>
        <v/>
      </c>
      <c r="BD82" s="97"/>
      <c r="BE82" s="257"/>
      <c r="BF82" s="257"/>
      <c r="BG82" s="246" t="str">
        <f t="shared" si="28"/>
        <v/>
      </c>
      <c r="BH82" s="97"/>
      <c r="BI82" s="257"/>
      <c r="BJ82" s="257"/>
      <c r="BK82" s="246" t="str">
        <f t="shared" si="29"/>
        <v/>
      </c>
      <c r="BL82" s="97"/>
      <c r="BM82" s="257"/>
      <c r="BN82" s="257"/>
      <c r="BO82" s="246" t="str">
        <f t="shared" si="30"/>
        <v/>
      </c>
      <c r="BP82" s="97"/>
      <c r="BQ82" s="257"/>
      <c r="BR82" s="257"/>
      <c r="BS82" s="246" t="str">
        <f t="shared" si="31"/>
        <v/>
      </c>
      <c r="BT82" s="97"/>
      <c r="BU82" s="257"/>
      <c r="BV82" s="257"/>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188">
      <formula>$B7="v"</formula>
    </cfRule>
  </conditionalFormatting>
  <conditionalFormatting sqref="X7:Y82 T7:U82 AJ7:AK82 AF7:AG82 AB7:AC82 AR7:AS82 AN7:AO82 BH7:BI82 BD7:BE82 AZ7:BA82 BT7:BU82 BP7:BQ82 BL7:BM82">
    <cfRule type="expression" dxfId="216" priority="184">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6">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90">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94">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7">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201">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205">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1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14">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7">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20">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3D6DAF1A-492F-4565-A6BC-831F52C0CBD7}">
      <formula1>"1, 2, 3, 4, 5, 6, 7, 8, 9, 10, 11, 12, 13, 14, 15, 16, 17"</formula1>
    </dataValidation>
    <dataValidation type="list" allowBlank="1" showInputMessage="1" showErrorMessage="1" sqref="B7:B82" xr:uid="{747B88CF-79AC-439B-925A-42325C0403F5}">
      <formula1>"v"</formula1>
    </dataValidation>
    <dataValidation type="list" allowBlank="1" showInputMessage="1" showErrorMessage="1" sqref="BP7:BP82 AV7:AV82 BL7:BL82 BT7:BT82 BH7:BH82 BD7:BD82 AZ7:AZ82" xr:uid="{CB2020E4-81BD-49CE-975B-D4C76120748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14A4F72-5B5B-45EF-9399-8B03C7848E28}">
          <x14:formula1>
            <xm:f>Sheet3!$J$153:$J$168</xm:f>
          </x14:formula1>
          <xm:sqref>H7:H82 N7:N82 R7:R82 V7:V82 Z7:Z82 AD7:AD82 AH7:AH82 AL7:AL82 AP7:AP82 AT7:AT82</xm:sqref>
        </x14:dataValidation>
        <x14:dataValidation type="list" allowBlank="1" showInputMessage="1" showErrorMessage="1" xr:uid="{49F70531-35EF-4701-BE28-13298865BFFB}">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45239</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1</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2023-11-09T00:10:08Z</dcterms:modified>
</cp:coreProperties>
</file>