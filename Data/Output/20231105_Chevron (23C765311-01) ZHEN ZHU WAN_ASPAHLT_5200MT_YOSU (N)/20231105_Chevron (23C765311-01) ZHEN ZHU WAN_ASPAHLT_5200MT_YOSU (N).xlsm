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5_Chevron (23C765311-01) ZHEN ZHU WAN_ASPAHLT_5200MT_YOSU (N)\"/>
    </mc:Choice>
  </mc:AlternateContent>
  <xr:revisionPtr revIDLastSave="0" documentId="13_ncr:1_{1E4E8402-359C-45A8-8770-7C6FE346D21A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<sst xmlns="http://schemas.openxmlformats.org/spreadsheetml/2006/main" count="1166" uniqueCount="740">
  <si>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</si>
  <si>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</si>
  <si>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</si>
  <si>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</si>
  <si>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</si>
  <si>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</si>
  <si>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</si>
  <si>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</si>
  <si>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</si>
  <si>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</si>
  <si>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</si>
  <si>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</si>
  <si>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</si>
  <si>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</si>
  <si>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</si>
  <si>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</si>
  <si>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</si>
  <si>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</si>
  <si>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</si>
  <si>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</si>
  <si>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</si>
  <si>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</si>
  <si>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</si>
  <si>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</si>
  <si>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</si>
  <si>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</si>
  <si>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</si>
  <si>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</si>
  <si>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</si>
  <si>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</si>
  <si>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</si>
  <si>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</si>
  <si>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</si>
  <si>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</si>
  <si>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</si>
  <si>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</si>
  <si>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</si>
  <si>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</si>
  <si>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</si>
  <si>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</si>
  <si>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</si>
  <si>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</si>
  <si>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</si>
  <si>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</si>
  <si>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</si>
  <si>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</si>
  <si>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</si>
  <si>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</si>
  <si>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</si>
  <si>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</si>
  <si>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</si>
  <si>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</si>
  <si>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</si>
  <si>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</si>
  <si>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</si>
  <si>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</si>
  <si>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</si>
  <si>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</si>
  <si>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</si>
  <si>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</si>
  <si>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</si>
  <si>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</si>
  <si>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</si>
  <si>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</si>
  <si>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</si>
  <si>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</si>
  <si>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</si>
  <si>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</si>
  <si>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</si>
  <si>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</si>
  <si>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</si>
  <si>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</si>
  <si>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</si>
  <si>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</si>
  <si>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</si>
  <si>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</si>
  <si>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</si>
  <si>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</si>
  <si>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</si>
  <si>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</si>
  <si>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</si>
  <si>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</si>
  <si>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</si>
  <si>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</si>
  <si>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</si>
  <si>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</si>
  <si>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</si>
  <si>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</si>
  <si>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</si>
  <si>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</si>
  <si>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</si>
  <si>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</si>
  <si>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</si>
  <si>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</si>
  <si>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</si>
  <si>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</si>
  <si>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</si>
  <si>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</si>
  <si>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</si>
  <si>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</si>
  <si>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</si>
  <si>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</si>
  <si>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</si>
  <si>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</si>
  <si>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</si>
  <si>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</si>
  <si>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</si>
  <si>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</si>
  <si>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</si>
  <si>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</si>
  <si>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</si>
  <si>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</si>
  <si>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</si>
  <si>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</si>
  <si>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</si>
  <si>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</si>
  <si>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</si>
  <si>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</si>
  <si>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</si>
  <si>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</si>
  <si>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</si>
  <si>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</si>
  <si>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</si>
  <si>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</si>
  <si>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</si>
  <si>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</si>
  <si>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</si>
  <si>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</si>
  <si>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</si>
  <si>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</si>
  <si>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</si>
  <si>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</si>
  <si>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</si>
  <si>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</si>
  <si>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</si>
  <si>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</si>
  <si>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</si>
  <si>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</si>
  <si>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</si>
  <si>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</si>
  <si>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</si>
  <si>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</si>
  <si>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</si>
  <si>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</si>
  <si>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</si>
  <si>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</si>
  <si>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</si>
  <si>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</si>
  <si>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</si>
  <si>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</si>
  <si>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</si>
  <si>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</si>
  <si>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</si>
  <si>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</si>
  <si>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</si>
  <si>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</si>
  <si>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</si>
  <si>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</si>
  <si>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</si>
  <si>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</si>
  <si>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</si>
  <si>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</si>
  <si>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</si>
  <si>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</si>
  <si>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</si>
  <si>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</si>
  <si>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</si>
  <si>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</si>
  <si>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</si>
  <si>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</si>
  <si>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</si>
  <si>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</si>
  <si>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</si>
  <si>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</si>
  <si>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</si>
  <si>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</si>
  <si>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</si>
  <si>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</si>
  <si>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</si>
  <si>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</si>
  <si>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</si>
  <si>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</si>
  <si>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</si>
  <si>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</si>
  <si>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</si>
  <si>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</si>
  <si>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</si>
  <si>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</si>
  <si>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</si>
  <si>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</si>
  <si>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</si>
  <si>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</si>
  <si>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</si>
  <si>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</si>
  <si>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</si>
  <si>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</si>
  <si>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</si>
  <si>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</si>
  <si>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</si>
  <si>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</si>
  <si>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</si>
  <si>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</si>
  <si>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</si>
  <si>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</si>
  <si>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</si>
  <si>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</si>
  <si>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</si>
  <si>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</si>
  <si>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</si>
  <si>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</si>
  <si>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</si>
  <si>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</si>
  <si>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</si>
  <si>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</si>
  <si>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</si>
  <si>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</si>
  <si>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</si>
  <si>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</si>
  <si>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</si>
  <si>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</si>
  <si>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</si>
  <si>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</si>
  <si>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</si>
  <si>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</si>
  <si>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</si>
  <si>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</si>
  <si>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</si>
  <si>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</si>
  <si>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</si>
  <si>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</si>
  <si>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</si>
  <si>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</si>
  <si>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</si>
  <si>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</si>
  <si>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</si>
  <si>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</si>
  <si>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</si>
  <si>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</si>
  <si>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</si>
  <si>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</si>
  <si>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</si>
  <si>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</si>
  <si>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</si>
  <si>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</si>
  <si>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</si>
  <si>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</si>
  <si>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</si>
  <si>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</si>
  <si>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</si>
  <si>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</si>
  <si>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</si>
  <si>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</si>
  <si>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</si>
  <si>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</si>
  <si>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</si>
  <si>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</si>
  <si>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</si>
  <si>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</si>
  <si>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</si>
  <si>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</si>
  <si>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</si>
  <si>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</si>
  <si>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</si>
  <si>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</si>
  <si>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</si>
  <si>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</si>
  <si>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</si>
  <si>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</si>
  <si>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</si>
  <si>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</si>
  <si>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</si>
  <si>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</si>
  <si>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</si>
  <si>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</si>
  <si>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</si>
  <si>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</si>
  <si>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</si>
  <si>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</si>
  <si>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</si>
  <si>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</si>
  <si>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</si>
  <si>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</si>
  <si>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</si>
  <si>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</si>
  <si>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</si>
  <si>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</si>
  <si>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</si>
  <si>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</si>
  <si>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</si>
  <si>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</si>
  <si>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</si>
  <si>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</si>
  <si>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</si>
  <si>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</si>
  <si>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</si>
  <si>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</si>
  <si>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</si>
  <si>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</si>
  <si>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</si>
  <si>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</si>
  <si>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</si>
  <si>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</si>
  <si>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</si>
  <si>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</si>
  <si>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</si>
  <si>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</si>
  <si>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</si>
  <si>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</si>
  <si>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</si>
  <si>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</si>
  <si>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</si>
  <si>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</si>
  <si>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</si>
  <si>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</si>
  <si>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</si>
  <si>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</si>
  <si>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</si>
  <si>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</si>
  <si>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</si>
  <si>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</si>
  <si>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</si>
  <si>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</si>
  <si>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</si>
  <si>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</si>
  <si>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</si>
  <si>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</si>
  <si>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</si>
  <si>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</si>
  <si>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</si>
  <si>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</si>
  <si>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</si>
  <si>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</si>
  <si>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</si>
  <si>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</si>
  <si>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</si>
  <si>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</si>
  <si>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</si>
  <si>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</si>
  <si>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</si>
  <si>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</si>
  <si>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</si>
  <si>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</si>
  <si>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</si>
  <si>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</si>
  <si>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</si>
  <si>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</si>
  <si>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</si>
  <si>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</si>
  <si>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</si>
  <si>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</si>
  <si>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</si>
  <si>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</si>
  <si>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</si>
  <si>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</si>
  <si>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</si>
  <si>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</si>
  <si>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</si>
  <si>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</si>
  <si>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</si>
  <si>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</si>
  <si>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</si>
  <si>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</si>
  <si>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</si>
  <si>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</si>
  <si>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</si>
  <si>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</si>
  <si>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</si>
  <si>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</si>
  <si>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</si>
  <si>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</si>
  <si>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</si>
  <si>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</si>
  <si>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</si>
  <si>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</si>
  <si>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</si>
  <si>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</si>
  <si>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</si>
  <si>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</si>
  <si>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</si>
  <si>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</si>
  <si>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</si>
  <si>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</si>
  <si>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</si>
  <si>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</si>
  <si>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</si>
  <si>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</si>
  <si>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</si>
  <si>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</si>
  <si>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</si>
  <si>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</si>
  <si>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</si>
  <si>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</si>
  <si>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</si>
  <si>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</si>
  <si>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</si>
  <si>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</si>
  <si>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</si>
  <si>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</si>
  <si>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</si>
  <si>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</si>
  <si>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</si>
  <si>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</si>
  <si>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</si>
  <si>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</si>
  <si>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</si>
  <si>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</si>
  <si>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</si>
  <si>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</si>
  <si>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</si>
  <si>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</si>
  <si>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</si>
  <si>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</si>
  <si>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</si>
  <si>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</si>
  <si>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</si>
  <si>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</si>
  <si>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</si>
  <si>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</si>
  <si>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</si>
  <si>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</si>
  <si>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</si>
  <si>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</si>
  <si>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</si>
  <si>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</si>
  <si>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</si>
  <si>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</si>
  <si>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</si>
  <si>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</si>
  <si>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</si>
  <si>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</si>
  <si>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</si>
  <si>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</si>
  <si>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</si>
  <si>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</si>
  <si>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</si>
  <si>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</si>
  <si>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</si>
  <si>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</si>
  <si>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</si>
  <si>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</si>
  <si>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</si>
  <si>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</si>
  <si>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</si>
  <si>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</si>
  <si>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</si>
  <si>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</si>
  <si>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</si>
  <si>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</si>
  <si>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</si>
  <si>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</si>
  <si>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</si>
  <si>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</si>
  <si>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</si>
  <si>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</si>
  <si>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</si>
  <si>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</si>
  <si>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</si>
  <si>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</si>
  <si>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</si>
  <si>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</si>
  <si>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</si>
  <si>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</si>
  <si>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</si>
  <si>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</si>
  <si>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</si>
  <si>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</si>
  <si>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</si>
  <si>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</si>
  <si>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</si>
  <si>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</si>
  <si>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</si>
  <si>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</si>
  <si>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</si>
  <si>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</si>
  <si>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</si>
  <si>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</si>
  <si>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</si>
  <si>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</si>
  <si>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</si>
  <si>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</si>
  <si>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</si>
  <si>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</si>
  <si>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</si>
  <si>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</si>
  <si>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</si>
  <si>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</si>
  <si>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</si>
  <si>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</si>
  <si>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</si>
  <si>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</si>
  <si>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</si>
  <si>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</si>
  <si>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</si>
  <si>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</si>
  <si>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</si>
  <si>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</si>
  <si>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</si>
  <si>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</si>
  <si>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</si>
  <si>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</si>
  <si>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</si>
  <si>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</si>
  <si>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</si>
  <si>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</si>
  <si>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</si>
  <si>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</si>
  <si>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</si>
  <si>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</si>
  <si>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</si>
  <si>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</si>
  <si>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</si>
  <si>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</si>
  <si>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</si>
  <si>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</si>
  <si>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</si>
  <si>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</si>
  <si>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</si>
  <si>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</si>
  <si>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</si>
  <si>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</si>
  <si>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</si>
  <si>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</si>
  <si>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</si>
  <si>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</si>
  <si>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</si>
  <si>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</si>
  <si>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</si>
  <si>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</si>
  <si>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</si>
  <si>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</si>
  <si>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</si>
  <si>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</si>
  <si>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</si>
  <si>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</si>
  <si>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</si>
  <si>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</si>
  <si>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</si>
  <si>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</si>
  <si>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</si>
  <si>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</si>
  <si>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</si>
  <si>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</si>
  <si>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</si>
  <si>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</si>
  <si>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</si>
  <si>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</si>
  <si>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</si>
  <si>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</si>
  <si>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</si>
  <si>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</si>
  <si>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</si>
  <si>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</si>
  <si>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</si>
  <si>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</si>
  <si>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</si>
  <si>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</si>
  <si>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</si>
  <si>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</si>
  <si>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</si>
  <si>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</si>
  <si>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</si>
  <si>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</si>
  <si>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</si>
  <si>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</si>
  <si>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</si>
  <si>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</si>
  <si>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</si>
  <si>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</si>
  <si>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</si>
  <si>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</si>
  <si>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</si>
  <si>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</si>
  <si>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</si>
  <si>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</si>
  <si>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</si>
  <si>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</si>
  <si>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</si>
  <si>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</si>
  <si>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</si>
  <si>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</si>
  <si>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</si>
  <si>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</si>
  <si>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</si>
  <si>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</si>
  <si>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</si>
  <si>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</si>
  <si>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</si>
  <si>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</si>
  <si>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</si>
  <si>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</si>
  <si>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</si>
  <si>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</si>
  <si>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</si>
  <si>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</si>
  <si>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</si>
  <si>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</si>
  <si>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</si>
  <si>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</si>
  <si>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</si>
  <si>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</si>
  <si>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</si>
  <si>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</si>
  <si>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</si>
  <si>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</si>
  <si>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</si>
  <si>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</si>
  <si>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</si>
  <si>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</si>
  <si>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</si>
  <si>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</si>
  <si>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</si>
  <si>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</si>
  <si>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</si>
  <si>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</si>
  <si>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</si>
  <si>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</si>
  <si>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</si>
  <si>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</si>
  <si>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</si>
  <si>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</si>
  <si>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</si>
  <si>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</si>
  <si>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</si>
  <si>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</si>
  <si>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</si>
  <si>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</si>
  <si>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</si>
  <si>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</si>
  <si>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</si>
  <si>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</si>
  <si>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</si>
  <si>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</si>
  <si>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</si>
  <si>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</si>
  <si>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</si>
  <si>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</si>
  <si>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</si>
  <si>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</si>
  <si>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</si>
  <si>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</si>
  <si>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</si>
  <si>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</si>
  <si>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</si>
  <si>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</si>
  <si>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</si>
  <si>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</si>
  <si>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</si>
  <si>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</si>
  <si>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</si>
  <si>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</si>
  <si>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</si>
  <si>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</si>
  <si>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</si>
  <si>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</si>
  <si>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</si>
  <si>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</si>
  <si>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</si>
  <si>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</si>
  <si>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</si>
  <si>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</si>
  <si>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</si>
  <si>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</si>
  <si>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</si>
  <si>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</si>
  <si>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</si>
  <si>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</si>
  <si>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</si>
  <si>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</si>
  <si>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</si>
  <si>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</si>
  <si>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</si>
  <si>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</si>
  <si>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</si>
  <si>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</si>
  <si>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</si>
  <si>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</si>
  <si>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</si>
  <si>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</si>
  <si>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</si>
  <si>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</si>
  <si>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</si>
  <si>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</si>
  <si>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</si>
  <si>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</si>
  <si>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</si>
  <si>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</si>
  <si>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</si>
  <si>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</si>
  <si>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</si>
  <si>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</si>
  <si>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</si>
  <si>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</si>
  <si>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</si>
  <si>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</si>
  <si>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</si>
  <si>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</si>
  <si>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23C765311-01</t>
    <phoneticPr fontId="1" type="noConversion"/>
  </si>
  <si>
    <t>CHEVRON</t>
  </si>
  <si>
    <t>ZHEN ZHU WAN</t>
    <phoneticPr fontId="1" type="noConversion"/>
  </si>
  <si>
    <t>ASPHALT 60/80</t>
    <phoneticPr fontId="1" type="noConversion"/>
  </si>
  <si>
    <t>여수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</si>
  <si>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</si>
  <si>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</si>
  <si>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</si>
  <si>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</si>
  <si>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</si>
  <si>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</si>
  <si>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</si>
  <si>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60/70 - 5200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</si>
  <si>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</si>
  <si>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</si>
  <si>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</si>
  <si>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</si>
  <si>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</si>
  <si>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</si>
  <si>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</si>
  <si>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</si>
  <si>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</si>
  <si>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</si>
  <si>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</si>
  <si>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</si>
  <si>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</si>
  <si>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</si>
  <si>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47 (buy)</t>
  </si>
  <si>
    <t>min = 60 / max = 70 (buy)</t>
  </si>
  <si>
    <t>min = 140 (buy)</t>
  </si>
  <si>
    <t>min = 275 (buy)</t>
  </si>
  <si>
    <t>min = 99 (buy)</t>
  </si>
  <si>
    <t>Report only</t>
  </si>
  <si>
    <t>max = 0.6 (buy)</t>
  </si>
  <si>
    <t>min = 55 (buy)</t>
  </si>
  <si>
    <t>max = 2.2 (buy)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</si>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</sst>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700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Yes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697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696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698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699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45231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45047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45323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1</v>
      </c>
      <c r="C48" s="225">
        <f t="shared" ref="C48:C49" si="0">IF(LEFT(B48,1)="T",1,2)</f>
        <v>1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8" t="s">
        <v>241</v>
      </c>
      <c r="C1" s="268"/>
      <c r="D1" s="3"/>
      <c r="E1" s="4"/>
      <c r="F1" s="271"/>
      <c r="G1" s="271"/>
      <c r="H1" s="271"/>
      <c r="I1" s="4"/>
      <c r="J1" s="267" t="s">
        <v>13</v>
      </c>
      <c r="K1" s="267"/>
      <c r="L1" s="4"/>
      <c r="M1" s="4"/>
      <c r="N1" s="4"/>
      <c r="O1" s="4"/>
      <c r="P1" s="4"/>
    </row>
    <row r="2" spans="1:36" ht="13.9" customHeight="1">
      <c r="A2" s="84"/>
      <c r="B2" s="269"/>
      <c r="C2" s="269"/>
      <c r="D2" s="5"/>
      <c r="E2" s="6"/>
      <c r="F2" s="272"/>
      <c r="G2" s="272"/>
      <c r="H2" s="272"/>
      <c r="I2" s="4"/>
      <c r="J2" s="270"/>
      <c r="K2" s="270"/>
      <c r="L2" s="273" t="s">
        <v>328</v>
      </c>
      <c r="M2" s="255"/>
      <c r="N2" s="255" t="s">
        <v>329</v>
      </c>
      <c r="O2" s="256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 t="s">
        <v>458</v>
      </c>
      <c r="D5" s="62"/>
      <c r="E5" s="101"/>
      <c r="F5" s="64"/>
      <c r="G5" s="65"/>
      <c r="H5" s="215" t="str">
        <f t="shared" ref="H5:H36" si="0">IF(OR(B5="*",C5=""),"",IF(OR(E5="",F5=""),"-",""))</f>
        <v>-</v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 t="s">
        <v>709</v>
      </c>
      <c r="C6" s="130" t="s">
        <v>526</v>
      </c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1</v>
      </c>
    </row>
    <row r="7" spans="1:36" ht="13.9" customHeight="1">
      <c r="A7" s="85">
        <v>3</v>
      </c>
      <c r="B7" s="129"/>
      <c r="C7" s="130" t="s">
        <v>701</v>
      </c>
      <c r="D7" s="62"/>
      <c r="E7" s="101"/>
      <c r="F7" s="64"/>
      <c r="G7" s="65"/>
      <c r="H7" s="215" t="str">
        <f t="shared" si="0"/>
        <v>-</v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 t="s">
        <v>530</v>
      </c>
      <c r="D8" s="62"/>
      <c r="E8" s="101"/>
      <c r="F8" s="64"/>
      <c r="G8" s="65"/>
      <c r="H8" s="215" t="str">
        <f t="shared" si="0"/>
        <v>-</v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 t="s">
        <v>702</v>
      </c>
      <c r="D9" s="62"/>
      <c r="E9" s="101"/>
      <c r="F9" s="64"/>
      <c r="G9" s="65"/>
      <c r="H9" s="215" t="str">
        <f t="shared" si="0"/>
        <v>-</v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 t="s">
        <v>497</v>
      </c>
      <c r="D10" s="62"/>
      <c r="E10" s="101"/>
      <c r="F10" s="64"/>
      <c r="G10" s="65"/>
      <c r="H10" s="215" t="str">
        <f t="shared" si="0"/>
        <v>-</v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 t="s">
        <v>709</v>
      </c>
      <c r="C11" s="130" t="s">
        <v>703</v>
      </c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1</v>
      </c>
    </row>
    <row r="12" spans="1:36" ht="13.9" customHeight="1">
      <c r="A12" s="85">
        <v>8</v>
      </c>
      <c r="B12" s="129"/>
      <c r="C12" s="130" t="s">
        <v>500</v>
      </c>
      <c r="D12" s="62"/>
      <c r="E12" s="101"/>
      <c r="F12" s="64"/>
      <c r="G12" s="65"/>
      <c r="H12" s="215" t="str">
        <f t="shared" si="0"/>
        <v>-</v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 t="s">
        <v>511</v>
      </c>
      <c r="D13" s="62"/>
      <c r="E13" s="101"/>
      <c r="F13" s="64"/>
      <c r="G13" s="65"/>
      <c r="H13" s="215" t="str">
        <f t="shared" si="0"/>
        <v>-</v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 t="s">
        <v>704</v>
      </c>
      <c r="D14" s="62"/>
      <c r="E14" s="101"/>
      <c r="F14" s="64"/>
      <c r="G14" s="65"/>
      <c r="H14" s="215" t="str">
        <f t="shared" si="0"/>
        <v>-</v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 t="s">
        <v>481</v>
      </c>
      <c r="D15" s="62"/>
      <c r="E15" s="101"/>
      <c r="F15" s="64"/>
      <c r="G15" s="65"/>
      <c r="H15" s="215" t="str">
        <f t="shared" si="0"/>
        <v>-</v>
      </c>
      <c r="I15" s="4"/>
      <c r="J15" s="266" t="s">
        <v>369</v>
      </c>
      <c r="K15" s="266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 t="s">
        <v>709</v>
      </c>
      <c r="C16" s="130" t="s">
        <v>503</v>
      </c>
      <c r="D16" s="62"/>
      <c r="E16" s="101"/>
      <c r="F16" s="64"/>
      <c r="G16" s="65"/>
      <c r="H16" s="215" t="str">
        <f t="shared" si="0"/>
        <v/>
      </c>
      <c r="I16" s="4"/>
      <c r="J16" s="267"/>
      <c r="K16" s="267"/>
      <c r="L16" s="4"/>
      <c r="M16" s="4"/>
      <c r="N16" s="4"/>
      <c r="O16" s="4"/>
      <c r="P16" s="4"/>
      <c r="AA16" s="108">
        <f t="shared" si="1"/>
        <v>1</v>
      </c>
    </row>
    <row r="17" spans="1:27" ht="13.9" customHeight="1">
      <c r="A17" s="85">
        <v>13</v>
      </c>
      <c r="B17" s="129" t="s">
        <v>709</v>
      </c>
      <c r="C17" s="130" t="s">
        <v>705</v>
      </c>
      <c r="D17" s="62" t="s">
        <v>708</v>
      </c>
      <c r="E17" s="101"/>
      <c r="F17" s="64"/>
      <c r="G17" s="65"/>
      <c r="H17" s="215" t="str">
        <f t="shared" si="0"/>
        <v/>
      </c>
      <c r="I17" s="4"/>
      <c r="J17" s="257" t="s">
        <v>652</v>
      </c>
      <c r="K17" s="258"/>
      <c r="L17" s="258"/>
      <c r="M17" s="258"/>
      <c r="N17" s="258"/>
      <c r="O17" s="259"/>
      <c r="P17" s="4"/>
      <c r="AA17" s="108">
        <f t="shared" si="1"/>
        <v>1</v>
      </c>
    </row>
    <row r="18" spans="1:27" ht="13.9" customHeight="1">
      <c r="A18" s="85">
        <v>14</v>
      </c>
      <c r="B18" s="129"/>
      <c r="C18" s="130" t="s">
        <v>706</v>
      </c>
      <c r="D18" s="62"/>
      <c r="E18" s="101"/>
      <c r="F18" s="64"/>
      <c r="G18" s="65"/>
      <c r="H18" s="215" t="str">
        <f t="shared" si="0"/>
        <v>-</v>
      </c>
      <c r="I18" s="4"/>
      <c r="J18" s="260"/>
      <c r="K18" s="261"/>
      <c r="L18" s="261"/>
      <c r="M18" s="261"/>
      <c r="N18" s="261"/>
      <c r="O18" s="262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 t="s">
        <v>468</v>
      </c>
      <c r="D19" s="62"/>
      <c r="E19" s="101"/>
      <c r="F19" s="64"/>
      <c r="G19" s="65"/>
      <c r="H19" s="215" t="str">
        <f t="shared" si="0"/>
        <v>-</v>
      </c>
      <c r="I19" s="4"/>
      <c r="J19" s="260"/>
      <c r="K19" s="261"/>
      <c r="L19" s="261"/>
      <c r="M19" s="261"/>
      <c r="N19" s="261"/>
      <c r="O19" s="262"/>
      <c r="P19" s="4"/>
      <c r="AA19" s="108">
        <f t="shared" si="1"/>
        <v>0</v>
      </c>
    </row>
    <row r="20" spans="1:27" ht="13.9" customHeight="1">
      <c r="A20" s="85">
        <v>16</v>
      </c>
      <c r="B20" s="129" t="s">
        <v>709</v>
      </c>
      <c r="C20" s="130" t="s">
        <v>480</v>
      </c>
      <c r="D20" s="62" t="s">
        <v>708</v>
      </c>
      <c r="E20" s="101"/>
      <c r="F20" s="64"/>
      <c r="G20" s="65"/>
      <c r="H20" s="215" t="str">
        <f t="shared" si="0"/>
        <v/>
      </c>
      <c r="I20" s="4"/>
      <c r="J20" s="260"/>
      <c r="K20" s="261"/>
      <c r="L20" s="261"/>
      <c r="M20" s="261"/>
      <c r="N20" s="261"/>
      <c r="O20" s="262"/>
      <c r="P20" s="4"/>
      <c r="AA20" s="108">
        <f t="shared" si="1"/>
        <v>1</v>
      </c>
    </row>
    <row r="21" spans="1:27" ht="13.9" customHeight="1">
      <c r="A21" s="85">
        <v>17</v>
      </c>
      <c r="B21" s="129"/>
      <c r="C21" s="130" t="s">
        <v>707</v>
      </c>
      <c r="D21" s="62"/>
      <c r="E21" s="101"/>
      <c r="F21" s="64"/>
      <c r="G21" s="65"/>
      <c r="H21" s="215" t="str">
        <f t="shared" si="0"/>
        <v>-</v>
      </c>
      <c r="I21" s="4"/>
      <c r="J21" s="260"/>
      <c r="K21" s="261"/>
      <c r="L21" s="261"/>
      <c r="M21" s="261"/>
      <c r="N21" s="261"/>
      <c r="O21" s="262"/>
      <c r="P21" s="4"/>
      <c r="AA21" s="108">
        <f t="shared" si="1"/>
        <v>0</v>
      </c>
    </row>
    <row r="22" spans="1:27" ht="13.9" customHeight="1">
      <c r="A22" s="85">
        <v>18</v>
      </c>
      <c r="B22" s="129" t="s">
        <v>709</v>
      </c>
      <c r="C22" s="130" t="s">
        <v>504</v>
      </c>
      <c r="D22" s="63"/>
      <c r="E22" s="101"/>
      <c r="F22" s="64"/>
      <c r="G22" s="65"/>
      <c r="H22" s="215" t="str">
        <f t="shared" si="0"/>
        <v/>
      </c>
      <c r="I22" s="4"/>
      <c r="J22" s="260"/>
      <c r="K22" s="261"/>
      <c r="L22" s="261"/>
      <c r="M22" s="261"/>
      <c r="N22" s="261"/>
      <c r="O22" s="262"/>
      <c r="P22" s="4"/>
      <c r="AA22" s="108">
        <f t="shared" si="1"/>
        <v>1</v>
      </c>
    </row>
    <row r="23" spans="1:27" ht="13.9" customHeight="1">
      <c r="A23" s="85">
        <v>19</v>
      </c>
      <c r="B23" s="129"/>
      <c r="C23" s="130" t="s">
        <v>476</v>
      </c>
      <c r="D23" s="62"/>
      <c r="E23" s="101"/>
      <c r="F23" s="64"/>
      <c r="G23" s="65"/>
      <c r="H23" s="215" t="str">
        <f t="shared" si="0"/>
        <v>-</v>
      </c>
      <c r="I23" s="4"/>
      <c r="J23" s="260"/>
      <c r="K23" s="261"/>
      <c r="L23" s="261"/>
      <c r="M23" s="261"/>
      <c r="N23" s="261"/>
      <c r="O23" s="262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 t="s">
        <v>467</v>
      </c>
      <c r="D24" s="62"/>
      <c r="E24" s="101"/>
      <c r="F24" s="64"/>
      <c r="G24" s="65"/>
      <c r="H24" s="215" t="str">
        <f t="shared" si="0"/>
        <v>-</v>
      </c>
      <c r="I24" s="4"/>
      <c r="J24" s="263"/>
      <c r="K24" s="264"/>
      <c r="L24" s="264"/>
      <c r="M24" s="264"/>
      <c r="N24" s="264"/>
      <c r="O24" s="265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 t="s">
        <v>528</v>
      </c>
      <c r="D25" s="62"/>
      <c r="E25" s="101"/>
      <c r="F25" s="64"/>
      <c r="G25" s="65"/>
      <c r="H25" s="215" t="str">
        <f t="shared" si="0"/>
        <v>-</v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 t="s">
        <v>709</v>
      </c>
      <c r="C26" s="130" t="s">
        <v>563</v>
      </c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1</v>
      </c>
    </row>
    <row r="27" spans="1:27" ht="13.9" customHeight="1">
      <c r="A27" s="85">
        <v>23</v>
      </c>
      <c r="B27" s="129"/>
      <c r="C27" s="130" t="s">
        <v>498</v>
      </c>
      <c r="D27" s="62"/>
      <c r="E27" s="101"/>
      <c r="F27" s="64"/>
      <c r="G27" s="65"/>
      <c r="H27" s="215" t="str">
        <f t="shared" si="0"/>
        <v>-</v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sheetProtection sheet="1" objects="1" scenarios="1"/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8" t="s">
        <v>240</v>
      </c>
      <c r="C1" s="27"/>
      <c r="D1" s="27"/>
      <c r="E1" s="27"/>
      <c r="F1" s="27"/>
      <c r="G1" s="27"/>
      <c r="H1" s="38"/>
      <c r="J1" s="274" t="s">
        <v>645</v>
      </c>
      <c r="K1" s="275"/>
      <c r="L1" s="275"/>
      <c r="M1" s="275"/>
      <c r="N1" s="276"/>
    </row>
    <row r="2" spans="1:78" ht="15" customHeight="1">
      <c r="A2" s="38"/>
      <c r="B2" s="268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1"/>
      <c r="G4" s="282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7"/>
      <c r="G5" s="278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79" t="str">
        <f>IF('Navarik 설정'!C22="","",'Navarik 설정'!C22)</f>
        <v>ASPHALT 60/80</v>
      </c>
      <c r="G6" s="280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229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 t="s">
        <v>300</v>
      </c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710</v>
      </c>
      <c r="D7" s="252"/>
      <c r="E7" s="133" t="s">
        <v>722</v>
      </c>
      <c r="F7" s="253"/>
      <c r="G7" s="22"/>
      <c r="H7" s="254" t="s">
        <v>732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711</v>
      </c>
      <c r="D8" s="252"/>
      <c r="E8" s="133" t="s">
        <v>723</v>
      </c>
      <c r="F8" s="253"/>
      <c r="G8" s="22"/>
      <c r="H8" s="254" t="s">
        <v>733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712</v>
      </c>
      <c r="D9" s="252"/>
      <c r="E9" s="133" t="s">
        <v>724</v>
      </c>
      <c r="F9" s="253"/>
      <c r="G9" s="22"/>
      <c r="H9" s="254" t="s">
        <v>734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713</v>
      </c>
      <c r="D10" s="252"/>
      <c r="E10" s="133" t="s">
        <v>725</v>
      </c>
      <c r="F10" s="253"/>
      <c r="G10" s="22"/>
      <c r="H10" s="254" t="s">
        <v>735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714</v>
      </c>
      <c r="D11" s="252"/>
      <c r="E11" s="133" t="s">
        <v>725</v>
      </c>
      <c r="F11" s="253"/>
      <c r="G11" s="22"/>
      <c r="H11" s="254" t="s">
        <v>735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715</v>
      </c>
      <c r="D12" s="252"/>
      <c r="E12" s="133" t="s">
        <v>726</v>
      </c>
      <c r="F12" s="253"/>
      <c r="G12" s="22"/>
      <c r="H12" s="254" t="s">
        <v>733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716</v>
      </c>
      <c r="D13" s="252"/>
      <c r="E13" s="133" t="s">
        <v>727</v>
      </c>
      <c r="F13" s="253"/>
      <c r="G13" s="22"/>
      <c r="H13" s="254" t="s">
        <v>736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717</v>
      </c>
      <c r="D14" s="252"/>
      <c r="E14" s="133" t="s">
        <v>728</v>
      </c>
      <c r="F14" s="253"/>
      <c r="G14" s="22"/>
      <c r="H14" s="254" t="s">
        <v>735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718</v>
      </c>
      <c r="D15" s="252"/>
      <c r="E15" s="133" t="s">
        <v>729</v>
      </c>
      <c r="F15" s="253"/>
      <c r="G15" s="22"/>
      <c r="H15" s="254" t="s">
        <v>736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719</v>
      </c>
      <c r="D16" s="252"/>
      <c r="E16" s="133" t="s">
        <v>730</v>
      </c>
      <c r="F16" s="253"/>
      <c r="G16" s="22"/>
      <c r="H16" s="254" t="s">
        <v>737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720</v>
      </c>
      <c r="D17" s="252"/>
      <c r="E17" s="133" t="s">
        <v>731</v>
      </c>
      <c r="F17" s="253"/>
      <c r="G17" s="22"/>
      <c r="H17" s="254" t="s">
        <v>738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721</v>
      </c>
      <c r="D18" s="252"/>
      <c r="E18" s="133" t="s">
        <v>728</v>
      </c>
      <c r="F18" s="253"/>
      <c r="G18" s="22"/>
      <c r="H18" s="254" t="s">
        <v>739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83"/>
      <c r="G85" s="283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2476A720-48BA-4EC2-8346-750233666749}">
      <formula1>"* ,[ASTM] D70"</formula1>
    </dataValidation>
    <dataValidation type="list" allowBlank="1" showInputMessage="1" showErrorMessage="1" sqref="D8" xr:uid="{65445252-E67B-4624-92B7-E477DFA28DB7}">
      <formula1>"* ,[ASTM] D36"</formula1>
    </dataValidation>
    <dataValidation type="list" allowBlank="1" showInputMessage="1" showErrorMessage="1" sqref="D9 D16" xr:uid="{C78CDA6C-833A-4111-B7ED-D6BA0E20EC28}">
      <formula1>"* ,[ASTM] D5"</formula1>
    </dataValidation>
    <dataValidation type="list" allowBlank="1" showInputMessage="1" showErrorMessage="1" sqref="D10 D11 D14" xr:uid="{B32745DB-0B1A-496F-B8D0-51143B4CD0C1}">
      <formula1>"* ,[ASTM] D113"</formula1>
    </dataValidation>
    <dataValidation type="list" allowBlank="1" showInputMessage="1" showErrorMessage="1" sqref="D12" xr:uid="{BB50C148-28FE-4A38-BCF5-F04240D2FB20}">
      <formula1>"* ,[ASTM] D92"</formula1>
    </dataValidation>
    <dataValidation type="list" allowBlank="1" showInputMessage="1" showErrorMessage="1" sqref="D13" xr:uid="{CB07151D-CE94-47AB-8BAF-EC2638D424C3}">
      <formula1>"* ,[ASTM] D2042"</formula1>
    </dataValidation>
    <dataValidation type="list" allowBlank="1" showInputMessage="1" showErrorMessage="1" sqref="D15" xr:uid="{F07A847C-97E6-44E1-A311-9708C2F3A493}">
      <formula1>"* ,[ASTM] D6"</formula1>
    </dataValidation>
    <dataValidation type="list" allowBlank="1" showInputMessage="1" showErrorMessage="1" sqref="D17" xr:uid="{69D82F0A-2D36-4BDE-B807-1C2F5E486A31}">
      <formula1>"* ,[DIN] DIN 52015"</formula1>
    </dataValidation>
    <dataValidation type="list" allowBlank="1" showInputMessage="1" showErrorMessage="1" sqref="D18" xr:uid="{B5B85689-F56F-4DC1-A9E7-FAECBDD64143}">
      <formula1>"* ,[ASTM] D4402"</formula1>
    </dataValidation>
    <dataValidation type="list" allowBlank="1" showInputMessage="1" showErrorMessage="1" sqref="H7" xr:uid="{19EB3B6D-54A0-49FC-A07A-A5DEF75BDD22}">
      <formula1>"g/ cc,g/l,g/cm³,g/ml,kg/m³,kg/l,n/a,tonne/m³"</formula1>
    </dataValidation>
    <dataValidation type="list" allowBlank="1" showInputMessage="1" showErrorMessage="1" sqref="H8" xr:uid="{FBC87D16-14A3-4243-9B75-61409FDB7524}">
      <formula1>"°C,°F"</formula1>
    </dataValidation>
    <dataValidation type="list" allowBlank="1" showInputMessage="1" showErrorMessage="1" sqref="H9" xr:uid="{71E5504B-F587-43AA-B116-9B2AF6C74DAE}">
      <formula1>"mm,mm/10"</formula1>
    </dataValidation>
    <dataValidation type="list" allowBlank="1" showInputMessage="1" showErrorMessage="1" sqref="H10 H11 H14" xr:uid="{B16D0781-7997-4340-9FB6-6BDC012D520E}">
      <formula1>"mm,CM"</formula1>
    </dataValidation>
    <dataValidation type="list" allowBlank="1" showInputMessage="1" showErrorMessage="1" sqref="H12" xr:uid="{EDC04E74-2488-480E-8B31-1F1AD209C081}">
      <formula1>"°C,°F,Yes/No"</formula1>
    </dataValidation>
    <dataValidation type="list" allowBlank="1" showInputMessage="1" showErrorMessage="1" sqref="H13" xr:uid="{A74B12E0-9A86-4696-BB08-1E2DB574E57B}">
      <formula1>"%m/m,%wt,mass%"</formula1>
    </dataValidation>
    <dataValidation type="list" allowBlank="1" showInputMessage="1" showErrorMessage="1" sqref="H15" xr:uid="{EE6E28EB-D319-4D2A-B16F-72B67B5FFD01}">
      <formula1>"%,%m/m,mass%"</formula1>
    </dataValidation>
    <dataValidation type="list" allowBlank="1" showInputMessage="1" showErrorMessage="1" sqref="H16" xr:uid="{648C00E5-5E27-461F-BB34-797AC57D6750}">
      <formula1>"mm,%,mm/10"</formula1>
    </dataValidation>
    <dataValidation type="list" allowBlank="1" showInputMessage="1" showErrorMessage="1" sqref="H17" xr:uid="{440C0FA8-129B-469E-A8CD-DE1B40854C42}">
      <formula1>"%,%m/m,%wt"</formula1>
    </dataValidation>
    <dataValidation type="list" allowBlank="1" showInputMessage="1" showErrorMessage="1" sqref="H18" xr:uid="{4970DEA4-35FD-4008-A40F-B952B55914EF}">
      <formula1>"cSt,Engler,mm²/s,Pa·s,SUS"</formula1>
    </dataValidation>
    <dataValidation type="list" allowBlank="1" showInputMessage="1" showErrorMessage="1" sqref="F7 F8 F9 F10 F11 F12 F13 F14 F15 F16 F17 F18" xr:uid="{106954EA-BEBC-4707-B052-3D18A8CC0A1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230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232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233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234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235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236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237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238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8" t="s">
        <v>239</v>
      </c>
      <c r="C1" s="288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8"/>
      <c r="C2" s="288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90"/>
      <c r="G3" s="290"/>
      <c r="H3" s="290"/>
      <c r="I3" s="290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9"/>
      <c r="G4" s="289"/>
      <c r="H4" s="289"/>
      <c r="I4" s="289"/>
      <c r="J4" s="24" t="str">
        <f>IF(F2=1,"","▶▶▶▶▶")</f>
        <v/>
      </c>
      <c r="K4" s="7"/>
      <c r="L4" s="68" t="str">
        <f>IF(K5=1,"Tk No.:","")</f>
        <v/>
      </c>
      <c r="M4" s="287"/>
      <c r="N4" s="287"/>
      <c r="O4" s="38"/>
      <c r="P4" s="68" t="str">
        <f>IF(O5=1,"Tk No.:","")</f>
        <v/>
      </c>
      <c r="Q4" s="287"/>
      <c r="R4" s="287"/>
      <c r="S4" s="38"/>
      <c r="T4" s="68" t="str">
        <f>IF(S5=1,"Tk No.:","")</f>
        <v/>
      </c>
      <c r="U4" s="287"/>
      <c r="V4" s="287"/>
      <c r="W4" s="38"/>
      <c r="X4" s="68" t="str">
        <f>IF(W5=1,"Tk No.:","")</f>
        <v/>
      </c>
      <c r="Y4" s="287"/>
      <c r="Z4" s="287"/>
      <c r="AA4" s="38"/>
      <c r="AB4" s="68" t="str">
        <f>IF(AA5=1,"Tk No.:","")</f>
        <v/>
      </c>
      <c r="AC4" s="287"/>
      <c r="AD4" s="287"/>
      <c r="AE4" s="38"/>
      <c r="AF4" s="68" t="str">
        <f>IF(AE5=1,"Tk No.:","")</f>
        <v/>
      </c>
      <c r="AG4" s="287"/>
      <c r="AH4" s="287"/>
      <c r="AI4" s="38"/>
      <c r="AJ4" s="68" t="str">
        <f>IF(AI5=1,"Tk No.:","")</f>
        <v/>
      </c>
      <c r="AK4" s="287"/>
      <c r="AL4" s="287"/>
      <c r="AM4" s="38"/>
      <c r="AN4" s="68" t="str">
        <f>IF(AM5=1,"Tk No.:","")</f>
        <v/>
      </c>
      <c r="AO4" s="287"/>
      <c r="AP4" s="287"/>
      <c r="AQ4" s="38"/>
      <c r="AR4" s="68" t="str">
        <f>IF(AQ5=1,"Tk No.:","")</f>
        <v/>
      </c>
      <c r="AS4" s="287"/>
      <c r="AT4" s="287"/>
      <c r="AU4" s="38"/>
      <c r="AV4" s="68" t="str">
        <f>IF(AU5=1,"Tk No.:","")</f>
        <v/>
      </c>
      <c r="AW4" s="287"/>
      <c r="AX4" s="287"/>
      <c r="AY4" s="38"/>
      <c r="AZ4" s="68" t="str">
        <f>IF(AY5=1,"Tk No.:","")</f>
        <v/>
      </c>
      <c r="BA4" s="287"/>
      <c r="BB4" s="287"/>
      <c r="BC4" s="38"/>
      <c r="BD4" s="68" t="str">
        <f>IF(BC5=1,"Tk No.:","")</f>
        <v/>
      </c>
      <c r="BE4" s="287"/>
      <c r="BF4" s="287"/>
      <c r="BG4" s="38"/>
      <c r="BH4" s="68" t="str">
        <f>IF(BG5=1,"Tk No.:","")</f>
        <v/>
      </c>
      <c r="BI4" s="287"/>
      <c r="BJ4" s="287"/>
      <c r="BK4" s="38"/>
      <c r="BL4" s="68" t="str">
        <f>IF(BK5=1,"Tk No.:","")</f>
        <v/>
      </c>
      <c r="BM4" s="287"/>
      <c r="BN4" s="287"/>
      <c r="BO4" s="38"/>
      <c r="BP4" s="68" t="str">
        <f>IF(BO5=1,"Tk No.:","")</f>
        <v/>
      </c>
      <c r="BQ4" s="287"/>
      <c r="BR4" s="287"/>
      <c r="BS4" s="38"/>
      <c r="BT4" s="68" t="str">
        <f>IF(BS5=1,"Tk No.:","")</f>
        <v/>
      </c>
      <c r="BU4" s="287"/>
      <c r="BV4" s="287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86" t="s">
        <v>268</v>
      </c>
      <c r="G5" s="286"/>
      <c r="H5" s="89" t="s">
        <v>642</v>
      </c>
      <c r="I5" s="92" t="s">
        <v>18</v>
      </c>
      <c r="J5" s="7"/>
      <c r="K5" s="13" t="str">
        <f>IF(F2&gt;=2,1,"")</f>
        <v/>
      </c>
      <c r="L5" s="285" t="str">
        <f>IF(K5=1,"Results (검사원)","")</f>
        <v/>
      </c>
      <c r="M5" s="285"/>
      <c r="N5" s="285"/>
      <c r="O5" s="58" t="str">
        <f>IF(F2&gt;=3,1,"")</f>
        <v/>
      </c>
      <c r="P5" s="285" t="str">
        <f>IF(O5=1,"Results (검사원)","")</f>
        <v/>
      </c>
      <c r="Q5" s="285"/>
      <c r="R5" s="285"/>
      <c r="S5" s="58" t="str">
        <f>IF(F2&gt;=4,1,"")</f>
        <v/>
      </c>
      <c r="T5" s="285" t="str">
        <f>IF(S5=1,"Results (검사원)","")</f>
        <v/>
      </c>
      <c r="U5" s="285"/>
      <c r="V5" s="285"/>
      <c r="W5" s="58" t="str">
        <f>IF(F2&gt;=5,1,"")</f>
        <v/>
      </c>
      <c r="X5" s="285" t="str">
        <f>IF(W5=1,"Results (검사원)","")</f>
        <v/>
      </c>
      <c r="Y5" s="285"/>
      <c r="Z5" s="285"/>
      <c r="AA5" s="58" t="str">
        <f>IF(F2&gt;=6,1,"")</f>
        <v/>
      </c>
      <c r="AB5" s="285" t="str">
        <f>IF(AA5=1,"Results (검사원)","")</f>
        <v/>
      </c>
      <c r="AC5" s="285"/>
      <c r="AD5" s="285"/>
      <c r="AE5" s="58" t="str">
        <f>IF($F$2&gt;=7,1,"")</f>
        <v/>
      </c>
      <c r="AF5" s="285" t="str">
        <f>IF(AE5=1,"Results (검사원)","")</f>
        <v/>
      </c>
      <c r="AG5" s="285"/>
      <c r="AH5" s="285"/>
      <c r="AI5" s="58" t="str">
        <f>IF($F$2&gt;=8,1,"")</f>
        <v/>
      </c>
      <c r="AJ5" s="285" t="str">
        <f>IF(AI5=1,"Results (검사원)","")</f>
        <v/>
      </c>
      <c r="AK5" s="285"/>
      <c r="AL5" s="285"/>
      <c r="AM5" s="58" t="str">
        <f>IF($F$2&gt;=9,1,"")</f>
        <v/>
      </c>
      <c r="AN5" s="285" t="str">
        <f>IF(AM5=1,"Results (검사원)","")</f>
        <v/>
      </c>
      <c r="AO5" s="285"/>
      <c r="AP5" s="285"/>
      <c r="AQ5" s="58" t="str">
        <f>IF($F$2&gt;=10,1,"")</f>
        <v/>
      </c>
      <c r="AR5" s="285" t="str">
        <f>IF(AQ5=1,"Results (검사원)","")</f>
        <v/>
      </c>
      <c r="AS5" s="285"/>
      <c r="AT5" s="285"/>
      <c r="AU5" s="58" t="str">
        <f>IF($F$2&gt;=11,1,"")</f>
        <v/>
      </c>
      <c r="AV5" s="285" t="str">
        <f>IF(AU5=1,"Results (검사원)","")</f>
        <v/>
      </c>
      <c r="AW5" s="285"/>
      <c r="AX5" s="285"/>
      <c r="AY5" s="58" t="str">
        <f>IF($F$2&gt;=12,1,"")</f>
        <v/>
      </c>
      <c r="AZ5" s="285" t="str">
        <f>IF(AY5=1,"Results (검사원)","")</f>
        <v/>
      </c>
      <c r="BA5" s="285"/>
      <c r="BB5" s="285"/>
      <c r="BC5" s="58" t="str">
        <f>IF($F$2&gt;=13,1,"")</f>
        <v/>
      </c>
      <c r="BD5" s="285" t="str">
        <f>IF(BC5=1,"Results (검사원)","")</f>
        <v/>
      </c>
      <c r="BE5" s="285"/>
      <c r="BF5" s="285"/>
      <c r="BG5" s="58" t="str">
        <f>IF($F$2&gt;=14,1,"")</f>
        <v/>
      </c>
      <c r="BH5" s="285" t="str">
        <f>IF(BG5=1,"Results (검사원)","")</f>
        <v/>
      </c>
      <c r="BI5" s="285"/>
      <c r="BJ5" s="285"/>
      <c r="BK5" s="58" t="str">
        <f>IF($F$2&gt;=15,1,"")</f>
        <v/>
      </c>
      <c r="BL5" s="285" t="str">
        <f>IF(BK5=1,"Results (검사원)","")</f>
        <v/>
      </c>
      <c r="BM5" s="285"/>
      <c r="BN5" s="285"/>
      <c r="BO5" s="58" t="str">
        <f>IF($F$2&gt;=16,1,"")</f>
        <v/>
      </c>
      <c r="BP5" s="285" t="str">
        <f>IF(BO5=1,"Results (검사원)","")</f>
        <v/>
      </c>
      <c r="BQ5" s="285"/>
      <c r="BR5" s="285"/>
      <c r="BS5" s="58" t="str">
        <f>IF($F$2&gt;=17,1,"")</f>
        <v/>
      </c>
      <c r="BT5" s="285" t="str">
        <f>IF(BS5=1,"Results (검사원)","")</f>
        <v/>
      </c>
      <c r="BU5" s="285"/>
      <c r="BV5" s="285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83"/>
      <c r="G85" s="283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45231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2023-11-01T05:32:58Z</dcterms:modified>
</cp:coreProperties>
</file>