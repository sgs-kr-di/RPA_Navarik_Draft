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3_Chevron (23C766118-01) ESTEEM ENDEAVOR_GASOIL 10PPM_145KB_YOSU (Y) 3\"/>
    </mc:Choice>
  </mc:AlternateContent>
  <xr:revisionPtr revIDLastSave="0" documentId="13_ncr:1_{AA950573-4987-404F-A83F-F2ADC50D6F90}" xr6:coauthVersionLast="45" xr6:coauthVersionMax="47" xr10:uidLastSave="{00000000-0000-0000-0000-000000000000}"/>
  <bookViews>
    <workbookView xWindow="240" yWindow="1860" windowWidth="21600" windowHeight="11385" tabRatio="688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D37" i="1"/>
  <c r="F37" i="1"/>
  <c r="F36" i="1"/>
  <c r="D36" i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<sst xmlns="http://schemas.openxmlformats.org/spreadsheetml/2006/main" count="1270" uniqueCount="772">
  <si>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</si>
  <si>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</si>
  <si>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</si>
  <si>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</si>
  <si>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</si>
  <si>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</si>
  <si>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</si>
  <si>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</si>
  <si>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</si>
  <si>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</si>
  <si>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</si>
  <si>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</si>
  <si>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</si>
  <si>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</si>
  <si>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</si>
  <si>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</si>
  <si>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</si>
  <si>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</si>
  <si>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</si>
  <si>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</si>
  <si>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</si>
  <si>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</si>
  <si>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</si>
  <si>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</si>
  <si>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</si>
  <si>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</si>
  <si>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</si>
  <si>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</si>
  <si>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</si>
  <si>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</si>
  <si>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</si>
  <si>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</si>
  <si>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</si>
  <si>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</si>
  <si>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</si>
  <si>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</si>
  <si>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</si>
  <si>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</si>
  <si>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</si>
  <si>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</si>
  <si>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</si>
  <si>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</si>
  <si>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</si>
  <si>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</si>
  <si>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</si>
  <si>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</si>
  <si>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</si>
  <si>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</si>
  <si>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</si>
  <si>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</si>
  <si>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</si>
  <si>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</si>
  <si>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</si>
  <si>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</si>
  <si>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</si>
  <si>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</si>
  <si>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</si>
  <si>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</si>
  <si>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</si>
  <si>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</si>
  <si>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</si>
  <si>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</si>
  <si>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</si>
  <si>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</si>
  <si>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</si>
  <si>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</si>
  <si>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</si>
  <si>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</si>
  <si>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</si>
  <si>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</si>
  <si>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</si>
  <si>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</si>
  <si>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</si>
  <si>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</si>
  <si>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</si>
  <si>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</si>
  <si>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</si>
  <si>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</si>
  <si>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</si>
  <si>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</si>
  <si>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</si>
  <si>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</si>
  <si>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</si>
  <si>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</si>
  <si>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</si>
  <si>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</si>
  <si>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</si>
  <si>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</si>
  <si>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</si>
  <si>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</si>
  <si>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</si>
  <si>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</si>
  <si>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</si>
  <si>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</si>
  <si>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</si>
  <si>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</si>
  <si>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</si>
  <si>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</si>
  <si>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</si>
  <si>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</si>
  <si>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</si>
  <si>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</si>
  <si>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</si>
  <si>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</si>
  <si>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</si>
  <si>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</si>
  <si>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</si>
  <si>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</si>
  <si>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</si>
  <si>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</si>
  <si>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</si>
  <si>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</si>
  <si>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</si>
  <si>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</si>
  <si>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</si>
  <si>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</si>
  <si>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</si>
  <si>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</si>
  <si>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</si>
  <si>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</si>
  <si>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</si>
  <si>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</si>
  <si>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</si>
  <si>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</si>
  <si>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</si>
  <si>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</si>
  <si>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</si>
  <si>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</si>
  <si>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</si>
  <si>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</si>
  <si>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</si>
  <si>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</si>
  <si>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</si>
  <si>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</si>
  <si>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</si>
  <si>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</si>
  <si>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</si>
  <si>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</si>
  <si>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</si>
  <si>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</si>
  <si>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</si>
  <si>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</si>
  <si>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</si>
  <si>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</si>
  <si>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</si>
  <si>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</si>
  <si>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</si>
  <si>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</si>
  <si>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</si>
  <si>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</si>
  <si>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</si>
  <si>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</si>
  <si>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</si>
  <si>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</si>
  <si>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</si>
  <si>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</si>
  <si>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</si>
  <si>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</si>
  <si>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</si>
  <si>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</si>
  <si>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</si>
  <si>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</si>
  <si>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</si>
  <si>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</si>
  <si>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</si>
  <si>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</si>
  <si>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</si>
  <si>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</si>
  <si>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</si>
  <si>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</si>
  <si>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</si>
  <si>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</si>
  <si>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</si>
  <si>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</si>
  <si>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</si>
  <si>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</si>
  <si>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</si>
  <si>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</si>
  <si>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</si>
  <si>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</si>
  <si>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</si>
  <si>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</si>
  <si>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</si>
  <si>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</si>
  <si>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</si>
  <si>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</si>
  <si>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</si>
  <si>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</si>
  <si>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</si>
  <si>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</si>
  <si>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</si>
  <si>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</si>
  <si>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</si>
  <si>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</si>
  <si>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</si>
  <si>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</si>
  <si>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</si>
  <si>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</si>
  <si>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</si>
  <si>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</si>
  <si>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</si>
  <si>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</si>
  <si>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</si>
  <si>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</si>
  <si>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</si>
  <si>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</si>
  <si>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</si>
  <si>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</si>
  <si>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</si>
  <si>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</si>
  <si>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</si>
  <si>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</si>
  <si>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</si>
  <si>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</si>
  <si>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</si>
  <si>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</si>
  <si>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</si>
  <si>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</si>
  <si>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</si>
  <si>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</si>
  <si>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</si>
  <si>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</si>
  <si>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</si>
  <si>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</si>
  <si>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</si>
  <si>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</si>
  <si>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</si>
  <si>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</si>
  <si>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</si>
  <si>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</si>
  <si>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</si>
  <si>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</si>
  <si>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</si>
  <si>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</si>
  <si>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</si>
  <si>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</si>
  <si>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</si>
  <si>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</si>
  <si>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</si>
  <si>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</si>
  <si>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</si>
  <si>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</si>
  <si>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</si>
  <si>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</si>
  <si>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</si>
  <si>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</si>
  <si>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</si>
  <si>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</si>
  <si>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</si>
  <si>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</si>
  <si>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</si>
  <si>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</si>
  <si>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</si>
  <si>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</si>
  <si>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</si>
  <si>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</si>
  <si>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</si>
  <si>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</si>
  <si>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</si>
  <si>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</si>
  <si>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</si>
  <si>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</si>
  <si>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</si>
  <si>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</si>
  <si>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</si>
  <si>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</si>
  <si>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</si>
  <si>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</si>
  <si>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</si>
  <si>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</si>
  <si>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</si>
  <si>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</si>
  <si>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</si>
  <si>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</si>
  <si>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</si>
  <si>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</si>
  <si>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</si>
  <si>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</si>
  <si>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</si>
  <si>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</si>
  <si>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</si>
  <si>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</si>
  <si>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</si>
  <si>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</si>
  <si>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</si>
  <si>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</si>
  <si>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</si>
  <si>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</si>
  <si>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</si>
  <si>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</si>
  <si>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</si>
  <si>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</si>
  <si>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</si>
  <si>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</si>
  <si>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</si>
  <si>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</si>
  <si>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</si>
  <si>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</si>
  <si>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</si>
  <si>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</si>
  <si>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</si>
  <si>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</si>
  <si>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</si>
  <si>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</si>
  <si>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</si>
  <si>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</si>
  <si>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</si>
  <si>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</si>
  <si>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</si>
  <si>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</si>
  <si>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</si>
  <si>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</si>
  <si>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</si>
  <si>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</si>
  <si>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</si>
  <si>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</si>
  <si>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</si>
  <si>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</si>
  <si>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</si>
  <si>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</si>
  <si>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</si>
  <si>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</si>
  <si>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</si>
  <si>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</si>
  <si>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</si>
  <si>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</si>
  <si>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</si>
  <si>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</si>
  <si>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</si>
  <si>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</si>
  <si>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</si>
  <si>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</si>
  <si>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</si>
  <si>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</si>
  <si>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</si>
  <si>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</si>
  <si>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</si>
  <si>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</si>
  <si>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</si>
  <si>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</si>
  <si>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</si>
  <si>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</si>
  <si>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</si>
  <si>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</si>
  <si>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</si>
  <si>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</si>
  <si>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</si>
  <si>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</si>
  <si>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</si>
  <si>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</si>
  <si>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</si>
  <si>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</si>
  <si>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</si>
  <si>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</si>
  <si>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</si>
  <si>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</si>
  <si>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</si>
  <si>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</si>
  <si>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</si>
  <si>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</si>
  <si>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</si>
  <si>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</si>
  <si>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</si>
  <si>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</si>
  <si>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</si>
  <si>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</si>
  <si>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</si>
  <si>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</si>
  <si>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</si>
  <si>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</si>
  <si>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</si>
  <si>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</si>
  <si>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</si>
  <si>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</si>
  <si>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</si>
  <si>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</si>
  <si>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</si>
  <si>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</si>
  <si>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</si>
  <si>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</si>
  <si>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</si>
  <si>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</si>
  <si>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</si>
  <si>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</si>
  <si>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</si>
  <si>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</si>
  <si>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</si>
  <si>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</si>
  <si>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</si>
  <si>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</si>
  <si>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</si>
  <si>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</si>
  <si>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</si>
  <si>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</si>
  <si>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</si>
  <si>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</si>
  <si>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</si>
  <si>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</si>
  <si>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</si>
  <si>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</si>
  <si>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</si>
  <si>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</si>
  <si>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</si>
  <si>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</si>
  <si>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</si>
  <si>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</si>
  <si>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</si>
  <si>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</si>
  <si>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</si>
  <si>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</si>
  <si>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</si>
  <si>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</si>
  <si>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</si>
  <si>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</si>
  <si>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</si>
  <si>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</si>
  <si>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</si>
  <si>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</si>
  <si>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</si>
  <si>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</si>
  <si>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</si>
  <si>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</si>
  <si>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</si>
  <si>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</si>
  <si>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</si>
  <si>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</si>
  <si>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</si>
  <si>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</si>
  <si>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</si>
  <si>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</si>
  <si>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</si>
  <si>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</si>
  <si>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</si>
  <si>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</si>
  <si>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</si>
  <si>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</si>
  <si>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</si>
  <si>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</si>
  <si>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</si>
  <si>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</si>
  <si>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</si>
  <si>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</si>
  <si>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</si>
  <si>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</si>
  <si>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</si>
  <si>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</si>
  <si>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</si>
  <si>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</si>
  <si>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</si>
  <si>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</si>
  <si>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</si>
  <si>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</si>
  <si>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</si>
  <si>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</si>
  <si>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</si>
  <si>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</si>
  <si>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</si>
  <si>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</si>
  <si>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</si>
  <si>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</si>
  <si>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</si>
  <si>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</si>
  <si>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</si>
  <si>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</si>
  <si>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</si>
  <si>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</si>
  <si>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</si>
  <si>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</si>
  <si>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</si>
  <si>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</si>
  <si>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</si>
  <si>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</si>
  <si>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</si>
  <si>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</si>
  <si>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</si>
  <si>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</si>
  <si>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</si>
  <si>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</si>
  <si>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</si>
  <si>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</si>
  <si>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</si>
  <si>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</si>
  <si>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</si>
  <si>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</si>
  <si>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</si>
  <si>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</si>
  <si>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</si>
  <si>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</si>
  <si>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</si>
  <si>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</si>
  <si>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</si>
  <si>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</si>
  <si>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</si>
  <si>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</si>
  <si>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</si>
  <si>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</si>
  <si>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</si>
  <si>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</si>
  <si>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</si>
  <si>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</si>
  <si>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</si>
  <si>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</si>
  <si>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</si>
  <si>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</si>
  <si>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</si>
  <si>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</si>
  <si>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</si>
  <si>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</si>
  <si>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</si>
  <si>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</si>
  <si>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</si>
  <si>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</si>
  <si>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</si>
  <si>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</si>
  <si>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</si>
  <si>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</si>
  <si>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</si>
  <si>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</si>
  <si>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</si>
  <si>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</si>
  <si>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</si>
  <si>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</si>
  <si>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</si>
  <si>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</si>
  <si>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</si>
  <si>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</si>
  <si>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</si>
  <si>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</si>
  <si>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</si>
  <si>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</si>
  <si>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</si>
  <si>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</si>
  <si>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</si>
  <si>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</si>
  <si>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</si>
  <si>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</si>
  <si>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</si>
  <si>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</si>
  <si>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</si>
  <si>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</si>
  <si>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</si>
  <si>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</si>
  <si>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</si>
  <si>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</si>
  <si>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</si>
  <si>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</si>
  <si>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</si>
  <si>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</si>
  <si>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</si>
  <si>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</si>
  <si>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</si>
  <si>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</si>
  <si>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</si>
  <si>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</si>
  <si>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</si>
  <si>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</si>
  <si>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</si>
  <si>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</si>
  <si>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</si>
  <si>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</si>
  <si>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</si>
  <si>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</si>
  <si>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</si>
  <si>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</si>
  <si>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</si>
  <si>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</si>
  <si>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</si>
  <si>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</si>
  <si>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</si>
  <si>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</si>
  <si>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</si>
  <si>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</si>
  <si>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</si>
  <si>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</si>
  <si>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</si>
  <si>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</si>
  <si>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</si>
  <si>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</si>
  <si>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</si>
  <si>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</si>
  <si>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</si>
  <si>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</si>
  <si>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</si>
  <si>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</si>
  <si>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</si>
  <si>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</si>
  <si>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</si>
  <si>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</si>
  <si>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</si>
  <si>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</si>
  <si>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</si>
  <si>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</si>
  <si>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</si>
  <si>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</si>
  <si>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</si>
  <si>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</si>
  <si>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</si>
  <si>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</si>
  <si>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</si>
  <si>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</si>
  <si>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</si>
  <si>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</si>
  <si>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</si>
  <si>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</si>
  <si>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</si>
  <si>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</si>
  <si>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</si>
  <si>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</si>
  <si>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</si>
  <si>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</si>
  <si>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</si>
  <si>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</si>
  <si>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</si>
  <si>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</si>
  <si>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</si>
  <si>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</si>
  <si>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</si>
  <si>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</si>
  <si>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</si>
  <si>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</si>
  <si>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</si>
  <si>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</si>
  <si>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</si>
  <si>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</si>
  <si>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</si>
  <si>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</si>
  <si>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</si>
  <si>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</si>
  <si>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</si>
  <si>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</si>
  <si>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</si>
  <si>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</si>
  <si>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</si>
  <si>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</si>
  <si>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</si>
  <si>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</si>
  <si>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</si>
  <si>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</si>
  <si>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</si>
  <si>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</si>
  <si>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</si>
  <si>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</si>
  <si>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</si>
  <si>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</si>
  <si>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</si>
  <si>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</si>
  <si>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</si>
  <si>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</si>
  <si>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</si>
  <si>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</si>
  <si>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</si>
  <si>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</si>
  <si>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</si>
  <si>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</si>
  <si>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</si>
  <si>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</si>
  <si>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</si>
  <si>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</si>
  <si>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</si>
  <si>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</si>
  <si>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</si>
  <si>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</si>
  <si>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</si>
  <si>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</si>
  <si>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</si>
  <si>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</si>
  <si>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</si>
  <si>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</si>
  <si>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</si>
  <si>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</si>
  <si>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</si>
  <si>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</si>
  <si>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</si>
  <si>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</si>
  <si>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</si>
  <si>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</si>
  <si>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</si>
  <si>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</si>
  <si>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</si>
  <si>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</si>
  <si>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</si>
  <si>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</si>
  <si>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</si>
  <si>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</si>
  <si>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</si>
  <si>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</si>
  <si>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</si>
  <si>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</si>
  <si>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</si>
  <si>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</si>
  <si>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</si>
  <si>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</si>
  <si>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</si>
  <si>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</si>
  <si>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</si>
  <si>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</si>
  <si>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</si>
  <si>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</si>
  <si>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23C766118-01</t>
  </si>
  <si>
    <t>ESTEEM ENDEAVOR</t>
  </si>
  <si>
    <t>Gasoil 0.001%S</t>
  </si>
  <si>
    <t>여수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</si>
  <si>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</si>
  <si>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</si>
  <si>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</si>
  <si>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</si>
  <si>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</si>
  <si>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</si>
  <si>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</si>
  <si>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Gasoil 0.001%S - 145500 Barrels</t>
  </si>
  <si>
    <t>Load JET A-1 - 49500 Barrels</t>
  </si>
  <si>
    <t>Load Unleaded Gasoline 95 Ron - 77500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</si>
  <si>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</si>
  <si>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</si>
  <si>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</si>
  <si>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</si>
  <si>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</si>
  <si>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</si>
  <si>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</si>
  <si>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</si>
  <si>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</si>
  <si>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</si>
  <si>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</si>
  <si>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</si>
  <si>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</si>
  <si>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</si>
  <si>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</si>
  <si>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</si>
  <si>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</si>
  <si>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</si>
  <si>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</si>
  <si>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</si>
  <si>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</si>
  <si>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</si>
  <si>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</si>
  <si>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</si>
  <si>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</si>
  <si>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</si>
  <si>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</si>
  <si>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</si>
  <si>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8 (buy)</t>
  </si>
  <si>
    <t>max = 11 (buy)</t>
  </si>
  <si>
    <t>max = 0.01 (buy)</t>
  </si>
  <si>
    <t>max = 0.20 (buy)</t>
  </si>
  <si>
    <t>min = 46 (buy)</t>
  </si>
  <si>
    <t>Report only</t>
  </si>
  <si>
    <t>max = 9 (buy)</t>
  </si>
  <si>
    <t>max = 1 (buy)</t>
  </si>
  <si>
    <t>min = 0.820 / max = 0.850 (buy)</t>
  </si>
  <si>
    <t>max = 360 (buy)</t>
  </si>
  <si>
    <t>min = 150 / max = 500 (buy)</t>
  </si>
  <si>
    <t>max = 0.05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</si>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</sst>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6" sqref="C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701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699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45239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45055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45331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458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712</v>
      </c>
      <c r="C6" s="123" t="s">
        <v>526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702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530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703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497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712</v>
      </c>
      <c r="C11" s="123" t="s">
        <v>704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500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511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481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712</v>
      </c>
      <c r="C16" s="123" t="s">
        <v>503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712</v>
      </c>
      <c r="C17" s="123" t="s">
        <v>706</v>
      </c>
      <c r="D17" s="57" t="s">
        <v>709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712</v>
      </c>
      <c r="C18" s="123" t="s">
        <v>706</v>
      </c>
      <c r="D18" s="57" t="s">
        <v>710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 t="s">
        <v>712</v>
      </c>
      <c r="C19" s="123" t="s">
        <v>706</v>
      </c>
      <c r="D19" s="57" t="s">
        <v>711</v>
      </c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" customHeight="1">
      <c r="A20" s="80">
        <v>16</v>
      </c>
      <c r="B20" s="122"/>
      <c r="C20" s="123" t="s">
        <v>707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 t="s">
        <v>468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712</v>
      </c>
      <c r="C22" s="123" t="s">
        <v>480</v>
      </c>
      <c r="D22" s="58" t="s">
        <v>709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 t="s">
        <v>712</v>
      </c>
      <c r="C23" s="123" t="s">
        <v>480</v>
      </c>
      <c r="D23" s="57" t="s">
        <v>710</v>
      </c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" customHeight="1">
      <c r="A24" s="80">
        <v>20</v>
      </c>
      <c r="B24" s="122" t="s">
        <v>712</v>
      </c>
      <c r="C24" s="123" t="s">
        <v>480</v>
      </c>
      <c r="D24" s="57" t="s">
        <v>711</v>
      </c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708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712</v>
      </c>
      <c r="C26" s="123" t="s">
        <v>504</v>
      </c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476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 t="s">
        <v>467</v>
      </c>
      <c r="D28" s="57"/>
      <c r="E28" s="94"/>
      <c r="F28" s="59"/>
      <c r="G28" s="60"/>
      <c r="H28" s="203" t="str">
        <f t="shared" si="0"/>
        <v>-</v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 t="s">
        <v>528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 t="s">
        <v>712</v>
      </c>
      <c r="C30" s="123" t="s">
        <v>563</v>
      </c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1</v>
      </c>
    </row>
    <row r="31" spans="1:27" ht="13.9" customHeight="1">
      <c r="A31" s="80">
        <v>27</v>
      </c>
      <c r="B31" s="122"/>
      <c r="C31" s="123" t="s">
        <v>498</v>
      </c>
      <c r="D31" s="57"/>
      <c r="E31" s="94"/>
      <c r="F31" s="59"/>
      <c r="G31" s="60"/>
      <c r="H31" s="203" t="str">
        <f t="shared" si="0"/>
        <v>-</v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Gasoil 0.001%S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21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315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713</v>
      </c>
      <c r="D7" s="260"/>
      <c r="E7" s="126" t="s">
        <v>737</v>
      </c>
      <c r="F7" s="261"/>
      <c r="G7" s="20"/>
      <c r="H7" s="20"/>
      <c r="I7" s="262" t="s">
        <v>759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713</v>
      </c>
      <c r="D8" s="260"/>
      <c r="E8" s="126" t="s">
        <v>738</v>
      </c>
      <c r="F8" s="261"/>
      <c r="G8" s="20"/>
      <c r="H8" s="20"/>
      <c r="I8" s="262" t="s">
        <v>759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714</v>
      </c>
      <c r="D9" s="260"/>
      <c r="E9" s="126" t="s">
        <v>739</v>
      </c>
      <c r="F9" s="263"/>
      <c r="G9" s="20"/>
      <c r="H9" s="20"/>
      <c r="I9" s="262" t="s">
        <v>760</v>
      </c>
      <c r="J9" s="246" t="str">
        <f t="shared" si="16"/>
        <v>*</v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715</v>
      </c>
      <c r="D10" s="260"/>
      <c r="E10" s="126" t="s">
        <v>739</v>
      </c>
      <c r="F10" s="263"/>
      <c r="G10" s="20"/>
      <c r="H10" s="20"/>
      <c r="I10" s="19" t="s">
        <v>761</v>
      </c>
      <c r="J10" s="246" t="str">
        <f t="shared" si="16"/>
        <v>*</v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716</v>
      </c>
      <c r="D11" s="260"/>
      <c r="E11" s="126" t="s">
        <v>740</v>
      </c>
      <c r="F11" s="261"/>
      <c r="G11" s="20"/>
      <c r="H11" s="20"/>
      <c r="I11" s="262" t="s">
        <v>762</v>
      </c>
      <c r="J11" s="246" t="str">
        <f t="shared" si="16"/>
        <v>*</v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716</v>
      </c>
      <c r="D12" s="260"/>
      <c r="E12" s="126" t="s">
        <v>741</v>
      </c>
      <c r="F12" s="261"/>
      <c r="G12" s="20"/>
      <c r="H12" s="20"/>
      <c r="I12" s="262" t="s">
        <v>762</v>
      </c>
      <c r="J12" s="246" t="str">
        <f t="shared" si="16"/>
        <v>*</v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717</v>
      </c>
      <c r="D13" s="260"/>
      <c r="E13" s="126" t="s">
        <v>742</v>
      </c>
      <c r="F13" s="261"/>
      <c r="G13" s="20"/>
      <c r="H13" s="20"/>
      <c r="I13" s="262" t="s">
        <v>762</v>
      </c>
      <c r="J13" s="246" t="str">
        <f t="shared" si="16"/>
        <v>*</v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718</v>
      </c>
      <c r="D14" s="260"/>
      <c r="E14" s="126" t="s">
        <v>743</v>
      </c>
      <c r="F14" s="261"/>
      <c r="G14" s="20"/>
      <c r="H14" s="20"/>
      <c r="I14" s="262" t="s">
        <v>762</v>
      </c>
      <c r="J14" s="246" t="str">
        <f t="shared" si="16"/>
        <v>*</v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719</v>
      </c>
      <c r="D15" s="260"/>
      <c r="E15" s="126" t="s">
        <v>744</v>
      </c>
      <c r="F15" s="261"/>
      <c r="G15" s="20"/>
      <c r="H15" s="20"/>
      <c r="I15" s="262" t="s">
        <v>763</v>
      </c>
      <c r="J15" s="246" t="str">
        <f t="shared" si="16"/>
        <v>*</v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720</v>
      </c>
      <c r="D16" s="260"/>
      <c r="E16" s="126" t="s">
        <v>745</v>
      </c>
      <c r="F16" s="261"/>
      <c r="G16" s="20"/>
      <c r="H16" s="20"/>
      <c r="I16" s="262" t="s">
        <v>764</v>
      </c>
      <c r="J16" s="246" t="str">
        <f t="shared" si="16"/>
        <v>*</v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721</v>
      </c>
      <c r="D17" s="260"/>
      <c r="E17" s="126" t="s">
        <v>746</v>
      </c>
      <c r="F17" s="261"/>
      <c r="G17" s="20"/>
      <c r="H17" s="20"/>
      <c r="I17" s="262" t="s">
        <v>764</v>
      </c>
      <c r="J17" s="246" t="str">
        <f t="shared" si="16"/>
        <v>*</v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722</v>
      </c>
      <c r="D18" s="260"/>
      <c r="E18" s="126" t="s">
        <v>745</v>
      </c>
      <c r="F18" s="261"/>
      <c r="G18" s="20"/>
      <c r="H18" s="20"/>
      <c r="I18" s="262" t="s">
        <v>761</v>
      </c>
      <c r="J18" s="246" t="str">
        <f t="shared" si="16"/>
        <v>*</v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723</v>
      </c>
      <c r="D19" s="260"/>
      <c r="E19" s="126" t="s">
        <v>747</v>
      </c>
      <c r="F19" s="261"/>
      <c r="G19" s="20"/>
      <c r="H19" s="20"/>
      <c r="I19" s="19" t="s">
        <v>761</v>
      </c>
      <c r="J19" s="246" t="str">
        <f t="shared" si="16"/>
        <v>*</v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724</v>
      </c>
      <c r="D20" s="260"/>
      <c r="E20" s="126" t="s">
        <v>748</v>
      </c>
      <c r="F20" s="261"/>
      <c r="G20" s="20"/>
      <c r="H20" s="20"/>
      <c r="I20" s="262" t="s">
        <v>765</v>
      </c>
      <c r="J20" s="246" t="str">
        <f t="shared" si="16"/>
        <v>*</v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 t="s">
        <v>725</v>
      </c>
      <c r="D21" s="260"/>
      <c r="E21" s="126" t="s">
        <v>749</v>
      </c>
      <c r="F21" s="261"/>
      <c r="G21" s="20"/>
      <c r="H21" s="20"/>
      <c r="I21" s="262" t="s">
        <v>764</v>
      </c>
      <c r="J21" s="246" t="str">
        <f t="shared" si="16"/>
        <v>*</v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 t="s">
        <v>726</v>
      </c>
      <c r="D22" s="260"/>
      <c r="E22" s="126" t="s">
        <v>750</v>
      </c>
      <c r="F22" s="261"/>
      <c r="G22" s="20"/>
      <c r="H22" s="20"/>
      <c r="I22" s="19" t="s">
        <v>766</v>
      </c>
      <c r="J22" s="246" t="str">
        <f t="shared" si="16"/>
        <v>*</v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 t="s">
        <v>727</v>
      </c>
      <c r="D23" s="260"/>
      <c r="E23" s="126" t="s">
        <v>751</v>
      </c>
      <c r="F23" s="261"/>
      <c r="G23" s="20"/>
      <c r="H23" s="20"/>
      <c r="I23" s="19" t="s">
        <v>767</v>
      </c>
      <c r="J23" s="246" t="str">
        <f t="shared" si="16"/>
        <v>*</v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 t="s">
        <v>728</v>
      </c>
      <c r="D24" s="260"/>
      <c r="E24" s="126" t="s">
        <v>752</v>
      </c>
      <c r="F24" s="261"/>
      <c r="G24" s="20"/>
      <c r="H24" s="20"/>
      <c r="I24" s="262" t="s">
        <v>739</v>
      </c>
      <c r="J24" s="246" t="str">
        <f t="shared" si="16"/>
        <v>*</v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 t="s">
        <v>729</v>
      </c>
      <c r="D25" s="260"/>
      <c r="E25" s="126" t="s">
        <v>753</v>
      </c>
      <c r="F25" s="261"/>
      <c r="G25" s="20"/>
      <c r="H25" s="20"/>
      <c r="I25" s="262" t="s">
        <v>764</v>
      </c>
      <c r="J25" s="246" t="str">
        <f t="shared" si="16"/>
        <v>*</v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 t="s">
        <v>730</v>
      </c>
      <c r="D26" s="260"/>
      <c r="E26" s="126" t="s">
        <v>754</v>
      </c>
      <c r="F26" s="261"/>
      <c r="G26" s="20"/>
      <c r="H26" s="20"/>
      <c r="I26" s="19" t="s">
        <v>768</v>
      </c>
      <c r="J26" s="246" t="str">
        <f t="shared" si="16"/>
        <v>*</v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 t="s">
        <v>731</v>
      </c>
      <c r="D27" s="260"/>
      <c r="E27" s="126" t="s">
        <v>755</v>
      </c>
      <c r="F27" s="261"/>
      <c r="G27" s="20"/>
      <c r="H27" s="20"/>
      <c r="I27" s="262" t="s">
        <v>769</v>
      </c>
      <c r="J27" s="246" t="str">
        <f t="shared" si="16"/>
        <v>*</v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 t="s">
        <v>732</v>
      </c>
      <c r="D28" s="260"/>
      <c r="E28" s="126" t="s">
        <v>756</v>
      </c>
      <c r="F28" s="261"/>
      <c r="G28" s="20"/>
      <c r="H28" s="20"/>
      <c r="I28" s="262" t="s">
        <v>770</v>
      </c>
      <c r="J28" s="246" t="str">
        <f t="shared" si="16"/>
        <v>*</v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 t="s">
        <v>733</v>
      </c>
      <c r="D29" s="260"/>
      <c r="E29" s="126" t="s">
        <v>757</v>
      </c>
      <c r="F29" s="261"/>
      <c r="G29" s="20"/>
      <c r="H29" s="20"/>
      <c r="I29" s="262" t="s">
        <v>768</v>
      </c>
      <c r="J29" s="246" t="str">
        <f t="shared" si="16"/>
        <v>*</v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 t="s">
        <v>734</v>
      </c>
      <c r="D30" s="260"/>
      <c r="E30" s="126" t="s">
        <v>758</v>
      </c>
      <c r="F30" s="261"/>
      <c r="G30" s="20"/>
      <c r="H30" s="20"/>
      <c r="I30" s="262" t="s">
        <v>771</v>
      </c>
      <c r="J30" s="246" t="str">
        <f t="shared" si="16"/>
        <v>*</v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 t="s">
        <v>735</v>
      </c>
      <c r="D31" s="260"/>
      <c r="E31" s="126" t="s">
        <v>751</v>
      </c>
      <c r="F31" s="261"/>
      <c r="G31" s="20"/>
      <c r="H31" s="20"/>
      <c r="I31" s="262" t="s">
        <v>767</v>
      </c>
      <c r="J31" s="246" t="str">
        <f t="shared" si="16"/>
        <v>*</v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 t="s">
        <v>736</v>
      </c>
      <c r="D32" s="260"/>
      <c r="E32" s="126" t="s">
        <v>745</v>
      </c>
      <c r="F32" s="261"/>
      <c r="G32" s="20"/>
      <c r="H32" s="20"/>
      <c r="I32" s="262" t="s">
        <v>768</v>
      </c>
      <c r="J32" s="246" t="str">
        <f t="shared" si="16"/>
        <v>*</v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 t="s">
        <v>736</v>
      </c>
      <c r="D33" s="260"/>
      <c r="E33" s="126" t="s">
        <v>745</v>
      </c>
      <c r="F33" s="261"/>
      <c r="G33" s="20"/>
      <c r="H33" s="20"/>
      <c r="I33" s="262" t="s">
        <v>768</v>
      </c>
      <c r="J33" s="246" t="str">
        <f t="shared" si="16"/>
        <v>*</v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 t="s">
        <v>736</v>
      </c>
      <c r="D34" s="260"/>
      <c r="E34" s="126" t="s">
        <v>745</v>
      </c>
      <c r="F34" s="261"/>
      <c r="G34" s="20"/>
      <c r="H34" s="20"/>
      <c r="I34" s="262" t="s">
        <v>768</v>
      </c>
      <c r="J34" s="246" t="str">
        <f t="shared" si="16"/>
        <v>*</v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 t="s">
        <v>736</v>
      </c>
      <c r="D35" s="260"/>
      <c r="E35" s="126" t="s">
        <v>745</v>
      </c>
      <c r="F35" s="261"/>
      <c r="G35" s="20"/>
      <c r="H35" s="20"/>
      <c r="I35" s="262" t="s">
        <v>768</v>
      </c>
      <c r="J35" s="246" t="str">
        <f t="shared" si="16"/>
        <v>*</v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 t="s">
        <v>736</v>
      </c>
      <c r="D36" s="260"/>
      <c r="E36" s="126" t="s">
        <v>739</v>
      </c>
      <c r="F36" s="261"/>
      <c r="G36" s="20"/>
      <c r="H36" s="20"/>
      <c r="I36" s="262" t="s">
        <v>768</v>
      </c>
      <c r="J36" s="246" t="str">
        <f t="shared" si="16"/>
        <v>*</v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49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2319A91D-E295-4532-881E-F76A8A4ACFFF}">
      <formula1>"* ,[IP] IP 139,[ASTM] D974,[ASTM] D664"</formula1>
    </dataValidation>
    <dataValidation type="list" allowBlank="1" showInputMessage="1" showErrorMessage="1" sqref="D8" xr:uid="{DE4B33ED-81AA-4A77-A27F-5BB55E021238}">
      <formula1>"* ,[IP] IP 139,[ASTM] D664,[ASTM] D974"</formula1>
    </dataValidation>
    <dataValidation type="list" allowBlank="1" showInputMessage="1" showErrorMessage="1" sqref="D9 D10" xr:uid="{4DB272C3-D987-4663-A858-C105E9DBBE17}">
      <formula1>"* ,[ASTM] D4176 Procedure 2"</formula1>
    </dataValidation>
    <dataValidation type="list" allowBlank="1" showInputMessage="1" showErrorMessage="1" sqref="D11 D12" xr:uid="{98501083-FE74-45DA-B3CA-0A176FAA0F85}">
      <formula1>"* ,[IP] IP 391"</formula1>
    </dataValidation>
    <dataValidation type="list" allowBlank="1" showInputMessage="1" showErrorMessage="1" sqref="D13" xr:uid="{4474B437-6CBC-4D51-978E-BD33AC98C9C5}">
      <formula1>"* ,[IP] IP 4,[ASTM] D482"</formula1>
    </dataValidation>
    <dataValidation type="list" allowBlank="1" showInputMessage="1" showErrorMessage="1" sqref="D14" xr:uid="{35435659-A1B7-4DB0-AF52-EA7E130A71FE}">
      <formula1>"* ,[ASTM] D4530,[ASTM] D189"</formula1>
    </dataValidation>
    <dataValidation type="list" allowBlank="1" showInputMessage="1" showErrorMessage="1" sqref="D15" xr:uid="{81157C4D-DC45-4908-ABCD-1075C38D716C}">
      <formula1>"* ,[ASTM] D4737"</formula1>
    </dataValidation>
    <dataValidation type="list" allowBlank="1" showInputMessage="1" showErrorMessage="1" sqref="D16" xr:uid="{76B46BD1-A1FC-49CA-BD21-E2FC0F65001B}">
      <formula1>"* ,[IP] IP 309"</formula1>
    </dataValidation>
    <dataValidation type="list" allowBlank="1" showInputMessage="1" showErrorMessage="1" sqref="D17" xr:uid="{1278DC11-7608-4714-86A2-FE395B0760DA}">
      <formula1>"* ,[ASTM] D5771,[ASTM] D2500,[ASTM] D5773,[IP] IP 219"</formula1>
    </dataValidation>
    <dataValidation type="list" allowBlank="1" showInputMessage="1" showErrorMessage="1" sqref="D18" xr:uid="{0DF303EF-F23F-41CD-B361-E33B9C3765F4}">
      <formula1>"* ,[IP] IP 196,[ASTM] D6045,[ASTM] D1500"</formula1>
    </dataValidation>
    <dataValidation type="list" allowBlank="1" showInputMessage="1" showErrorMessage="1" sqref="D19" xr:uid="{70241D10-AAD5-4883-BD15-50CA1CC35AF1}">
      <formula1>"* ,[IP] IP 154,[ASTM] D130"</formula1>
    </dataValidation>
    <dataValidation type="list" allowBlank="1" showInputMessage="1" showErrorMessage="1" sqref="D20" xr:uid="{1DF2A4B8-5DC2-4053-A2BD-F5D2B8EF5907}">
      <formula1>"* ,[ASTM] D1298,[ASTM] D4052"</formula1>
    </dataValidation>
    <dataValidation type="list" allowBlank="1" showInputMessage="1" showErrorMessage="1" sqref="D21" xr:uid="{A8BB0930-F995-4512-9336-11DD8240BD3F}">
      <formula1>"* ,[IP] IP 123,[ASTM] D86"</formula1>
    </dataValidation>
    <dataValidation type="list" allowBlank="1" showInputMessage="1" showErrorMessage="1" sqref="D22" xr:uid="{5481384C-3071-42F4-B2AE-24D201F6AECE}">
      <formula1>"* ,[ASTM] D2624"</formula1>
    </dataValidation>
    <dataValidation type="list" allowBlank="1" showInputMessage="1" showErrorMessage="1" sqref="D23" xr:uid="{92438354-A609-430E-9BC2-2F93C32703AE}">
      <formula1>"* ,[EN] EN 14078"</formula1>
    </dataValidation>
    <dataValidation type="list" allowBlank="1" showInputMessage="1" showErrorMessage="1" sqref="D24" xr:uid="{FC72D870-40B8-4803-B41A-7EB4E0C1D504}">
      <formula1>"* ,[IP] IP 387,[ASTM] D2068"</formula1>
    </dataValidation>
    <dataValidation type="list" allowBlank="1" showInputMessage="1" showErrorMessage="1" sqref="D25" xr:uid="{00139494-44A0-4304-AEF1-C33193879554}">
      <formula1>"* ,[ASTM] D93"</formula1>
    </dataValidation>
    <dataValidation type="list" allowBlank="1" showInputMessage="1" showErrorMessage="1" sqref="D26" xr:uid="{8AF2696F-E9A2-4FA9-A680-D94CDDCF6C4E}">
      <formula1>"* ,[IP] IP 570 - Procedure A"</formula1>
    </dataValidation>
    <dataValidation type="list" allowBlank="1" showInputMessage="1" showErrorMessage="1" sqref="D27" xr:uid="{A4D7CC69-8AA4-47CF-9944-D3C271BA8733}">
      <formula1>"* ,[IP] IP 450"</formula1>
    </dataValidation>
    <dataValidation type="list" allowBlank="1" showInputMessage="1" showErrorMessage="1" sqref="D28" xr:uid="{61523E88-8431-4AFE-9C68-8DD323902E58}">
      <formula1>"* ,[ASTM] D2274"</formula1>
    </dataValidation>
    <dataValidation type="list" allowBlank="1" showInputMessage="1" showErrorMessage="1" sqref="D29" xr:uid="{6C0A9688-E5F7-4298-A141-140D1583DD93}">
      <formula1>"* ,[ASTM] D5453,[ASTM] D2622"</formula1>
    </dataValidation>
    <dataValidation type="list" allowBlank="1" showInputMessage="1" showErrorMessage="1" sqref="D30" xr:uid="{F85C9768-C44D-4F36-8536-15303FACECC7}">
      <formula1>"* ,[IP] IP 71 Section 1,[ASTM] D445"</formula1>
    </dataValidation>
    <dataValidation type="list" allowBlank="1" showInputMessage="1" showErrorMessage="1" sqref="D31" xr:uid="{0BF05F82-E3A3-4542-8220-499665723CF3}">
      <formula1>"* ,[ASTM] D2709"</formula1>
    </dataValidation>
    <dataValidation type="list" allowBlank="1" showInputMessage="1" showErrorMessage="1" sqref="D32 D33 D34 D35 D36" xr:uid="{6F7452B9-5694-4056-93CC-00E8D26E3CB1}">
      <formula1>"* ,[OTHER] Additives (declaration)"</formula1>
    </dataValidation>
    <dataValidation type="list" allowBlank="1" showInputMessage="1" showErrorMessage="1" sqref="I7 I8" xr:uid="{2A3FF2CB-B2C2-4024-BC0B-33EB8E20A882}">
      <formula1>"mg KOH/g,mg NaOH/100ml,mg NaOH/g,mg/kg,mg/l"</formula1>
    </dataValidation>
    <dataValidation type="list" allowBlank="1" showInputMessage="1" showErrorMessage="1" sqref="I9" xr:uid="{A2D95321-EEF8-4ED5-BD2E-3FE7447D6DEB}">
      <formula1>"haze no,n/a,pass/fail,rating,visual"</formula1>
    </dataValidation>
    <dataValidation type="list" allowBlank="1" showInputMessage="1" showErrorMessage="1" sqref="I10 I19" xr:uid="{CEB83A43-DC42-433A-BE65-DE7286E11573}">
      <formula1>"rating"</formula1>
    </dataValidation>
    <dataValidation type="list" allowBlank="1" showInputMessage="1" showErrorMessage="1" sqref="I11 I12" xr:uid="{C86B948E-FB49-4CE9-946A-70DEDC53EF42}">
      <formula1>"ppm,%liq vol,%m/m,%mole,%wt,%vol"</formula1>
    </dataValidation>
    <dataValidation type="list" allowBlank="1" showInputMessage="1" showErrorMessage="1" sqref="I13" xr:uid="{7631B088-DD88-4977-A7F3-98AD31397A1C}">
      <formula1>"ppm w/w,%m,%m/m,%wt"</formula1>
    </dataValidation>
    <dataValidation type="list" allowBlank="1" showInputMessage="1" showErrorMessage="1" sqref="I14" xr:uid="{626AF412-190C-4452-93A3-2BDB58CBE409}">
      <formula1>"LT,MT (Vac),%m/m,%wt"</formula1>
    </dataValidation>
    <dataValidation type="list" allowBlank="1" showInputMessage="1" showErrorMessage="1" sqref="I15" xr:uid="{6BF8150E-D752-4D8B-97AC-F8F37233CD5B}">
      <formula1>"calc,rating"</formula1>
    </dataValidation>
    <dataValidation type="list" allowBlank="1" showInputMessage="1" showErrorMessage="1" sqref="I16 I17 I25" xr:uid="{2AD2B098-CD54-4127-8329-48C088D31AE9}">
      <formula1>"°C,°F"</formula1>
    </dataValidation>
    <dataValidation type="list" allowBlank="1" showInputMessage="1" showErrorMessage="1" sqref="I18" xr:uid="{6E2E3DF3-53E2-4DF6-A381-CE9EFCD758BD}">
      <formula1>"haze no,pass/fail,rating,visual"</formula1>
    </dataValidation>
    <dataValidation type="list" allowBlank="1" showInputMessage="1" showErrorMessage="1" sqref="I20" xr:uid="{DBDD08FE-4C3D-43DA-8DF5-4C4C835E5D50}">
      <formula1>"g/ cc,g/l,g/cm³,g/ml,kg/m³,kg/l,n/a,tonne/m³"</formula1>
    </dataValidation>
    <dataValidation type="list" allowBlank="1" showInputMessage="1" showErrorMessage="1" sqref="I21" xr:uid="{7FB50D15-D304-4F95-BD83-AA350AF4C190}">
      <formula1>"°C,°F,%,%vol"</formula1>
    </dataValidation>
    <dataValidation type="list" allowBlank="1" showInputMessage="1" showErrorMessage="1" sqref="I22" xr:uid="{ED2D1CE2-73EA-40A3-A86B-3D4390145EEB}">
      <formula1>"pS/m"</formula1>
    </dataValidation>
    <dataValidation type="list" allowBlank="1" showInputMessage="1" showErrorMessage="1" sqref="I23" xr:uid="{74027CF2-E106-446B-8CE0-5139688E43E6}">
      <formula1>"%vol"</formula1>
    </dataValidation>
    <dataValidation type="list" allowBlank="1" showInputMessage="1" showErrorMessage="1" sqref="I24" xr:uid="{DB126BA5-E775-48F8-8921-DAE1C7910EFD}">
      <formula1>"°C,°F,kPa,ml,n/a"</formula1>
    </dataValidation>
    <dataValidation type="list" allowBlank="1" showInputMessage="1" showErrorMessage="1" sqref="I26" xr:uid="{9F420F8A-C055-4710-8781-DCFD03346F20}">
      <formula1>"mg/kg"</formula1>
    </dataValidation>
    <dataValidation type="list" allowBlank="1" showInputMessage="1" showErrorMessage="1" sqref="I27" xr:uid="{81D2C928-59E5-4235-993D-9D4464968B04}">
      <formula1>"°C,μm,mm"</formula1>
    </dataValidation>
    <dataValidation type="list" allowBlank="1" showInputMessage="1" showErrorMessage="1" sqref="I28" xr:uid="{96B8962B-4EF1-43CF-A72F-41EC8432FA55}">
      <formula1>"g/cm³,g/m³,hrs,kg/m³,mg/100ml,mg/l,mins,rating"</formula1>
    </dataValidation>
    <dataValidation type="list" allowBlank="1" showInputMessage="1" showErrorMessage="1" sqref="I29" xr:uid="{3D26F9C4-7027-45D5-8399-E388EBC42BB0}">
      <formula1>"μg/g,mg/kg,mg/l,ppm,%m,%m/m,%wt"</formula1>
    </dataValidation>
    <dataValidation type="list" allowBlank="1" showInputMessage="1" showErrorMessage="1" sqref="I30" xr:uid="{6C06BF59-40B7-4650-A03C-1707D1AD3930}">
      <formula1>"cSt,Engler,mm²/s,Pa·s,SUS"</formula1>
    </dataValidation>
    <dataValidation type="list" allowBlank="1" showInputMessage="1" showErrorMessage="1" sqref="I31" xr:uid="{A1E452E8-ADB1-4956-B00D-45822356F69E}">
      <formula1>"%wt,%vol"</formula1>
    </dataValidation>
    <dataValidation type="list" allowBlank="1" showInputMessage="1" showErrorMessage="1" sqref="I32 I33 I34 I35 I36" xr:uid="{9AE41893-BF28-4185-90E4-0C3A888AC03D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0CAD59BF-8272-4212-9456-535AE3FDE4E6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311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714</v>
      </c>
      <c r="D7" s="260"/>
      <c r="E7" s="126" t="s">
        <v>739</v>
      </c>
      <c r="F7" s="263"/>
      <c r="G7" s="20"/>
      <c r="H7" s="20"/>
      <c r="I7" s="262" t="s">
        <v>760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715</v>
      </c>
      <c r="D8" s="260"/>
      <c r="E8" s="126" t="s">
        <v>739</v>
      </c>
      <c r="F8" s="263"/>
      <c r="G8" s="20"/>
      <c r="H8" s="20"/>
      <c r="I8" s="19" t="s">
        <v>761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 t="s">
        <v>722</v>
      </c>
      <c r="D9" s="260"/>
      <c r="E9" s="126" t="s">
        <v>745</v>
      </c>
      <c r="F9" s="261"/>
      <c r="G9" s="20"/>
      <c r="H9" s="20"/>
      <c r="I9" s="262" t="s">
        <v>761</v>
      </c>
      <c r="J9" s="246" t="str">
        <f t="shared" si="16"/>
        <v>*</v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 t="s">
        <v>724</v>
      </c>
      <c r="D10" s="260"/>
      <c r="E10" s="126" t="s">
        <v>748</v>
      </c>
      <c r="F10" s="261"/>
      <c r="G10" s="20"/>
      <c r="H10" s="20"/>
      <c r="I10" s="262" t="s">
        <v>765</v>
      </c>
      <c r="J10" s="246" t="str">
        <f t="shared" si="16"/>
        <v>*</v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 t="s">
        <v>729</v>
      </c>
      <c r="D11" s="260"/>
      <c r="E11" s="126" t="s">
        <v>753</v>
      </c>
      <c r="F11" s="261"/>
      <c r="G11" s="20"/>
      <c r="H11" s="20"/>
      <c r="I11" s="262" t="s">
        <v>764</v>
      </c>
      <c r="J11" s="246" t="str">
        <f t="shared" si="16"/>
        <v>*</v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 t="s">
        <v>728</v>
      </c>
      <c r="D12" s="260"/>
      <c r="E12" s="126" t="s">
        <v>752</v>
      </c>
      <c r="F12" s="261"/>
      <c r="G12" s="20"/>
      <c r="H12" s="20"/>
      <c r="I12" s="262" t="s">
        <v>739</v>
      </c>
      <c r="J12" s="246" t="str">
        <f t="shared" si="16"/>
        <v>*</v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15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  <dataValidation type="list" allowBlank="1" showInputMessage="1" showErrorMessage="1" sqref="D7 D8" xr:uid="{57BA3B48-AD15-41AB-A40A-1B75EC879C32}">
      <formula1>"* ,[ASTM] D4176 Procedure 2"</formula1>
    </dataValidation>
    <dataValidation type="list" allowBlank="1" showInputMessage="1" showErrorMessage="1" sqref="D9" xr:uid="{5E143E82-202E-4F94-9048-C5D1BE4EAEE7}">
      <formula1>"* ,[ASTM] D1500,[ASTM] D6045,[IP] IP 196"</formula1>
    </dataValidation>
    <dataValidation type="list" allowBlank="1" showInputMessage="1" showErrorMessage="1" sqref="D10" xr:uid="{BC9DD1D9-57BE-46D8-A090-84A0A653A5D8}">
      <formula1>"* ,[ASTM] D4052,[ASTM] D1298"</formula1>
    </dataValidation>
    <dataValidation type="list" allowBlank="1" showInputMessage="1" showErrorMessage="1" sqref="D11" xr:uid="{36232E0E-2F3C-4851-AB42-0D348C6410CF}">
      <formula1>"* ,[ASTM] D93"</formula1>
    </dataValidation>
    <dataValidation type="list" allowBlank="1" showInputMessage="1" showErrorMessage="1" sqref="D12" xr:uid="{1B6CDBE3-9459-47FE-BB90-E5C39C3F864B}">
      <formula1>"* ,[IP] IP 387,[ASTM] D2068"</formula1>
    </dataValidation>
    <dataValidation type="list" allowBlank="1" showInputMessage="1" showErrorMessage="1" sqref="I7" xr:uid="{401F277F-3248-4A1D-9629-773BA395542A}">
      <formula1>"haze no,n/a,pass/fail,rating,visual"</formula1>
    </dataValidation>
    <dataValidation type="list" allowBlank="1" showInputMessage="1" showErrorMessage="1" sqref="I8" xr:uid="{9EDD31B5-729E-4EBD-85D3-9AE3F0B66D32}">
      <formula1>"rating"</formula1>
    </dataValidation>
    <dataValidation type="list" allowBlank="1" showInputMessage="1" showErrorMessage="1" sqref="I9" xr:uid="{404C77E8-3390-463D-A8F9-28FD7FE216EB}">
      <formula1>"haze no,pass/fail,rating,visual"</formula1>
    </dataValidation>
    <dataValidation type="list" allowBlank="1" showInputMessage="1" showErrorMessage="1" sqref="I10" xr:uid="{1157A42D-E2F0-468D-9F56-634B86FA7AFE}">
      <formula1>"g/cm³,g/ml,kg/m³,kg/l,n/a,tonne/m³,g/l,g/ cc"</formula1>
    </dataValidation>
    <dataValidation type="list" allowBlank="1" showInputMessage="1" showErrorMessage="1" sqref="I11" xr:uid="{0E5F3A1C-142C-488C-A016-DB2C9B0EF702}">
      <formula1>"°C,°F"</formula1>
    </dataValidation>
    <dataValidation type="list" allowBlank="1" showInputMessage="1" showErrorMessage="1" sqref="I12" xr:uid="{4EE033D8-4D59-48E2-A906-332776630229}">
      <formula1>"°C,°F,kPa,ml,n/a"</formula1>
    </dataValidation>
    <dataValidation type="list" allowBlank="1" showInputMessage="1" showErrorMessage="1" sqref="F9 F10 F11 F12" xr:uid="{062BB572-EC1D-406D-8543-C4205292E69E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45239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2023-11-09T08:04:52Z</dcterms:modified>
</cp:coreProperties>
</file>