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3_Chevron (23C766118-01) ESTEEM ENDEAVOR_GASOIL 10PPM_145KB_YOSU (Y) 2\"/>
    </mc:Choice>
  </mc:AlternateContent>
  <xr:revisionPtr revIDLastSave="0" documentId="13_ncr:1_{E8A67928-45CE-478D-90B8-8500A1C4F971}" xr6:coauthVersionLast="45" xr6:coauthVersionMax="47" xr10:uidLastSave="{00000000-0000-0000-0000-000000000000}"/>
  <bookViews>
    <workbookView xWindow="240" yWindow="1860" windowWidth="21600" windowHeight="11385" tabRatio="688" activeTab="4" xr2:uid="{D5438E65-0C1A-43C8-87E4-52658D7A1A13}"/>
  </bookViews>
  <sheets>
    <sheet name="Navarik 설정" sheetId="36" r:id="rId1"/>
    <sheet name="Time" sheetId="4" r:id="rId2"/>
    <sheet name="Quantity" sheetId="1" r:id="rId3"/>
    <sheet name="Quality SET 1" sheetId="2" r:id="rId4"/>
    <sheet name="SET 2" sheetId="128" r:id="rId5"/>
    <sheet name="SET 3" sheetId="129" r:id="rId6"/>
    <sheet name="SET 4" sheetId="130" r:id="rId7"/>
    <sheet name="SET 5" sheetId="131" r:id="rId8"/>
    <sheet name="SET 6" sheetId="132" r:id="rId9"/>
    <sheet name="SET 7" sheetId="133" r:id="rId10"/>
    <sheet name="SET 8" sheetId="134" r:id="rId11"/>
    <sheet name="SET 9" sheetId="135" r:id="rId12"/>
    <sheet name="SET 10" sheetId="136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36" l="1"/>
  <c r="J81" i="136"/>
  <c r="W80" i="136"/>
  <c r="J80" i="136"/>
  <c r="J79" i="136"/>
  <c r="J78" i="136"/>
  <c r="J77" i="136"/>
  <c r="BG76" i="136"/>
  <c r="J76" i="136"/>
  <c r="J75" i="136"/>
  <c r="J74" i="136"/>
  <c r="BO73" i="136"/>
  <c r="W73" i="136"/>
  <c r="J73" i="136"/>
  <c r="J72" i="136"/>
  <c r="J71" i="136"/>
  <c r="AE70" i="136"/>
  <c r="J70" i="136"/>
  <c r="J69" i="136"/>
  <c r="J68" i="136"/>
  <c r="J67" i="136"/>
  <c r="BO66" i="136"/>
  <c r="J66" i="136"/>
  <c r="J65" i="136"/>
  <c r="J64" i="136"/>
  <c r="BW63" i="136"/>
  <c r="AE63" i="136"/>
  <c r="J63" i="136"/>
  <c r="J62" i="136"/>
  <c r="J61" i="136"/>
  <c r="AQ60" i="136"/>
  <c r="AM60" i="136"/>
  <c r="J60" i="136"/>
  <c r="J59" i="136"/>
  <c r="J58" i="136"/>
  <c r="J57" i="136"/>
  <c r="BW56" i="136"/>
  <c r="J56" i="136"/>
  <c r="J55" i="136"/>
  <c r="O54" i="136"/>
  <c r="J54" i="136"/>
  <c r="J53" i="136"/>
  <c r="J52" i="136"/>
  <c r="J51" i="136"/>
  <c r="AY50" i="136"/>
  <c r="AU50" i="136"/>
  <c r="J50" i="136"/>
  <c r="J49" i="136"/>
  <c r="J48" i="136"/>
  <c r="O47" i="136"/>
  <c r="J47" i="136"/>
  <c r="J46" i="136"/>
  <c r="J45" i="136"/>
  <c r="BS44" i="136"/>
  <c r="BG44" i="136"/>
  <c r="J44" i="136"/>
  <c r="W43" i="136"/>
  <c r="J43" i="136"/>
  <c r="J42" i="136"/>
  <c r="BK41" i="136"/>
  <c r="AU41" i="136"/>
  <c r="J41" i="136"/>
  <c r="AQ40" i="136"/>
  <c r="AI40" i="136"/>
  <c r="J40" i="136"/>
  <c r="AE39" i="136"/>
  <c r="AA39" i="136"/>
  <c r="J39" i="136"/>
  <c r="AA38" i="136"/>
  <c r="J38" i="136"/>
  <c r="AE37" i="136"/>
  <c r="W37" i="136"/>
  <c r="J37" i="136"/>
  <c r="AA36" i="136"/>
  <c r="S36" i="136"/>
  <c r="J36" i="136"/>
  <c r="BS35" i="136"/>
  <c r="W35" i="136"/>
  <c r="O35" i="136"/>
  <c r="J35" i="136"/>
  <c r="S34" i="136"/>
  <c r="J34" i="136"/>
  <c r="AA33" i="136"/>
  <c r="W33" i="136"/>
  <c r="J33" i="136"/>
  <c r="AU32" i="136"/>
  <c r="AQ32" i="136"/>
  <c r="AM32" i="136"/>
  <c r="W32" i="136"/>
  <c r="J32" i="136"/>
  <c r="BC31" i="136"/>
  <c r="AU31" i="136"/>
  <c r="J31" i="136"/>
  <c r="BK30" i="136"/>
  <c r="BG30" i="136"/>
  <c r="J30" i="136"/>
  <c r="BW29" i="136"/>
  <c r="BS29" i="136"/>
  <c r="W29" i="136"/>
  <c r="O29" i="136"/>
  <c r="J29" i="136"/>
  <c r="AA28" i="136"/>
  <c r="W28" i="136"/>
  <c r="J28" i="136"/>
  <c r="AU27" i="136"/>
  <c r="AM27" i="136"/>
  <c r="AE27" i="136"/>
  <c r="J27" i="136"/>
  <c r="BS26" i="136"/>
  <c r="AY26" i="136"/>
  <c r="AU26" i="136"/>
  <c r="J26" i="136"/>
  <c r="BS25" i="136"/>
  <c r="BK25" i="136"/>
  <c r="BG25" i="136"/>
  <c r="W25" i="136"/>
  <c r="J25" i="136"/>
  <c r="BW24" i="136"/>
  <c r="BO24" i="136"/>
  <c r="O24" i="136"/>
  <c r="J24" i="136"/>
  <c r="AU23" i="136"/>
  <c r="AA23" i="136"/>
  <c r="W23" i="136"/>
  <c r="J23" i="136"/>
  <c r="AU22" i="136"/>
  <c r="AE22" i="136"/>
  <c r="J22" i="136"/>
  <c r="BS21" i="136"/>
  <c r="AU21" i="136"/>
  <c r="AQ21" i="136"/>
  <c r="J21" i="136"/>
  <c r="BS20" i="136"/>
  <c r="BK20" i="136"/>
  <c r="BG20" i="136"/>
  <c r="W20" i="136"/>
  <c r="J20" i="136"/>
  <c r="BS19" i="136"/>
  <c r="BO19" i="136"/>
  <c r="AU19" i="136"/>
  <c r="W19" i="136"/>
  <c r="S19" i="136"/>
  <c r="O19" i="136"/>
  <c r="J19" i="136"/>
  <c r="BS18" i="136"/>
  <c r="AU18" i="136"/>
  <c r="AM18" i="136"/>
  <c r="AI18" i="136"/>
  <c r="W18" i="136"/>
  <c r="J18" i="136"/>
  <c r="BS17" i="136"/>
  <c r="BC17" i="136"/>
  <c r="W17" i="136"/>
  <c r="J17" i="136"/>
  <c r="BW16" i="136"/>
  <c r="BS16" i="136"/>
  <c r="AU16" i="136"/>
  <c r="AE16" i="136"/>
  <c r="AA16" i="136"/>
  <c r="W16" i="136"/>
  <c r="J16" i="136"/>
  <c r="BS15" i="136"/>
  <c r="AY15" i="136"/>
  <c r="AU15" i="136"/>
  <c r="W15" i="136"/>
  <c r="J15" i="136"/>
  <c r="BS14" i="136"/>
  <c r="BO14" i="136"/>
  <c r="W14" i="136"/>
  <c r="S14" i="136"/>
  <c r="J14" i="136"/>
  <c r="BS13" i="136"/>
  <c r="AU13" i="136"/>
  <c r="AQ13" i="136"/>
  <c r="AM13" i="136"/>
  <c r="W13" i="136"/>
  <c r="J13" i="136"/>
  <c r="BS12" i="136"/>
  <c r="BK12" i="136"/>
  <c r="BG12" i="136"/>
  <c r="AU12" i="136"/>
  <c r="W12" i="136"/>
  <c r="O12" i="136"/>
  <c r="J12" i="136"/>
  <c r="AU11" i="136"/>
  <c r="AE11" i="136"/>
  <c r="J11" i="136"/>
  <c r="BS10" i="136"/>
  <c r="BC10" i="136"/>
  <c r="AY10" i="136"/>
  <c r="AU10" i="136"/>
  <c r="W10" i="136"/>
  <c r="J10" i="136"/>
  <c r="BW9" i="136"/>
  <c r="BS9" i="136"/>
  <c r="AU9" i="136"/>
  <c r="AA9" i="136"/>
  <c r="W9" i="136"/>
  <c r="J9" i="136"/>
  <c r="AU8" i="136"/>
  <c r="AQ8" i="136"/>
  <c r="J8" i="136"/>
  <c r="BS7" i="136"/>
  <c r="BO7" i="136"/>
  <c r="BK7" i="136"/>
  <c r="AU7" i="136"/>
  <c r="W7" i="136"/>
  <c r="S7" i="136"/>
  <c r="O7" i="136"/>
  <c r="J7" i="136"/>
  <c r="BS6" i="136"/>
  <c r="BR6" i="136"/>
  <c r="BQ6" i="136"/>
  <c r="BP6" i="136"/>
  <c r="BN6" i="136"/>
  <c r="BO6" i="136" s="1"/>
  <c r="BM6" i="136"/>
  <c r="BB6" i="136"/>
  <c r="BC6" i="136" s="1"/>
  <c r="BA6" i="136"/>
  <c r="AU6" i="136"/>
  <c r="AT6" i="136"/>
  <c r="AS6" i="136"/>
  <c r="AR6" i="136"/>
  <c r="AP6" i="136"/>
  <c r="AQ6" i="136" s="1"/>
  <c r="AO6" i="136"/>
  <c r="AD6" i="136"/>
  <c r="AE6" i="136" s="1"/>
  <c r="AC6" i="136"/>
  <c r="W6" i="136"/>
  <c r="V6" i="136"/>
  <c r="U6" i="136"/>
  <c r="T6" i="136"/>
  <c r="R6" i="136"/>
  <c r="S6" i="136" s="1"/>
  <c r="Q6" i="136"/>
  <c r="BP5" i="136"/>
  <c r="BS5" i="136" s="1"/>
  <c r="BL5" i="136"/>
  <c r="BO5" i="136" s="1"/>
  <c r="AR5" i="136"/>
  <c r="AU5" i="136" s="1"/>
  <c r="AN5" i="136"/>
  <c r="AQ5" i="136" s="1"/>
  <c r="T5" i="136"/>
  <c r="W5" i="136" s="1"/>
  <c r="P5" i="136"/>
  <c r="S5" i="136" s="1"/>
  <c r="BS4" i="136"/>
  <c r="BW68" i="136" s="1"/>
  <c r="BP4" i="136"/>
  <c r="BO4" i="136"/>
  <c r="BS61" i="136" s="1"/>
  <c r="BL4" i="136"/>
  <c r="BK4" i="136"/>
  <c r="BO54" i="136" s="1"/>
  <c r="BG4" i="136"/>
  <c r="BK47" i="136" s="1"/>
  <c r="BC4" i="136"/>
  <c r="BG31" i="136" s="1"/>
  <c r="AZ4" i="136"/>
  <c r="AY4" i="136"/>
  <c r="AU4" i="136"/>
  <c r="AY42" i="136" s="1"/>
  <c r="AR4" i="136"/>
  <c r="AQ4" i="136"/>
  <c r="AU35" i="136" s="1"/>
  <c r="AN4" i="136"/>
  <c r="AM4" i="136"/>
  <c r="AQ36" i="136" s="1"/>
  <c r="AI4" i="136"/>
  <c r="AM39" i="136" s="1"/>
  <c r="AE4" i="136"/>
  <c r="AI35" i="136" s="1"/>
  <c r="AB4" i="136"/>
  <c r="AA4" i="136"/>
  <c r="W4" i="136"/>
  <c r="AA26" i="136" s="1"/>
  <c r="T4" i="136"/>
  <c r="S4" i="136"/>
  <c r="W68" i="136" s="1"/>
  <c r="P4" i="136"/>
  <c r="O4" i="136"/>
  <c r="S30" i="136" s="1"/>
  <c r="K4" i="136"/>
  <c r="O17" i="136" s="1"/>
  <c r="J4" i="136"/>
  <c r="BT3" i="136"/>
  <c r="BP3" i="136"/>
  <c r="BL3" i="136"/>
  <c r="BH3" i="136"/>
  <c r="BD3" i="136"/>
  <c r="AZ3" i="136"/>
  <c r="AV3" i="136"/>
  <c r="AR3" i="136"/>
  <c r="AN3" i="136"/>
  <c r="AJ3" i="136"/>
  <c r="AF3" i="136"/>
  <c r="AB3" i="136"/>
  <c r="X3" i="136"/>
  <c r="T3" i="136"/>
  <c r="P3" i="136"/>
  <c r="L3" i="136"/>
  <c r="J3" i="136"/>
  <c r="J2" i="136"/>
  <c r="F1" i="136"/>
  <c r="J82" i="135"/>
  <c r="J81" i="135"/>
  <c r="J80" i="135"/>
  <c r="J79" i="135"/>
  <c r="J78" i="135"/>
  <c r="J77" i="135"/>
  <c r="J76" i="135"/>
  <c r="J75" i="135"/>
  <c r="J74" i="135"/>
  <c r="J73" i="135"/>
  <c r="J72" i="135"/>
  <c r="J71" i="135"/>
  <c r="J70" i="135"/>
  <c r="J69" i="135"/>
  <c r="BS68" i="135"/>
  <c r="J68" i="135"/>
  <c r="AQ67" i="135"/>
  <c r="J67" i="135"/>
  <c r="J66" i="135"/>
  <c r="J65" i="135"/>
  <c r="J64" i="135"/>
  <c r="BW63" i="135"/>
  <c r="J63" i="135"/>
  <c r="AU62" i="135"/>
  <c r="J62" i="135"/>
  <c r="J61" i="135"/>
  <c r="J60" i="135"/>
  <c r="J59" i="135"/>
  <c r="AE58" i="135"/>
  <c r="J58" i="135"/>
  <c r="J57" i="135"/>
  <c r="J56" i="135"/>
  <c r="J55" i="135"/>
  <c r="J54" i="135"/>
  <c r="AI53" i="135"/>
  <c r="J53" i="135"/>
  <c r="J52" i="135"/>
  <c r="J51" i="135"/>
  <c r="J50" i="135"/>
  <c r="J49" i="135"/>
  <c r="J48" i="135"/>
  <c r="J47" i="135"/>
  <c r="J46" i="135"/>
  <c r="J45" i="135"/>
  <c r="J44" i="135"/>
  <c r="J43" i="135"/>
  <c r="J42" i="135"/>
  <c r="J41" i="135"/>
  <c r="J40" i="135"/>
  <c r="BG39" i="135"/>
  <c r="J39" i="135"/>
  <c r="J38" i="135"/>
  <c r="J37" i="135"/>
  <c r="AI36" i="135"/>
  <c r="J36" i="135"/>
  <c r="BW35" i="135"/>
  <c r="J35" i="135"/>
  <c r="AU34" i="135"/>
  <c r="W34" i="135"/>
  <c r="J34" i="135"/>
  <c r="AY33" i="135"/>
  <c r="J33" i="135"/>
  <c r="J32" i="135"/>
  <c r="BG31" i="135"/>
  <c r="AI31" i="135"/>
  <c r="J31" i="135"/>
  <c r="AI30" i="135"/>
  <c r="J30" i="135"/>
  <c r="AE29" i="135"/>
  <c r="J29" i="135"/>
  <c r="AI28" i="135"/>
  <c r="S28" i="135"/>
  <c r="J28" i="135"/>
  <c r="S27" i="135"/>
  <c r="J27" i="135"/>
  <c r="AE26" i="135"/>
  <c r="J26" i="135"/>
  <c r="AE25" i="135"/>
  <c r="J25" i="135"/>
  <c r="W24" i="135"/>
  <c r="J24" i="135"/>
  <c r="BW23" i="135"/>
  <c r="AY23" i="135"/>
  <c r="AA23" i="135"/>
  <c r="W23" i="135"/>
  <c r="J23" i="135"/>
  <c r="BS22" i="135"/>
  <c r="J22" i="135"/>
  <c r="BO21" i="135"/>
  <c r="AY21" i="135"/>
  <c r="J21" i="135"/>
  <c r="BS20" i="135"/>
  <c r="BO20" i="135"/>
  <c r="AY20" i="135"/>
  <c r="AA20" i="135"/>
  <c r="W20" i="135"/>
  <c r="J20" i="135"/>
  <c r="BW19" i="135"/>
  <c r="AA19" i="135"/>
  <c r="J19" i="135"/>
  <c r="BG18" i="135"/>
  <c r="AU18" i="135"/>
  <c r="AQ18" i="135"/>
  <c r="J18" i="135"/>
  <c r="BO17" i="135"/>
  <c r="AY17" i="135"/>
  <c r="AE17" i="135"/>
  <c r="S17" i="135"/>
  <c r="J17" i="135"/>
  <c r="BW16" i="135"/>
  <c r="AY16" i="135"/>
  <c r="AA16" i="135"/>
  <c r="J16" i="135"/>
  <c r="BW15" i="135"/>
  <c r="BS15" i="135"/>
  <c r="BG15" i="135"/>
  <c r="AY15" i="135"/>
  <c r="AQ15" i="135"/>
  <c r="AA15" i="135"/>
  <c r="W15" i="135"/>
  <c r="J15" i="135"/>
  <c r="BW14" i="135"/>
  <c r="AY14" i="135"/>
  <c r="AQ14" i="135"/>
  <c r="AE14" i="135"/>
  <c r="AA14" i="135"/>
  <c r="J14" i="135"/>
  <c r="BO13" i="135"/>
  <c r="AY13" i="135"/>
  <c r="AU13" i="135"/>
  <c r="AQ13" i="135"/>
  <c r="S13" i="135"/>
  <c r="J13" i="135"/>
  <c r="BS12" i="135"/>
  <c r="BO12" i="135"/>
  <c r="AI12" i="135"/>
  <c r="W12" i="135"/>
  <c r="S12" i="135"/>
  <c r="J12" i="135"/>
  <c r="BW11" i="135"/>
  <c r="BC11" i="135"/>
  <c r="AQ11" i="135"/>
  <c r="AA11" i="135"/>
  <c r="J11" i="135"/>
  <c r="BW10" i="135"/>
  <c r="BG10" i="135"/>
  <c r="AY10" i="135"/>
  <c r="AA10" i="135"/>
  <c r="J10" i="135"/>
  <c r="BW9" i="135"/>
  <c r="BO9" i="135"/>
  <c r="AY9" i="135"/>
  <c r="AU9" i="135"/>
  <c r="AI9" i="135"/>
  <c r="AE9" i="135"/>
  <c r="AA9" i="135"/>
  <c r="S9" i="135"/>
  <c r="J9" i="135"/>
  <c r="BW8" i="135"/>
  <c r="BO8" i="135"/>
  <c r="BC8" i="135"/>
  <c r="AY8" i="135"/>
  <c r="AA8" i="135"/>
  <c r="S8" i="135"/>
  <c r="J8" i="135"/>
  <c r="BW7" i="135"/>
  <c r="BS7" i="135"/>
  <c r="BO7" i="135"/>
  <c r="AQ7" i="135"/>
  <c r="AA7" i="135"/>
  <c r="W7" i="135"/>
  <c r="S7" i="135"/>
  <c r="J7" i="135"/>
  <c r="BU6" i="135"/>
  <c r="BT6" i="135"/>
  <c r="BP6" i="135"/>
  <c r="BO6" i="135"/>
  <c r="BN6" i="135"/>
  <c r="BM6" i="135"/>
  <c r="BL6" i="135"/>
  <c r="BD6" i="135"/>
  <c r="AW6" i="135"/>
  <c r="AV6" i="135"/>
  <c r="AR6" i="135"/>
  <c r="AQ6" i="135"/>
  <c r="AP6" i="135"/>
  <c r="AO6" i="135"/>
  <c r="AN6" i="135"/>
  <c r="AF6" i="135"/>
  <c r="Y6" i="135"/>
  <c r="X6" i="135"/>
  <c r="T6" i="135"/>
  <c r="S6" i="135"/>
  <c r="R6" i="135"/>
  <c r="Q6" i="135"/>
  <c r="P6" i="135"/>
  <c r="BW5" i="135"/>
  <c r="BT5" i="135"/>
  <c r="BP5" i="135"/>
  <c r="BS5" i="135" s="1"/>
  <c r="BO5" i="135"/>
  <c r="BL5" i="135"/>
  <c r="AY5" i="135"/>
  <c r="AV5" i="135"/>
  <c r="AR5" i="135"/>
  <c r="AU5" i="135" s="1"/>
  <c r="AQ5" i="135"/>
  <c r="AN5" i="135"/>
  <c r="T5" i="135"/>
  <c r="W5" i="135" s="1"/>
  <c r="S5" i="135"/>
  <c r="P5" i="135"/>
  <c r="BS4" i="135"/>
  <c r="BW31" i="135" s="1"/>
  <c r="BO4" i="135"/>
  <c r="BS32" i="135" s="1"/>
  <c r="BL4" i="135"/>
  <c r="BK4" i="135"/>
  <c r="BO37" i="135" s="1"/>
  <c r="BG4" i="135"/>
  <c r="BK78" i="135" s="1"/>
  <c r="BD4" i="135"/>
  <c r="BC4" i="135"/>
  <c r="BG71" i="135" s="1"/>
  <c r="AY4" i="135"/>
  <c r="BC40" i="135" s="1"/>
  <c r="AU4" i="135"/>
  <c r="AY69" i="135" s="1"/>
  <c r="AQ4" i="135"/>
  <c r="AU16" i="135" s="1"/>
  <c r="AN4" i="135"/>
  <c r="AM4" i="135"/>
  <c r="AQ16" i="135" s="1"/>
  <c r="AI4" i="135"/>
  <c r="AF4" i="135"/>
  <c r="AE4" i="135"/>
  <c r="AI18" i="135" s="1"/>
  <c r="AA4" i="135"/>
  <c r="AE70" i="135" s="1"/>
  <c r="W4" i="135"/>
  <c r="AA22" i="135" s="1"/>
  <c r="S4" i="135"/>
  <c r="W68" i="135" s="1"/>
  <c r="P4" i="135"/>
  <c r="O4" i="135"/>
  <c r="S73" i="135" s="1"/>
  <c r="K4" i="135"/>
  <c r="O78" i="135" s="1"/>
  <c r="J4" i="135"/>
  <c r="BT3" i="135"/>
  <c r="BP3" i="135"/>
  <c r="BL3" i="135"/>
  <c r="BH3" i="135"/>
  <c r="BD3" i="135"/>
  <c r="AZ3" i="135"/>
  <c r="AV3" i="135"/>
  <c r="AR3" i="135"/>
  <c r="AN3" i="135"/>
  <c r="AJ3" i="135"/>
  <c r="AF3" i="135"/>
  <c r="AB3" i="135"/>
  <c r="X3" i="135"/>
  <c r="T3" i="135"/>
  <c r="P3" i="135"/>
  <c r="L3" i="135"/>
  <c r="J3" i="135"/>
  <c r="J2" i="135"/>
  <c r="F1" i="135"/>
  <c r="J82" i="134"/>
  <c r="J81" i="134"/>
  <c r="BS80" i="134"/>
  <c r="AI80" i="134"/>
  <c r="J80" i="134"/>
  <c r="J79" i="134"/>
  <c r="BO78" i="134"/>
  <c r="AA78" i="134"/>
  <c r="S78" i="134"/>
  <c r="J78" i="134"/>
  <c r="J77" i="134"/>
  <c r="J76" i="134"/>
  <c r="BW75" i="134"/>
  <c r="J75" i="134"/>
  <c r="J74" i="134"/>
  <c r="BS73" i="134"/>
  <c r="W73" i="134"/>
  <c r="J73" i="134"/>
  <c r="J72" i="134"/>
  <c r="BG71" i="134"/>
  <c r="O71" i="134"/>
  <c r="J71" i="134"/>
  <c r="J70" i="134"/>
  <c r="J69" i="134"/>
  <c r="BS68" i="134"/>
  <c r="AI68" i="134"/>
  <c r="J68" i="134"/>
  <c r="J67" i="134"/>
  <c r="BO66" i="134"/>
  <c r="AA66" i="134"/>
  <c r="S66" i="134"/>
  <c r="J66" i="134"/>
  <c r="J65" i="134"/>
  <c r="J64" i="134"/>
  <c r="BW63" i="134"/>
  <c r="J63" i="134"/>
  <c r="J62" i="134"/>
  <c r="BS61" i="134"/>
  <c r="W61" i="134"/>
  <c r="J61" i="134"/>
  <c r="J60" i="134"/>
  <c r="BG59" i="134"/>
  <c r="O59" i="134"/>
  <c r="J59" i="134"/>
  <c r="J58" i="134"/>
  <c r="J57" i="134"/>
  <c r="BS56" i="134"/>
  <c r="AI56" i="134"/>
  <c r="J56" i="134"/>
  <c r="J55" i="134"/>
  <c r="BO54" i="134"/>
  <c r="AA54" i="134"/>
  <c r="S54" i="134"/>
  <c r="J54" i="134"/>
  <c r="J53" i="134"/>
  <c r="J52" i="134"/>
  <c r="BW51" i="134"/>
  <c r="J51" i="134"/>
  <c r="J50" i="134"/>
  <c r="BS49" i="134"/>
  <c r="W49" i="134"/>
  <c r="J49" i="134"/>
  <c r="J48" i="134"/>
  <c r="BG47" i="134"/>
  <c r="O47" i="134"/>
  <c r="J47" i="134"/>
  <c r="J46" i="134"/>
  <c r="J45" i="134"/>
  <c r="BS44" i="134"/>
  <c r="AI44" i="134"/>
  <c r="J44" i="134"/>
  <c r="J43" i="134"/>
  <c r="BO42" i="134"/>
  <c r="AA42" i="134"/>
  <c r="S42" i="134"/>
  <c r="J42" i="134"/>
  <c r="J41" i="134"/>
  <c r="J40" i="134"/>
  <c r="BW39" i="134"/>
  <c r="J39" i="134"/>
  <c r="J38" i="134"/>
  <c r="BS37" i="134"/>
  <c r="W37" i="134"/>
  <c r="J37" i="134"/>
  <c r="J36" i="134"/>
  <c r="BG35" i="134"/>
  <c r="O35" i="134"/>
  <c r="J35" i="134"/>
  <c r="J34" i="134"/>
  <c r="J33" i="134"/>
  <c r="BS32" i="134"/>
  <c r="AI32" i="134"/>
  <c r="J32" i="134"/>
  <c r="J31" i="134"/>
  <c r="BW30" i="134"/>
  <c r="BO30" i="134"/>
  <c r="BK30" i="134"/>
  <c r="J30" i="134"/>
  <c r="AU29" i="134"/>
  <c r="AM29" i="134"/>
  <c r="AI29" i="134"/>
  <c r="J29" i="134"/>
  <c r="AM28" i="134"/>
  <c r="W28" i="134"/>
  <c r="S28" i="134"/>
  <c r="J28" i="134"/>
  <c r="J27" i="134"/>
  <c r="BW26" i="134"/>
  <c r="J26" i="134"/>
  <c r="BS25" i="134"/>
  <c r="BO25" i="134"/>
  <c r="J25" i="134"/>
  <c r="BW24" i="134"/>
  <c r="BO24" i="134"/>
  <c r="BG24" i="134"/>
  <c r="O24" i="134"/>
  <c r="J24" i="134"/>
  <c r="BW23" i="134"/>
  <c r="BS23" i="134"/>
  <c r="AA23" i="134"/>
  <c r="S23" i="134"/>
  <c r="O23" i="134"/>
  <c r="J23" i="134"/>
  <c r="AM22" i="134"/>
  <c r="S22" i="134"/>
  <c r="J22" i="134"/>
  <c r="AY21" i="134"/>
  <c r="AI21" i="134"/>
  <c r="J21" i="134"/>
  <c r="AU20" i="134"/>
  <c r="AQ20" i="134"/>
  <c r="J20" i="134"/>
  <c r="BS19" i="134"/>
  <c r="BK19" i="134"/>
  <c r="BG19" i="134"/>
  <c r="W19" i="134"/>
  <c r="O19" i="134"/>
  <c r="J19" i="134"/>
  <c r="AQ18" i="134"/>
  <c r="AI18" i="134"/>
  <c r="J18" i="134"/>
  <c r="BK17" i="134"/>
  <c r="AY17" i="134"/>
  <c r="O17" i="134"/>
  <c r="J17" i="134"/>
  <c r="BW16" i="134"/>
  <c r="BS16" i="134"/>
  <c r="AI16" i="134"/>
  <c r="AA16" i="134"/>
  <c r="W16" i="134"/>
  <c r="J16" i="134"/>
  <c r="AU15" i="134"/>
  <c r="AQ15" i="134"/>
  <c r="J15" i="134"/>
  <c r="BW14" i="134"/>
  <c r="BO14" i="134"/>
  <c r="BK14" i="134"/>
  <c r="AA14" i="134"/>
  <c r="S14" i="134"/>
  <c r="O14" i="134"/>
  <c r="J14" i="134"/>
  <c r="AY13" i="134"/>
  <c r="AU13" i="134"/>
  <c r="AM13" i="134"/>
  <c r="AI13" i="134"/>
  <c r="J13" i="134"/>
  <c r="BS12" i="134"/>
  <c r="BO12" i="134"/>
  <c r="BG12" i="134"/>
  <c r="W12" i="134"/>
  <c r="S12" i="134"/>
  <c r="J12" i="134"/>
  <c r="BW11" i="134"/>
  <c r="AY11" i="134"/>
  <c r="AM11" i="134"/>
  <c r="AA11" i="134"/>
  <c r="J11" i="134"/>
  <c r="BW10" i="134"/>
  <c r="BS10" i="134"/>
  <c r="BG10" i="134"/>
  <c r="AY10" i="134"/>
  <c r="AU10" i="134"/>
  <c r="AA10" i="134"/>
  <c r="W10" i="134"/>
  <c r="J10" i="134"/>
  <c r="BW9" i="134"/>
  <c r="BS9" i="134"/>
  <c r="BO9" i="134"/>
  <c r="AU9" i="134"/>
  <c r="AA9" i="134"/>
  <c r="W9" i="134"/>
  <c r="S9" i="134"/>
  <c r="J9" i="134"/>
  <c r="BW8" i="134"/>
  <c r="AY8" i="134"/>
  <c r="AU8" i="134"/>
  <c r="AQ8" i="134"/>
  <c r="AM8" i="134"/>
  <c r="AA8" i="134"/>
  <c r="J8" i="134"/>
  <c r="BW7" i="134"/>
  <c r="BS7" i="134"/>
  <c r="BK7" i="134"/>
  <c r="BG7" i="134"/>
  <c r="AU7" i="134"/>
  <c r="AA7" i="134"/>
  <c r="W7" i="134"/>
  <c r="O7" i="134"/>
  <c r="J7" i="134"/>
  <c r="BU6" i="134"/>
  <c r="BR6" i="134"/>
  <c r="BS6" i="134" s="1"/>
  <c r="BP6" i="134"/>
  <c r="BM6" i="134"/>
  <c r="BL6" i="134"/>
  <c r="BD6" i="134"/>
  <c r="AW6" i="134"/>
  <c r="AT6" i="134"/>
  <c r="AU6" i="134" s="1"/>
  <c r="AR6" i="134"/>
  <c r="AO6" i="134"/>
  <c r="AN6" i="134"/>
  <c r="AF6" i="134"/>
  <c r="Y6" i="134"/>
  <c r="V6" i="134"/>
  <c r="W6" i="134" s="1"/>
  <c r="T6" i="134"/>
  <c r="Q6" i="134"/>
  <c r="P6" i="134"/>
  <c r="BT5" i="134"/>
  <c r="BW5" i="134" s="1"/>
  <c r="BP5" i="134"/>
  <c r="BS5" i="134" s="1"/>
  <c r="BH5" i="134"/>
  <c r="BK5" i="134" s="1"/>
  <c r="AV5" i="134"/>
  <c r="AY5" i="134" s="1"/>
  <c r="AR5" i="134"/>
  <c r="AU5" i="134" s="1"/>
  <c r="AJ5" i="134"/>
  <c r="AM5" i="134" s="1"/>
  <c r="X5" i="134"/>
  <c r="AA5" i="134" s="1"/>
  <c r="T5" i="134"/>
  <c r="W5" i="134" s="1"/>
  <c r="L5" i="134"/>
  <c r="O5" i="134" s="1"/>
  <c r="BS4" i="134"/>
  <c r="BW27" i="134" s="1"/>
  <c r="BP4" i="134"/>
  <c r="BO4" i="134"/>
  <c r="BS15" i="134" s="1"/>
  <c r="BK4" i="134"/>
  <c r="BO76" i="134" s="1"/>
  <c r="BG4" i="134"/>
  <c r="BK78" i="134" s="1"/>
  <c r="BD4" i="134"/>
  <c r="BC4" i="134"/>
  <c r="AY4" i="134"/>
  <c r="AU4" i="134"/>
  <c r="AY72" i="134" s="1"/>
  <c r="AR4" i="134"/>
  <c r="AQ4" i="134"/>
  <c r="AU79" i="134" s="1"/>
  <c r="AM4" i="134"/>
  <c r="AQ31" i="134" s="1"/>
  <c r="AI4" i="134"/>
  <c r="AM21" i="134" s="1"/>
  <c r="AF4" i="134"/>
  <c r="AE4" i="134"/>
  <c r="AA4" i="134"/>
  <c r="AE17" i="134" s="1"/>
  <c r="W4" i="134"/>
  <c r="AA75" i="134" s="1"/>
  <c r="T4" i="134"/>
  <c r="S4" i="134"/>
  <c r="W20" i="134" s="1"/>
  <c r="O4" i="134"/>
  <c r="S25" i="134" s="1"/>
  <c r="K4" i="134"/>
  <c r="O12" i="134" s="1"/>
  <c r="J4" i="134"/>
  <c r="BT3" i="134"/>
  <c r="BP3" i="134"/>
  <c r="BL3" i="134"/>
  <c r="BH3" i="134"/>
  <c r="BD3" i="134"/>
  <c r="AZ3" i="134"/>
  <c r="AV3" i="134"/>
  <c r="AR3" i="134"/>
  <c r="AN3" i="134"/>
  <c r="AJ3" i="134"/>
  <c r="AF3" i="134"/>
  <c r="AB3" i="134"/>
  <c r="X3" i="134"/>
  <c r="T3" i="134"/>
  <c r="P3" i="134"/>
  <c r="L3" i="134"/>
  <c r="J3" i="134"/>
  <c r="J2" i="134"/>
  <c r="F1" i="134"/>
  <c r="J82" i="133"/>
  <c r="J81" i="133"/>
  <c r="J80" i="133"/>
  <c r="J79" i="133"/>
  <c r="J78" i="133"/>
  <c r="J77" i="133"/>
  <c r="J76" i="133"/>
  <c r="J75" i="133"/>
  <c r="J74" i="133"/>
  <c r="S73" i="133"/>
  <c r="J73" i="133"/>
  <c r="J72" i="133"/>
  <c r="J71" i="133"/>
  <c r="J70" i="133"/>
  <c r="J69" i="133"/>
  <c r="J68" i="133"/>
  <c r="J67" i="133"/>
  <c r="J66" i="133"/>
  <c r="J65" i="133"/>
  <c r="J64" i="133"/>
  <c r="J63" i="133"/>
  <c r="J62" i="133"/>
  <c r="J61" i="133"/>
  <c r="J60" i="133"/>
  <c r="BG59" i="133"/>
  <c r="J59" i="133"/>
  <c r="J58" i="133"/>
  <c r="AY57" i="133"/>
  <c r="J57" i="133"/>
  <c r="J56" i="133"/>
  <c r="J55" i="133"/>
  <c r="W54" i="133"/>
  <c r="J54" i="133"/>
  <c r="AI53" i="133"/>
  <c r="J53" i="133"/>
  <c r="AY52" i="133"/>
  <c r="J52" i="133"/>
  <c r="BG51" i="133"/>
  <c r="J51" i="133"/>
  <c r="AI50" i="133"/>
  <c r="J50" i="133"/>
  <c r="BC49" i="133"/>
  <c r="J49" i="133"/>
  <c r="BG48" i="133"/>
  <c r="AU48" i="133"/>
  <c r="J48" i="133"/>
  <c r="BG47" i="133"/>
  <c r="AE47" i="133"/>
  <c r="J47" i="133"/>
  <c r="S46" i="133"/>
  <c r="J46" i="133"/>
  <c r="BG45" i="133"/>
  <c r="J45" i="133"/>
  <c r="BG44" i="133"/>
  <c r="J44" i="133"/>
  <c r="J43" i="133"/>
  <c r="BG42" i="133"/>
  <c r="AI42" i="133"/>
  <c r="J42" i="133"/>
  <c r="AQ41" i="133"/>
  <c r="J41" i="133"/>
  <c r="AY40" i="133"/>
  <c r="J40" i="133"/>
  <c r="BW39" i="133"/>
  <c r="BG39" i="133"/>
  <c r="AI39" i="133"/>
  <c r="AA39" i="133"/>
  <c r="J39" i="133"/>
  <c r="BG38" i="133"/>
  <c r="J38" i="133"/>
  <c r="AY37" i="133"/>
  <c r="AA37" i="133"/>
  <c r="J37" i="133"/>
  <c r="BW36" i="133"/>
  <c r="AY36" i="133"/>
  <c r="J36" i="133"/>
  <c r="BO35" i="133"/>
  <c r="AI35" i="133"/>
  <c r="J35" i="133"/>
  <c r="BW34" i="133"/>
  <c r="J34" i="133"/>
  <c r="BW33" i="133"/>
  <c r="BG33" i="133"/>
  <c r="AI33" i="133"/>
  <c r="J33" i="133"/>
  <c r="BG32" i="133"/>
  <c r="AI32" i="133"/>
  <c r="J32" i="133"/>
  <c r="BC31" i="133"/>
  <c r="AA31" i="133"/>
  <c r="J31" i="133"/>
  <c r="BG30" i="133"/>
  <c r="AI30" i="133"/>
  <c r="J30" i="133"/>
  <c r="BW29" i="133"/>
  <c r="BO29" i="133"/>
  <c r="BG29" i="133"/>
  <c r="AY29" i="133"/>
  <c r="AA29" i="133"/>
  <c r="J29" i="133"/>
  <c r="BW28" i="133"/>
  <c r="AY28" i="133"/>
  <c r="AA28" i="133"/>
  <c r="S28" i="133"/>
  <c r="J28" i="133"/>
  <c r="BW27" i="133"/>
  <c r="AY27" i="133"/>
  <c r="AI27" i="133"/>
  <c r="J27" i="133"/>
  <c r="AQ26" i="133"/>
  <c r="J26" i="133"/>
  <c r="BW25" i="133"/>
  <c r="BG25" i="133"/>
  <c r="BC25" i="133"/>
  <c r="AI25" i="133"/>
  <c r="J25" i="133"/>
  <c r="BW24" i="133"/>
  <c r="BG24" i="133"/>
  <c r="AY24" i="133"/>
  <c r="AA24" i="133"/>
  <c r="J24" i="133"/>
  <c r="BW23" i="133"/>
  <c r="BG23" i="133"/>
  <c r="AY23" i="133"/>
  <c r="AI23" i="133"/>
  <c r="AA23" i="133"/>
  <c r="S23" i="133"/>
  <c r="J23" i="133"/>
  <c r="AY22" i="133"/>
  <c r="AE22" i="133"/>
  <c r="J22" i="133"/>
  <c r="BG21" i="133"/>
  <c r="AY21" i="133"/>
  <c r="AU21" i="133"/>
  <c r="AI21" i="133"/>
  <c r="AA21" i="133"/>
  <c r="J21" i="133"/>
  <c r="BG20" i="133"/>
  <c r="AY20" i="133"/>
  <c r="AI20" i="133"/>
  <c r="J20" i="133"/>
  <c r="BW19" i="133"/>
  <c r="BG19" i="133"/>
  <c r="AI19" i="133"/>
  <c r="AA19" i="133"/>
  <c r="J19" i="133"/>
  <c r="BW18" i="133"/>
  <c r="AY18" i="133"/>
  <c r="AU18" i="133"/>
  <c r="AI18" i="133"/>
  <c r="AA18" i="133"/>
  <c r="J18" i="133"/>
  <c r="BW17" i="133"/>
  <c r="BO17" i="133"/>
  <c r="AY17" i="133"/>
  <c r="AI17" i="133"/>
  <c r="AA17" i="133"/>
  <c r="S17" i="133"/>
  <c r="J17" i="133"/>
  <c r="BW16" i="133"/>
  <c r="BG16" i="133"/>
  <c r="AI16" i="133"/>
  <c r="AA16" i="133"/>
  <c r="J16" i="133"/>
  <c r="BW15" i="133"/>
  <c r="BG15" i="133"/>
  <c r="AA15" i="133"/>
  <c r="J15" i="133"/>
  <c r="BW14" i="133"/>
  <c r="BG14" i="133"/>
  <c r="AI14" i="133"/>
  <c r="AE14" i="133"/>
  <c r="AA14" i="133"/>
  <c r="J14" i="133"/>
  <c r="BG13" i="133"/>
  <c r="AY13" i="133"/>
  <c r="AI13" i="133"/>
  <c r="J13" i="133"/>
  <c r="BW12" i="133"/>
  <c r="BS12" i="133"/>
  <c r="BG12" i="133"/>
  <c r="AY12" i="133"/>
  <c r="AA12" i="133"/>
  <c r="W12" i="133"/>
  <c r="J12" i="133"/>
  <c r="BW11" i="133"/>
  <c r="BG11" i="133"/>
  <c r="AY11" i="133"/>
  <c r="AQ11" i="133"/>
  <c r="AA11" i="133"/>
  <c r="J11" i="133"/>
  <c r="BG10" i="133"/>
  <c r="AY10" i="133"/>
  <c r="AI10" i="133"/>
  <c r="J10" i="133"/>
  <c r="BG9" i="133"/>
  <c r="AY9" i="133"/>
  <c r="AI9" i="133"/>
  <c r="J9" i="133"/>
  <c r="BW8" i="133"/>
  <c r="BG8" i="133"/>
  <c r="BC8" i="133"/>
  <c r="AY8" i="133"/>
  <c r="AI8" i="133"/>
  <c r="AA8" i="133"/>
  <c r="J8" i="133"/>
  <c r="BW7" i="133"/>
  <c r="BG7" i="133"/>
  <c r="BC7" i="133"/>
  <c r="AI7" i="133"/>
  <c r="AA7" i="133"/>
  <c r="J7" i="133"/>
  <c r="BU6" i="133"/>
  <c r="BT6" i="133"/>
  <c r="BP6" i="133"/>
  <c r="BF6" i="133"/>
  <c r="BG6" i="133" s="1"/>
  <c r="BE6" i="133"/>
  <c r="BD6" i="133"/>
  <c r="BA6" i="133"/>
  <c r="AW6" i="133"/>
  <c r="AV6" i="133"/>
  <c r="AR6" i="133"/>
  <c r="AH6" i="133"/>
  <c r="AI6" i="133" s="1"/>
  <c r="AG6" i="133"/>
  <c r="AF6" i="133"/>
  <c r="AC6" i="133"/>
  <c r="Y6" i="133"/>
  <c r="X6" i="133"/>
  <c r="T6" i="133"/>
  <c r="BT5" i="133"/>
  <c r="BW5" i="133" s="1"/>
  <c r="BP5" i="133"/>
  <c r="BS5" i="133" s="1"/>
  <c r="BG5" i="133"/>
  <c r="BD5" i="133"/>
  <c r="AZ5" i="133"/>
  <c r="BC5" i="133" s="1"/>
  <c r="AV5" i="133"/>
  <c r="AY5" i="133" s="1"/>
  <c r="AR5" i="133"/>
  <c r="AU5" i="133" s="1"/>
  <c r="AI5" i="133"/>
  <c r="AF5" i="133"/>
  <c r="AB5" i="133"/>
  <c r="AE5" i="133" s="1"/>
  <c r="X5" i="133"/>
  <c r="AA5" i="133" s="1"/>
  <c r="T5" i="133"/>
  <c r="W5" i="133" s="1"/>
  <c r="BT4" i="133"/>
  <c r="BS4" i="133"/>
  <c r="BW48" i="133" s="1"/>
  <c r="BO4" i="133"/>
  <c r="BS54" i="133" s="1"/>
  <c r="BK4" i="133"/>
  <c r="BO73" i="133" s="1"/>
  <c r="BG4" i="133"/>
  <c r="BK45" i="133" s="1"/>
  <c r="BD4" i="133"/>
  <c r="BC4" i="133"/>
  <c r="BG71" i="133" s="1"/>
  <c r="AZ4" i="133"/>
  <c r="AY4" i="133"/>
  <c r="BC38" i="133" s="1"/>
  <c r="AV4" i="133"/>
  <c r="AU4" i="133"/>
  <c r="AY46" i="133" s="1"/>
  <c r="AQ4" i="133"/>
  <c r="AU74" i="133" s="1"/>
  <c r="AM4" i="133"/>
  <c r="AQ27" i="133" s="1"/>
  <c r="AI4" i="133"/>
  <c r="AM36" i="133" s="1"/>
  <c r="AF4" i="133"/>
  <c r="AE4" i="133"/>
  <c r="AI65" i="133" s="1"/>
  <c r="AB4" i="133"/>
  <c r="AA4" i="133"/>
  <c r="AE43" i="133" s="1"/>
  <c r="X4" i="133"/>
  <c r="W4" i="133"/>
  <c r="AA75" i="133" s="1"/>
  <c r="S4" i="133"/>
  <c r="W29" i="133" s="1"/>
  <c r="O4" i="133"/>
  <c r="S29" i="133" s="1"/>
  <c r="K4" i="133"/>
  <c r="O52" i="133" s="1"/>
  <c r="J4" i="133"/>
  <c r="BT3" i="133"/>
  <c r="BP3" i="133"/>
  <c r="BL3" i="133"/>
  <c r="BH3" i="133"/>
  <c r="BD3" i="133"/>
  <c r="AZ3" i="133"/>
  <c r="AV3" i="133"/>
  <c r="AR3" i="133"/>
  <c r="AN3" i="133"/>
  <c r="AJ3" i="133"/>
  <c r="AF3" i="133"/>
  <c r="AB3" i="133"/>
  <c r="X3" i="133"/>
  <c r="T3" i="133"/>
  <c r="P3" i="133"/>
  <c r="L3" i="133"/>
  <c r="J3" i="133"/>
  <c r="J2" i="133"/>
  <c r="F1" i="133"/>
  <c r="J82" i="132"/>
  <c r="AY81" i="132"/>
  <c r="J81" i="132"/>
  <c r="J80" i="132"/>
  <c r="J79" i="132"/>
  <c r="O78" i="132"/>
  <c r="J78" i="132"/>
  <c r="J77" i="132"/>
  <c r="J76" i="132"/>
  <c r="J75" i="132"/>
  <c r="J74" i="132"/>
  <c r="J73" i="132"/>
  <c r="J72" i="132"/>
  <c r="J71" i="132"/>
  <c r="J70" i="132"/>
  <c r="J69" i="132"/>
  <c r="J68" i="132"/>
  <c r="J67" i="132"/>
  <c r="J66" i="132"/>
  <c r="J65" i="132"/>
  <c r="J64" i="132"/>
  <c r="BW63" i="132"/>
  <c r="AA63" i="132"/>
  <c r="J63" i="132"/>
  <c r="J62" i="132"/>
  <c r="BW61" i="132"/>
  <c r="AA61" i="132"/>
  <c r="J61" i="132"/>
  <c r="BW60" i="132"/>
  <c r="AY60" i="132"/>
  <c r="J60" i="132"/>
  <c r="BW59" i="132"/>
  <c r="AA59" i="132"/>
  <c r="J59" i="132"/>
  <c r="AU58" i="132"/>
  <c r="J58" i="132"/>
  <c r="AY57" i="132"/>
  <c r="J57" i="132"/>
  <c r="J56" i="132"/>
  <c r="BW55" i="132"/>
  <c r="AA55" i="132"/>
  <c r="J55" i="132"/>
  <c r="BW54" i="132"/>
  <c r="AY54" i="132"/>
  <c r="J54" i="132"/>
  <c r="BW53" i="132"/>
  <c r="AY53" i="132"/>
  <c r="J53" i="132"/>
  <c r="AM52" i="132"/>
  <c r="J52" i="132"/>
  <c r="BW51" i="132"/>
  <c r="BK51" i="132"/>
  <c r="AA51" i="132"/>
  <c r="J51" i="132"/>
  <c r="AU50" i="132"/>
  <c r="J50" i="132"/>
  <c r="AY49" i="132"/>
  <c r="AA49" i="132"/>
  <c r="J49" i="132"/>
  <c r="BW48" i="132"/>
  <c r="AA48" i="132"/>
  <c r="W48" i="132"/>
  <c r="J48" i="132"/>
  <c r="AA47" i="132"/>
  <c r="J47" i="132"/>
  <c r="BK46" i="132"/>
  <c r="O46" i="132"/>
  <c r="J46" i="132"/>
  <c r="AY45" i="132"/>
  <c r="AM45" i="132"/>
  <c r="J45" i="132"/>
  <c r="BK44" i="132"/>
  <c r="J44" i="132"/>
  <c r="BW43" i="132"/>
  <c r="AY43" i="132"/>
  <c r="AA43" i="132"/>
  <c r="J43" i="132"/>
  <c r="BW42" i="132"/>
  <c r="AY42" i="132"/>
  <c r="AA42" i="132"/>
  <c r="J42" i="132"/>
  <c r="BW41" i="132"/>
  <c r="AY41" i="132"/>
  <c r="AA41" i="132"/>
  <c r="W41" i="132"/>
  <c r="J41" i="132"/>
  <c r="BK40" i="132"/>
  <c r="AM40" i="132"/>
  <c r="O40" i="132"/>
  <c r="J40" i="132"/>
  <c r="BK39" i="132"/>
  <c r="AA39" i="132"/>
  <c r="O39" i="132"/>
  <c r="J39" i="132"/>
  <c r="AM38" i="132"/>
  <c r="J38" i="132"/>
  <c r="BW37" i="132"/>
  <c r="AA37" i="132"/>
  <c r="J37" i="132"/>
  <c r="BW36" i="132"/>
  <c r="AY36" i="132"/>
  <c r="AU36" i="132"/>
  <c r="AA36" i="132"/>
  <c r="J36" i="132"/>
  <c r="BW35" i="132"/>
  <c r="AY35" i="132"/>
  <c r="AQ35" i="132"/>
  <c r="J35" i="132"/>
  <c r="AY34" i="132"/>
  <c r="AM34" i="132"/>
  <c r="O34" i="132"/>
  <c r="J34" i="132"/>
  <c r="AY33" i="132"/>
  <c r="AM33" i="132"/>
  <c r="O33" i="132"/>
  <c r="J33" i="132"/>
  <c r="AM32" i="132"/>
  <c r="O32" i="132"/>
  <c r="J32" i="132"/>
  <c r="BW31" i="132"/>
  <c r="AY31" i="132"/>
  <c r="AQ31" i="132"/>
  <c r="AM31" i="132"/>
  <c r="O31" i="132"/>
  <c r="J31" i="132"/>
  <c r="BW30" i="132"/>
  <c r="AY30" i="132"/>
  <c r="AM30" i="132"/>
  <c r="AA30" i="132"/>
  <c r="O30" i="132"/>
  <c r="J30" i="132"/>
  <c r="BW29" i="132"/>
  <c r="AY29" i="132"/>
  <c r="AA29" i="132"/>
  <c r="J29" i="132"/>
  <c r="BW28" i="132"/>
  <c r="BS28" i="132"/>
  <c r="BK28" i="132"/>
  <c r="AM28" i="132"/>
  <c r="AA28" i="132"/>
  <c r="O28" i="132"/>
  <c r="J28" i="132"/>
  <c r="BW27" i="132"/>
  <c r="BK27" i="132"/>
  <c r="AY27" i="132"/>
  <c r="AA27" i="132"/>
  <c r="J27" i="132"/>
  <c r="BK26" i="132"/>
  <c r="AM26" i="132"/>
  <c r="O26" i="132"/>
  <c r="J26" i="132"/>
  <c r="BW25" i="132"/>
  <c r="AY25" i="132"/>
  <c r="AM25" i="132"/>
  <c r="AA25" i="132"/>
  <c r="O25" i="132"/>
  <c r="J25" i="132"/>
  <c r="BW24" i="132"/>
  <c r="BK24" i="132"/>
  <c r="AY24" i="132"/>
  <c r="AA24" i="132"/>
  <c r="J24" i="132"/>
  <c r="BW23" i="132"/>
  <c r="BS23" i="132"/>
  <c r="AA23" i="132"/>
  <c r="J23" i="132"/>
  <c r="BW22" i="132"/>
  <c r="BS22" i="132"/>
  <c r="AY22" i="132"/>
  <c r="AU22" i="132"/>
  <c r="AA22" i="132"/>
  <c r="W22" i="132"/>
  <c r="O22" i="132"/>
  <c r="J22" i="132"/>
  <c r="BK21" i="132"/>
  <c r="AY21" i="132"/>
  <c r="AM21" i="132"/>
  <c r="AA21" i="132"/>
  <c r="O21" i="132"/>
  <c r="J21" i="132"/>
  <c r="AY20" i="132"/>
  <c r="AU20" i="132"/>
  <c r="W20" i="132"/>
  <c r="J20" i="132"/>
  <c r="BW19" i="132"/>
  <c r="BS19" i="132"/>
  <c r="BK19" i="132"/>
  <c r="AY19" i="132"/>
  <c r="AM19" i="132"/>
  <c r="AA19" i="132"/>
  <c r="O19" i="132"/>
  <c r="J19" i="132"/>
  <c r="BW18" i="132"/>
  <c r="BK18" i="132"/>
  <c r="AY18" i="132"/>
  <c r="AM18" i="132"/>
  <c r="AA18" i="132"/>
  <c r="O18" i="132"/>
  <c r="J18" i="132"/>
  <c r="BW17" i="132"/>
  <c r="BK17" i="132"/>
  <c r="AY17" i="132"/>
  <c r="AM17" i="132"/>
  <c r="AA17" i="132"/>
  <c r="O17" i="132"/>
  <c r="J17" i="132"/>
  <c r="BW16" i="132"/>
  <c r="BS16" i="132"/>
  <c r="AY16" i="132"/>
  <c r="AA16" i="132"/>
  <c r="W16" i="132"/>
  <c r="J16" i="132"/>
  <c r="BW15" i="132"/>
  <c r="BS15" i="132"/>
  <c r="BK15" i="132"/>
  <c r="AY15" i="132"/>
  <c r="AM15" i="132"/>
  <c r="AA15" i="132"/>
  <c r="W15" i="132"/>
  <c r="O15" i="132"/>
  <c r="J15" i="132"/>
  <c r="BW14" i="132"/>
  <c r="BS14" i="132"/>
  <c r="BK14" i="132"/>
  <c r="AY14" i="132"/>
  <c r="AQ14" i="132"/>
  <c r="AA14" i="132"/>
  <c r="W14" i="132"/>
  <c r="O14" i="132"/>
  <c r="J14" i="132"/>
  <c r="BK13" i="132"/>
  <c r="AY13" i="132"/>
  <c r="AQ13" i="132"/>
  <c r="AM13" i="132"/>
  <c r="O13" i="132"/>
  <c r="J13" i="132"/>
  <c r="BW12" i="132"/>
  <c r="BK12" i="132"/>
  <c r="AY12" i="132"/>
  <c r="AM12" i="132"/>
  <c r="AA12" i="132"/>
  <c r="O12" i="132"/>
  <c r="J12" i="132"/>
  <c r="BW11" i="132"/>
  <c r="BK11" i="132"/>
  <c r="BC11" i="132"/>
  <c r="AY11" i="132"/>
  <c r="AM11" i="132"/>
  <c r="AA11" i="132"/>
  <c r="O11" i="132"/>
  <c r="J11" i="132"/>
  <c r="BW10" i="132"/>
  <c r="BC10" i="132"/>
  <c r="AY10" i="132"/>
  <c r="AU10" i="132"/>
  <c r="AA10" i="132"/>
  <c r="J10" i="132"/>
  <c r="BW9" i="132"/>
  <c r="BO9" i="132"/>
  <c r="BK9" i="132"/>
  <c r="AY9" i="132"/>
  <c r="AU9" i="132"/>
  <c r="AM9" i="132"/>
  <c r="AA9" i="132"/>
  <c r="O9" i="132"/>
  <c r="J9" i="132"/>
  <c r="BW8" i="132"/>
  <c r="BK8" i="132"/>
  <c r="AY8" i="132"/>
  <c r="AU8" i="132"/>
  <c r="AM8" i="132"/>
  <c r="AA8" i="132"/>
  <c r="O8" i="132"/>
  <c r="J8" i="132"/>
  <c r="BW7" i="132"/>
  <c r="BK7" i="132"/>
  <c r="AM7" i="132"/>
  <c r="AA7" i="132"/>
  <c r="O7" i="132"/>
  <c r="J7" i="132"/>
  <c r="BU6" i="132"/>
  <c r="BT6" i="132"/>
  <c r="BI6" i="132"/>
  <c r="BH6" i="132"/>
  <c r="BB6" i="132"/>
  <c r="BC6" i="132" s="1"/>
  <c r="AW6" i="132"/>
  <c r="AV6" i="132"/>
  <c r="AP6" i="132"/>
  <c r="AQ6" i="132" s="1"/>
  <c r="AN6" i="132"/>
  <c r="AK6" i="132"/>
  <c r="AJ6" i="132"/>
  <c r="Y6" i="132"/>
  <c r="X6" i="132"/>
  <c r="M6" i="132"/>
  <c r="L6" i="132"/>
  <c r="BW5" i="132"/>
  <c r="BT5" i="132"/>
  <c r="BH5" i="132"/>
  <c r="BK5" i="132" s="1"/>
  <c r="AV5" i="132"/>
  <c r="AY5" i="132" s="1"/>
  <c r="AJ5" i="132"/>
  <c r="AM5" i="132" s="1"/>
  <c r="X5" i="132"/>
  <c r="AA5" i="132" s="1"/>
  <c r="L5" i="132"/>
  <c r="O5" i="132" s="1"/>
  <c r="BT4" i="132"/>
  <c r="BS4" i="132"/>
  <c r="BW75" i="132" s="1"/>
  <c r="BO4" i="132"/>
  <c r="BS47" i="132" s="1"/>
  <c r="BK4" i="132"/>
  <c r="BH4" i="132"/>
  <c r="BG4" i="132"/>
  <c r="BK57" i="132" s="1"/>
  <c r="BC4" i="132"/>
  <c r="AY4" i="132"/>
  <c r="BC20" i="132" s="1"/>
  <c r="AV4" i="132"/>
  <c r="AU4" i="132"/>
  <c r="AY47" i="132" s="1"/>
  <c r="AQ4" i="132"/>
  <c r="AU54" i="132" s="1"/>
  <c r="AM4" i="132"/>
  <c r="AQ43" i="132" s="1"/>
  <c r="AJ4" i="132"/>
  <c r="AI4" i="132"/>
  <c r="AM48" i="132" s="1"/>
  <c r="AE4" i="132"/>
  <c r="AI11" i="132" s="1"/>
  <c r="AA4" i="132"/>
  <c r="AE18" i="132" s="1"/>
  <c r="X4" i="132"/>
  <c r="W4" i="132"/>
  <c r="AA75" i="132" s="1"/>
  <c r="S4" i="132"/>
  <c r="W35" i="132" s="1"/>
  <c r="O4" i="132"/>
  <c r="S19" i="132" s="1"/>
  <c r="L4" i="132"/>
  <c r="K4" i="132"/>
  <c r="O54" i="132" s="1"/>
  <c r="J4" i="132"/>
  <c r="BT3" i="132"/>
  <c r="BP3" i="132"/>
  <c r="BL3" i="132"/>
  <c r="BH3" i="132"/>
  <c r="BD3" i="132"/>
  <c r="AZ3" i="132"/>
  <c r="AV3" i="132"/>
  <c r="AR3" i="132"/>
  <c r="AN3" i="132"/>
  <c r="AJ3" i="132"/>
  <c r="AF3" i="132"/>
  <c r="AB3" i="132"/>
  <c r="X3" i="132"/>
  <c r="T3" i="132"/>
  <c r="P3" i="132"/>
  <c r="L3" i="132"/>
  <c r="J3" i="132"/>
  <c r="J2" i="132"/>
  <c r="F1" i="132"/>
  <c r="J82" i="131"/>
  <c r="J81" i="131"/>
  <c r="J80" i="131"/>
  <c r="AU79" i="131"/>
  <c r="J79" i="131"/>
  <c r="J78" i="131"/>
  <c r="J77" i="131"/>
  <c r="BG76" i="131"/>
  <c r="BC76" i="131"/>
  <c r="J76" i="131"/>
  <c r="J75" i="131"/>
  <c r="J74" i="131"/>
  <c r="W73" i="131"/>
  <c r="S73" i="131"/>
  <c r="J73" i="131"/>
  <c r="J72" i="131"/>
  <c r="J71" i="131"/>
  <c r="J70" i="131"/>
  <c r="BC69" i="131"/>
  <c r="J69" i="131"/>
  <c r="J68" i="131"/>
  <c r="J67" i="131"/>
  <c r="BO66" i="131"/>
  <c r="BK66" i="131"/>
  <c r="J66" i="131"/>
  <c r="J65" i="131"/>
  <c r="J64" i="131"/>
  <c r="AE63" i="131"/>
  <c r="J63" i="131"/>
  <c r="J62" i="131"/>
  <c r="J61" i="131"/>
  <c r="AM60" i="131"/>
  <c r="J60" i="131"/>
  <c r="J59" i="131"/>
  <c r="J58" i="131"/>
  <c r="J57" i="131"/>
  <c r="BS56" i="131"/>
  <c r="J56" i="131"/>
  <c r="J55" i="131"/>
  <c r="J54" i="131"/>
  <c r="AM53" i="131"/>
  <c r="J53" i="131"/>
  <c r="J52" i="131"/>
  <c r="J51" i="131"/>
  <c r="AU50" i="131"/>
  <c r="J50" i="131"/>
  <c r="J49" i="131"/>
  <c r="J48" i="131"/>
  <c r="O47" i="131"/>
  <c r="J47" i="131"/>
  <c r="J46" i="131"/>
  <c r="J45" i="131"/>
  <c r="J44" i="131"/>
  <c r="AU43" i="131"/>
  <c r="J43" i="131"/>
  <c r="J42" i="131"/>
  <c r="J41" i="131"/>
  <c r="BG40" i="131"/>
  <c r="BC40" i="131"/>
  <c r="J40" i="131"/>
  <c r="J39" i="131"/>
  <c r="J38" i="131"/>
  <c r="BS37" i="131"/>
  <c r="AI37" i="131"/>
  <c r="W37" i="131"/>
  <c r="J37" i="131"/>
  <c r="J36" i="131"/>
  <c r="O35" i="131"/>
  <c r="J35" i="131"/>
  <c r="J34" i="131"/>
  <c r="J33" i="131"/>
  <c r="BS32" i="131"/>
  <c r="AM32" i="131"/>
  <c r="J32" i="131"/>
  <c r="J31" i="131"/>
  <c r="AE30" i="131"/>
  <c r="S30" i="131"/>
  <c r="J30" i="131"/>
  <c r="W29" i="131"/>
  <c r="J29" i="131"/>
  <c r="BS28" i="131"/>
  <c r="J28" i="131"/>
  <c r="BC27" i="131"/>
  <c r="AQ27" i="131"/>
  <c r="J27" i="131"/>
  <c r="AI26" i="131"/>
  <c r="J26" i="131"/>
  <c r="S25" i="131"/>
  <c r="J25" i="131"/>
  <c r="S24" i="131"/>
  <c r="J24" i="131"/>
  <c r="W23" i="131"/>
  <c r="S23" i="131"/>
  <c r="J23" i="131"/>
  <c r="AE22" i="131"/>
  <c r="J22" i="131"/>
  <c r="AU21" i="131"/>
  <c r="AI21" i="131"/>
  <c r="AE21" i="131"/>
  <c r="J21" i="131"/>
  <c r="AM20" i="131"/>
  <c r="AI20" i="131"/>
  <c r="J20" i="131"/>
  <c r="BC19" i="131"/>
  <c r="J19" i="131"/>
  <c r="BS18" i="131"/>
  <c r="W18" i="131"/>
  <c r="J18" i="131"/>
  <c r="BC17" i="131"/>
  <c r="AU17" i="131"/>
  <c r="AQ17" i="131"/>
  <c r="J17" i="131"/>
  <c r="BO16" i="131"/>
  <c r="BK16" i="131"/>
  <c r="S16" i="131"/>
  <c r="O16" i="131"/>
  <c r="J16" i="131"/>
  <c r="AU15" i="131"/>
  <c r="AM15" i="131"/>
  <c r="AI15" i="131"/>
  <c r="J15" i="131"/>
  <c r="BO14" i="131"/>
  <c r="BG14" i="131"/>
  <c r="BC14" i="131"/>
  <c r="S14" i="131"/>
  <c r="J14" i="131"/>
  <c r="AM13" i="131"/>
  <c r="AE13" i="131"/>
  <c r="J13" i="131"/>
  <c r="BS12" i="131"/>
  <c r="BG12" i="131"/>
  <c r="AU12" i="131"/>
  <c r="W12" i="131"/>
  <c r="J12" i="131"/>
  <c r="BS11" i="131"/>
  <c r="BO11" i="131"/>
  <c r="AQ11" i="131"/>
  <c r="AE11" i="131"/>
  <c r="W11" i="131"/>
  <c r="S11" i="131"/>
  <c r="J11" i="131"/>
  <c r="BO10" i="131"/>
  <c r="BC10" i="131"/>
  <c r="AQ10" i="131"/>
  <c r="AM10" i="131"/>
  <c r="S10" i="131"/>
  <c r="J10" i="131"/>
  <c r="BS9" i="131"/>
  <c r="BK9" i="131"/>
  <c r="BG9" i="131"/>
  <c r="AE9" i="131"/>
  <c r="W9" i="131"/>
  <c r="O9" i="131"/>
  <c r="J9" i="131"/>
  <c r="BC8" i="131"/>
  <c r="AU8" i="131"/>
  <c r="AQ8" i="131"/>
  <c r="AI8" i="131"/>
  <c r="AE8" i="131"/>
  <c r="J8" i="131"/>
  <c r="BS7" i="131"/>
  <c r="BO7" i="131"/>
  <c r="BK7" i="131"/>
  <c r="BC7" i="131"/>
  <c r="AE7" i="131"/>
  <c r="W7" i="131"/>
  <c r="S7" i="131"/>
  <c r="O7" i="131"/>
  <c r="J7" i="131"/>
  <c r="BQ6" i="131"/>
  <c r="BP6" i="131"/>
  <c r="BN6" i="131"/>
  <c r="BO6" i="131" s="1"/>
  <c r="BM6" i="131"/>
  <c r="BJ6" i="131"/>
  <c r="BK6" i="131" s="1"/>
  <c r="BB6" i="131"/>
  <c r="BC6" i="131" s="1"/>
  <c r="BA6" i="131"/>
  <c r="AS6" i="131"/>
  <c r="AR6" i="131"/>
  <c r="AP6" i="131"/>
  <c r="AQ6" i="131" s="1"/>
  <c r="AO6" i="131"/>
  <c r="AL6" i="131"/>
  <c r="AM6" i="131" s="1"/>
  <c r="AD6" i="131"/>
  <c r="AE6" i="131" s="1"/>
  <c r="AC6" i="131"/>
  <c r="U6" i="131"/>
  <c r="T6" i="131"/>
  <c r="R6" i="131"/>
  <c r="S6" i="131" s="1"/>
  <c r="Q6" i="131"/>
  <c r="N6" i="131"/>
  <c r="O6" i="131" s="1"/>
  <c r="BP5" i="131"/>
  <c r="BS5" i="131" s="1"/>
  <c r="BL5" i="131"/>
  <c r="BO5" i="131" s="1"/>
  <c r="BD5" i="131"/>
  <c r="BG5" i="131" s="1"/>
  <c r="AR5" i="131"/>
  <c r="AU5" i="131" s="1"/>
  <c r="AN5" i="131"/>
  <c r="AQ5" i="131" s="1"/>
  <c r="AF5" i="131"/>
  <c r="AI5" i="131" s="1"/>
  <c r="T5" i="131"/>
  <c r="W5" i="131" s="1"/>
  <c r="P5" i="131"/>
  <c r="S5" i="131" s="1"/>
  <c r="BS4" i="131"/>
  <c r="BW12" i="131" s="1"/>
  <c r="BO4" i="131"/>
  <c r="BS29" i="131" s="1"/>
  <c r="BK4" i="131"/>
  <c r="BO33" i="131" s="1"/>
  <c r="BG4" i="131"/>
  <c r="BK26" i="131" s="1"/>
  <c r="BC4" i="131"/>
  <c r="BG35" i="131" s="1"/>
  <c r="AZ4" i="131"/>
  <c r="AY4" i="131"/>
  <c r="AU4" i="131"/>
  <c r="AY74" i="131" s="1"/>
  <c r="AQ4" i="131"/>
  <c r="AU62" i="131" s="1"/>
  <c r="AM4" i="131"/>
  <c r="AQ55" i="131" s="1"/>
  <c r="AI4" i="131"/>
  <c r="AM48" i="131" s="1"/>
  <c r="AE4" i="131"/>
  <c r="AI77" i="131" s="1"/>
  <c r="AB4" i="131"/>
  <c r="AA4" i="131"/>
  <c r="W4" i="131"/>
  <c r="AA35" i="131" s="1"/>
  <c r="S4" i="131"/>
  <c r="W49" i="131" s="1"/>
  <c r="O4" i="131"/>
  <c r="S78" i="131" s="1"/>
  <c r="K4" i="131"/>
  <c r="O71" i="131" s="1"/>
  <c r="J4" i="131"/>
  <c r="BT3" i="131"/>
  <c r="BP3" i="131"/>
  <c r="BL3" i="131"/>
  <c r="BH3" i="131"/>
  <c r="BD3" i="131"/>
  <c r="AZ3" i="131"/>
  <c r="AV3" i="131"/>
  <c r="AR3" i="131"/>
  <c r="AN3" i="131"/>
  <c r="AJ3" i="131"/>
  <c r="AF3" i="131"/>
  <c r="AB3" i="131"/>
  <c r="X3" i="131"/>
  <c r="T3" i="131"/>
  <c r="P3" i="131"/>
  <c r="L3" i="131"/>
  <c r="J3" i="131"/>
  <c r="J2" i="131"/>
  <c r="F1" i="131"/>
  <c r="J82" i="130"/>
  <c r="J81" i="130"/>
  <c r="J80" i="130"/>
  <c r="J79" i="130"/>
  <c r="J78" i="130"/>
  <c r="J77" i="130"/>
  <c r="J76" i="130"/>
  <c r="J75" i="130"/>
  <c r="J74" i="130"/>
  <c r="BO73" i="130"/>
  <c r="S73" i="130"/>
  <c r="J73" i="130"/>
  <c r="J72" i="130"/>
  <c r="J71" i="130"/>
  <c r="J70" i="130"/>
  <c r="J69" i="130"/>
  <c r="J68" i="130"/>
  <c r="J67" i="130"/>
  <c r="J66" i="130"/>
  <c r="J65" i="130"/>
  <c r="J64" i="130"/>
  <c r="J63" i="130"/>
  <c r="J62" i="130"/>
  <c r="AE61" i="130"/>
  <c r="J61" i="130"/>
  <c r="BC60" i="130"/>
  <c r="J60" i="130"/>
  <c r="S59" i="130"/>
  <c r="J59" i="130"/>
  <c r="BO58" i="130"/>
  <c r="AQ58" i="130"/>
  <c r="AE58" i="130"/>
  <c r="J58" i="130"/>
  <c r="BO57" i="130"/>
  <c r="BG57" i="130"/>
  <c r="S57" i="130"/>
  <c r="J57" i="130"/>
  <c r="BC56" i="130"/>
  <c r="J56" i="130"/>
  <c r="AQ55" i="130"/>
  <c r="AE55" i="130"/>
  <c r="J55" i="130"/>
  <c r="AE54" i="130"/>
  <c r="J54" i="130"/>
  <c r="BO53" i="130"/>
  <c r="S53" i="130"/>
  <c r="J53" i="130"/>
  <c r="BC52" i="130"/>
  <c r="S52" i="130"/>
  <c r="J52" i="130"/>
  <c r="AQ51" i="130"/>
  <c r="J51" i="130"/>
  <c r="BG50" i="130"/>
  <c r="AE50" i="130"/>
  <c r="J50" i="130"/>
  <c r="BO49" i="130"/>
  <c r="BC49" i="130"/>
  <c r="S49" i="130"/>
  <c r="J49" i="130"/>
  <c r="AE48" i="130"/>
  <c r="J48" i="130"/>
  <c r="AQ47" i="130"/>
  <c r="J47" i="130"/>
  <c r="BO46" i="130"/>
  <c r="AE46" i="130"/>
  <c r="S46" i="130"/>
  <c r="J46" i="130"/>
  <c r="S45" i="130"/>
  <c r="J45" i="130"/>
  <c r="BC44" i="130"/>
  <c r="J44" i="130"/>
  <c r="BC43" i="130"/>
  <c r="AE43" i="130"/>
  <c r="J43" i="130"/>
  <c r="BC42" i="130"/>
  <c r="J42" i="130"/>
  <c r="AQ41" i="130"/>
  <c r="AI41" i="130"/>
  <c r="S41" i="130"/>
  <c r="J41" i="130"/>
  <c r="AQ40" i="130"/>
  <c r="J40" i="130"/>
  <c r="BO39" i="130"/>
  <c r="S39" i="130"/>
  <c r="J39" i="130"/>
  <c r="BC38" i="130"/>
  <c r="AE38" i="130"/>
  <c r="J38" i="130"/>
  <c r="BC37" i="130"/>
  <c r="S37" i="130"/>
  <c r="J37" i="130"/>
  <c r="J36" i="130"/>
  <c r="BC35" i="130"/>
  <c r="S35" i="130"/>
  <c r="J35" i="130"/>
  <c r="S34" i="130"/>
  <c r="J34" i="130"/>
  <c r="BO33" i="130"/>
  <c r="S33" i="130"/>
  <c r="J33" i="130"/>
  <c r="BO32" i="130"/>
  <c r="AQ32" i="130"/>
  <c r="AE32" i="130"/>
  <c r="J32" i="130"/>
  <c r="BC31" i="130"/>
  <c r="AQ31" i="130"/>
  <c r="S31" i="130"/>
  <c r="J31" i="130"/>
  <c r="BC30" i="130"/>
  <c r="AE30" i="130"/>
  <c r="J30" i="130"/>
  <c r="BO29" i="130"/>
  <c r="BG29" i="130"/>
  <c r="AQ29" i="130"/>
  <c r="S29" i="130"/>
  <c r="J29" i="130"/>
  <c r="BC28" i="130"/>
  <c r="S28" i="130"/>
  <c r="J28" i="130"/>
  <c r="BO27" i="130"/>
  <c r="AQ27" i="130"/>
  <c r="AI27" i="130"/>
  <c r="J27" i="130"/>
  <c r="BO26" i="130"/>
  <c r="BC26" i="130"/>
  <c r="AQ26" i="130"/>
  <c r="S26" i="130"/>
  <c r="J26" i="130"/>
  <c r="BO25" i="130"/>
  <c r="BG25" i="130"/>
  <c r="BC25" i="130"/>
  <c r="AQ25" i="130"/>
  <c r="AI25" i="130"/>
  <c r="AE25" i="130"/>
  <c r="J25" i="130"/>
  <c r="BS24" i="130"/>
  <c r="BO24" i="130"/>
  <c r="BC24" i="130"/>
  <c r="AE24" i="130"/>
  <c r="S24" i="130"/>
  <c r="J24" i="130"/>
  <c r="BO23" i="130"/>
  <c r="BC23" i="130"/>
  <c r="AQ23" i="130"/>
  <c r="AI23" i="130"/>
  <c r="AE23" i="130"/>
  <c r="S23" i="130"/>
  <c r="J23" i="130"/>
  <c r="BG22" i="130"/>
  <c r="BC22" i="130"/>
  <c r="AE22" i="130"/>
  <c r="S22" i="130"/>
  <c r="J22" i="130"/>
  <c r="BO21" i="130"/>
  <c r="AQ21" i="130"/>
  <c r="S21" i="130"/>
  <c r="J21" i="130"/>
  <c r="BO20" i="130"/>
  <c r="BG20" i="130"/>
  <c r="BC20" i="130"/>
  <c r="AQ20" i="130"/>
  <c r="AI20" i="130"/>
  <c r="AE20" i="130"/>
  <c r="J20" i="130"/>
  <c r="BO19" i="130"/>
  <c r="BG19" i="130"/>
  <c r="BC19" i="130"/>
  <c r="AQ19" i="130"/>
  <c r="AE19" i="130"/>
  <c r="S19" i="130"/>
  <c r="J19" i="130"/>
  <c r="BO18" i="130"/>
  <c r="AQ18" i="130"/>
  <c r="S18" i="130"/>
  <c r="J18" i="130"/>
  <c r="BO17" i="130"/>
  <c r="BC17" i="130"/>
  <c r="AQ17" i="130"/>
  <c r="AI17" i="130"/>
  <c r="AE17" i="130"/>
  <c r="S17" i="130"/>
  <c r="J17" i="130"/>
  <c r="BO16" i="130"/>
  <c r="BG16" i="130"/>
  <c r="BC16" i="130"/>
  <c r="AQ16" i="130"/>
  <c r="AI16" i="130"/>
  <c r="AE16" i="130"/>
  <c r="S16" i="130"/>
  <c r="J16" i="130"/>
  <c r="BG15" i="130"/>
  <c r="BC15" i="130"/>
  <c r="AI15" i="130"/>
  <c r="AE15" i="130"/>
  <c r="J15" i="130"/>
  <c r="BO14" i="130"/>
  <c r="BG14" i="130"/>
  <c r="BC14" i="130"/>
  <c r="AU14" i="130"/>
  <c r="AQ14" i="130"/>
  <c r="AE14" i="130"/>
  <c r="S14" i="130"/>
  <c r="J14" i="130"/>
  <c r="BS13" i="130"/>
  <c r="BO13" i="130"/>
  <c r="BC13" i="130"/>
  <c r="AQ13" i="130"/>
  <c r="AE13" i="130"/>
  <c r="S13" i="130"/>
  <c r="J13" i="130"/>
  <c r="BO12" i="130"/>
  <c r="AQ12" i="130"/>
  <c r="W12" i="130"/>
  <c r="S12" i="130"/>
  <c r="J12" i="130"/>
  <c r="BO11" i="130"/>
  <c r="BG11" i="130"/>
  <c r="BC11" i="130"/>
  <c r="AQ11" i="130"/>
  <c r="AE11" i="130"/>
  <c r="S11" i="130"/>
  <c r="J11" i="130"/>
  <c r="BO10" i="130"/>
  <c r="BG10" i="130"/>
  <c r="BC10" i="130"/>
  <c r="AQ10" i="130"/>
  <c r="AI10" i="130"/>
  <c r="AE10" i="130"/>
  <c r="S10" i="130"/>
  <c r="J10" i="130"/>
  <c r="BG9" i="130"/>
  <c r="BC9" i="130"/>
  <c r="AI9" i="130"/>
  <c r="AE9" i="130"/>
  <c r="J9" i="130"/>
  <c r="BO8" i="130"/>
  <c r="BG8" i="130"/>
  <c r="BC8" i="130"/>
  <c r="AQ8" i="130"/>
  <c r="AI8" i="130"/>
  <c r="AE8" i="130"/>
  <c r="W8" i="130"/>
  <c r="S8" i="130"/>
  <c r="J8" i="130"/>
  <c r="BS7" i="130"/>
  <c r="BO7" i="130"/>
  <c r="BC7" i="130"/>
  <c r="AQ7" i="130"/>
  <c r="AE7" i="130"/>
  <c r="W7" i="130"/>
  <c r="S7" i="130"/>
  <c r="J7" i="130"/>
  <c r="BO6" i="130"/>
  <c r="BN6" i="130"/>
  <c r="BM6" i="130"/>
  <c r="BJ6" i="130"/>
  <c r="BK6" i="130" s="1"/>
  <c r="BE6" i="130"/>
  <c r="BD6" i="130"/>
  <c r="BC6" i="130"/>
  <c r="BB6" i="130"/>
  <c r="BA6" i="130"/>
  <c r="AS6" i="130"/>
  <c r="AQ6" i="130"/>
  <c r="AP6" i="130"/>
  <c r="AO6" i="130"/>
  <c r="AG6" i="130"/>
  <c r="AF6" i="130"/>
  <c r="AE6" i="130"/>
  <c r="AD6" i="130"/>
  <c r="AC6" i="130"/>
  <c r="U6" i="130"/>
  <c r="S6" i="130"/>
  <c r="R6" i="130"/>
  <c r="Q6" i="130"/>
  <c r="BP5" i="130"/>
  <c r="BS5" i="130" s="1"/>
  <c r="BO5" i="130"/>
  <c r="BL5" i="130"/>
  <c r="BD5" i="130"/>
  <c r="BG5" i="130" s="1"/>
  <c r="AZ5" i="130"/>
  <c r="BC5" i="130" s="1"/>
  <c r="AR5" i="130"/>
  <c r="AU5" i="130" s="1"/>
  <c r="AQ5" i="130"/>
  <c r="AN5" i="130"/>
  <c r="AF5" i="130"/>
  <c r="AI5" i="130" s="1"/>
  <c r="AE5" i="130"/>
  <c r="AB5" i="130"/>
  <c r="S5" i="130"/>
  <c r="P5" i="130"/>
  <c r="BS4" i="130"/>
  <c r="BW8" i="130" s="1"/>
  <c r="BO4" i="130"/>
  <c r="BL4" i="130"/>
  <c r="BK4" i="130"/>
  <c r="BO47" i="130" s="1"/>
  <c r="BH4" i="130"/>
  <c r="BG4" i="130"/>
  <c r="BK10" i="130" s="1"/>
  <c r="BD4" i="130"/>
  <c r="BC4" i="130"/>
  <c r="BG55" i="130" s="1"/>
  <c r="AZ4" i="130"/>
  <c r="AY4" i="130"/>
  <c r="BC50" i="130" s="1"/>
  <c r="AU4" i="130"/>
  <c r="AV6" i="130" s="1"/>
  <c r="AQ4" i="130"/>
  <c r="AN4" i="130"/>
  <c r="AM4" i="130"/>
  <c r="AQ59" i="130" s="1"/>
  <c r="AJ4" i="130"/>
  <c r="AI4" i="130"/>
  <c r="AM31" i="130" s="1"/>
  <c r="AF4" i="130"/>
  <c r="AE4" i="130"/>
  <c r="AI21" i="130" s="1"/>
  <c r="AB4" i="130"/>
  <c r="AA4" i="130"/>
  <c r="AE42" i="130" s="1"/>
  <c r="W4" i="130"/>
  <c r="AA19" i="130" s="1"/>
  <c r="S4" i="130"/>
  <c r="P4" i="130"/>
  <c r="O4" i="130"/>
  <c r="S58" i="130" s="1"/>
  <c r="L4" i="130"/>
  <c r="K4" i="130"/>
  <c r="O78" i="130" s="1"/>
  <c r="J4" i="130"/>
  <c r="BT3" i="130"/>
  <c r="BP3" i="130"/>
  <c r="BL3" i="130"/>
  <c r="BH3" i="130"/>
  <c r="BD3" i="130"/>
  <c r="AZ3" i="130"/>
  <c r="AV3" i="130"/>
  <c r="AR3" i="130"/>
  <c r="AN3" i="130"/>
  <c r="AJ3" i="130"/>
  <c r="AF3" i="130"/>
  <c r="AB3" i="130"/>
  <c r="X3" i="130"/>
  <c r="T3" i="130"/>
  <c r="P3" i="130"/>
  <c r="L3" i="130"/>
  <c r="J3" i="130"/>
  <c r="J2" i="130"/>
  <c r="F1" i="130"/>
  <c r="J82" i="129"/>
  <c r="J81" i="129"/>
  <c r="J80" i="129"/>
  <c r="J79" i="129"/>
  <c r="J78" i="129"/>
  <c r="J77" i="129"/>
  <c r="J76" i="129"/>
  <c r="J75" i="129"/>
  <c r="J74" i="129"/>
  <c r="J73" i="129"/>
  <c r="J72" i="129"/>
  <c r="J71" i="129"/>
  <c r="J70" i="129"/>
  <c r="J69" i="129"/>
  <c r="AY68" i="129"/>
  <c r="J68" i="129"/>
  <c r="J67" i="129"/>
  <c r="J66" i="129"/>
  <c r="J65" i="129"/>
  <c r="J64" i="129"/>
  <c r="J63" i="129"/>
  <c r="J62" i="129"/>
  <c r="J61" i="129"/>
  <c r="J60" i="129"/>
  <c r="J59" i="129"/>
  <c r="J58" i="129"/>
  <c r="J57" i="129"/>
  <c r="BW56" i="129"/>
  <c r="J56" i="129"/>
  <c r="J55" i="129"/>
  <c r="J54" i="129"/>
  <c r="J53" i="129"/>
  <c r="AA52" i="129"/>
  <c r="J52" i="129"/>
  <c r="J51" i="129"/>
  <c r="J50" i="129"/>
  <c r="J49" i="129"/>
  <c r="J48" i="129"/>
  <c r="J47" i="129"/>
  <c r="J46" i="129"/>
  <c r="AY45" i="129"/>
  <c r="J45" i="129"/>
  <c r="BW44" i="129"/>
  <c r="AY44" i="129"/>
  <c r="J44" i="129"/>
  <c r="BW43" i="129"/>
  <c r="J43" i="129"/>
  <c r="J42" i="129"/>
  <c r="AY41" i="129"/>
  <c r="AI41" i="129"/>
  <c r="J41" i="129"/>
  <c r="BW40" i="129"/>
  <c r="AY40" i="129"/>
  <c r="AA40" i="129"/>
  <c r="J40" i="129"/>
  <c r="AY39" i="129"/>
  <c r="AA39" i="129"/>
  <c r="J39" i="129"/>
  <c r="J38" i="129"/>
  <c r="AY37" i="129"/>
  <c r="J37" i="129"/>
  <c r="AY36" i="129"/>
  <c r="J36" i="129"/>
  <c r="BW35" i="129"/>
  <c r="AY35" i="129"/>
  <c r="J35" i="129"/>
  <c r="BW34" i="129"/>
  <c r="AY34" i="129"/>
  <c r="AA34" i="129"/>
  <c r="J34" i="129"/>
  <c r="AY33" i="129"/>
  <c r="AA33" i="129"/>
  <c r="J33" i="129"/>
  <c r="BW32" i="129"/>
  <c r="AY32" i="129"/>
  <c r="AA32" i="129"/>
  <c r="J32" i="129"/>
  <c r="AI31" i="129"/>
  <c r="J31" i="129"/>
  <c r="BW30" i="129"/>
  <c r="AI30" i="129"/>
  <c r="J30" i="129"/>
  <c r="BW29" i="129"/>
  <c r="AY29" i="129"/>
  <c r="J29" i="129"/>
  <c r="BW28" i="129"/>
  <c r="AI28" i="129"/>
  <c r="AA28" i="129"/>
  <c r="J28" i="129"/>
  <c r="BW27" i="129"/>
  <c r="AY27" i="129"/>
  <c r="AA27" i="129"/>
  <c r="J27" i="129"/>
  <c r="BW26" i="129"/>
  <c r="AY26" i="129"/>
  <c r="AA26" i="129"/>
  <c r="J26" i="129"/>
  <c r="AI25" i="129"/>
  <c r="J25" i="129"/>
  <c r="AY24" i="129"/>
  <c r="J24" i="129"/>
  <c r="AY23" i="129"/>
  <c r="AA23" i="129"/>
  <c r="J23" i="129"/>
  <c r="BW22" i="129"/>
  <c r="AY22" i="129"/>
  <c r="J22" i="129"/>
  <c r="BW21" i="129"/>
  <c r="AY21" i="129"/>
  <c r="AA21" i="129"/>
  <c r="J21" i="129"/>
  <c r="BW20" i="129"/>
  <c r="J20" i="129"/>
  <c r="BW19" i="129"/>
  <c r="AY19" i="129"/>
  <c r="AA19" i="129"/>
  <c r="J19" i="129"/>
  <c r="BW18" i="129"/>
  <c r="BC18" i="129"/>
  <c r="AY18" i="129"/>
  <c r="AA18" i="129"/>
  <c r="J18" i="129"/>
  <c r="BO17" i="129"/>
  <c r="AY17" i="129"/>
  <c r="AA17" i="129"/>
  <c r="J17" i="129"/>
  <c r="BW16" i="129"/>
  <c r="AY16" i="129"/>
  <c r="J16" i="129"/>
  <c r="AI15" i="129"/>
  <c r="J15" i="129"/>
  <c r="BW14" i="129"/>
  <c r="BG14" i="129"/>
  <c r="AQ14" i="129"/>
  <c r="AA14" i="129"/>
  <c r="J14" i="129"/>
  <c r="BW13" i="129"/>
  <c r="BG13" i="129"/>
  <c r="AY13" i="129"/>
  <c r="AA13" i="129"/>
  <c r="J13" i="129"/>
  <c r="BW12" i="129"/>
  <c r="BG12" i="129"/>
  <c r="AY12" i="129"/>
  <c r="AQ12" i="129"/>
  <c r="AI12" i="129"/>
  <c r="J12" i="129"/>
  <c r="BW11" i="129"/>
  <c r="AY11" i="129"/>
  <c r="AA11" i="129"/>
  <c r="J11" i="129"/>
  <c r="BW10" i="129"/>
  <c r="BG10" i="129"/>
  <c r="AY10" i="129"/>
  <c r="AQ10" i="129"/>
  <c r="AA10" i="129"/>
  <c r="S10" i="129"/>
  <c r="J10" i="129"/>
  <c r="BW9" i="129"/>
  <c r="BG9" i="129"/>
  <c r="AI9" i="129"/>
  <c r="J9" i="129"/>
  <c r="BW8" i="129"/>
  <c r="BC8" i="129"/>
  <c r="AY8" i="129"/>
  <c r="AA8" i="129"/>
  <c r="S8" i="129"/>
  <c r="J8" i="129"/>
  <c r="BW7" i="129"/>
  <c r="BO7" i="129"/>
  <c r="AY7" i="129"/>
  <c r="AI7" i="129"/>
  <c r="AA7" i="129"/>
  <c r="S7" i="129"/>
  <c r="J7" i="129"/>
  <c r="BV6" i="129"/>
  <c r="BW6" i="129" s="1"/>
  <c r="BU6" i="129"/>
  <c r="BM6" i="129"/>
  <c r="BL6" i="129"/>
  <c r="BE6" i="129"/>
  <c r="BD6" i="129"/>
  <c r="AZ6" i="129"/>
  <c r="AV6" i="129"/>
  <c r="AN6" i="129"/>
  <c r="AG6" i="129"/>
  <c r="AF6" i="129"/>
  <c r="X6" i="129"/>
  <c r="U6" i="129"/>
  <c r="P6" i="129"/>
  <c r="BW5" i="129"/>
  <c r="BT5" i="129"/>
  <c r="BP5" i="129"/>
  <c r="BS5" i="129" s="1"/>
  <c r="AZ5" i="129"/>
  <c r="BC5" i="129" s="1"/>
  <c r="AY5" i="129"/>
  <c r="AV5" i="129"/>
  <c r="AA5" i="129"/>
  <c r="X5" i="129"/>
  <c r="L5" i="129"/>
  <c r="O5" i="129" s="1"/>
  <c r="BT4" i="129"/>
  <c r="BS4" i="129"/>
  <c r="BW55" i="129" s="1"/>
  <c r="BO4" i="129"/>
  <c r="BQ6" i="129" s="1"/>
  <c r="BL4" i="129"/>
  <c r="BK4" i="129"/>
  <c r="BO57" i="129" s="1"/>
  <c r="BH4" i="129"/>
  <c r="BG4" i="129"/>
  <c r="BD4" i="129"/>
  <c r="BC4" i="129"/>
  <c r="BG76" i="129" s="1"/>
  <c r="AY4" i="129"/>
  <c r="AV4" i="129"/>
  <c r="AU4" i="129"/>
  <c r="AY64" i="129" s="1"/>
  <c r="AQ4" i="129"/>
  <c r="AR6" i="129" s="1"/>
  <c r="AN4" i="129"/>
  <c r="AM4" i="129"/>
  <c r="AQ55" i="129" s="1"/>
  <c r="AJ4" i="129"/>
  <c r="AI4" i="129"/>
  <c r="AM11" i="129" s="1"/>
  <c r="AF4" i="129"/>
  <c r="AE4" i="129"/>
  <c r="AI80" i="129" s="1"/>
  <c r="AA4" i="129"/>
  <c r="X4" i="129"/>
  <c r="W4" i="129"/>
  <c r="AA51" i="129" s="1"/>
  <c r="S4" i="129"/>
  <c r="W12" i="129" s="1"/>
  <c r="P4" i="129"/>
  <c r="O4" i="129"/>
  <c r="S53" i="129" s="1"/>
  <c r="K4" i="129"/>
  <c r="L6" i="129" s="1"/>
  <c r="J4" i="129"/>
  <c r="BT3" i="129"/>
  <c r="BP3" i="129"/>
  <c r="BL3" i="129"/>
  <c r="BH3" i="129"/>
  <c r="BD3" i="129"/>
  <c r="AZ3" i="129"/>
  <c r="AV3" i="129"/>
  <c r="AR3" i="129"/>
  <c r="AN3" i="129"/>
  <c r="AJ3" i="129"/>
  <c r="AF3" i="129"/>
  <c r="AB3" i="129"/>
  <c r="X3" i="129"/>
  <c r="T3" i="129"/>
  <c r="P3" i="129"/>
  <c r="L3" i="129"/>
  <c r="J3" i="129"/>
  <c r="J2" i="129"/>
  <c r="F1" i="129"/>
  <c r="J82" i="128"/>
  <c r="J81" i="128"/>
  <c r="J80" i="128"/>
  <c r="BW79" i="128"/>
  <c r="J79" i="128"/>
  <c r="J78" i="128"/>
  <c r="J77" i="128"/>
  <c r="AM76" i="128"/>
  <c r="J76" i="128"/>
  <c r="J75" i="128"/>
  <c r="J74" i="128"/>
  <c r="O73" i="128"/>
  <c r="J73" i="128"/>
  <c r="J72" i="128"/>
  <c r="J71" i="128"/>
  <c r="O70" i="128"/>
  <c r="J70" i="128"/>
  <c r="J69" i="128"/>
  <c r="J68" i="128"/>
  <c r="J67" i="128"/>
  <c r="BG66" i="128"/>
  <c r="J66" i="128"/>
  <c r="J65" i="128"/>
  <c r="J64" i="128"/>
  <c r="BG63" i="128"/>
  <c r="W63" i="128"/>
  <c r="J63" i="128"/>
  <c r="J62" i="128"/>
  <c r="J61" i="128"/>
  <c r="W60" i="128"/>
  <c r="J60" i="128"/>
  <c r="J59" i="128"/>
  <c r="J58" i="128"/>
  <c r="J57" i="128"/>
  <c r="BO56" i="128"/>
  <c r="J56" i="128"/>
  <c r="J55" i="128"/>
  <c r="J54" i="128"/>
  <c r="BO53" i="128"/>
  <c r="AE53" i="128"/>
  <c r="J53" i="128"/>
  <c r="J52" i="128"/>
  <c r="J51" i="128"/>
  <c r="J50" i="128"/>
  <c r="J49" i="128"/>
  <c r="J48" i="128"/>
  <c r="J47" i="128"/>
  <c r="BW46" i="128"/>
  <c r="J46" i="128"/>
  <c r="J45" i="128"/>
  <c r="J44" i="128"/>
  <c r="BW43" i="128"/>
  <c r="J43" i="128"/>
  <c r="J42" i="128"/>
  <c r="J41" i="128"/>
  <c r="AM40" i="128"/>
  <c r="J40" i="128"/>
  <c r="J39" i="128"/>
  <c r="AQ38" i="128"/>
  <c r="AE38" i="128"/>
  <c r="J38" i="128"/>
  <c r="J37" i="128"/>
  <c r="BO36" i="128"/>
  <c r="BK36" i="128"/>
  <c r="J36" i="128"/>
  <c r="AQ35" i="128"/>
  <c r="AM35" i="128"/>
  <c r="J35" i="128"/>
  <c r="AQ34" i="128"/>
  <c r="J34" i="128"/>
  <c r="AU33" i="128"/>
  <c r="AI33" i="128"/>
  <c r="J33" i="128"/>
  <c r="AU32" i="128"/>
  <c r="AQ32" i="128"/>
  <c r="J32" i="128"/>
  <c r="AY31" i="128"/>
  <c r="J31" i="128"/>
  <c r="BO30" i="128"/>
  <c r="BG30" i="128"/>
  <c r="J30" i="128"/>
  <c r="BO29" i="128"/>
  <c r="BK29" i="128"/>
  <c r="J29" i="128"/>
  <c r="BO28" i="128"/>
  <c r="J28" i="128"/>
  <c r="BS27" i="128"/>
  <c r="BO27" i="128"/>
  <c r="J27" i="128"/>
  <c r="BW26" i="128"/>
  <c r="S26" i="128"/>
  <c r="J26" i="128"/>
  <c r="W25" i="128"/>
  <c r="O25" i="128"/>
  <c r="J25" i="128"/>
  <c r="W24" i="128"/>
  <c r="S24" i="128"/>
  <c r="J24" i="128"/>
  <c r="W23" i="128"/>
  <c r="S23" i="128"/>
  <c r="J23" i="128"/>
  <c r="AM22" i="128"/>
  <c r="AI22" i="128"/>
  <c r="J22" i="128"/>
  <c r="AQ21" i="128"/>
  <c r="AM21" i="128"/>
  <c r="J21" i="128"/>
  <c r="AY20" i="128"/>
  <c r="J20" i="128"/>
  <c r="BO19" i="128"/>
  <c r="BK19" i="128"/>
  <c r="J19" i="128"/>
  <c r="BW18" i="128"/>
  <c r="AA18" i="128"/>
  <c r="J18" i="128"/>
  <c r="BO17" i="128"/>
  <c r="AU17" i="128"/>
  <c r="AQ17" i="128"/>
  <c r="S17" i="128"/>
  <c r="J17" i="128"/>
  <c r="BS16" i="128"/>
  <c r="BO16" i="128"/>
  <c r="W16" i="128"/>
  <c r="S16" i="128"/>
  <c r="J16" i="128"/>
  <c r="AQ15" i="128"/>
  <c r="AM15" i="128"/>
  <c r="J15" i="128"/>
  <c r="BO14" i="128"/>
  <c r="BK14" i="128"/>
  <c r="BG14" i="128"/>
  <c r="AQ14" i="128"/>
  <c r="S14" i="128"/>
  <c r="O14" i="128"/>
  <c r="J14" i="128"/>
  <c r="BO13" i="128"/>
  <c r="AQ13" i="128"/>
  <c r="AI13" i="128"/>
  <c r="AE13" i="128"/>
  <c r="S13" i="128"/>
  <c r="J13" i="128"/>
  <c r="AY12" i="128"/>
  <c r="J12" i="128"/>
  <c r="BW11" i="128"/>
  <c r="BS11" i="128"/>
  <c r="BO11" i="128"/>
  <c r="AQ11" i="128"/>
  <c r="W11" i="128"/>
  <c r="S11" i="128"/>
  <c r="J11" i="128"/>
  <c r="AU10" i="128"/>
  <c r="AQ10" i="128"/>
  <c r="AM10" i="128"/>
  <c r="J10" i="128"/>
  <c r="BO9" i="128"/>
  <c r="BK9" i="128"/>
  <c r="BG9" i="128"/>
  <c r="S9" i="128"/>
  <c r="O9" i="128"/>
  <c r="J9" i="128"/>
  <c r="BO8" i="128"/>
  <c r="AQ8" i="128"/>
  <c r="AM8" i="128"/>
  <c r="AI8" i="128"/>
  <c r="S8" i="128"/>
  <c r="J8" i="128"/>
  <c r="BO7" i="128"/>
  <c r="BG7" i="128"/>
  <c r="BC7" i="128"/>
  <c r="AQ7" i="128"/>
  <c r="S7" i="128"/>
  <c r="J7" i="128"/>
  <c r="BN6" i="128"/>
  <c r="BO6" i="128" s="1"/>
  <c r="BM6" i="128"/>
  <c r="BL6" i="128"/>
  <c r="BK6" i="128"/>
  <c r="BJ6" i="128"/>
  <c r="AP6" i="128"/>
  <c r="AQ6" i="128" s="1"/>
  <c r="AO6" i="128"/>
  <c r="AN6" i="128"/>
  <c r="AM6" i="128"/>
  <c r="AL6" i="128"/>
  <c r="R6" i="128"/>
  <c r="S6" i="128" s="1"/>
  <c r="Q6" i="128"/>
  <c r="P6" i="128"/>
  <c r="O6" i="128"/>
  <c r="N6" i="128"/>
  <c r="BL5" i="128"/>
  <c r="BO5" i="128" s="1"/>
  <c r="BH5" i="128"/>
  <c r="BK5" i="128" s="1"/>
  <c r="BG5" i="128"/>
  <c r="BD5" i="128"/>
  <c r="AN5" i="128"/>
  <c r="AQ5" i="128" s="1"/>
  <c r="AJ5" i="128"/>
  <c r="AM5" i="128" s="1"/>
  <c r="AI5" i="128"/>
  <c r="AF5" i="128"/>
  <c r="P5" i="128"/>
  <c r="S5" i="128" s="1"/>
  <c r="L5" i="128"/>
  <c r="O5" i="128" s="1"/>
  <c r="BT4" i="128"/>
  <c r="BS4" i="128"/>
  <c r="BO4" i="128"/>
  <c r="BS15" i="128" s="1"/>
  <c r="BL4" i="128"/>
  <c r="BK4" i="128"/>
  <c r="BO10" i="128" s="1"/>
  <c r="BG4" i="128"/>
  <c r="BK34" i="128" s="1"/>
  <c r="BC4" i="128"/>
  <c r="BG8" i="128" s="1"/>
  <c r="AY4" i="128"/>
  <c r="BC26" i="128" s="1"/>
  <c r="AV4" i="128"/>
  <c r="AU4" i="128"/>
  <c r="AQ4" i="128"/>
  <c r="AU29" i="128" s="1"/>
  <c r="AN4" i="128"/>
  <c r="AM4" i="128"/>
  <c r="AQ74" i="128" s="1"/>
  <c r="AI4" i="128"/>
  <c r="AM27" i="128" s="1"/>
  <c r="AE4" i="128"/>
  <c r="AI81" i="128" s="1"/>
  <c r="AA4" i="128"/>
  <c r="AE24" i="128" s="1"/>
  <c r="X4" i="128"/>
  <c r="W4" i="128"/>
  <c r="S4" i="128"/>
  <c r="W75" i="128" s="1"/>
  <c r="P4" i="128"/>
  <c r="O4" i="128"/>
  <c r="S68" i="128" s="1"/>
  <c r="K4" i="128"/>
  <c r="O61" i="128" s="1"/>
  <c r="J4" i="128"/>
  <c r="BT3" i="128"/>
  <c r="BP3" i="128"/>
  <c r="BL3" i="128"/>
  <c r="BH3" i="128"/>
  <c r="BD3" i="128"/>
  <c r="AZ3" i="128"/>
  <c r="AV3" i="128"/>
  <c r="AR3" i="128"/>
  <c r="AN3" i="128"/>
  <c r="AJ3" i="128"/>
  <c r="AF3" i="128"/>
  <c r="AB3" i="128"/>
  <c r="X3" i="128"/>
  <c r="T3" i="128"/>
  <c r="P3" i="128"/>
  <c r="L3" i="128"/>
  <c r="J3" i="128"/>
  <c r="J2" i="128"/>
  <c r="F1" i="128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E77" i="136" l="1"/>
  <c r="AE65" i="136"/>
  <c r="AE53" i="136"/>
  <c r="AE41" i="136"/>
  <c r="AE72" i="136"/>
  <c r="AE60" i="136"/>
  <c r="AE48" i="136"/>
  <c r="AE79" i="136"/>
  <c r="AE67" i="136"/>
  <c r="AE55" i="136"/>
  <c r="AE74" i="136"/>
  <c r="AE62" i="136"/>
  <c r="AE50" i="136"/>
  <c r="AE38" i="136"/>
  <c r="AE26" i="136"/>
  <c r="AE81" i="136"/>
  <c r="AE69" i="136"/>
  <c r="AE57" i="136"/>
  <c r="AE76" i="136"/>
  <c r="AE64" i="136"/>
  <c r="AE52" i="136"/>
  <c r="AE71" i="136"/>
  <c r="AE59" i="136"/>
  <c r="AE47" i="136"/>
  <c r="AE78" i="136"/>
  <c r="AE66" i="136"/>
  <c r="AE54" i="136"/>
  <c r="AE42" i="136"/>
  <c r="AE73" i="136"/>
  <c r="AE61" i="136"/>
  <c r="AE49" i="136"/>
  <c r="AE80" i="136"/>
  <c r="AE68" i="136"/>
  <c r="AE56" i="136"/>
  <c r="AE44" i="136"/>
  <c r="AE32" i="136"/>
  <c r="AE20" i="136"/>
  <c r="BC71" i="136"/>
  <c r="BC59" i="136"/>
  <c r="BC47" i="136"/>
  <c r="BC35" i="136"/>
  <c r="BC78" i="136"/>
  <c r="BC66" i="136"/>
  <c r="BC54" i="136"/>
  <c r="BC42" i="136"/>
  <c r="BC73" i="136"/>
  <c r="BC61" i="136"/>
  <c r="BC49" i="136"/>
  <c r="BC80" i="136"/>
  <c r="BC68" i="136"/>
  <c r="BC56" i="136"/>
  <c r="BC44" i="136"/>
  <c r="BC32" i="136"/>
  <c r="BC20" i="136"/>
  <c r="BC75" i="136"/>
  <c r="BC63" i="136"/>
  <c r="BC51" i="136"/>
  <c r="BC82" i="136"/>
  <c r="BC70" i="136"/>
  <c r="BC58" i="136"/>
  <c r="BC46" i="136"/>
  <c r="BC77" i="136"/>
  <c r="BC65" i="136"/>
  <c r="BC53" i="136"/>
  <c r="BC41" i="136"/>
  <c r="BC72" i="136"/>
  <c r="BC60" i="136"/>
  <c r="BC48" i="136"/>
  <c r="BC36" i="136"/>
  <c r="BC79" i="136"/>
  <c r="BC67" i="136"/>
  <c r="BC55" i="136"/>
  <c r="BC74" i="136"/>
  <c r="BC62" i="136"/>
  <c r="BC50" i="136"/>
  <c r="BC38" i="136"/>
  <c r="BC26" i="136"/>
  <c r="L5" i="136"/>
  <c r="O5" i="136" s="1"/>
  <c r="AJ5" i="136"/>
  <c r="AM5" i="136" s="1"/>
  <c r="BH5" i="136"/>
  <c r="BK5" i="136" s="1"/>
  <c r="P6" i="136"/>
  <c r="AB6" i="136"/>
  <c r="AN6" i="136"/>
  <c r="AZ6" i="136"/>
  <c r="BL6" i="136"/>
  <c r="BG7" i="136"/>
  <c r="AM8" i="136"/>
  <c r="S9" i="136"/>
  <c r="BO9" i="136"/>
  <c r="AA11" i="136"/>
  <c r="BW11" i="136"/>
  <c r="BC12" i="136"/>
  <c r="AI13" i="136"/>
  <c r="O14" i="136"/>
  <c r="BK14" i="136"/>
  <c r="AQ15" i="136"/>
  <c r="AY17" i="136"/>
  <c r="AE18" i="136"/>
  <c r="BK19" i="136"/>
  <c r="AY20" i="136"/>
  <c r="AM21" i="136"/>
  <c r="AA22" i="136"/>
  <c r="O23" i="136"/>
  <c r="BW23" i="136"/>
  <c r="BK24" i="136"/>
  <c r="BC25" i="136"/>
  <c r="AQ26" i="136"/>
  <c r="AA27" i="136"/>
  <c r="S28" i="136"/>
  <c r="BW28" i="136"/>
  <c r="BK29" i="136"/>
  <c r="BC30" i="136"/>
  <c r="AQ31" i="136"/>
  <c r="AI32" i="136"/>
  <c r="S33" i="136"/>
  <c r="BW33" i="136"/>
  <c r="O36" i="136"/>
  <c r="S37" i="136"/>
  <c r="W38" i="136"/>
  <c r="S39" i="136"/>
  <c r="AE40" i="136"/>
  <c r="AM41" i="136"/>
  <c r="BW42" i="136"/>
  <c r="AY44" i="136"/>
  <c r="AM53" i="136"/>
  <c r="BS56" i="136"/>
  <c r="AA63" i="136"/>
  <c r="BK66" i="136"/>
  <c r="BC69" i="136"/>
  <c r="S73" i="136"/>
  <c r="BC76" i="136"/>
  <c r="AU79" i="136"/>
  <c r="AF4" i="136"/>
  <c r="BD4" i="136"/>
  <c r="AY8" i="136"/>
  <c r="AE9" i="136"/>
  <c r="BG10" i="136"/>
  <c r="AM11" i="136"/>
  <c r="S12" i="136"/>
  <c r="BO12" i="136"/>
  <c r="AA14" i="136"/>
  <c r="BW14" i="136"/>
  <c r="BC15" i="136"/>
  <c r="AI16" i="136"/>
  <c r="BK17" i="136"/>
  <c r="AQ18" i="136"/>
  <c r="BO20" i="136"/>
  <c r="AY21" i="136"/>
  <c r="AQ22" i="136"/>
  <c r="AE23" i="136"/>
  <c r="S24" i="136"/>
  <c r="BO25" i="136"/>
  <c r="BG26" i="136"/>
  <c r="AQ27" i="136"/>
  <c r="AE28" i="136"/>
  <c r="BO30" i="136"/>
  <c r="AE33" i="136"/>
  <c r="W34" i="136"/>
  <c r="AE35" i="136"/>
  <c r="AE36" i="136"/>
  <c r="AM37" i="136"/>
  <c r="AM38" i="136"/>
  <c r="AU40" i="136"/>
  <c r="BS41" i="136"/>
  <c r="AE43" i="136"/>
  <c r="BW44" i="136"/>
  <c r="S54" i="136"/>
  <c r="AY57" i="136"/>
  <c r="AQ67" i="136"/>
  <c r="AI70" i="136"/>
  <c r="BS73" i="136"/>
  <c r="AI77" i="136"/>
  <c r="AA80" i="136"/>
  <c r="BG78" i="136"/>
  <c r="BG66" i="136"/>
  <c r="BG54" i="136"/>
  <c r="BG42" i="136"/>
  <c r="BG73" i="136"/>
  <c r="BG61" i="136"/>
  <c r="BG49" i="136"/>
  <c r="BG80" i="136"/>
  <c r="BG68" i="136"/>
  <c r="BG56" i="136"/>
  <c r="BG75" i="136"/>
  <c r="BG63" i="136"/>
  <c r="BG51" i="136"/>
  <c r="BG39" i="136"/>
  <c r="BG27" i="136"/>
  <c r="BG82" i="136"/>
  <c r="BG70" i="136"/>
  <c r="BG58" i="136"/>
  <c r="BG46" i="136"/>
  <c r="BG77" i="136"/>
  <c r="BG65" i="136"/>
  <c r="BG53" i="136"/>
  <c r="BG41" i="136"/>
  <c r="BG72" i="136"/>
  <c r="BG60" i="136"/>
  <c r="BG48" i="136"/>
  <c r="BG79" i="136"/>
  <c r="BG67" i="136"/>
  <c r="BG55" i="136"/>
  <c r="BG43" i="136"/>
  <c r="BG74" i="136"/>
  <c r="BG62" i="136"/>
  <c r="BG50" i="136"/>
  <c r="BG81" i="136"/>
  <c r="BG69" i="136"/>
  <c r="BG57" i="136"/>
  <c r="BG45" i="136"/>
  <c r="BG33" i="136"/>
  <c r="BG21" i="136"/>
  <c r="O73" i="136"/>
  <c r="O61" i="136"/>
  <c r="O49" i="136"/>
  <c r="O37" i="136"/>
  <c r="O80" i="136"/>
  <c r="O68" i="136"/>
  <c r="O56" i="136"/>
  <c r="O44" i="136"/>
  <c r="O75" i="136"/>
  <c r="O63" i="136"/>
  <c r="O51" i="136"/>
  <c r="O82" i="136"/>
  <c r="O70" i="136"/>
  <c r="O58" i="136"/>
  <c r="O46" i="136"/>
  <c r="O34" i="136"/>
  <c r="O22" i="136"/>
  <c r="O77" i="136"/>
  <c r="O65" i="136"/>
  <c r="O53" i="136"/>
  <c r="O72" i="136"/>
  <c r="O60" i="136"/>
  <c r="O48" i="136"/>
  <c r="O79" i="136"/>
  <c r="O67" i="136"/>
  <c r="O55" i="136"/>
  <c r="O43" i="136"/>
  <c r="O74" i="136"/>
  <c r="O62" i="136"/>
  <c r="O50" i="136"/>
  <c r="O38" i="136"/>
  <c r="O81" i="136"/>
  <c r="O69" i="136"/>
  <c r="O57" i="136"/>
  <c r="O76" i="136"/>
  <c r="O64" i="136"/>
  <c r="O52" i="136"/>
  <c r="O40" i="136"/>
  <c r="O28" i="136"/>
  <c r="AM79" i="136"/>
  <c r="AM67" i="136"/>
  <c r="AM55" i="136"/>
  <c r="AM43" i="136"/>
  <c r="AM74" i="136"/>
  <c r="AM62" i="136"/>
  <c r="AM50" i="136"/>
  <c r="AM81" i="136"/>
  <c r="AM69" i="136"/>
  <c r="AM57" i="136"/>
  <c r="AM45" i="136"/>
  <c r="AM76" i="136"/>
  <c r="AM64" i="136"/>
  <c r="AM52" i="136"/>
  <c r="AM40" i="136"/>
  <c r="AM28" i="136"/>
  <c r="AM71" i="136"/>
  <c r="AM59" i="136"/>
  <c r="AM47" i="136"/>
  <c r="AM78" i="136"/>
  <c r="AM66" i="136"/>
  <c r="AM54" i="136"/>
  <c r="AM42" i="136"/>
  <c r="AM73" i="136"/>
  <c r="AM61" i="136"/>
  <c r="AM49" i="136"/>
  <c r="AM80" i="136"/>
  <c r="AM68" i="136"/>
  <c r="AM56" i="136"/>
  <c r="AM44" i="136"/>
  <c r="AM75" i="136"/>
  <c r="AM63" i="136"/>
  <c r="AM51" i="136"/>
  <c r="AM82" i="136"/>
  <c r="AM70" i="136"/>
  <c r="AM58" i="136"/>
  <c r="AM46" i="136"/>
  <c r="AM34" i="136"/>
  <c r="AM22" i="136"/>
  <c r="BK73" i="136"/>
  <c r="BK61" i="136"/>
  <c r="BK49" i="136"/>
  <c r="BK37" i="136"/>
  <c r="BK80" i="136"/>
  <c r="BK68" i="136"/>
  <c r="BK56" i="136"/>
  <c r="BK44" i="136"/>
  <c r="BK75" i="136"/>
  <c r="BK63" i="136"/>
  <c r="BK51" i="136"/>
  <c r="BK82" i="136"/>
  <c r="BK70" i="136"/>
  <c r="BK58" i="136"/>
  <c r="BK46" i="136"/>
  <c r="BK34" i="136"/>
  <c r="BK22" i="136"/>
  <c r="BK77" i="136"/>
  <c r="BK65" i="136"/>
  <c r="BK53" i="136"/>
  <c r="BK72" i="136"/>
  <c r="BK60" i="136"/>
  <c r="BK48" i="136"/>
  <c r="BK79" i="136"/>
  <c r="BK67" i="136"/>
  <c r="BK55" i="136"/>
  <c r="BK43" i="136"/>
  <c r="BK74" i="136"/>
  <c r="BK62" i="136"/>
  <c r="BK50" i="136"/>
  <c r="BK38" i="136"/>
  <c r="BK81" i="136"/>
  <c r="BK69" i="136"/>
  <c r="BK57" i="136"/>
  <c r="BK45" i="136"/>
  <c r="BK76" i="136"/>
  <c r="BK64" i="136"/>
  <c r="BK52" i="136"/>
  <c r="BK40" i="136"/>
  <c r="BK28" i="136"/>
  <c r="AF6" i="136"/>
  <c r="BD6" i="136"/>
  <c r="AA7" i="136"/>
  <c r="BW7" i="136"/>
  <c r="BC8" i="136"/>
  <c r="AI9" i="136"/>
  <c r="O10" i="136"/>
  <c r="BK10" i="136"/>
  <c r="AQ11" i="136"/>
  <c r="AY13" i="136"/>
  <c r="AE14" i="136"/>
  <c r="BG15" i="136"/>
  <c r="AM16" i="136"/>
  <c r="S17" i="136"/>
  <c r="BO17" i="136"/>
  <c r="AA19" i="136"/>
  <c r="O20" i="136"/>
  <c r="BC21" i="136"/>
  <c r="AI23" i="136"/>
  <c r="AA24" i="136"/>
  <c r="O25" i="136"/>
  <c r="BK26" i="136"/>
  <c r="AI28" i="136"/>
  <c r="AA29" i="136"/>
  <c r="O30" i="136"/>
  <c r="BW30" i="136"/>
  <c r="BK31" i="136"/>
  <c r="AY32" i="136"/>
  <c r="AM33" i="136"/>
  <c r="AE34" i="136"/>
  <c r="AM36" i="136"/>
  <c r="AQ37" i="136"/>
  <c r="AU38" i="136"/>
  <c r="AU39" i="136"/>
  <c r="BC40" i="136"/>
  <c r="AQ43" i="136"/>
  <c r="AA51" i="136"/>
  <c r="BK54" i="136"/>
  <c r="BC57" i="136"/>
  <c r="S61" i="136"/>
  <c r="BC64" i="136"/>
  <c r="AU67" i="136"/>
  <c r="AM77" i="136"/>
  <c r="BS80" i="136"/>
  <c r="AI72" i="136"/>
  <c r="AI60" i="136"/>
  <c r="AI48" i="136"/>
  <c r="AI36" i="136"/>
  <c r="AI79" i="136"/>
  <c r="AI67" i="136"/>
  <c r="AI55" i="136"/>
  <c r="AI43" i="136"/>
  <c r="AI74" i="136"/>
  <c r="AI62" i="136"/>
  <c r="AI50" i="136"/>
  <c r="AI81" i="136"/>
  <c r="AI69" i="136"/>
  <c r="AI57" i="136"/>
  <c r="AI45" i="136"/>
  <c r="AI33" i="136"/>
  <c r="AI21" i="136"/>
  <c r="AI76" i="136"/>
  <c r="AI64" i="136"/>
  <c r="AI52" i="136"/>
  <c r="AI71" i="136"/>
  <c r="AI59" i="136"/>
  <c r="AI47" i="136"/>
  <c r="AI78" i="136"/>
  <c r="AI66" i="136"/>
  <c r="AI54" i="136"/>
  <c r="AI42" i="136"/>
  <c r="AI73" i="136"/>
  <c r="AI61" i="136"/>
  <c r="AI49" i="136"/>
  <c r="AI37" i="136"/>
  <c r="AI80" i="136"/>
  <c r="AI68" i="136"/>
  <c r="AI56" i="136"/>
  <c r="AI75" i="136"/>
  <c r="AI63" i="136"/>
  <c r="AI51" i="136"/>
  <c r="AI39" i="136"/>
  <c r="AI27" i="136"/>
  <c r="L4" i="136"/>
  <c r="AJ4" i="136"/>
  <c r="BH4" i="136"/>
  <c r="AG6" i="136"/>
  <c r="BE6" i="136"/>
  <c r="AE7" i="136"/>
  <c r="BG8" i="136"/>
  <c r="AM9" i="136"/>
  <c r="S10" i="136"/>
  <c r="BO10" i="136"/>
  <c r="AA12" i="136"/>
  <c r="BW12" i="136"/>
  <c r="BC13" i="136"/>
  <c r="AI14" i="136"/>
  <c r="O15" i="136"/>
  <c r="BK15" i="136"/>
  <c r="AQ16" i="136"/>
  <c r="AY18" i="136"/>
  <c r="AE19" i="136"/>
  <c r="S20" i="136"/>
  <c r="BW20" i="136"/>
  <c r="BK21" i="136"/>
  <c r="AY22" i="136"/>
  <c r="AM23" i="136"/>
  <c r="AE24" i="136"/>
  <c r="S25" i="136"/>
  <c r="BO26" i="136"/>
  <c r="AY27" i="136"/>
  <c r="AQ28" i="136"/>
  <c r="AE29" i="136"/>
  <c r="BO31" i="136"/>
  <c r="BG32" i="136"/>
  <c r="AQ33" i="136"/>
  <c r="AI34" i="136"/>
  <c r="AM35" i="136"/>
  <c r="AU37" i="136"/>
  <c r="AY38" i="136"/>
  <c r="AY39" i="136"/>
  <c r="BG40" i="136"/>
  <c r="O42" i="136"/>
  <c r="AU43" i="136"/>
  <c r="O45" i="136"/>
  <c r="AM48" i="136"/>
  <c r="AE51" i="136"/>
  <c r="W61" i="136"/>
  <c r="BG64" i="136"/>
  <c r="O71" i="136"/>
  <c r="AU74" i="136"/>
  <c r="BW80" i="136"/>
  <c r="AI22" i="136"/>
  <c r="S80" i="136"/>
  <c r="S68" i="136"/>
  <c r="S56" i="136"/>
  <c r="S44" i="136"/>
  <c r="S75" i="136"/>
  <c r="S63" i="136"/>
  <c r="S51" i="136"/>
  <c r="S82" i="136"/>
  <c r="S70" i="136"/>
  <c r="S58" i="136"/>
  <c r="S46" i="136"/>
  <c r="S77" i="136"/>
  <c r="S65" i="136"/>
  <c r="S53" i="136"/>
  <c r="S41" i="136"/>
  <c r="S29" i="136"/>
  <c r="S72" i="136"/>
  <c r="S60" i="136"/>
  <c r="S48" i="136"/>
  <c r="S79" i="136"/>
  <c r="S67" i="136"/>
  <c r="S55" i="136"/>
  <c r="S43" i="136"/>
  <c r="S74" i="136"/>
  <c r="S62" i="136"/>
  <c r="S50" i="136"/>
  <c r="S81" i="136"/>
  <c r="S69" i="136"/>
  <c r="S57" i="136"/>
  <c r="S45" i="136"/>
  <c r="S76" i="136"/>
  <c r="S64" i="136"/>
  <c r="S52" i="136"/>
  <c r="S71" i="136"/>
  <c r="S59" i="136"/>
  <c r="S47" i="136"/>
  <c r="S35" i="136"/>
  <c r="S23" i="136"/>
  <c r="AQ74" i="136"/>
  <c r="AQ62" i="136"/>
  <c r="AQ50" i="136"/>
  <c r="AQ38" i="136"/>
  <c r="AQ81" i="136"/>
  <c r="AQ69" i="136"/>
  <c r="AQ57" i="136"/>
  <c r="AQ45" i="136"/>
  <c r="AQ76" i="136"/>
  <c r="AQ64" i="136"/>
  <c r="AQ52" i="136"/>
  <c r="AQ71" i="136"/>
  <c r="AQ59" i="136"/>
  <c r="AQ47" i="136"/>
  <c r="AQ35" i="136"/>
  <c r="AQ23" i="136"/>
  <c r="AQ78" i="136"/>
  <c r="AQ66" i="136"/>
  <c r="AQ54" i="136"/>
  <c r="AQ73" i="136"/>
  <c r="AQ61" i="136"/>
  <c r="AQ49" i="136"/>
  <c r="AQ80" i="136"/>
  <c r="AQ68" i="136"/>
  <c r="AQ56" i="136"/>
  <c r="AQ44" i="136"/>
  <c r="AQ75" i="136"/>
  <c r="AQ63" i="136"/>
  <c r="AQ51" i="136"/>
  <c r="AQ39" i="136"/>
  <c r="AQ82" i="136"/>
  <c r="AQ70" i="136"/>
  <c r="AQ58" i="136"/>
  <c r="AQ46" i="136"/>
  <c r="AQ77" i="136"/>
  <c r="AQ65" i="136"/>
  <c r="AQ53" i="136"/>
  <c r="AQ41" i="136"/>
  <c r="AQ29" i="136"/>
  <c r="BO80" i="136"/>
  <c r="BO68" i="136"/>
  <c r="BO56" i="136"/>
  <c r="BO44" i="136"/>
  <c r="BO75" i="136"/>
  <c r="BO63" i="136"/>
  <c r="BO51" i="136"/>
  <c r="BO82" i="136"/>
  <c r="BO70" i="136"/>
  <c r="BO58" i="136"/>
  <c r="BO46" i="136"/>
  <c r="BO77" i="136"/>
  <c r="BO65" i="136"/>
  <c r="BO53" i="136"/>
  <c r="BO41" i="136"/>
  <c r="BO29" i="136"/>
  <c r="BO72" i="136"/>
  <c r="BO60" i="136"/>
  <c r="BO48" i="136"/>
  <c r="BO79" i="136"/>
  <c r="BO67" i="136"/>
  <c r="BO55" i="136"/>
  <c r="BO43" i="136"/>
  <c r="BO74" i="136"/>
  <c r="BO62" i="136"/>
  <c r="BO50" i="136"/>
  <c r="BO81" i="136"/>
  <c r="BO69" i="136"/>
  <c r="BO57" i="136"/>
  <c r="BO45" i="136"/>
  <c r="BO76" i="136"/>
  <c r="BO64" i="136"/>
  <c r="BO52" i="136"/>
  <c r="BO71" i="136"/>
  <c r="BO59" i="136"/>
  <c r="BO47" i="136"/>
  <c r="BO35" i="136"/>
  <c r="BO23" i="136"/>
  <c r="X5" i="136"/>
  <c r="AA5" i="136" s="1"/>
  <c r="AV5" i="136"/>
  <c r="AY5" i="136" s="1"/>
  <c r="BT5" i="136"/>
  <c r="BW5" i="136" s="1"/>
  <c r="AH6" i="136"/>
  <c r="AI6" i="136" s="1"/>
  <c r="BF6" i="136"/>
  <c r="BG6" i="136" s="1"/>
  <c r="AI7" i="136"/>
  <c r="O8" i="136"/>
  <c r="BK8" i="136"/>
  <c r="AQ9" i="136"/>
  <c r="AY11" i="136"/>
  <c r="AE12" i="136"/>
  <c r="BG13" i="136"/>
  <c r="AM14" i="136"/>
  <c r="S15" i="136"/>
  <c r="BO15" i="136"/>
  <c r="AA17" i="136"/>
  <c r="BW17" i="136"/>
  <c r="BC18" i="136"/>
  <c r="AI19" i="136"/>
  <c r="BO21" i="136"/>
  <c r="BC22" i="136"/>
  <c r="AI24" i="136"/>
  <c r="O26" i="136"/>
  <c r="BC27" i="136"/>
  <c r="AU28" i="136"/>
  <c r="AI29" i="136"/>
  <c r="AA30" i="136"/>
  <c r="O31" i="136"/>
  <c r="BS31" i="136"/>
  <c r="BK32" i="136"/>
  <c r="AU33" i="136"/>
  <c r="AQ34" i="136"/>
  <c r="AY36" i="136"/>
  <c r="BC37" i="136"/>
  <c r="BG38" i="136"/>
  <c r="BC39" i="136"/>
  <c r="BO40" i="136"/>
  <c r="S42" i="136"/>
  <c r="BC43" i="136"/>
  <c r="AE45" i="136"/>
  <c r="AQ48" i="136"/>
  <c r="BW51" i="136"/>
  <c r="AE58" i="136"/>
  <c r="BO61" i="136"/>
  <c r="BG71" i="136"/>
  <c r="AY74" i="136"/>
  <c r="O78" i="136"/>
  <c r="AM7" i="136"/>
  <c r="S8" i="136"/>
  <c r="BO8" i="136"/>
  <c r="AA10" i="136"/>
  <c r="BW10" i="136"/>
  <c r="BC11" i="136"/>
  <c r="AI12" i="136"/>
  <c r="O13" i="136"/>
  <c r="BK13" i="136"/>
  <c r="AQ14" i="136"/>
  <c r="AY16" i="136"/>
  <c r="AE17" i="136"/>
  <c r="BG18" i="136"/>
  <c r="AM19" i="136"/>
  <c r="AA20" i="136"/>
  <c r="O21" i="136"/>
  <c r="BG22" i="136"/>
  <c r="AY23" i="136"/>
  <c r="AM24" i="136"/>
  <c r="AE25" i="136"/>
  <c r="S26" i="136"/>
  <c r="BW26" i="136"/>
  <c r="BK27" i="136"/>
  <c r="AY28" i="136"/>
  <c r="AM29" i="136"/>
  <c r="AE30" i="136"/>
  <c r="S31" i="136"/>
  <c r="BO32" i="136"/>
  <c r="AY33" i="136"/>
  <c r="AY34" i="136"/>
  <c r="AY35" i="136"/>
  <c r="BG36" i="136"/>
  <c r="BG37" i="136"/>
  <c r="BO38" i="136"/>
  <c r="BK39" i="136"/>
  <c r="AA42" i="136"/>
  <c r="BS43" i="136"/>
  <c r="AY45" i="136"/>
  <c r="AQ55" i="136"/>
  <c r="AI58" i="136"/>
  <c r="AI65" i="136"/>
  <c r="AA68" i="136"/>
  <c r="BK71" i="136"/>
  <c r="S78" i="136"/>
  <c r="AY81" i="136"/>
  <c r="AI38" i="136"/>
  <c r="W75" i="136"/>
  <c r="W63" i="136"/>
  <c r="W51" i="136"/>
  <c r="W39" i="136"/>
  <c r="W82" i="136"/>
  <c r="W70" i="136"/>
  <c r="W58" i="136"/>
  <c r="W46" i="136"/>
  <c r="W77" i="136"/>
  <c r="W65" i="136"/>
  <c r="W53" i="136"/>
  <c r="W72" i="136"/>
  <c r="W60" i="136"/>
  <c r="W48" i="136"/>
  <c r="W36" i="136"/>
  <c r="W24" i="136"/>
  <c r="W79" i="136"/>
  <c r="W67" i="136"/>
  <c r="W55" i="136"/>
  <c r="W74" i="136"/>
  <c r="W62" i="136"/>
  <c r="W50" i="136"/>
  <c r="W81" i="136"/>
  <c r="W69" i="136"/>
  <c r="W57" i="136"/>
  <c r="W45" i="136"/>
  <c r="W76" i="136"/>
  <c r="W64" i="136"/>
  <c r="W52" i="136"/>
  <c r="W40" i="136"/>
  <c r="W71" i="136"/>
  <c r="W59" i="136"/>
  <c r="W47" i="136"/>
  <c r="W78" i="136"/>
  <c r="W66" i="136"/>
  <c r="W54" i="136"/>
  <c r="W42" i="136"/>
  <c r="W30" i="136"/>
  <c r="AU81" i="136"/>
  <c r="AU69" i="136"/>
  <c r="AU57" i="136"/>
  <c r="AU45" i="136"/>
  <c r="AU76" i="136"/>
  <c r="AU64" i="136"/>
  <c r="AU52" i="136"/>
  <c r="AU71" i="136"/>
  <c r="AU59" i="136"/>
  <c r="AU47" i="136"/>
  <c r="AU78" i="136"/>
  <c r="AU66" i="136"/>
  <c r="AU54" i="136"/>
  <c r="AU42" i="136"/>
  <c r="AU30" i="136"/>
  <c r="AU73" i="136"/>
  <c r="AU61" i="136"/>
  <c r="AU49" i="136"/>
  <c r="AU80" i="136"/>
  <c r="AU68" i="136"/>
  <c r="AU56" i="136"/>
  <c r="AU44" i="136"/>
  <c r="AU75" i="136"/>
  <c r="AU63" i="136"/>
  <c r="AU51" i="136"/>
  <c r="AU82" i="136"/>
  <c r="AU70" i="136"/>
  <c r="AU58" i="136"/>
  <c r="AU46" i="136"/>
  <c r="AU34" i="136"/>
  <c r="AU77" i="136"/>
  <c r="AU65" i="136"/>
  <c r="AU53" i="136"/>
  <c r="AU72" i="136"/>
  <c r="AU60" i="136"/>
  <c r="AU48" i="136"/>
  <c r="AU36" i="136"/>
  <c r="AU24" i="136"/>
  <c r="BS75" i="136"/>
  <c r="BS63" i="136"/>
  <c r="BS51" i="136"/>
  <c r="BS39" i="136"/>
  <c r="BS82" i="136"/>
  <c r="BS70" i="136"/>
  <c r="BS58" i="136"/>
  <c r="BS46" i="136"/>
  <c r="BS77" i="136"/>
  <c r="BS65" i="136"/>
  <c r="BS53" i="136"/>
  <c r="BS72" i="136"/>
  <c r="BS60" i="136"/>
  <c r="BS48" i="136"/>
  <c r="BS36" i="136"/>
  <c r="BS24" i="136"/>
  <c r="BS79" i="136"/>
  <c r="BS67" i="136"/>
  <c r="BS55" i="136"/>
  <c r="BS74" i="136"/>
  <c r="BS62" i="136"/>
  <c r="BS50" i="136"/>
  <c r="BS81" i="136"/>
  <c r="BS69" i="136"/>
  <c r="BS57" i="136"/>
  <c r="BS45" i="136"/>
  <c r="BS76" i="136"/>
  <c r="BS64" i="136"/>
  <c r="BS52" i="136"/>
  <c r="BS40" i="136"/>
  <c r="BS71" i="136"/>
  <c r="BS59" i="136"/>
  <c r="BS47" i="136"/>
  <c r="BS78" i="136"/>
  <c r="BS66" i="136"/>
  <c r="BS54" i="136"/>
  <c r="BS42" i="136"/>
  <c r="BS30" i="136"/>
  <c r="AB5" i="136"/>
  <c r="AE5" i="136" s="1"/>
  <c r="AZ5" i="136"/>
  <c r="BC5" i="136" s="1"/>
  <c r="L6" i="136"/>
  <c r="X6" i="136"/>
  <c r="AJ6" i="136"/>
  <c r="AV6" i="136"/>
  <c r="BH6" i="136"/>
  <c r="BT6" i="136"/>
  <c r="AQ7" i="136"/>
  <c r="W8" i="136"/>
  <c r="BS8" i="136"/>
  <c r="AY9" i="136"/>
  <c r="AE10" i="136"/>
  <c r="BG11" i="136"/>
  <c r="AM12" i="136"/>
  <c r="S13" i="136"/>
  <c r="BO13" i="136"/>
  <c r="AU14" i="136"/>
  <c r="AA15" i="136"/>
  <c r="BW15" i="136"/>
  <c r="BC16" i="136"/>
  <c r="AI17" i="136"/>
  <c r="O18" i="136"/>
  <c r="BK18" i="136"/>
  <c r="AQ19" i="136"/>
  <c r="AI20" i="136"/>
  <c r="S21" i="136"/>
  <c r="BW21" i="136"/>
  <c r="BO22" i="136"/>
  <c r="BC23" i="136"/>
  <c r="AQ24" i="136"/>
  <c r="AI25" i="136"/>
  <c r="W26" i="136"/>
  <c r="BO27" i="136"/>
  <c r="BC28" i="136"/>
  <c r="AU29" i="136"/>
  <c r="AI30" i="136"/>
  <c r="W31" i="136"/>
  <c r="O32" i="136"/>
  <c r="BS32" i="136"/>
  <c r="BC33" i="136"/>
  <c r="BC34" i="136"/>
  <c r="BG35" i="136"/>
  <c r="BK36" i="136"/>
  <c r="BO37" i="136"/>
  <c r="BS38" i="136"/>
  <c r="BO39" i="136"/>
  <c r="O41" i="136"/>
  <c r="AQ42" i="136"/>
  <c r="BC45" i="136"/>
  <c r="S49" i="136"/>
  <c r="BC52" i="136"/>
  <c r="AU55" i="136"/>
  <c r="AM65" i="136"/>
  <c r="BS68" i="136"/>
  <c r="AA75" i="136"/>
  <c r="BK78" i="136"/>
  <c r="BC81" i="136"/>
  <c r="M6" i="136"/>
  <c r="Y6" i="136"/>
  <c r="AK6" i="136"/>
  <c r="AW6" i="136"/>
  <c r="BI6" i="136"/>
  <c r="BU6" i="136"/>
  <c r="AA8" i="136"/>
  <c r="BW8" i="136"/>
  <c r="BC9" i="136"/>
  <c r="AI10" i="136"/>
  <c r="O11" i="136"/>
  <c r="BK11" i="136"/>
  <c r="AQ12" i="136"/>
  <c r="AY14" i="136"/>
  <c r="AE15" i="136"/>
  <c r="BG16" i="136"/>
  <c r="AM17" i="136"/>
  <c r="S18" i="136"/>
  <c r="BO18" i="136"/>
  <c r="AM20" i="136"/>
  <c r="W21" i="136"/>
  <c r="BS22" i="136"/>
  <c r="BG23" i="136"/>
  <c r="AY24" i="136"/>
  <c r="AM25" i="136"/>
  <c r="O27" i="136"/>
  <c r="BS27" i="136"/>
  <c r="BG28" i="136"/>
  <c r="AY29" i="136"/>
  <c r="AM30" i="136"/>
  <c r="AE31" i="136"/>
  <c r="S32" i="136"/>
  <c r="BW32" i="136"/>
  <c r="BK33" i="136"/>
  <c r="BG34" i="136"/>
  <c r="BK35" i="136"/>
  <c r="BO36" i="136"/>
  <c r="BS37" i="136"/>
  <c r="BW38" i="136"/>
  <c r="BW39" i="136"/>
  <c r="W41" i="136"/>
  <c r="W44" i="136"/>
  <c r="W49" i="136"/>
  <c r="BG52" i="136"/>
  <c r="O59" i="136"/>
  <c r="AU62" i="136"/>
  <c r="AM72" i="136"/>
  <c r="AE75" i="136"/>
  <c r="BO78" i="136"/>
  <c r="AA82" i="136"/>
  <c r="AA70" i="136"/>
  <c r="AA58" i="136"/>
  <c r="AA46" i="136"/>
  <c r="AA34" i="136"/>
  <c r="AA77" i="136"/>
  <c r="AA65" i="136"/>
  <c r="AA53" i="136"/>
  <c r="AA72" i="136"/>
  <c r="AA60" i="136"/>
  <c r="AA48" i="136"/>
  <c r="AA79" i="136"/>
  <c r="AA67" i="136"/>
  <c r="AA55" i="136"/>
  <c r="AA43" i="136"/>
  <c r="AA31" i="136"/>
  <c r="AA74" i="136"/>
  <c r="AA62" i="136"/>
  <c r="AA50" i="136"/>
  <c r="AA81" i="136"/>
  <c r="AA69" i="136"/>
  <c r="AA57" i="136"/>
  <c r="AA45" i="136"/>
  <c r="AA76" i="136"/>
  <c r="AA64" i="136"/>
  <c r="AA52" i="136"/>
  <c r="AA40" i="136"/>
  <c r="AA71" i="136"/>
  <c r="AA59" i="136"/>
  <c r="AA47" i="136"/>
  <c r="AA35" i="136"/>
  <c r="AA78" i="136"/>
  <c r="AA66" i="136"/>
  <c r="AA54" i="136"/>
  <c r="AA73" i="136"/>
  <c r="AA61" i="136"/>
  <c r="AA49" i="136"/>
  <c r="AA37" i="136"/>
  <c r="AA25" i="136"/>
  <c r="AY76" i="136"/>
  <c r="AY64" i="136"/>
  <c r="AY52" i="136"/>
  <c r="AY40" i="136"/>
  <c r="AY71" i="136"/>
  <c r="AY59" i="136"/>
  <c r="AY47" i="136"/>
  <c r="AY78" i="136"/>
  <c r="AY66" i="136"/>
  <c r="AY54" i="136"/>
  <c r="AY73" i="136"/>
  <c r="AY61" i="136"/>
  <c r="AY49" i="136"/>
  <c r="AY37" i="136"/>
  <c r="AY25" i="136"/>
  <c r="AY80" i="136"/>
  <c r="AY68" i="136"/>
  <c r="AY56" i="136"/>
  <c r="AY75" i="136"/>
  <c r="AY63" i="136"/>
  <c r="AY51" i="136"/>
  <c r="AY82" i="136"/>
  <c r="AY70" i="136"/>
  <c r="AY58" i="136"/>
  <c r="AY46" i="136"/>
  <c r="AY77" i="136"/>
  <c r="AY65" i="136"/>
  <c r="AY53" i="136"/>
  <c r="AY41" i="136"/>
  <c r="AY72" i="136"/>
  <c r="AY60" i="136"/>
  <c r="AY48" i="136"/>
  <c r="AY79" i="136"/>
  <c r="AY67" i="136"/>
  <c r="AY55" i="136"/>
  <c r="AY43" i="136"/>
  <c r="AY31" i="136"/>
  <c r="AY19" i="136"/>
  <c r="BW82" i="136"/>
  <c r="BW70" i="136"/>
  <c r="BW58" i="136"/>
  <c r="BW46" i="136"/>
  <c r="BW34" i="136"/>
  <c r="BW77" i="136"/>
  <c r="BW65" i="136"/>
  <c r="BW53" i="136"/>
  <c r="BW41" i="136"/>
  <c r="BW72" i="136"/>
  <c r="BW60" i="136"/>
  <c r="BW48" i="136"/>
  <c r="BW79" i="136"/>
  <c r="BW67" i="136"/>
  <c r="BW55" i="136"/>
  <c r="BW43" i="136"/>
  <c r="BW31" i="136"/>
  <c r="BW19" i="136"/>
  <c r="BW74" i="136"/>
  <c r="BW62" i="136"/>
  <c r="BW50" i="136"/>
  <c r="BW81" i="136"/>
  <c r="BW69" i="136"/>
  <c r="BW57" i="136"/>
  <c r="BW45" i="136"/>
  <c r="BW76" i="136"/>
  <c r="BW64" i="136"/>
  <c r="BW52" i="136"/>
  <c r="BW40" i="136"/>
  <c r="BW71" i="136"/>
  <c r="BW59" i="136"/>
  <c r="BW47" i="136"/>
  <c r="BW35" i="136"/>
  <c r="BW78" i="136"/>
  <c r="BW66" i="136"/>
  <c r="BW54" i="136"/>
  <c r="BW73" i="136"/>
  <c r="BW61" i="136"/>
  <c r="BW49" i="136"/>
  <c r="BW37" i="136"/>
  <c r="BW25" i="136"/>
  <c r="AF5" i="136"/>
  <c r="AI5" i="136" s="1"/>
  <c r="BD5" i="136"/>
  <c r="BG5" i="136" s="1"/>
  <c r="N6" i="136"/>
  <c r="O6" i="136" s="1"/>
  <c r="Z6" i="136"/>
  <c r="AA6" i="136" s="1"/>
  <c r="AL6" i="136"/>
  <c r="AM6" i="136" s="1"/>
  <c r="AX6" i="136"/>
  <c r="AY6" i="136" s="1"/>
  <c r="BJ6" i="136"/>
  <c r="BK6" i="136" s="1"/>
  <c r="BV6" i="136"/>
  <c r="BW6" i="136" s="1"/>
  <c r="AY7" i="136"/>
  <c r="AE8" i="136"/>
  <c r="BG9" i="136"/>
  <c r="AM10" i="136"/>
  <c r="S11" i="136"/>
  <c r="BO11" i="136"/>
  <c r="AA13" i="136"/>
  <c r="BW13" i="136"/>
  <c r="BC14" i="136"/>
  <c r="AI15" i="136"/>
  <c r="O16" i="136"/>
  <c r="BK16" i="136"/>
  <c r="AQ17" i="136"/>
  <c r="BC19" i="136"/>
  <c r="AQ20" i="136"/>
  <c r="AA21" i="136"/>
  <c r="S22" i="136"/>
  <c r="BW22" i="136"/>
  <c r="BK23" i="136"/>
  <c r="BC24" i="136"/>
  <c r="AQ25" i="136"/>
  <c r="AI26" i="136"/>
  <c r="S27" i="136"/>
  <c r="BW27" i="136"/>
  <c r="BO28" i="136"/>
  <c r="BC29" i="136"/>
  <c r="AQ30" i="136"/>
  <c r="AI31" i="136"/>
  <c r="BO33" i="136"/>
  <c r="BO34" i="136"/>
  <c r="BW36" i="136"/>
  <c r="AA41" i="136"/>
  <c r="BK42" i="136"/>
  <c r="AA44" i="136"/>
  <c r="AE46" i="136"/>
  <c r="BO49" i="136"/>
  <c r="W56" i="136"/>
  <c r="BG59" i="136"/>
  <c r="AY62" i="136"/>
  <c r="O66" i="136"/>
  <c r="AQ72" i="136"/>
  <c r="BW75" i="136"/>
  <c r="AE82" i="136"/>
  <c r="AI11" i="136"/>
  <c r="BG17" i="136"/>
  <c r="BG47" i="136"/>
  <c r="X4" i="136"/>
  <c r="AV4" i="136"/>
  <c r="BT4" i="136"/>
  <c r="BC7" i="136"/>
  <c r="AI8" i="136"/>
  <c r="O9" i="136"/>
  <c r="BK9" i="136"/>
  <c r="AQ10" i="136"/>
  <c r="W11" i="136"/>
  <c r="BS11" i="136"/>
  <c r="AY12" i="136"/>
  <c r="AE13" i="136"/>
  <c r="BG14" i="136"/>
  <c r="AM15" i="136"/>
  <c r="S16" i="136"/>
  <c r="BO16" i="136"/>
  <c r="AU17" i="136"/>
  <c r="AA18" i="136"/>
  <c r="BW18" i="136"/>
  <c r="BG19" i="136"/>
  <c r="AU20" i="136"/>
  <c r="AE21" i="136"/>
  <c r="W22" i="136"/>
  <c r="BS23" i="136"/>
  <c r="BG24" i="136"/>
  <c r="AU25" i="136"/>
  <c r="AM26" i="136"/>
  <c r="W27" i="136"/>
  <c r="BS28" i="136"/>
  <c r="BG29" i="136"/>
  <c r="AY30" i="136"/>
  <c r="AM31" i="136"/>
  <c r="AA32" i="136"/>
  <c r="O33" i="136"/>
  <c r="BS33" i="136"/>
  <c r="BS34" i="136"/>
  <c r="S38" i="136"/>
  <c r="O39" i="136"/>
  <c r="S40" i="136"/>
  <c r="AI41" i="136"/>
  <c r="BO42" i="136"/>
  <c r="AI44" i="136"/>
  <c r="AI46" i="136"/>
  <c r="BS49" i="136"/>
  <c r="AI53" i="136"/>
  <c r="AA56" i="136"/>
  <c r="BK59" i="136"/>
  <c r="S66" i="136"/>
  <c r="AY69" i="136"/>
  <c r="AQ79" i="136"/>
  <c r="AI82" i="136"/>
  <c r="AM79" i="135"/>
  <c r="AM67" i="135"/>
  <c r="AM55" i="135"/>
  <c r="AM43" i="135"/>
  <c r="AM74" i="135"/>
  <c r="AM62" i="135"/>
  <c r="AM50" i="135"/>
  <c r="AM38" i="135"/>
  <c r="AM81" i="135"/>
  <c r="AM69" i="135"/>
  <c r="AM57" i="135"/>
  <c r="AM45" i="135"/>
  <c r="AM33" i="135"/>
  <c r="AM21" i="135"/>
  <c r="AM76" i="135"/>
  <c r="AM64" i="135"/>
  <c r="AM52" i="135"/>
  <c r="AM71" i="135"/>
  <c r="AM59" i="135"/>
  <c r="AM47" i="135"/>
  <c r="AM35" i="135"/>
  <c r="AM78" i="135"/>
  <c r="AM66" i="135"/>
  <c r="AM54" i="135"/>
  <c r="AM42" i="135"/>
  <c r="AM30" i="135"/>
  <c r="AM73" i="135"/>
  <c r="AM61" i="135"/>
  <c r="AM49" i="135"/>
  <c r="AM37" i="135"/>
  <c r="AM80" i="135"/>
  <c r="AM68" i="135"/>
  <c r="AM56" i="135"/>
  <c r="AM44" i="135"/>
  <c r="AM75" i="135"/>
  <c r="AM63" i="135"/>
  <c r="AM51" i="135"/>
  <c r="AM39" i="135"/>
  <c r="AM82" i="135"/>
  <c r="AM70" i="135"/>
  <c r="AM58" i="135"/>
  <c r="AM46" i="135"/>
  <c r="AM34" i="135"/>
  <c r="AM22" i="135"/>
  <c r="AM77" i="135"/>
  <c r="AM65" i="135"/>
  <c r="AM53" i="135"/>
  <c r="AM41" i="135"/>
  <c r="AM29" i="135"/>
  <c r="O10" i="135"/>
  <c r="L4" i="135"/>
  <c r="AJ4" i="135"/>
  <c r="BH4" i="135"/>
  <c r="U6" i="135"/>
  <c r="AG6" i="135"/>
  <c r="AS6" i="135"/>
  <c r="BE6" i="135"/>
  <c r="BQ6" i="135"/>
  <c r="AE7" i="135"/>
  <c r="BG8" i="135"/>
  <c r="AM9" i="135"/>
  <c r="S10" i="135"/>
  <c r="BO10" i="135"/>
  <c r="AU11" i="135"/>
  <c r="AA12" i="135"/>
  <c r="BW12" i="135"/>
  <c r="BC13" i="135"/>
  <c r="AI14" i="135"/>
  <c r="O15" i="135"/>
  <c r="BK15" i="135"/>
  <c r="W17" i="135"/>
  <c r="BS17" i="135"/>
  <c r="AY18" i="135"/>
  <c r="AE19" i="135"/>
  <c r="O20" i="135"/>
  <c r="BW20" i="135"/>
  <c r="BS21" i="135"/>
  <c r="BW22" i="135"/>
  <c r="O25" i="135"/>
  <c r="S26" i="135"/>
  <c r="W27" i="135"/>
  <c r="W28" i="135"/>
  <c r="S29" i="135"/>
  <c r="AA30" i="135"/>
  <c r="AM31" i="135"/>
  <c r="BO32" i="135"/>
  <c r="AA34" i="135"/>
  <c r="BS39" i="135"/>
  <c r="O42" i="135"/>
  <c r="BG47" i="135"/>
  <c r="BC52" i="135"/>
  <c r="AY57" i="135"/>
  <c r="O73" i="135"/>
  <c r="O61" i="135"/>
  <c r="O49" i="135"/>
  <c r="O80" i="135"/>
  <c r="O68" i="135"/>
  <c r="O56" i="135"/>
  <c r="O44" i="135"/>
  <c r="O75" i="135"/>
  <c r="O63" i="135"/>
  <c r="O51" i="135"/>
  <c r="O39" i="135"/>
  <c r="O27" i="135"/>
  <c r="O82" i="135"/>
  <c r="O70" i="135"/>
  <c r="O58" i="135"/>
  <c r="O46" i="135"/>
  <c r="O77" i="135"/>
  <c r="O65" i="135"/>
  <c r="O53" i="135"/>
  <c r="O41" i="135"/>
  <c r="O72" i="135"/>
  <c r="O60" i="135"/>
  <c r="O48" i="135"/>
  <c r="O36" i="135"/>
  <c r="O24" i="135"/>
  <c r="O79" i="135"/>
  <c r="O67" i="135"/>
  <c r="O55" i="135"/>
  <c r="O43" i="135"/>
  <c r="O31" i="135"/>
  <c r="O74" i="135"/>
  <c r="O62" i="135"/>
  <c r="O50" i="135"/>
  <c r="O81" i="135"/>
  <c r="O69" i="135"/>
  <c r="O57" i="135"/>
  <c r="O45" i="135"/>
  <c r="O33" i="135"/>
  <c r="O76" i="135"/>
  <c r="O64" i="135"/>
  <c r="O52" i="135"/>
  <c r="O40" i="135"/>
  <c r="O28" i="135"/>
  <c r="O71" i="135"/>
  <c r="O59" i="135"/>
  <c r="O47" i="135"/>
  <c r="O35" i="135"/>
  <c r="O23" i="135"/>
  <c r="BK10" i="135"/>
  <c r="AM16" i="135"/>
  <c r="O26" i="135"/>
  <c r="O29" i="135"/>
  <c r="O30" i="135"/>
  <c r="BK32" i="135"/>
  <c r="BK37" i="135"/>
  <c r="S80" i="135"/>
  <c r="S68" i="135"/>
  <c r="S56" i="135"/>
  <c r="S44" i="135"/>
  <c r="S75" i="135"/>
  <c r="S63" i="135"/>
  <c r="S51" i="135"/>
  <c r="S39" i="135"/>
  <c r="S82" i="135"/>
  <c r="S70" i="135"/>
  <c r="S58" i="135"/>
  <c r="S46" i="135"/>
  <c r="S34" i="135"/>
  <c r="S22" i="135"/>
  <c r="S77" i="135"/>
  <c r="S65" i="135"/>
  <c r="S53" i="135"/>
  <c r="S41" i="135"/>
  <c r="S72" i="135"/>
  <c r="S60" i="135"/>
  <c r="S48" i="135"/>
  <c r="S36" i="135"/>
  <c r="S79" i="135"/>
  <c r="S67" i="135"/>
  <c r="S55" i="135"/>
  <c r="S43" i="135"/>
  <c r="S31" i="135"/>
  <c r="S74" i="135"/>
  <c r="S62" i="135"/>
  <c r="S50" i="135"/>
  <c r="S38" i="135"/>
  <c r="S81" i="135"/>
  <c r="S69" i="135"/>
  <c r="S57" i="135"/>
  <c r="S45" i="135"/>
  <c r="S76" i="135"/>
  <c r="S64" i="135"/>
  <c r="S52" i="135"/>
  <c r="S40" i="135"/>
  <c r="S71" i="135"/>
  <c r="S59" i="135"/>
  <c r="S47" i="135"/>
  <c r="S35" i="135"/>
  <c r="S23" i="135"/>
  <c r="S78" i="135"/>
  <c r="S66" i="135"/>
  <c r="S54" i="135"/>
  <c r="S42" i="135"/>
  <c r="S30" i="135"/>
  <c r="AQ74" i="135"/>
  <c r="AQ62" i="135"/>
  <c r="AQ50" i="135"/>
  <c r="AQ81" i="135"/>
  <c r="AQ69" i="135"/>
  <c r="AQ57" i="135"/>
  <c r="AQ45" i="135"/>
  <c r="AQ76" i="135"/>
  <c r="AQ64" i="135"/>
  <c r="AQ52" i="135"/>
  <c r="AQ40" i="135"/>
  <c r="AQ28" i="135"/>
  <c r="AQ71" i="135"/>
  <c r="AQ59" i="135"/>
  <c r="AQ47" i="135"/>
  <c r="AQ78" i="135"/>
  <c r="AQ66" i="135"/>
  <c r="AQ54" i="135"/>
  <c r="AQ42" i="135"/>
  <c r="AQ73" i="135"/>
  <c r="AQ61" i="135"/>
  <c r="AQ49" i="135"/>
  <c r="AQ37" i="135"/>
  <c r="AQ25" i="135"/>
  <c r="AQ80" i="135"/>
  <c r="AQ68" i="135"/>
  <c r="AQ56" i="135"/>
  <c r="AQ44" i="135"/>
  <c r="AQ32" i="135"/>
  <c r="AQ75" i="135"/>
  <c r="AQ63" i="135"/>
  <c r="AQ51" i="135"/>
  <c r="AQ82" i="135"/>
  <c r="AQ70" i="135"/>
  <c r="AQ58" i="135"/>
  <c r="AQ46" i="135"/>
  <c r="AQ34" i="135"/>
  <c r="AQ77" i="135"/>
  <c r="AQ65" i="135"/>
  <c r="AQ53" i="135"/>
  <c r="AQ41" i="135"/>
  <c r="AQ29" i="135"/>
  <c r="AQ72" i="135"/>
  <c r="AQ60" i="135"/>
  <c r="AQ48" i="135"/>
  <c r="AQ36" i="135"/>
  <c r="AQ24" i="135"/>
  <c r="BO80" i="135"/>
  <c r="BO68" i="135"/>
  <c r="BO56" i="135"/>
  <c r="BO44" i="135"/>
  <c r="BO75" i="135"/>
  <c r="BO63" i="135"/>
  <c r="BO51" i="135"/>
  <c r="BO39" i="135"/>
  <c r="BO82" i="135"/>
  <c r="BO70" i="135"/>
  <c r="BO58" i="135"/>
  <c r="BO46" i="135"/>
  <c r="BO34" i="135"/>
  <c r="BO22" i="135"/>
  <c r="BO77" i="135"/>
  <c r="BO65" i="135"/>
  <c r="BO53" i="135"/>
  <c r="BO41" i="135"/>
  <c r="BO72" i="135"/>
  <c r="BO60" i="135"/>
  <c r="BO48" i="135"/>
  <c r="BO36" i="135"/>
  <c r="BO79" i="135"/>
  <c r="BO67" i="135"/>
  <c r="BO55" i="135"/>
  <c r="BO43" i="135"/>
  <c r="BO31" i="135"/>
  <c r="BO19" i="135"/>
  <c r="BO74" i="135"/>
  <c r="BO62" i="135"/>
  <c r="BO50" i="135"/>
  <c r="BO38" i="135"/>
  <c r="BO81" i="135"/>
  <c r="BO69" i="135"/>
  <c r="BO57" i="135"/>
  <c r="BO45" i="135"/>
  <c r="BO76" i="135"/>
  <c r="BO64" i="135"/>
  <c r="BO52" i="135"/>
  <c r="BO40" i="135"/>
  <c r="BO71" i="135"/>
  <c r="BO59" i="135"/>
  <c r="BO47" i="135"/>
  <c r="BO35" i="135"/>
  <c r="BO23" i="135"/>
  <c r="BO78" i="135"/>
  <c r="BO66" i="135"/>
  <c r="BO54" i="135"/>
  <c r="BO42" i="135"/>
  <c r="BO30" i="135"/>
  <c r="X5" i="135"/>
  <c r="AA5" i="135" s="1"/>
  <c r="V6" i="135"/>
  <c r="W6" i="135" s="1"/>
  <c r="AH6" i="135"/>
  <c r="AI6" i="135" s="1"/>
  <c r="AT6" i="135"/>
  <c r="AU6" i="135" s="1"/>
  <c r="BF6" i="135"/>
  <c r="BG6" i="135" s="1"/>
  <c r="BR6" i="135"/>
  <c r="BS6" i="135" s="1"/>
  <c r="AI7" i="135"/>
  <c r="O8" i="135"/>
  <c r="BK8" i="135"/>
  <c r="AQ9" i="135"/>
  <c r="W10" i="135"/>
  <c r="BS10" i="135"/>
  <c r="AY11" i="135"/>
  <c r="AE12" i="135"/>
  <c r="BG13" i="135"/>
  <c r="AM14" i="135"/>
  <c r="S15" i="135"/>
  <c r="BO15" i="135"/>
  <c r="AA17" i="135"/>
  <c r="BW17" i="135"/>
  <c r="BC18" i="135"/>
  <c r="AI19" i="135"/>
  <c r="S20" i="135"/>
  <c r="S24" i="135"/>
  <c r="S25" i="135"/>
  <c r="AA26" i="135"/>
  <c r="AA27" i="135"/>
  <c r="AA28" i="135"/>
  <c r="AA29" i="135"/>
  <c r="AE30" i="135"/>
  <c r="AQ31" i="135"/>
  <c r="AE34" i="135"/>
  <c r="W36" i="135"/>
  <c r="BW39" i="135"/>
  <c r="BK42" i="135"/>
  <c r="AA63" i="135"/>
  <c r="BO73" i="135"/>
  <c r="BK73" i="135"/>
  <c r="BK61" i="135"/>
  <c r="BK49" i="135"/>
  <c r="BK80" i="135"/>
  <c r="BK68" i="135"/>
  <c r="BK56" i="135"/>
  <c r="BK44" i="135"/>
  <c r="BK75" i="135"/>
  <c r="BK63" i="135"/>
  <c r="BK51" i="135"/>
  <c r="BK39" i="135"/>
  <c r="BK27" i="135"/>
  <c r="BK82" i="135"/>
  <c r="BK70" i="135"/>
  <c r="BK58" i="135"/>
  <c r="BK46" i="135"/>
  <c r="BK77" i="135"/>
  <c r="BK65" i="135"/>
  <c r="BK53" i="135"/>
  <c r="BK41" i="135"/>
  <c r="BK72" i="135"/>
  <c r="BK60" i="135"/>
  <c r="BK48" i="135"/>
  <c r="BK36" i="135"/>
  <c r="BK24" i="135"/>
  <c r="BK79" i="135"/>
  <c r="BK67" i="135"/>
  <c r="BK55" i="135"/>
  <c r="BK43" i="135"/>
  <c r="BK31" i="135"/>
  <c r="BK74" i="135"/>
  <c r="BK62" i="135"/>
  <c r="BK50" i="135"/>
  <c r="BK81" i="135"/>
  <c r="BK69" i="135"/>
  <c r="BK57" i="135"/>
  <c r="BK45" i="135"/>
  <c r="BK33" i="135"/>
  <c r="BK76" i="135"/>
  <c r="BK64" i="135"/>
  <c r="BK52" i="135"/>
  <c r="BK40" i="135"/>
  <c r="BK28" i="135"/>
  <c r="BK71" i="135"/>
  <c r="BK59" i="135"/>
  <c r="BK47" i="135"/>
  <c r="BK35" i="135"/>
  <c r="BK23" i="135"/>
  <c r="O21" i="135"/>
  <c r="W75" i="135"/>
  <c r="W63" i="135"/>
  <c r="W51" i="135"/>
  <c r="W82" i="135"/>
  <c r="W70" i="135"/>
  <c r="W58" i="135"/>
  <c r="W46" i="135"/>
  <c r="W77" i="135"/>
  <c r="W65" i="135"/>
  <c r="W53" i="135"/>
  <c r="W41" i="135"/>
  <c r="W29" i="135"/>
  <c r="W72" i="135"/>
  <c r="W60" i="135"/>
  <c r="W48" i="135"/>
  <c r="W79" i="135"/>
  <c r="W67" i="135"/>
  <c r="W55" i="135"/>
  <c r="W43" i="135"/>
  <c r="W74" i="135"/>
  <c r="W62" i="135"/>
  <c r="W50" i="135"/>
  <c r="W38" i="135"/>
  <c r="W26" i="135"/>
  <c r="W81" i="135"/>
  <c r="W69" i="135"/>
  <c r="W57" i="135"/>
  <c r="W45" i="135"/>
  <c r="W33" i="135"/>
  <c r="W76" i="135"/>
  <c r="W64" i="135"/>
  <c r="W52" i="135"/>
  <c r="W71" i="135"/>
  <c r="W59" i="135"/>
  <c r="W47" i="135"/>
  <c r="W35" i="135"/>
  <c r="W78" i="135"/>
  <c r="W66" i="135"/>
  <c r="W54" i="135"/>
  <c r="W42" i="135"/>
  <c r="W30" i="135"/>
  <c r="W73" i="135"/>
  <c r="W61" i="135"/>
  <c r="W49" i="135"/>
  <c r="W37" i="135"/>
  <c r="W25" i="135"/>
  <c r="AU81" i="135"/>
  <c r="AU69" i="135"/>
  <c r="AU57" i="135"/>
  <c r="AU45" i="135"/>
  <c r="AU76" i="135"/>
  <c r="AU64" i="135"/>
  <c r="AU52" i="135"/>
  <c r="AU40" i="135"/>
  <c r="AU71" i="135"/>
  <c r="AU59" i="135"/>
  <c r="AU47" i="135"/>
  <c r="AU35" i="135"/>
  <c r="AU23" i="135"/>
  <c r="AU78" i="135"/>
  <c r="AU66" i="135"/>
  <c r="AU54" i="135"/>
  <c r="AU42" i="135"/>
  <c r="AU73" i="135"/>
  <c r="AU61" i="135"/>
  <c r="AU49" i="135"/>
  <c r="AU37" i="135"/>
  <c r="AU80" i="135"/>
  <c r="AU68" i="135"/>
  <c r="AU56" i="135"/>
  <c r="AU44" i="135"/>
  <c r="AU32" i="135"/>
  <c r="AU20" i="135"/>
  <c r="AU75" i="135"/>
  <c r="AU63" i="135"/>
  <c r="AU51" i="135"/>
  <c r="AU39" i="135"/>
  <c r="AU82" i="135"/>
  <c r="AU70" i="135"/>
  <c r="AU58" i="135"/>
  <c r="AU46" i="135"/>
  <c r="AU77" i="135"/>
  <c r="AU65" i="135"/>
  <c r="AU53" i="135"/>
  <c r="AU41" i="135"/>
  <c r="AU72" i="135"/>
  <c r="AU60" i="135"/>
  <c r="AU48" i="135"/>
  <c r="AU36" i="135"/>
  <c r="AU24" i="135"/>
  <c r="AU79" i="135"/>
  <c r="AU67" i="135"/>
  <c r="AU55" i="135"/>
  <c r="AU43" i="135"/>
  <c r="AU31" i="135"/>
  <c r="BS75" i="135"/>
  <c r="BS63" i="135"/>
  <c r="BS51" i="135"/>
  <c r="BS82" i="135"/>
  <c r="BS70" i="135"/>
  <c r="BS58" i="135"/>
  <c r="BS46" i="135"/>
  <c r="BS77" i="135"/>
  <c r="BS65" i="135"/>
  <c r="BS53" i="135"/>
  <c r="BS41" i="135"/>
  <c r="BS29" i="135"/>
  <c r="BS72" i="135"/>
  <c r="BS60" i="135"/>
  <c r="BS48" i="135"/>
  <c r="BS79" i="135"/>
  <c r="BS67" i="135"/>
  <c r="BS55" i="135"/>
  <c r="BS43" i="135"/>
  <c r="BS74" i="135"/>
  <c r="BS62" i="135"/>
  <c r="BS50" i="135"/>
  <c r="BS38" i="135"/>
  <c r="BS26" i="135"/>
  <c r="BS81" i="135"/>
  <c r="BS69" i="135"/>
  <c r="BS57" i="135"/>
  <c r="BS45" i="135"/>
  <c r="BS33" i="135"/>
  <c r="BS76" i="135"/>
  <c r="BS64" i="135"/>
  <c r="BS52" i="135"/>
  <c r="BS71" i="135"/>
  <c r="BS59" i="135"/>
  <c r="BS47" i="135"/>
  <c r="BS35" i="135"/>
  <c r="BS78" i="135"/>
  <c r="BS66" i="135"/>
  <c r="BS54" i="135"/>
  <c r="BS42" i="135"/>
  <c r="BS30" i="135"/>
  <c r="BS73" i="135"/>
  <c r="BS61" i="135"/>
  <c r="BS49" i="135"/>
  <c r="BS37" i="135"/>
  <c r="BS25" i="135"/>
  <c r="AB5" i="135"/>
  <c r="AE5" i="135" s="1"/>
  <c r="AZ5" i="135"/>
  <c r="BC5" i="135" s="1"/>
  <c r="L6" i="135"/>
  <c r="AJ6" i="135"/>
  <c r="BH6" i="135"/>
  <c r="W8" i="135"/>
  <c r="BS8" i="135"/>
  <c r="AE10" i="135"/>
  <c r="BG11" i="135"/>
  <c r="AM12" i="135"/>
  <c r="AU14" i="135"/>
  <c r="BC16" i="135"/>
  <c r="AI17" i="135"/>
  <c r="O18" i="135"/>
  <c r="BK18" i="135"/>
  <c r="AQ19" i="135"/>
  <c r="S21" i="135"/>
  <c r="W22" i="135"/>
  <c r="AE24" i="135"/>
  <c r="AI25" i="135"/>
  <c r="AM26" i="135"/>
  <c r="AQ27" i="135"/>
  <c r="AM28" i="135"/>
  <c r="AI29" i="135"/>
  <c r="AQ30" i="135"/>
  <c r="BS31" i="135"/>
  <c r="S33" i="135"/>
  <c r="BK34" i="135"/>
  <c r="AM36" i="135"/>
  <c r="AE38" i="135"/>
  <c r="W40" i="135"/>
  <c r="AQ43" i="135"/>
  <c r="AU74" i="135"/>
  <c r="AQ79" i="135"/>
  <c r="O13" i="135"/>
  <c r="O38" i="135"/>
  <c r="AM48" i="135"/>
  <c r="T4" i="135"/>
  <c r="AR4" i="135"/>
  <c r="BP4" i="135"/>
  <c r="M6" i="135"/>
  <c r="AK6" i="135"/>
  <c r="BI6" i="135"/>
  <c r="AU7" i="135"/>
  <c r="BC9" i="135"/>
  <c r="AI10" i="135"/>
  <c r="O11" i="135"/>
  <c r="BK11" i="135"/>
  <c r="AQ12" i="135"/>
  <c r="W13" i="135"/>
  <c r="BS13" i="135"/>
  <c r="AE15" i="135"/>
  <c r="BG16" i="135"/>
  <c r="AM17" i="135"/>
  <c r="S18" i="135"/>
  <c r="BO18" i="135"/>
  <c r="AU19" i="135"/>
  <c r="AI20" i="135"/>
  <c r="W21" i="135"/>
  <c r="AE23" i="135"/>
  <c r="AI24" i="135"/>
  <c r="AM25" i="135"/>
  <c r="AQ26" i="135"/>
  <c r="AU27" i="135"/>
  <c r="AU28" i="135"/>
  <c r="AU29" i="135"/>
  <c r="AU30" i="135"/>
  <c r="AI33" i="135"/>
  <c r="BS34" i="135"/>
  <c r="BC36" i="135"/>
  <c r="AQ38" i="135"/>
  <c r="AM40" i="135"/>
  <c r="S49" i="135"/>
  <c r="O54" i="135"/>
  <c r="BG59" i="135"/>
  <c r="BC64" i="135"/>
  <c r="AA82" i="135"/>
  <c r="AA70" i="135"/>
  <c r="AA58" i="135"/>
  <c r="AA46" i="135"/>
  <c r="AA77" i="135"/>
  <c r="AA65" i="135"/>
  <c r="AA53" i="135"/>
  <c r="AA41" i="135"/>
  <c r="AA72" i="135"/>
  <c r="AA60" i="135"/>
  <c r="AA48" i="135"/>
  <c r="AA36" i="135"/>
  <c r="AA24" i="135"/>
  <c r="AA79" i="135"/>
  <c r="AA67" i="135"/>
  <c r="AA55" i="135"/>
  <c r="AA43" i="135"/>
  <c r="AA74" i="135"/>
  <c r="AA62" i="135"/>
  <c r="AA50" i="135"/>
  <c r="AA38" i="135"/>
  <c r="AA81" i="135"/>
  <c r="AA69" i="135"/>
  <c r="AA57" i="135"/>
  <c r="AA45" i="135"/>
  <c r="AA33" i="135"/>
  <c r="AA21" i="135"/>
  <c r="AA76" i="135"/>
  <c r="AA64" i="135"/>
  <c r="AA52" i="135"/>
  <c r="AA40" i="135"/>
  <c r="AA71" i="135"/>
  <c r="AA59" i="135"/>
  <c r="AA47" i="135"/>
  <c r="AA78" i="135"/>
  <c r="AA66" i="135"/>
  <c r="AA54" i="135"/>
  <c r="AA42" i="135"/>
  <c r="AA73" i="135"/>
  <c r="AA61" i="135"/>
  <c r="AA49" i="135"/>
  <c r="AA37" i="135"/>
  <c r="AA25" i="135"/>
  <c r="AA80" i="135"/>
  <c r="AA68" i="135"/>
  <c r="AA56" i="135"/>
  <c r="AA44" i="135"/>
  <c r="AA32" i="135"/>
  <c r="AY76" i="135"/>
  <c r="AY64" i="135"/>
  <c r="AY52" i="135"/>
  <c r="AY71" i="135"/>
  <c r="AY59" i="135"/>
  <c r="AY47" i="135"/>
  <c r="AY35" i="135"/>
  <c r="AY78" i="135"/>
  <c r="AY66" i="135"/>
  <c r="AY54" i="135"/>
  <c r="AY42" i="135"/>
  <c r="AY30" i="135"/>
  <c r="AY73" i="135"/>
  <c r="AY61" i="135"/>
  <c r="AY49" i="135"/>
  <c r="AY80" i="135"/>
  <c r="AY68" i="135"/>
  <c r="AY56" i="135"/>
  <c r="AY44" i="135"/>
  <c r="AY32" i="135"/>
  <c r="AY75" i="135"/>
  <c r="AY63" i="135"/>
  <c r="AY51" i="135"/>
  <c r="AY39" i="135"/>
  <c r="AY27" i="135"/>
  <c r="AY82" i="135"/>
  <c r="AY70" i="135"/>
  <c r="AY58" i="135"/>
  <c r="AY46" i="135"/>
  <c r="AY34" i="135"/>
  <c r="AY77" i="135"/>
  <c r="AY65" i="135"/>
  <c r="AY53" i="135"/>
  <c r="AY41" i="135"/>
  <c r="AY72" i="135"/>
  <c r="AY60" i="135"/>
  <c r="AY48" i="135"/>
  <c r="AY36" i="135"/>
  <c r="AY79" i="135"/>
  <c r="AY67" i="135"/>
  <c r="AY55" i="135"/>
  <c r="AY43" i="135"/>
  <c r="AY31" i="135"/>
  <c r="AY74" i="135"/>
  <c r="AY62" i="135"/>
  <c r="AY50" i="135"/>
  <c r="AY38" i="135"/>
  <c r="AY26" i="135"/>
  <c r="BW82" i="135"/>
  <c r="BW70" i="135"/>
  <c r="BW58" i="135"/>
  <c r="BW46" i="135"/>
  <c r="BW77" i="135"/>
  <c r="BW65" i="135"/>
  <c r="BW53" i="135"/>
  <c r="BW41" i="135"/>
  <c r="BW72" i="135"/>
  <c r="BW60" i="135"/>
  <c r="BW48" i="135"/>
  <c r="BW36" i="135"/>
  <c r="BW24" i="135"/>
  <c r="BW79" i="135"/>
  <c r="BW67" i="135"/>
  <c r="BW55" i="135"/>
  <c r="BW43" i="135"/>
  <c r="BW74" i="135"/>
  <c r="BW62" i="135"/>
  <c r="BW50" i="135"/>
  <c r="BW38" i="135"/>
  <c r="BW81" i="135"/>
  <c r="BW69" i="135"/>
  <c r="BW57" i="135"/>
  <c r="BW45" i="135"/>
  <c r="BW33" i="135"/>
  <c r="BW21" i="135"/>
  <c r="BW76" i="135"/>
  <c r="BW64" i="135"/>
  <c r="BW52" i="135"/>
  <c r="BW40" i="135"/>
  <c r="BW71" i="135"/>
  <c r="BW59" i="135"/>
  <c r="BW47" i="135"/>
  <c r="BW78" i="135"/>
  <c r="BW66" i="135"/>
  <c r="BW54" i="135"/>
  <c r="BW42" i="135"/>
  <c r="BW30" i="135"/>
  <c r="BW73" i="135"/>
  <c r="BW61" i="135"/>
  <c r="BW49" i="135"/>
  <c r="BW37" i="135"/>
  <c r="BW25" i="135"/>
  <c r="BW80" i="135"/>
  <c r="BW68" i="135"/>
  <c r="BW56" i="135"/>
  <c r="BW44" i="135"/>
  <c r="BW32" i="135"/>
  <c r="AF5" i="135"/>
  <c r="AI5" i="135" s="1"/>
  <c r="BD5" i="135"/>
  <c r="BG5" i="135" s="1"/>
  <c r="N6" i="135"/>
  <c r="O6" i="135" s="1"/>
  <c r="Z6" i="135"/>
  <c r="AA6" i="135" s="1"/>
  <c r="AL6" i="135"/>
  <c r="AM6" i="135" s="1"/>
  <c r="AX6" i="135"/>
  <c r="AY6" i="135" s="1"/>
  <c r="BJ6" i="135"/>
  <c r="BK6" i="135" s="1"/>
  <c r="BV6" i="135"/>
  <c r="BW6" i="135" s="1"/>
  <c r="AY7" i="135"/>
  <c r="AE8" i="135"/>
  <c r="BG9" i="135"/>
  <c r="AM10" i="135"/>
  <c r="S11" i="135"/>
  <c r="BO11" i="135"/>
  <c r="AU12" i="135"/>
  <c r="AA13" i="135"/>
  <c r="BW13" i="135"/>
  <c r="BC14" i="135"/>
  <c r="AI15" i="135"/>
  <c r="O16" i="135"/>
  <c r="BK16" i="135"/>
  <c r="AQ17" i="135"/>
  <c r="W18" i="135"/>
  <c r="BS18" i="135"/>
  <c r="AY19" i="135"/>
  <c r="AM20" i="135"/>
  <c r="AE21" i="135"/>
  <c r="AE22" i="135"/>
  <c r="AM23" i="135"/>
  <c r="AM24" i="135"/>
  <c r="AU25" i="135"/>
  <c r="AU26" i="135"/>
  <c r="BC27" i="135"/>
  <c r="AY28" i="135"/>
  <c r="AY29" i="135"/>
  <c r="BC30" i="135"/>
  <c r="AQ33" i="135"/>
  <c r="BW34" i="135"/>
  <c r="BS36" i="135"/>
  <c r="AU38" i="135"/>
  <c r="AY40" i="135"/>
  <c r="W44" i="135"/>
  <c r="BO49" i="135"/>
  <c r="BK54" i="135"/>
  <c r="AA75" i="135"/>
  <c r="W80" i="135"/>
  <c r="X4" i="135"/>
  <c r="AV4" i="135"/>
  <c r="BT4" i="135"/>
  <c r="BC7" i="135"/>
  <c r="AI8" i="135"/>
  <c r="O9" i="135"/>
  <c r="BK9" i="135"/>
  <c r="AQ10" i="135"/>
  <c r="W11" i="135"/>
  <c r="BS11" i="135"/>
  <c r="AY12" i="135"/>
  <c r="AE13" i="135"/>
  <c r="BG14" i="135"/>
  <c r="AM15" i="135"/>
  <c r="S16" i="135"/>
  <c r="BO16" i="135"/>
  <c r="AU17" i="135"/>
  <c r="AA18" i="135"/>
  <c r="BW18" i="135"/>
  <c r="BC19" i="135"/>
  <c r="AQ20" i="135"/>
  <c r="AI21" i="135"/>
  <c r="AQ22" i="135"/>
  <c r="AQ23" i="135"/>
  <c r="AY24" i="135"/>
  <c r="AY25" i="135"/>
  <c r="BG26" i="135"/>
  <c r="BG27" i="135"/>
  <c r="BC28" i="135"/>
  <c r="BC29" i="135"/>
  <c r="BG30" i="135"/>
  <c r="O32" i="135"/>
  <c r="AU33" i="135"/>
  <c r="BK38" i="135"/>
  <c r="BS44" i="135"/>
  <c r="AM60" i="135"/>
  <c r="AI65" i="135"/>
  <c r="BW75" i="135"/>
  <c r="BS80" i="135"/>
  <c r="AE77" i="135"/>
  <c r="AE65" i="135"/>
  <c r="AE53" i="135"/>
  <c r="AE72" i="135"/>
  <c r="AE60" i="135"/>
  <c r="AE48" i="135"/>
  <c r="AE36" i="135"/>
  <c r="AE79" i="135"/>
  <c r="AE67" i="135"/>
  <c r="AE55" i="135"/>
  <c r="AE43" i="135"/>
  <c r="AE31" i="135"/>
  <c r="AE74" i="135"/>
  <c r="AE62" i="135"/>
  <c r="AE50" i="135"/>
  <c r="AE81" i="135"/>
  <c r="AE69" i="135"/>
  <c r="AE57" i="135"/>
  <c r="AE45" i="135"/>
  <c r="AE33" i="135"/>
  <c r="AE76" i="135"/>
  <c r="AE64" i="135"/>
  <c r="AE52" i="135"/>
  <c r="AE40" i="135"/>
  <c r="AE28" i="135"/>
  <c r="AE71" i="135"/>
  <c r="AE59" i="135"/>
  <c r="AE47" i="135"/>
  <c r="AE35" i="135"/>
  <c r="AE78" i="135"/>
  <c r="AE66" i="135"/>
  <c r="AE54" i="135"/>
  <c r="AE42" i="135"/>
  <c r="AE73" i="135"/>
  <c r="AE61" i="135"/>
  <c r="AE49" i="135"/>
  <c r="AE37" i="135"/>
  <c r="AE80" i="135"/>
  <c r="AE68" i="135"/>
  <c r="AE56" i="135"/>
  <c r="AE44" i="135"/>
  <c r="AE32" i="135"/>
  <c r="AE20" i="135"/>
  <c r="AE75" i="135"/>
  <c r="AE63" i="135"/>
  <c r="AE51" i="135"/>
  <c r="AE39" i="135"/>
  <c r="AE27" i="135"/>
  <c r="BC71" i="135"/>
  <c r="BC59" i="135"/>
  <c r="BC47" i="135"/>
  <c r="BC78" i="135"/>
  <c r="BC66" i="135"/>
  <c r="BC54" i="135"/>
  <c r="BC42" i="135"/>
  <c r="BC73" i="135"/>
  <c r="BC61" i="135"/>
  <c r="BC49" i="135"/>
  <c r="BC37" i="135"/>
  <c r="BC25" i="135"/>
  <c r="BC80" i="135"/>
  <c r="BC68" i="135"/>
  <c r="BC56" i="135"/>
  <c r="BC44" i="135"/>
  <c r="BC75" i="135"/>
  <c r="BC63" i="135"/>
  <c r="BC51" i="135"/>
  <c r="BC39" i="135"/>
  <c r="BC82" i="135"/>
  <c r="BC70" i="135"/>
  <c r="BC58" i="135"/>
  <c r="BC46" i="135"/>
  <c r="BC34" i="135"/>
  <c r="BC22" i="135"/>
  <c r="BC77" i="135"/>
  <c r="BC65" i="135"/>
  <c r="BC53" i="135"/>
  <c r="BC41" i="135"/>
  <c r="BC72" i="135"/>
  <c r="BC60" i="135"/>
  <c r="BC48" i="135"/>
  <c r="BC79" i="135"/>
  <c r="BC67" i="135"/>
  <c r="BC55" i="135"/>
  <c r="BC43" i="135"/>
  <c r="BC31" i="135"/>
  <c r="BC74" i="135"/>
  <c r="BC62" i="135"/>
  <c r="BC50" i="135"/>
  <c r="BC38" i="135"/>
  <c r="BC26" i="135"/>
  <c r="BC81" i="135"/>
  <c r="BC69" i="135"/>
  <c r="BC57" i="135"/>
  <c r="BC45" i="135"/>
  <c r="BC33" i="135"/>
  <c r="BC21" i="135"/>
  <c r="L5" i="135"/>
  <c r="O5" i="135" s="1"/>
  <c r="AJ5" i="135"/>
  <c r="AM5" i="135" s="1"/>
  <c r="BH5" i="135"/>
  <c r="BK5" i="135" s="1"/>
  <c r="AB6" i="135"/>
  <c r="AZ6" i="135"/>
  <c r="BG7" i="135"/>
  <c r="AM8" i="135"/>
  <c r="AU10" i="135"/>
  <c r="BC12" i="135"/>
  <c r="AI13" i="135"/>
  <c r="O14" i="135"/>
  <c r="BK14" i="135"/>
  <c r="W16" i="135"/>
  <c r="BS16" i="135"/>
  <c r="AE18" i="135"/>
  <c r="BG19" i="135"/>
  <c r="AQ21" i="135"/>
  <c r="AU22" i="135"/>
  <c r="BC24" i="135"/>
  <c r="BG25" i="135"/>
  <c r="BK26" i="135"/>
  <c r="BO27" i="135"/>
  <c r="BO28" i="135"/>
  <c r="BK29" i="135"/>
  <c r="BK30" i="135"/>
  <c r="S32" i="135"/>
  <c r="AA35" i="135"/>
  <c r="O37" i="135"/>
  <c r="BS40" i="135"/>
  <c r="AU50" i="135"/>
  <c r="AQ55" i="135"/>
  <c r="AB4" i="135"/>
  <c r="AZ4" i="135"/>
  <c r="AC6" i="135"/>
  <c r="BA6" i="135"/>
  <c r="O7" i="135"/>
  <c r="BK7" i="135"/>
  <c r="AQ8" i="135"/>
  <c r="W9" i="135"/>
  <c r="BS9" i="135"/>
  <c r="AE11" i="135"/>
  <c r="BG12" i="135"/>
  <c r="AM13" i="135"/>
  <c r="S14" i="135"/>
  <c r="BO14" i="135"/>
  <c r="AU15" i="135"/>
  <c r="BC17" i="135"/>
  <c r="O19" i="135"/>
  <c r="BK19" i="135"/>
  <c r="BC20" i="135"/>
  <c r="AU21" i="135"/>
  <c r="AY22" i="135"/>
  <c r="BC23" i="135"/>
  <c r="BG24" i="135"/>
  <c r="BK25" i="135"/>
  <c r="BO26" i="135"/>
  <c r="BS27" i="135"/>
  <c r="BS28" i="135"/>
  <c r="BO29" i="135"/>
  <c r="W32" i="135"/>
  <c r="BO33" i="135"/>
  <c r="AQ35" i="135"/>
  <c r="S37" i="135"/>
  <c r="W39" i="135"/>
  <c r="AY45" i="135"/>
  <c r="S61" i="135"/>
  <c r="O66" i="135"/>
  <c r="BC76" i="135"/>
  <c r="AY81" i="135"/>
  <c r="AM7" i="135"/>
  <c r="O22" i="135"/>
  <c r="AI72" i="135"/>
  <c r="AI60" i="135"/>
  <c r="AI48" i="135"/>
  <c r="AI79" i="135"/>
  <c r="AI67" i="135"/>
  <c r="AI55" i="135"/>
  <c r="AI43" i="135"/>
  <c r="AI74" i="135"/>
  <c r="AI62" i="135"/>
  <c r="AI50" i="135"/>
  <c r="AI38" i="135"/>
  <c r="AI26" i="135"/>
  <c r="AI81" i="135"/>
  <c r="AI69" i="135"/>
  <c r="AI57" i="135"/>
  <c r="AI45" i="135"/>
  <c r="AI76" i="135"/>
  <c r="AI64" i="135"/>
  <c r="AI52" i="135"/>
  <c r="AI40" i="135"/>
  <c r="AI71" i="135"/>
  <c r="AI59" i="135"/>
  <c r="AI47" i="135"/>
  <c r="AI35" i="135"/>
  <c r="AI23" i="135"/>
  <c r="AI78" i="135"/>
  <c r="AI66" i="135"/>
  <c r="AI54" i="135"/>
  <c r="AI42" i="135"/>
  <c r="AI73" i="135"/>
  <c r="AI61" i="135"/>
  <c r="AI49" i="135"/>
  <c r="AI80" i="135"/>
  <c r="AI68" i="135"/>
  <c r="AI56" i="135"/>
  <c r="AI44" i="135"/>
  <c r="AI32" i="135"/>
  <c r="AI75" i="135"/>
  <c r="AI63" i="135"/>
  <c r="AI51" i="135"/>
  <c r="AI39" i="135"/>
  <c r="AI27" i="135"/>
  <c r="AI82" i="135"/>
  <c r="AI70" i="135"/>
  <c r="AI58" i="135"/>
  <c r="AI46" i="135"/>
  <c r="AI34" i="135"/>
  <c r="AI22" i="135"/>
  <c r="BG78" i="135"/>
  <c r="BG66" i="135"/>
  <c r="BG54" i="135"/>
  <c r="BG42" i="135"/>
  <c r="BG73" i="135"/>
  <c r="BG61" i="135"/>
  <c r="BG49" i="135"/>
  <c r="BG37" i="135"/>
  <c r="BG80" i="135"/>
  <c r="BG68" i="135"/>
  <c r="BG56" i="135"/>
  <c r="BG44" i="135"/>
  <c r="BG32" i="135"/>
  <c r="BG20" i="135"/>
  <c r="BG75" i="135"/>
  <c r="BG63" i="135"/>
  <c r="BG51" i="135"/>
  <c r="BG82" i="135"/>
  <c r="BG70" i="135"/>
  <c r="BG58" i="135"/>
  <c r="BG46" i="135"/>
  <c r="BG34" i="135"/>
  <c r="BG77" i="135"/>
  <c r="BG65" i="135"/>
  <c r="BG53" i="135"/>
  <c r="BG41" i="135"/>
  <c r="BG29" i="135"/>
  <c r="BG72" i="135"/>
  <c r="BG60" i="135"/>
  <c r="BG48" i="135"/>
  <c r="BG36" i="135"/>
  <c r="BG79" i="135"/>
  <c r="BG67" i="135"/>
  <c r="BG55" i="135"/>
  <c r="BG43" i="135"/>
  <c r="BG74" i="135"/>
  <c r="BG62" i="135"/>
  <c r="BG50" i="135"/>
  <c r="BG38" i="135"/>
  <c r="BG81" i="135"/>
  <c r="BG69" i="135"/>
  <c r="BG57" i="135"/>
  <c r="BG45" i="135"/>
  <c r="BG33" i="135"/>
  <c r="BG21" i="135"/>
  <c r="BG76" i="135"/>
  <c r="BG64" i="135"/>
  <c r="BG52" i="135"/>
  <c r="BG40" i="135"/>
  <c r="BG28" i="135"/>
  <c r="AD6" i="135"/>
  <c r="AE6" i="135" s="1"/>
  <c r="BB6" i="135"/>
  <c r="BC6" i="135" s="1"/>
  <c r="AU8" i="135"/>
  <c r="BC10" i="135"/>
  <c r="AI11" i="135"/>
  <c r="O12" i="135"/>
  <c r="BK12" i="135"/>
  <c r="W14" i="135"/>
  <c r="BS14" i="135"/>
  <c r="AE16" i="135"/>
  <c r="BG17" i="135"/>
  <c r="AM18" i="135"/>
  <c r="S19" i="135"/>
  <c r="BS19" i="135"/>
  <c r="BK20" i="135"/>
  <c r="BG22" i="135"/>
  <c r="BG23" i="135"/>
  <c r="BO24" i="135"/>
  <c r="BO25" i="135"/>
  <c r="BW26" i="135"/>
  <c r="BW27" i="135"/>
  <c r="BW28" i="135"/>
  <c r="BW29" i="135"/>
  <c r="W31" i="135"/>
  <c r="AM32" i="135"/>
  <c r="BC35" i="135"/>
  <c r="AI37" i="135"/>
  <c r="AA39" i="135"/>
  <c r="AE41" i="135"/>
  <c r="AA51" i="135"/>
  <c r="W56" i="135"/>
  <c r="BO61" i="135"/>
  <c r="BK66" i="135"/>
  <c r="BK13" i="135"/>
  <c r="AM19" i="135"/>
  <c r="AM27" i="135"/>
  <c r="AM11" i="135"/>
  <c r="BC15" i="135"/>
  <c r="AI16" i="135"/>
  <c r="O17" i="135"/>
  <c r="BK17" i="135"/>
  <c r="W19" i="135"/>
  <c r="BK21" i="135"/>
  <c r="BK22" i="135"/>
  <c r="BS23" i="135"/>
  <c r="BS24" i="135"/>
  <c r="AA31" i="135"/>
  <c r="BC32" i="135"/>
  <c r="O34" i="135"/>
  <c r="BG35" i="135"/>
  <c r="AY37" i="135"/>
  <c r="AQ39" i="135"/>
  <c r="AI41" i="135"/>
  <c r="AE46" i="135"/>
  <c r="BW51" i="135"/>
  <c r="BS56" i="135"/>
  <c r="AM72" i="135"/>
  <c r="AI77" i="135"/>
  <c r="AE82" i="135"/>
  <c r="BC71" i="134"/>
  <c r="BC59" i="134"/>
  <c r="BC47" i="134"/>
  <c r="BC35" i="134"/>
  <c r="BC23" i="134"/>
  <c r="BC78" i="134"/>
  <c r="BC66" i="134"/>
  <c r="BC54" i="134"/>
  <c r="BC42" i="134"/>
  <c r="BC30" i="134"/>
  <c r="BC73" i="134"/>
  <c r="BC61" i="134"/>
  <c r="BC49" i="134"/>
  <c r="BC37" i="134"/>
  <c r="BC25" i="134"/>
  <c r="BC80" i="134"/>
  <c r="BC68" i="134"/>
  <c r="BC56" i="134"/>
  <c r="BC44" i="134"/>
  <c r="BC32" i="134"/>
  <c r="BC75" i="134"/>
  <c r="BC63" i="134"/>
  <c r="BC51" i="134"/>
  <c r="BC39" i="134"/>
  <c r="BC82" i="134"/>
  <c r="BC70" i="134"/>
  <c r="BC58" i="134"/>
  <c r="BC46" i="134"/>
  <c r="BC34" i="134"/>
  <c r="BC77" i="134"/>
  <c r="BC65" i="134"/>
  <c r="BC53" i="134"/>
  <c r="BC41" i="134"/>
  <c r="BC29" i="134"/>
  <c r="BC72" i="134"/>
  <c r="BC60" i="134"/>
  <c r="BC48" i="134"/>
  <c r="BC36" i="134"/>
  <c r="BC74" i="134"/>
  <c r="BC62" i="134"/>
  <c r="BC50" i="134"/>
  <c r="BC38" i="134"/>
  <c r="AZ4" i="134"/>
  <c r="AE11" i="134"/>
  <c r="AE22" i="134"/>
  <c r="AE49" i="134"/>
  <c r="AE61" i="134"/>
  <c r="AE73" i="134"/>
  <c r="AI72" i="134"/>
  <c r="AI60" i="134"/>
  <c r="AI48" i="134"/>
  <c r="AI36" i="134"/>
  <c r="AI24" i="134"/>
  <c r="AI79" i="134"/>
  <c r="AI67" i="134"/>
  <c r="AI55" i="134"/>
  <c r="AI43" i="134"/>
  <c r="AI31" i="134"/>
  <c r="AI74" i="134"/>
  <c r="AI62" i="134"/>
  <c r="AI50" i="134"/>
  <c r="AI38" i="134"/>
  <c r="AI26" i="134"/>
  <c r="AI81" i="134"/>
  <c r="AI69" i="134"/>
  <c r="AI57" i="134"/>
  <c r="AI45" i="134"/>
  <c r="AI33" i="134"/>
  <c r="AI76" i="134"/>
  <c r="AI64" i="134"/>
  <c r="AI52" i="134"/>
  <c r="AI40" i="134"/>
  <c r="AI71" i="134"/>
  <c r="AI59" i="134"/>
  <c r="AI47" i="134"/>
  <c r="AI35" i="134"/>
  <c r="AI78" i="134"/>
  <c r="AI66" i="134"/>
  <c r="AI54" i="134"/>
  <c r="AI42" i="134"/>
  <c r="AI30" i="134"/>
  <c r="AI73" i="134"/>
  <c r="AI61" i="134"/>
  <c r="AI49" i="134"/>
  <c r="AI37" i="134"/>
  <c r="AI75" i="134"/>
  <c r="AI63" i="134"/>
  <c r="AI51" i="134"/>
  <c r="AI39" i="134"/>
  <c r="BG78" i="134"/>
  <c r="BG66" i="134"/>
  <c r="BG54" i="134"/>
  <c r="BG42" i="134"/>
  <c r="BG30" i="134"/>
  <c r="BG73" i="134"/>
  <c r="BG61" i="134"/>
  <c r="BG49" i="134"/>
  <c r="BG37" i="134"/>
  <c r="BG25" i="134"/>
  <c r="BG80" i="134"/>
  <c r="BG68" i="134"/>
  <c r="BG56" i="134"/>
  <c r="BG44" i="134"/>
  <c r="BG32" i="134"/>
  <c r="BG75" i="134"/>
  <c r="BG63" i="134"/>
  <c r="BG51" i="134"/>
  <c r="BG39" i="134"/>
  <c r="BG82" i="134"/>
  <c r="BG70" i="134"/>
  <c r="BG58" i="134"/>
  <c r="BG46" i="134"/>
  <c r="BG34" i="134"/>
  <c r="BG77" i="134"/>
  <c r="BG65" i="134"/>
  <c r="BG53" i="134"/>
  <c r="BG41" i="134"/>
  <c r="BG29" i="134"/>
  <c r="BG72" i="134"/>
  <c r="BG60" i="134"/>
  <c r="BG48" i="134"/>
  <c r="BG36" i="134"/>
  <c r="BG79" i="134"/>
  <c r="BG67" i="134"/>
  <c r="BG55" i="134"/>
  <c r="BG43" i="134"/>
  <c r="BG31" i="134"/>
  <c r="BG81" i="134"/>
  <c r="BG69" i="134"/>
  <c r="BG57" i="134"/>
  <c r="BG45" i="134"/>
  <c r="BG33" i="134"/>
  <c r="P5" i="134"/>
  <c r="S5" i="134" s="1"/>
  <c r="AN5" i="134"/>
  <c r="AQ5" i="134" s="1"/>
  <c r="BL5" i="134"/>
  <c r="BO5" i="134" s="1"/>
  <c r="R6" i="134"/>
  <c r="S6" i="134" s="1"/>
  <c r="AD6" i="134"/>
  <c r="AE6" i="134" s="1"/>
  <c r="AP6" i="134"/>
  <c r="AQ6" i="134" s="1"/>
  <c r="BB6" i="134"/>
  <c r="BC6" i="134" s="1"/>
  <c r="BN6" i="134"/>
  <c r="BO6" i="134" s="1"/>
  <c r="S7" i="134"/>
  <c r="BO7" i="134"/>
  <c r="BC10" i="134"/>
  <c r="AI11" i="134"/>
  <c r="BK12" i="134"/>
  <c r="AQ13" i="134"/>
  <c r="W14" i="134"/>
  <c r="BS14" i="134"/>
  <c r="AY15" i="134"/>
  <c r="AE16" i="134"/>
  <c r="BG17" i="134"/>
  <c r="AM18" i="134"/>
  <c r="S19" i="134"/>
  <c r="BO19" i="134"/>
  <c r="AY20" i="134"/>
  <c r="AI22" i="134"/>
  <c r="W23" i="134"/>
  <c r="BS24" i="134"/>
  <c r="BW25" i="134"/>
  <c r="AA27" i="134"/>
  <c r="AI28" i="134"/>
  <c r="AQ29" i="134"/>
  <c r="BS30" i="134"/>
  <c r="BW32" i="134"/>
  <c r="W35" i="134"/>
  <c r="BO37" i="134"/>
  <c r="S40" i="134"/>
  <c r="BK42" i="134"/>
  <c r="BW44" i="134"/>
  <c r="W47" i="134"/>
  <c r="BO49" i="134"/>
  <c r="S52" i="134"/>
  <c r="BK54" i="134"/>
  <c r="BW56" i="134"/>
  <c r="W59" i="134"/>
  <c r="BO61" i="134"/>
  <c r="S64" i="134"/>
  <c r="BK66" i="134"/>
  <c r="BW68" i="134"/>
  <c r="W71" i="134"/>
  <c r="BO73" i="134"/>
  <c r="S76" i="134"/>
  <c r="BW80" i="134"/>
  <c r="BC17" i="134"/>
  <c r="BC15" i="134"/>
  <c r="BC40" i="134"/>
  <c r="O73" i="134"/>
  <c r="O61" i="134"/>
  <c r="O49" i="134"/>
  <c r="O37" i="134"/>
  <c r="O25" i="134"/>
  <c r="O80" i="134"/>
  <c r="O68" i="134"/>
  <c r="O56" i="134"/>
  <c r="O44" i="134"/>
  <c r="O32" i="134"/>
  <c r="O75" i="134"/>
  <c r="O63" i="134"/>
  <c r="O51" i="134"/>
  <c r="O39" i="134"/>
  <c r="O27" i="134"/>
  <c r="O82" i="134"/>
  <c r="O70" i="134"/>
  <c r="O58" i="134"/>
  <c r="O46" i="134"/>
  <c r="O34" i="134"/>
  <c r="O77" i="134"/>
  <c r="O65" i="134"/>
  <c r="O53" i="134"/>
  <c r="O41" i="134"/>
  <c r="O72" i="134"/>
  <c r="O60" i="134"/>
  <c r="O48" i="134"/>
  <c r="O36" i="134"/>
  <c r="O79" i="134"/>
  <c r="O67" i="134"/>
  <c r="O55" i="134"/>
  <c r="O43" i="134"/>
  <c r="O31" i="134"/>
  <c r="O74" i="134"/>
  <c r="O62" i="134"/>
  <c r="O50" i="134"/>
  <c r="O38" i="134"/>
  <c r="O76" i="134"/>
  <c r="O64" i="134"/>
  <c r="O52" i="134"/>
  <c r="O40" i="134"/>
  <c r="AM79" i="134"/>
  <c r="AM67" i="134"/>
  <c r="AM55" i="134"/>
  <c r="AM43" i="134"/>
  <c r="AM31" i="134"/>
  <c r="AM74" i="134"/>
  <c r="AM62" i="134"/>
  <c r="AM50" i="134"/>
  <c r="AM38" i="134"/>
  <c r="AM26" i="134"/>
  <c r="AM81" i="134"/>
  <c r="AM69" i="134"/>
  <c r="AM57" i="134"/>
  <c r="AM45" i="134"/>
  <c r="AM33" i="134"/>
  <c r="AM76" i="134"/>
  <c r="AM64" i="134"/>
  <c r="AM52" i="134"/>
  <c r="AM40" i="134"/>
  <c r="AM71" i="134"/>
  <c r="AM59" i="134"/>
  <c r="AM47" i="134"/>
  <c r="AM35" i="134"/>
  <c r="AM78" i="134"/>
  <c r="AM66" i="134"/>
  <c r="AM54" i="134"/>
  <c r="AM42" i="134"/>
  <c r="AM30" i="134"/>
  <c r="AM73" i="134"/>
  <c r="AM61" i="134"/>
  <c r="AM49" i="134"/>
  <c r="AM37" i="134"/>
  <c r="AM25" i="134"/>
  <c r="AM80" i="134"/>
  <c r="AM68" i="134"/>
  <c r="AM56" i="134"/>
  <c r="AM44" i="134"/>
  <c r="AM32" i="134"/>
  <c r="AM82" i="134"/>
  <c r="AM70" i="134"/>
  <c r="AM58" i="134"/>
  <c r="AM46" i="134"/>
  <c r="AM34" i="134"/>
  <c r="BK73" i="134"/>
  <c r="BK61" i="134"/>
  <c r="BK49" i="134"/>
  <c r="BK37" i="134"/>
  <c r="BK25" i="134"/>
  <c r="BK80" i="134"/>
  <c r="BK68" i="134"/>
  <c r="BK56" i="134"/>
  <c r="BK44" i="134"/>
  <c r="BK32" i="134"/>
  <c r="BK20" i="134"/>
  <c r="BK75" i="134"/>
  <c r="BK63" i="134"/>
  <c r="BK51" i="134"/>
  <c r="BK39" i="134"/>
  <c r="BK27" i="134"/>
  <c r="BK82" i="134"/>
  <c r="BK70" i="134"/>
  <c r="BK58" i="134"/>
  <c r="BK46" i="134"/>
  <c r="BK34" i="134"/>
  <c r="BK77" i="134"/>
  <c r="BK65" i="134"/>
  <c r="BK53" i="134"/>
  <c r="BK41" i="134"/>
  <c r="BK29" i="134"/>
  <c r="BK72" i="134"/>
  <c r="BK60" i="134"/>
  <c r="BK48" i="134"/>
  <c r="BK36" i="134"/>
  <c r="BK24" i="134"/>
  <c r="BK79" i="134"/>
  <c r="BK67" i="134"/>
  <c r="BK55" i="134"/>
  <c r="BK43" i="134"/>
  <c r="BK31" i="134"/>
  <c r="BK74" i="134"/>
  <c r="BK62" i="134"/>
  <c r="BK50" i="134"/>
  <c r="BK38" i="134"/>
  <c r="BK76" i="134"/>
  <c r="BK64" i="134"/>
  <c r="BK52" i="134"/>
  <c r="BK40" i="134"/>
  <c r="BC8" i="134"/>
  <c r="AI9" i="134"/>
  <c r="O10" i="134"/>
  <c r="BK10" i="134"/>
  <c r="AQ11" i="134"/>
  <c r="AE14" i="134"/>
  <c r="BG15" i="134"/>
  <c r="AM16" i="134"/>
  <c r="S17" i="134"/>
  <c r="BO17" i="134"/>
  <c r="AU18" i="134"/>
  <c r="AA19" i="134"/>
  <c r="BW19" i="134"/>
  <c r="BG20" i="134"/>
  <c r="BC21" i="134"/>
  <c r="AQ22" i="134"/>
  <c r="AE23" i="134"/>
  <c r="S24" i="134"/>
  <c r="O26" i="134"/>
  <c r="AI27" i="134"/>
  <c r="BC28" i="134"/>
  <c r="AY29" i="134"/>
  <c r="O33" i="134"/>
  <c r="BK35" i="134"/>
  <c r="BG40" i="134"/>
  <c r="BW42" i="134"/>
  <c r="O45" i="134"/>
  <c r="BK47" i="134"/>
  <c r="BG52" i="134"/>
  <c r="BW54" i="134"/>
  <c r="O57" i="134"/>
  <c r="BK59" i="134"/>
  <c r="BG64" i="134"/>
  <c r="BW66" i="134"/>
  <c r="O69" i="134"/>
  <c r="BK71" i="134"/>
  <c r="BG76" i="134"/>
  <c r="BW78" i="134"/>
  <c r="O81" i="134"/>
  <c r="AZ6" i="134"/>
  <c r="BC12" i="134"/>
  <c r="AE21" i="134"/>
  <c r="AE37" i="134"/>
  <c r="BC20" i="134"/>
  <c r="L4" i="134"/>
  <c r="AJ4" i="134"/>
  <c r="BH4" i="134"/>
  <c r="U6" i="134"/>
  <c r="AG6" i="134"/>
  <c r="AS6" i="134"/>
  <c r="BE6" i="134"/>
  <c r="BQ6" i="134"/>
  <c r="AE7" i="134"/>
  <c r="BG8" i="134"/>
  <c r="AM9" i="134"/>
  <c r="S10" i="134"/>
  <c r="BO10" i="134"/>
  <c r="AU11" i="134"/>
  <c r="AA12" i="134"/>
  <c r="BW12" i="134"/>
  <c r="BC13" i="134"/>
  <c r="AI14" i="134"/>
  <c r="O15" i="134"/>
  <c r="BK15" i="134"/>
  <c r="AQ16" i="134"/>
  <c r="W17" i="134"/>
  <c r="BS17" i="134"/>
  <c r="AY18" i="134"/>
  <c r="AE19" i="134"/>
  <c r="BS20" i="134"/>
  <c r="BG21" i="134"/>
  <c r="AU22" i="134"/>
  <c r="AI23" i="134"/>
  <c r="W24" i="134"/>
  <c r="AA26" i="134"/>
  <c r="AM27" i="134"/>
  <c r="BG28" i="134"/>
  <c r="BO29" i="134"/>
  <c r="AY33" i="134"/>
  <c r="BS35" i="134"/>
  <c r="AU38" i="134"/>
  <c r="BO40" i="134"/>
  <c r="AY45" i="134"/>
  <c r="BS47" i="134"/>
  <c r="AU50" i="134"/>
  <c r="BO52" i="134"/>
  <c r="AY57" i="134"/>
  <c r="BS59" i="134"/>
  <c r="AU62" i="134"/>
  <c r="BO64" i="134"/>
  <c r="AY69" i="134"/>
  <c r="BS71" i="134"/>
  <c r="AU74" i="134"/>
  <c r="AY81" i="134"/>
  <c r="AE27" i="134"/>
  <c r="BC64" i="134"/>
  <c r="S80" i="134"/>
  <c r="S68" i="134"/>
  <c r="S56" i="134"/>
  <c r="S44" i="134"/>
  <c r="S32" i="134"/>
  <c r="S20" i="134"/>
  <c r="S75" i="134"/>
  <c r="S63" i="134"/>
  <c r="S51" i="134"/>
  <c r="S39" i="134"/>
  <c r="S27" i="134"/>
  <c r="S82" i="134"/>
  <c r="S70" i="134"/>
  <c r="S58" i="134"/>
  <c r="S46" i="134"/>
  <c r="S34" i="134"/>
  <c r="S77" i="134"/>
  <c r="S65" i="134"/>
  <c r="S53" i="134"/>
  <c r="S41" i="134"/>
  <c r="S72" i="134"/>
  <c r="S60" i="134"/>
  <c r="S48" i="134"/>
  <c r="S36" i="134"/>
  <c r="S79" i="134"/>
  <c r="S67" i="134"/>
  <c r="S55" i="134"/>
  <c r="S43" i="134"/>
  <c r="S31" i="134"/>
  <c r="S74" i="134"/>
  <c r="S62" i="134"/>
  <c r="S50" i="134"/>
  <c r="S38" i="134"/>
  <c r="S26" i="134"/>
  <c r="S81" i="134"/>
  <c r="S69" i="134"/>
  <c r="S57" i="134"/>
  <c r="S45" i="134"/>
  <c r="S33" i="134"/>
  <c r="S71" i="134"/>
  <c r="S59" i="134"/>
  <c r="S47" i="134"/>
  <c r="S35" i="134"/>
  <c r="AQ74" i="134"/>
  <c r="AQ62" i="134"/>
  <c r="AQ50" i="134"/>
  <c r="AQ38" i="134"/>
  <c r="AQ26" i="134"/>
  <c r="AQ81" i="134"/>
  <c r="AQ69" i="134"/>
  <c r="AQ57" i="134"/>
  <c r="AQ45" i="134"/>
  <c r="AQ33" i="134"/>
  <c r="AQ21" i="134"/>
  <c r="AQ76" i="134"/>
  <c r="AQ64" i="134"/>
  <c r="AQ52" i="134"/>
  <c r="AQ40" i="134"/>
  <c r="AQ28" i="134"/>
  <c r="AQ71" i="134"/>
  <c r="AQ59" i="134"/>
  <c r="AQ47" i="134"/>
  <c r="AQ35" i="134"/>
  <c r="AQ78" i="134"/>
  <c r="AQ66" i="134"/>
  <c r="AQ54" i="134"/>
  <c r="AQ42" i="134"/>
  <c r="AQ30" i="134"/>
  <c r="AQ73" i="134"/>
  <c r="AQ61" i="134"/>
  <c r="AQ49" i="134"/>
  <c r="AQ37" i="134"/>
  <c r="AQ25" i="134"/>
  <c r="AQ80" i="134"/>
  <c r="AQ68" i="134"/>
  <c r="AQ56" i="134"/>
  <c r="AQ44" i="134"/>
  <c r="AQ32" i="134"/>
  <c r="AQ75" i="134"/>
  <c r="AQ63" i="134"/>
  <c r="AQ51" i="134"/>
  <c r="AQ39" i="134"/>
  <c r="AQ77" i="134"/>
  <c r="AQ65" i="134"/>
  <c r="AQ53" i="134"/>
  <c r="AQ41" i="134"/>
  <c r="BO80" i="134"/>
  <c r="BO68" i="134"/>
  <c r="BO56" i="134"/>
  <c r="BO44" i="134"/>
  <c r="BO32" i="134"/>
  <c r="BO20" i="134"/>
  <c r="BO75" i="134"/>
  <c r="BO63" i="134"/>
  <c r="BO51" i="134"/>
  <c r="BO39" i="134"/>
  <c r="BO27" i="134"/>
  <c r="BO82" i="134"/>
  <c r="BO70" i="134"/>
  <c r="BO58" i="134"/>
  <c r="BO46" i="134"/>
  <c r="BO34" i="134"/>
  <c r="BO77" i="134"/>
  <c r="BO65" i="134"/>
  <c r="BO53" i="134"/>
  <c r="BO41" i="134"/>
  <c r="BO72" i="134"/>
  <c r="BO60" i="134"/>
  <c r="BO48" i="134"/>
  <c r="BO36" i="134"/>
  <c r="BO79" i="134"/>
  <c r="BO67" i="134"/>
  <c r="BO55" i="134"/>
  <c r="BO43" i="134"/>
  <c r="BO31" i="134"/>
  <c r="BO74" i="134"/>
  <c r="BO62" i="134"/>
  <c r="BO50" i="134"/>
  <c r="BO38" i="134"/>
  <c r="BO26" i="134"/>
  <c r="BO81" i="134"/>
  <c r="BO69" i="134"/>
  <c r="BO57" i="134"/>
  <c r="BO45" i="134"/>
  <c r="BO33" i="134"/>
  <c r="BO71" i="134"/>
  <c r="BO59" i="134"/>
  <c r="BO47" i="134"/>
  <c r="BO35" i="134"/>
  <c r="AH6" i="134"/>
  <c r="AI6" i="134" s="1"/>
  <c r="BF6" i="134"/>
  <c r="BG6" i="134" s="1"/>
  <c r="AI7" i="134"/>
  <c r="O8" i="134"/>
  <c r="BK8" i="134"/>
  <c r="AQ9" i="134"/>
  <c r="AE12" i="134"/>
  <c r="BG13" i="134"/>
  <c r="AM14" i="134"/>
  <c r="S15" i="134"/>
  <c r="BO15" i="134"/>
  <c r="AU16" i="134"/>
  <c r="AA17" i="134"/>
  <c r="BW17" i="134"/>
  <c r="BC18" i="134"/>
  <c r="AI19" i="134"/>
  <c r="O20" i="134"/>
  <c r="BW20" i="134"/>
  <c r="BK21" i="134"/>
  <c r="AY22" i="134"/>
  <c r="AM23" i="134"/>
  <c r="AA24" i="134"/>
  <c r="W25" i="134"/>
  <c r="AE26" i="134"/>
  <c r="AQ27" i="134"/>
  <c r="BK28" i="134"/>
  <c r="AU31" i="134"/>
  <c r="BC33" i="134"/>
  <c r="AY38" i="134"/>
  <c r="AQ43" i="134"/>
  <c r="BC45" i="134"/>
  <c r="AY50" i="134"/>
  <c r="AQ55" i="134"/>
  <c r="BC57" i="134"/>
  <c r="AY62" i="134"/>
  <c r="AQ67" i="134"/>
  <c r="BC69" i="134"/>
  <c r="AY74" i="134"/>
  <c r="AQ79" i="134"/>
  <c r="BC81" i="134"/>
  <c r="P4" i="134"/>
  <c r="AN4" i="134"/>
  <c r="BL4" i="134"/>
  <c r="AM7" i="134"/>
  <c r="S8" i="134"/>
  <c r="BO8" i="134"/>
  <c r="BC11" i="134"/>
  <c r="AI12" i="134"/>
  <c r="O13" i="134"/>
  <c r="BK13" i="134"/>
  <c r="AQ14" i="134"/>
  <c r="W15" i="134"/>
  <c r="AY16" i="134"/>
  <c r="BG18" i="134"/>
  <c r="AM19" i="134"/>
  <c r="BO21" i="134"/>
  <c r="BC22" i="134"/>
  <c r="AQ23" i="134"/>
  <c r="AM24" i="134"/>
  <c r="AA25" i="134"/>
  <c r="AU26" i="134"/>
  <c r="BC27" i="134"/>
  <c r="BO28" i="134"/>
  <c r="O30" i="134"/>
  <c r="AY31" i="134"/>
  <c r="BK33" i="134"/>
  <c r="AM36" i="134"/>
  <c r="BG38" i="134"/>
  <c r="AI41" i="134"/>
  <c r="AU43" i="134"/>
  <c r="BK45" i="134"/>
  <c r="AM48" i="134"/>
  <c r="BG50" i="134"/>
  <c r="AI53" i="134"/>
  <c r="AU55" i="134"/>
  <c r="BK57" i="134"/>
  <c r="AM60" i="134"/>
  <c r="BG62" i="134"/>
  <c r="AI65" i="134"/>
  <c r="AU67" i="134"/>
  <c r="BK69" i="134"/>
  <c r="AM72" i="134"/>
  <c r="BG74" i="134"/>
  <c r="AI77" i="134"/>
  <c r="BK81" i="134"/>
  <c r="AE77" i="134"/>
  <c r="AE65" i="134"/>
  <c r="AE53" i="134"/>
  <c r="AE41" i="134"/>
  <c r="AE29" i="134"/>
  <c r="AE72" i="134"/>
  <c r="AE60" i="134"/>
  <c r="AE48" i="134"/>
  <c r="AE36" i="134"/>
  <c r="AE24" i="134"/>
  <c r="AE79" i="134"/>
  <c r="AE67" i="134"/>
  <c r="AE55" i="134"/>
  <c r="AE43" i="134"/>
  <c r="AE31" i="134"/>
  <c r="AE74" i="134"/>
  <c r="AE62" i="134"/>
  <c r="AE50" i="134"/>
  <c r="AE38" i="134"/>
  <c r="AE81" i="134"/>
  <c r="AE69" i="134"/>
  <c r="AE57" i="134"/>
  <c r="AE45" i="134"/>
  <c r="AE33" i="134"/>
  <c r="AE76" i="134"/>
  <c r="AE64" i="134"/>
  <c r="AE52" i="134"/>
  <c r="AE40" i="134"/>
  <c r="AE28" i="134"/>
  <c r="AE71" i="134"/>
  <c r="AE59" i="134"/>
  <c r="AE47" i="134"/>
  <c r="AE35" i="134"/>
  <c r="AE78" i="134"/>
  <c r="AE66" i="134"/>
  <c r="AE54" i="134"/>
  <c r="AE42" i="134"/>
  <c r="AE80" i="134"/>
  <c r="AE68" i="134"/>
  <c r="AE56" i="134"/>
  <c r="AE44" i="134"/>
  <c r="AE32" i="134"/>
  <c r="AE18" i="134"/>
  <c r="AC6" i="134"/>
  <c r="W75" i="134"/>
  <c r="W63" i="134"/>
  <c r="W51" i="134"/>
  <c r="W39" i="134"/>
  <c r="W27" i="134"/>
  <c r="W82" i="134"/>
  <c r="W70" i="134"/>
  <c r="W58" i="134"/>
  <c r="W46" i="134"/>
  <c r="W34" i="134"/>
  <c r="W22" i="134"/>
  <c r="W77" i="134"/>
  <c r="W65" i="134"/>
  <c r="W53" i="134"/>
  <c r="W41" i="134"/>
  <c r="W29" i="134"/>
  <c r="W72" i="134"/>
  <c r="W60" i="134"/>
  <c r="W48" i="134"/>
  <c r="W36" i="134"/>
  <c r="W79" i="134"/>
  <c r="W67" i="134"/>
  <c r="W55" i="134"/>
  <c r="W43" i="134"/>
  <c r="W31" i="134"/>
  <c r="W74" i="134"/>
  <c r="W62" i="134"/>
  <c r="W50" i="134"/>
  <c r="W38" i="134"/>
  <c r="W26" i="134"/>
  <c r="W81" i="134"/>
  <c r="W69" i="134"/>
  <c r="W57" i="134"/>
  <c r="W45" i="134"/>
  <c r="W33" i="134"/>
  <c r="W76" i="134"/>
  <c r="W64" i="134"/>
  <c r="W52" i="134"/>
  <c r="W40" i="134"/>
  <c r="W78" i="134"/>
  <c r="W66" i="134"/>
  <c r="W54" i="134"/>
  <c r="W42" i="134"/>
  <c r="AU81" i="134"/>
  <c r="AU69" i="134"/>
  <c r="AU57" i="134"/>
  <c r="AU45" i="134"/>
  <c r="AU33" i="134"/>
  <c r="AU21" i="134"/>
  <c r="AU76" i="134"/>
  <c r="AU64" i="134"/>
  <c r="AU52" i="134"/>
  <c r="AU40" i="134"/>
  <c r="AU28" i="134"/>
  <c r="AU71" i="134"/>
  <c r="AU59" i="134"/>
  <c r="AU47" i="134"/>
  <c r="AU35" i="134"/>
  <c r="AU78" i="134"/>
  <c r="AU66" i="134"/>
  <c r="AU54" i="134"/>
  <c r="AU42" i="134"/>
  <c r="AU30" i="134"/>
  <c r="AU73" i="134"/>
  <c r="AU61" i="134"/>
  <c r="AU49" i="134"/>
  <c r="AU37" i="134"/>
  <c r="AU80" i="134"/>
  <c r="AU68" i="134"/>
  <c r="AU56" i="134"/>
  <c r="AU44" i="134"/>
  <c r="AU32" i="134"/>
  <c r="AU75" i="134"/>
  <c r="AU63" i="134"/>
  <c r="AU51" i="134"/>
  <c r="AU39" i="134"/>
  <c r="AU27" i="134"/>
  <c r="AU82" i="134"/>
  <c r="AU70" i="134"/>
  <c r="AU58" i="134"/>
  <c r="AU46" i="134"/>
  <c r="AU34" i="134"/>
  <c r="AU72" i="134"/>
  <c r="AU60" i="134"/>
  <c r="AU48" i="134"/>
  <c r="AU36" i="134"/>
  <c r="BS75" i="134"/>
  <c r="BS63" i="134"/>
  <c r="BS51" i="134"/>
  <c r="BS39" i="134"/>
  <c r="BS27" i="134"/>
  <c r="BS82" i="134"/>
  <c r="BS70" i="134"/>
  <c r="BS58" i="134"/>
  <c r="BS46" i="134"/>
  <c r="BS34" i="134"/>
  <c r="BS22" i="134"/>
  <c r="BS77" i="134"/>
  <c r="BS65" i="134"/>
  <c r="BS53" i="134"/>
  <c r="BS41" i="134"/>
  <c r="BS29" i="134"/>
  <c r="BS72" i="134"/>
  <c r="BS60" i="134"/>
  <c r="BS48" i="134"/>
  <c r="BS36" i="134"/>
  <c r="BS79" i="134"/>
  <c r="BS67" i="134"/>
  <c r="BS55" i="134"/>
  <c r="BS43" i="134"/>
  <c r="BS31" i="134"/>
  <c r="BS74" i="134"/>
  <c r="BS62" i="134"/>
  <c r="BS50" i="134"/>
  <c r="BS38" i="134"/>
  <c r="BS26" i="134"/>
  <c r="BS81" i="134"/>
  <c r="BS69" i="134"/>
  <c r="BS57" i="134"/>
  <c r="BS45" i="134"/>
  <c r="BS33" i="134"/>
  <c r="BS76" i="134"/>
  <c r="BS64" i="134"/>
  <c r="BS52" i="134"/>
  <c r="BS40" i="134"/>
  <c r="BS78" i="134"/>
  <c r="BS66" i="134"/>
  <c r="BS54" i="134"/>
  <c r="BS42" i="134"/>
  <c r="AB5" i="134"/>
  <c r="AE5" i="134" s="1"/>
  <c r="AZ5" i="134"/>
  <c r="BC5" i="134" s="1"/>
  <c r="L6" i="134"/>
  <c r="X6" i="134"/>
  <c r="AJ6" i="134"/>
  <c r="AV6" i="134"/>
  <c r="BH6" i="134"/>
  <c r="BT6" i="134"/>
  <c r="AQ7" i="134"/>
  <c r="W8" i="134"/>
  <c r="BS8" i="134"/>
  <c r="AY9" i="134"/>
  <c r="AE10" i="134"/>
  <c r="BG11" i="134"/>
  <c r="AM12" i="134"/>
  <c r="S13" i="134"/>
  <c r="BO13" i="134"/>
  <c r="AU14" i="134"/>
  <c r="AA15" i="134"/>
  <c r="BW15" i="134"/>
  <c r="BC16" i="134"/>
  <c r="AI17" i="134"/>
  <c r="O18" i="134"/>
  <c r="BK18" i="134"/>
  <c r="AQ19" i="134"/>
  <c r="AA20" i="134"/>
  <c r="O21" i="134"/>
  <c r="BS21" i="134"/>
  <c r="BG22" i="134"/>
  <c r="AU23" i="134"/>
  <c r="AQ24" i="134"/>
  <c r="AE25" i="134"/>
  <c r="AY26" i="134"/>
  <c r="BG27" i="134"/>
  <c r="BS28" i="134"/>
  <c r="S30" i="134"/>
  <c r="BC31" i="134"/>
  <c r="AQ36" i="134"/>
  <c r="AM41" i="134"/>
  <c r="BC43" i="134"/>
  <c r="AQ48" i="134"/>
  <c r="AM53" i="134"/>
  <c r="BC55" i="134"/>
  <c r="AQ60" i="134"/>
  <c r="AM65" i="134"/>
  <c r="BC67" i="134"/>
  <c r="AQ72" i="134"/>
  <c r="AM77" i="134"/>
  <c r="BC79" i="134"/>
  <c r="AB6" i="134"/>
  <c r="AB4" i="134"/>
  <c r="M6" i="134"/>
  <c r="AK6" i="134"/>
  <c r="BI6" i="134"/>
  <c r="BC9" i="134"/>
  <c r="AI10" i="134"/>
  <c r="O11" i="134"/>
  <c r="BK11" i="134"/>
  <c r="AQ12" i="134"/>
  <c r="W13" i="134"/>
  <c r="BS13" i="134"/>
  <c r="AY14" i="134"/>
  <c r="AE15" i="134"/>
  <c r="BG16" i="134"/>
  <c r="AM17" i="134"/>
  <c r="S18" i="134"/>
  <c r="BO18" i="134"/>
  <c r="AU19" i="134"/>
  <c r="AE20" i="134"/>
  <c r="S21" i="134"/>
  <c r="BW21" i="134"/>
  <c r="BK22" i="134"/>
  <c r="BG23" i="134"/>
  <c r="AU24" i="134"/>
  <c r="AI25" i="134"/>
  <c r="BC26" i="134"/>
  <c r="W30" i="134"/>
  <c r="AE34" i="134"/>
  <c r="AY36" i="134"/>
  <c r="AA39" i="134"/>
  <c r="AU41" i="134"/>
  <c r="AE46" i="134"/>
  <c r="AY48" i="134"/>
  <c r="AA51" i="134"/>
  <c r="AU53" i="134"/>
  <c r="AE58" i="134"/>
  <c r="AY60" i="134"/>
  <c r="AA63" i="134"/>
  <c r="AU65" i="134"/>
  <c r="AE70" i="134"/>
  <c r="AU77" i="134"/>
  <c r="AE82" i="134"/>
  <c r="BC76" i="134"/>
  <c r="AA82" i="134"/>
  <c r="AA70" i="134"/>
  <c r="AA58" i="134"/>
  <c r="AA46" i="134"/>
  <c r="AA34" i="134"/>
  <c r="AA22" i="134"/>
  <c r="AA77" i="134"/>
  <c r="AA65" i="134"/>
  <c r="AA53" i="134"/>
  <c r="AA41" i="134"/>
  <c r="AA29" i="134"/>
  <c r="AA72" i="134"/>
  <c r="AA60" i="134"/>
  <c r="AA48" i="134"/>
  <c r="AA36" i="134"/>
  <c r="AA79" i="134"/>
  <c r="AA67" i="134"/>
  <c r="AA55" i="134"/>
  <c r="AA43" i="134"/>
  <c r="AA31" i="134"/>
  <c r="AA74" i="134"/>
  <c r="AA62" i="134"/>
  <c r="AA50" i="134"/>
  <c r="AA38" i="134"/>
  <c r="AA81" i="134"/>
  <c r="AA69" i="134"/>
  <c r="AA57" i="134"/>
  <c r="AA45" i="134"/>
  <c r="AA33" i="134"/>
  <c r="AA76" i="134"/>
  <c r="AA64" i="134"/>
  <c r="AA52" i="134"/>
  <c r="AA40" i="134"/>
  <c r="AA28" i="134"/>
  <c r="AA71" i="134"/>
  <c r="AA59" i="134"/>
  <c r="AA47" i="134"/>
  <c r="AA35" i="134"/>
  <c r="AA73" i="134"/>
  <c r="AA61" i="134"/>
  <c r="AA49" i="134"/>
  <c r="AA37" i="134"/>
  <c r="AY76" i="134"/>
  <c r="AY64" i="134"/>
  <c r="AY52" i="134"/>
  <c r="AY40" i="134"/>
  <c r="AY28" i="134"/>
  <c r="AY71" i="134"/>
  <c r="AY59" i="134"/>
  <c r="AY47" i="134"/>
  <c r="AY35" i="134"/>
  <c r="AY23" i="134"/>
  <c r="AY78" i="134"/>
  <c r="AY66" i="134"/>
  <c r="AY54" i="134"/>
  <c r="AY42" i="134"/>
  <c r="AY30" i="134"/>
  <c r="AY73" i="134"/>
  <c r="AY61" i="134"/>
  <c r="AY49" i="134"/>
  <c r="AY37" i="134"/>
  <c r="AY80" i="134"/>
  <c r="AY68" i="134"/>
  <c r="AY56" i="134"/>
  <c r="AY44" i="134"/>
  <c r="AY32" i="134"/>
  <c r="AY75" i="134"/>
  <c r="AY63" i="134"/>
  <c r="AY51" i="134"/>
  <c r="AY39" i="134"/>
  <c r="AY27" i="134"/>
  <c r="AY82" i="134"/>
  <c r="AY70" i="134"/>
  <c r="AY58" i="134"/>
  <c r="AY46" i="134"/>
  <c r="AY34" i="134"/>
  <c r="AY77" i="134"/>
  <c r="AY65" i="134"/>
  <c r="AY53" i="134"/>
  <c r="AY41" i="134"/>
  <c r="AY79" i="134"/>
  <c r="AY67" i="134"/>
  <c r="AY55" i="134"/>
  <c r="AY43" i="134"/>
  <c r="BW82" i="134"/>
  <c r="BW70" i="134"/>
  <c r="BW58" i="134"/>
  <c r="BW46" i="134"/>
  <c r="BW34" i="134"/>
  <c r="BW22" i="134"/>
  <c r="BW77" i="134"/>
  <c r="BW65" i="134"/>
  <c r="BW53" i="134"/>
  <c r="BW41" i="134"/>
  <c r="BW29" i="134"/>
  <c r="BW72" i="134"/>
  <c r="BW60" i="134"/>
  <c r="BW48" i="134"/>
  <c r="BW36" i="134"/>
  <c r="BW79" i="134"/>
  <c r="BW67" i="134"/>
  <c r="BW55" i="134"/>
  <c r="BW43" i="134"/>
  <c r="BW31" i="134"/>
  <c r="BW74" i="134"/>
  <c r="BW62" i="134"/>
  <c r="BW50" i="134"/>
  <c r="BW38" i="134"/>
  <c r="BW81" i="134"/>
  <c r="BW69" i="134"/>
  <c r="BW57" i="134"/>
  <c r="BW45" i="134"/>
  <c r="BW33" i="134"/>
  <c r="BW76" i="134"/>
  <c r="BW64" i="134"/>
  <c r="BW52" i="134"/>
  <c r="BW40" i="134"/>
  <c r="BW28" i="134"/>
  <c r="BW71" i="134"/>
  <c r="BW59" i="134"/>
  <c r="BW47" i="134"/>
  <c r="BW35" i="134"/>
  <c r="BW73" i="134"/>
  <c r="BW61" i="134"/>
  <c r="BW49" i="134"/>
  <c r="BW37" i="134"/>
  <c r="AF5" i="134"/>
  <c r="AI5" i="134" s="1"/>
  <c r="BD5" i="134"/>
  <c r="BG5" i="134" s="1"/>
  <c r="N6" i="134"/>
  <c r="O6" i="134" s="1"/>
  <c r="Z6" i="134"/>
  <c r="AA6" i="134" s="1"/>
  <c r="AL6" i="134"/>
  <c r="AM6" i="134" s="1"/>
  <c r="AX6" i="134"/>
  <c r="AY6" i="134" s="1"/>
  <c r="BJ6" i="134"/>
  <c r="BK6" i="134" s="1"/>
  <c r="BV6" i="134"/>
  <c r="BW6" i="134" s="1"/>
  <c r="AY7" i="134"/>
  <c r="AE8" i="134"/>
  <c r="BG9" i="134"/>
  <c r="AM10" i="134"/>
  <c r="S11" i="134"/>
  <c r="BO11" i="134"/>
  <c r="AU12" i="134"/>
  <c r="AA13" i="134"/>
  <c r="BW13" i="134"/>
  <c r="BC14" i="134"/>
  <c r="AI15" i="134"/>
  <c r="O16" i="134"/>
  <c r="BK16" i="134"/>
  <c r="AQ17" i="134"/>
  <c r="W18" i="134"/>
  <c r="BS18" i="134"/>
  <c r="AY19" i="134"/>
  <c r="AI20" i="134"/>
  <c r="W21" i="134"/>
  <c r="BO22" i="134"/>
  <c r="BK23" i="134"/>
  <c r="AY24" i="134"/>
  <c r="AU25" i="134"/>
  <c r="BG26" i="134"/>
  <c r="O29" i="134"/>
  <c r="AA30" i="134"/>
  <c r="W32" i="134"/>
  <c r="AI34" i="134"/>
  <c r="AE39" i="134"/>
  <c r="W44" i="134"/>
  <c r="AI46" i="134"/>
  <c r="AE51" i="134"/>
  <c r="W56" i="134"/>
  <c r="AI58" i="134"/>
  <c r="AE63" i="134"/>
  <c r="W68" i="134"/>
  <c r="AI70" i="134"/>
  <c r="AE75" i="134"/>
  <c r="W80" i="134"/>
  <c r="AI82" i="134"/>
  <c r="BA6" i="134"/>
  <c r="AE9" i="134"/>
  <c r="BC52" i="134"/>
  <c r="X4" i="134"/>
  <c r="AV4" i="134"/>
  <c r="BT4" i="134"/>
  <c r="BC7" i="134"/>
  <c r="AI8" i="134"/>
  <c r="O9" i="134"/>
  <c r="BK9" i="134"/>
  <c r="AQ10" i="134"/>
  <c r="W11" i="134"/>
  <c r="BS11" i="134"/>
  <c r="AY12" i="134"/>
  <c r="AE13" i="134"/>
  <c r="BG14" i="134"/>
  <c r="AM15" i="134"/>
  <c r="S16" i="134"/>
  <c r="BO16" i="134"/>
  <c r="AU17" i="134"/>
  <c r="AA18" i="134"/>
  <c r="BW18" i="134"/>
  <c r="BC19" i="134"/>
  <c r="AM20" i="134"/>
  <c r="AA21" i="134"/>
  <c r="O22" i="134"/>
  <c r="BO23" i="134"/>
  <c r="BC24" i="134"/>
  <c r="AY25" i="134"/>
  <c r="BK26" i="134"/>
  <c r="O28" i="134"/>
  <c r="S29" i="134"/>
  <c r="AE30" i="134"/>
  <c r="AA32" i="134"/>
  <c r="AQ34" i="134"/>
  <c r="S37" i="134"/>
  <c r="AM39" i="134"/>
  <c r="O42" i="134"/>
  <c r="AA44" i="134"/>
  <c r="AQ46" i="134"/>
  <c r="S49" i="134"/>
  <c r="AM51" i="134"/>
  <c r="O54" i="134"/>
  <c r="AA56" i="134"/>
  <c r="AQ58" i="134"/>
  <c r="S61" i="134"/>
  <c r="AM63" i="134"/>
  <c r="O66" i="134"/>
  <c r="AA68" i="134"/>
  <c r="AQ70" i="134"/>
  <c r="S73" i="134"/>
  <c r="AM75" i="134"/>
  <c r="O78" i="134"/>
  <c r="AA80" i="134"/>
  <c r="AQ82" i="134"/>
  <c r="BK10" i="133"/>
  <c r="W7" i="133"/>
  <c r="BS7" i="133"/>
  <c r="AE9" i="133"/>
  <c r="AM11" i="133"/>
  <c r="S12" i="133"/>
  <c r="BO12" i="133"/>
  <c r="AU13" i="133"/>
  <c r="BC15" i="133"/>
  <c r="O17" i="133"/>
  <c r="BK17" i="133"/>
  <c r="AQ18" i="133"/>
  <c r="W19" i="133"/>
  <c r="AQ21" i="133"/>
  <c r="AA22" i="133"/>
  <c r="BS23" i="133"/>
  <c r="AY25" i="133"/>
  <c r="AM26" i="133"/>
  <c r="AA27" i="133"/>
  <c r="O28" i="133"/>
  <c r="BS28" i="133"/>
  <c r="AY30" i="133"/>
  <c r="AY31" i="133"/>
  <c r="BC32" i="133"/>
  <c r="BC34" i="133"/>
  <c r="BG35" i="133"/>
  <c r="BS36" i="133"/>
  <c r="BW37" i="133"/>
  <c r="W39" i="133"/>
  <c r="AA40" i="133"/>
  <c r="AI41" i="133"/>
  <c r="AY42" i="133"/>
  <c r="BC43" i="133"/>
  <c r="BS44" i="133"/>
  <c r="O46" i="133"/>
  <c r="W47" i="133"/>
  <c r="AM48" i="133"/>
  <c r="AY49" i="133"/>
  <c r="AQ52" i="133"/>
  <c r="O54" i="133"/>
  <c r="AU62" i="133"/>
  <c r="AQ67" i="133"/>
  <c r="L4" i="133"/>
  <c r="AJ4" i="133"/>
  <c r="BH4" i="133"/>
  <c r="U6" i="133"/>
  <c r="AS6" i="133"/>
  <c r="BQ6" i="133"/>
  <c r="AE7" i="133"/>
  <c r="AM9" i="133"/>
  <c r="S10" i="133"/>
  <c r="BO10" i="133"/>
  <c r="AU11" i="133"/>
  <c r="BC13" i="133"/>
  <c r="O15" i="133"/>
  <c r="BK15" i="133"/>
  <c r="AQ16" i="133"/>
  <c r="W17" i="133"/>
  <c r="BS17" i="133"/>
  <c r="AE19" i="133"/>
  <c r="O20" i="133"/>
  <c r="BO20" i="133"/>
  <c r="AM22" i="133"/>
  <c r="W23" i="133"/>
  <c r="BS24" i="133"/>
  <c r="AU26" i="133"/>
  <c r="AM27" i="133"/>
  <c r="W28" i="133"/>
  <c r="BS29" i="133"/>
  <c r="BK30" i="133"/>
  <c r="BK31" i="133"/>
  <c r="BO32" i="133"/>
  <c r="BS33" i="133"/>
  <c r="BO34" i="133"/>
  <c r="BS35" i="133"/>
  <c r="S38" i="133"/>
  <c r="AQ40" i="133"/>
  <c r="AU41" i="133"/>
  <c r="BK42" i="133"/>
  <c r="BW43" i="133"/>
  <c r="O45" i="133"/>
  <c r="AA46" i="133"/>
  <c r="AQ47" i="133"/>
  <c r="AY48" i="133"/>
  <c r="BK49" i="133"/>
  <c r="W51" i="133"/>
  <c r="BC52" i="133"/>
  <c r="AY54" i="133"/>
  <c r="AA63" i="133"/>
  <c r="W68" i="133"/>
  <c r="BK78" i="133"/>
  <c r="BO80" i="133"/>
  <c r="BO68" i="133"/>
  <c r="BO56" i="133"/>
  <c r="BO75" i="133"/>
  <c r="BO63" i="133"/>
  <c r="BO51" i="133"/>
  <c r="BO39" i="133"/>
  <c r="BO82" i="133"/>
  <c r="BO70" i="133"/>
  <c r="BO58" i="133"/>
  <c r="BO77" i="133"/>
  <c r="BO65" i="133"/>
  <c r="BO53" i="133"/>
  <c r="BO72" i="133"/>
  <c r="BO60" i="133"/>
  <c r="BO48" i="133"/>
  <c r="BO36" i="133"/>
  <c r="BO24" i="133"/>
  <c r="BO79" i="133"/>
  <c r="BO67" i="133"/>
  <c r="BO55" i="133"/>
  <c r="BO43" i="133"/>
  <c r="BO74" i="133"/>
  <c r="BO62" i="133"/>
  <c r="BO50" i="133"/>
  <c r="BO81" i="133"/>
  <c r="BO69" i="133"/>
  <c r="BO57" i="133"/>
  <c r="BO45" i="133"/>
  <c r="BO33" i="133"/>
  <c r="BO76" i="133"/>
  <c r="BO64" i="133"/>
  <c r="BO52" i="133"/>
  <c r="BO71" i="133"/>
  <c r="BO59" i="133"/>
  <c r="BO78" i="133"/>
  <c r="BO66" i="133"/>
  <c r="BO54" i="133"/>
  <c r="BO42" i="133"/>
  <c r="BO30" i="133"/>
  <c r="AT6" i="133"/>
  <c r="AU6" i="133" s="1"/>
  <c r="BR6" i="133"/>
  <c r="BS6" i="133" s="1"/>
  <c r="O8" i="133"/>
  <c r="BK8" i="133"/>
  <c r="AQ9" i="133"/>
  <c r="W10" i="133"/>
  <c r="BS10" i="133"/>
  <c r="AE12" i="133"/>
  <c r="AM14" i="133"/>
  <c r="S15" i="133"/>
  <c r="BO15" i="133"/>
  <c r="AU16" i="133"/>
  <c r="BC18" i="133"/>
  <c r="S20" i="133"/>
  <c r="BS20" i="133"/>
  <c r="AQ22" i="133"/>
  <c r="O24" i="133"/>
  <c r="BK25" i="133"/>
  <c r="BC26" i="133"/>
  <c r="BS30" i="133"/>
  <c r="BO31" i="133"/>
  <c r="BS32" i="133"/>
  <c r="O37" i="133"/>
  <c r="AE38" i="133"/>
  <c r="AM39" i="133"/>
  <c r="BC41" i="133"/>
  <c r="BS42" i="133"/>
  <c r="W45" i="133"/>
  <c r="AE46" i="133"/>
  <c r="AU47" i="133"/>
  <c r="BO49" i="133"/>
  <c r="AA51" i="133"/>
  <c r="BK52" i="133"/>
  <c r="BK54" i="133"/>
  <c r="AE58" i="133"/>
  <c r="BW63" i="133"/>
  <c r="BS68" i="133"/>
  <c r="AM16" i="133"/>
  <c r="BK24" i="133"/>
  <c r="BK33" i="133"/>
  <c r="BK34" i="133"/>
  <c r="BK43" i="133"/>
  <c r="O78" i="133"/>
  <c r="S80" i="133"/>
  <c r="S68" i="133"/>
  <c r="S56" i="133"/>
  <c r="S75" i="133"/>
  <c r="S63" i="133"/>
  <c r="S51" i="133"/>
  <c r="S39" i="133"/>
  <c r="S82" i="133"/>
  <c r="S70" i="133"/>
  <c r="S58" i="133"/>
  <c r="S77" i="133"/>
  <c r="S65" i="133"/>
  <c r="S72" i="133"/>
  <c r="S60" i="133"/>
  <c r="S48" i="133"/>
  <c r="S36" i="133"/>
  <c r="S24" i="133"/>
  <c r="S79" i="133"/>
  <c r="S67" i="133"/>
  <c r="S55" i="133"/>
  <c r="S43" i="133"/>
  <c r="S74" i="133"/>
  <c r="S62" i="133"/>
  <c r="S81" i="133"/>
  <c r="S69" i="133"/>
  <c r="S57" i="133"/>
  <c r="S45" i="133"/>
  <c r="S33" i="133"/>
  <c r="S76" i="133"/>
  <c r="S64" i="133"/>
  <c r="S52" i="133"/>
  <c r="S71" i="133"/>
  <c r="S59" i="133"/>
  <c r="S78" i="133"/>
  <c r="S66" i="133"/>
  <c r="S54" i="133"/>
  <c r="S42" i="133"/>
  <c r="S30" i="133"/>
  <c r="AQ74" i="133"/>
  <c r="AQ62" i="133"/>
  <c r="AQ81" i="133"/>
  <c r="AQ69" i="133"/>
  <c r="AQ57" i="133"/>
  <c r="AQ45" i="133"/>
  <c r="AQ33" i="133"/>
  <c r="AQ76" i="133"/>
  <c r="AQ64" i="133"/>
  <c r="AQ71" i="133"/>
  <c r="AQ59" i="133"/>
  <c r="AQ78" i="133"/>
  <c r="AQ66" i="133"/>
  <c r="AQ54" i="133"/>
  <c r="AQ42" i="133"/>
  <c r="AQ30" i="133"/>
  <c r="AQ73" i="133"/>
  <c r="AQ61" i="133"/>
  <c r="AQ49" i="133"/>
  <c r="AQ37" i="133"/>
  <c r="AQ80" i="133"/>
  <c r="AQ68" i="133"/>
  <c r="AQ56" i="133"/>
  <c r="AQ75" i="133"/>
  <c r="AQ63" i="133"/>
  <c r="AQ51" i="133"/>
  <c r="AQ39" i="133"/>
  <c r="AQ82" i="133"/>
  <c r="AQ70" i="133"/>
  <c r="AQ58" i="133"/>
  <c r="AQ77" i="133"/>
  <c r="AQ65" i="133"/>
  <c r="AQ72" i="133"/>
  <c r="AQ60" i="133"/>
  <c r="AQ48" i="133"/>
  <c r="AQ36" i="133"/>
  <c r="AQ24" i="133"/>
  <c r="V6" i="133"/>
  <c r="W6" i="133" s="1"/>
  <c r="P4" i="133"/>
  <c r="AN4" i="133"/>
  <c r="BL4" i="133"/>
  <c r="AM7" i="133"/>
  <c r="S8" i="133"/>
  <c r="BO8" i="133"/>
  <c r="AU9" i="133"/>
  <c r="AA10" i="133"/>
  <c r="BW10" i="133"/>
  <c r="BC11" i="133"/>
  <c r="AI12" i="133"/>
  <c r="O13" i="133"/>
  <c r="BK13" i="133"/>
  <c r="AQ14" i="133"/>
  <c r="W15" i="133"/>
  <c r="BS15" i="133"/>
  <c r="AY16" i="133"/>
  <c r="AE17" i="133"/>
  <c r="BG18" i="133"/>
  <c r="AM19" i="133"/>
  <c r="W20" i="133"/>
  <c r="BK21" i="133"/>
  <c r="AU22" i="133"/>
  <c r="AE23" i="133"/>
  <c r="W24" i="133"/>
  <c r="BO25" i="133"/>
  <c r="BG26" i="133"/>
  <c r="AU27" i="133"/>
  <c r="AE28" i="133"/>
  <c r="BW30" i="133"/>
  <c r="BW31" i="133"/>
  <c r="O36" i="133"/>
  <c r="S37" i="133"/>
  <c r="AI38" i="133"/>
  <c r="AU39" i="133"/>
  <c r="BC40" i="133"/>
  <c r="BO41" i="133"/>
  <c r="BW42" i="133"/>
  <c r="S44" i="133"/>
  <c r="AI45" i="133"/>
  <c r="AM46" i="133"/>
  <c r="BC47" i="133"/>
  <c r="BS48" i="133"/>
  <c r="BW49" i="133"/>
  <c r="AI51" i="133"/>
  <c r="AQ79" i="133"/>
  <c r="W75" i="133"/>
  <c r="W63" i="133"/>
  <c r="W82" i="133"/>
  <c r="W70" i="133"/>
  <c r="W58" i="133"/>
  <c r="W46" i="133"/>
  <c r="W34" i="133"/>
  <c r="W77" i="133"/>
  <c r="W65" i="133"/>
  <c r="W72" i="133"/>
  <c r="W60" i="133"/>
  <c r="W79" i="133"/>
  <c r="W67" i="133"/>
  <c r="W55" i="133"/>
  <c r="W43" i="133"/>
  <c r="W31" i="133"/>
  <c r="W74" i="133"/>
  <c r="W62" i="133"/>
  <c r="W50" i="133"/>
  <c r="W38" i="133"/>
  <c r="W81" i="133"/>
  <c r="W69" i="133"/>
  <c r="W57" i="133"/>
  <c r="W76" i="133"/>
  <c r="W64" i="133"/>
  <c r="W52" i="133"/>
  <c r="W40" i="133"/>
  <c r="W71" i="133"/>
  <c r="W59" i="133"/>
  <c r="W78" i="133"/>
  <c r="W66" i="133"/>
  <c r="W73" i="133"/>
  <c r="W61" i="133"/>
  <c r="W49" i="133"/>
  <c r="W37" i="133"/>
  <c r="W25" i="133"/>
  <c r="AU81" i="133"/>
  <c r="AU69" i="133"/>
  <c r="AU57" i="133"/>
  <c r="AU76" i="133"/>
  <c r="AU64" i="133"/>
  <c r="AU52" i="133"/>
  <c r="AU40" i="133"/>
  <c r="AU71" i="133"/>
  <c r="AU59" i="133"/>
  <c r="AU78" i="133"/>
  <c r="AU66" i="133"/>
  <c r="AU54" i="133"/>
  <c r="AU73" i="133"/>
  <c r="AU61" i="133"/>
  <c r="AU49" i="133"/>
  <c r="AU37" i="133"/>
  <c r="AU25" i="133"/>
  <c r="AU80" i="133"/>
  <c r="AU68" i="133"/>
  <c r="AU56" i="133"/>
  <c r="AU44" i="133"/>
  <c r="AU75" i="133"/>
  <c r="AU63" i="133"/>
  <c r="AU51" i="133"/>
  <c r="AU82" i="133"/>
  <c r="AU70" i="133"/>
  <c r="AU58" i="133"/>
  <c r="AU46" i="133"/>
  <c r="AU34" i="133"/>
  <c r="AU77" i="133"/>
  <c r="AU65" i="133"/>
  <c r="AU53" i="133"/>
  <c r="AU72" i="133"/>
  <c r="AU60" i="133"/>
  <c r="AU79" i="133"/>
  <c r="AU67" i="133"/>
  <c r="AU55" i="133"/>
  <c r="AU43" i="133"/>
  <c r="AU31" i="133"/>
  <c r="AU19" i="133"/>
  <c r="BS75" i="133"/>
  <c r="BS63" i="133"/>
  <c r="BS82" i="133"/>
  <c r="BS70" i="133"/>
  <c r="BS58" i="133"/>
  <c r="BS46" i="133"/>
  <c r="BS34" i="133"/>
  <c r="BS77" i="133"/>
  <c r="BS65" i="133"/>
  <c r="BS72" i="133"/>
  <c r="BS60" i="133"/>
  <c r="BS79" i="133"/>
  <c r="BS67" i="133"/>
  <c r="BS55" i="133"/>
  <c r="BS43" i="133"/>
  <c r="BS31" i="133"/>
  <c r="BS74" i="133"/>
  <c r="BS62" i="133"/>
  <c r="BS50" i="133"/>
  <c r="BS38" i="133"/>
  <c r="BS81" i="133"/>
  <c r="BS69" i="133"/>
  <c r="BS57" i="133"/>
  <c r="BS76" i="133"/>
  <c r="BS64" i="133"/>
  <c r="BS52" i="133"/>
  <c r="BS40" i="133"/>
  <c r="BS71" i="133"/>
  <c r="BS59" i="133"/>
  <c r="BS78" i="133"/>
  <c r="BS66" i="133"/>
  <c r="BS73" i="133"/>
  <c r="BS61" i="133"/>
  <c r="BS49" i="133"/>
  <c r="BS37" i="133"/>
  <c r="BS25" i="133"/>
  <c r="AJ6" i="133"/>
  <c r="BH6" i="133"/>
  <c r="AQ7" i="133"/>
  <c r="W8" i="133"/>
  <c r="BS8" i="133"/>
  <c r="AE10" i="133"/>
  <c r="AM12" i="133"/>
  <c r="S13" i="133"/>
  <c r="BO13" i="133"/>
  <c r="AU14" i="133"/>
  <c r="BC16" i="133"/>
  <c r="O18" i="133"/>
  <c r="BK18" i="133"/>
  <c r="AQ19" i="133"/>
  <c r="AE20" i="133"/>
  <c r="O21" i="133"/>
  <c r="BO21" i="133"/>
  <c r="O25" i="133"/>
  <c r="BK26" i="133"/>
  <c r="AM28" i="133"/>
  <c r="O30" i="133"/>
  <c r="O33" i="133"/>
  <c r="O34" i="133"/>
  <c r="S35" i="133"/>
  <c r="W36" i="133"/>
  <c r="AQ38" i="133"/>
  <c r="BK40" i="133"/>
  <c r="BS41" i="133"/>
  <c r="W44" i="133"/>
  <c r="AM45" i="133"/>
  <c r="AQ46" i="133"/>
  <c r="S53" i="133"/>
  <c r="BC64" i="133"/>
  <c r="AY69" i="133"/>
  <c r="T4" i="133"/>
  <c r="AR4" i="133"/>
  <c r="BP4" i="133"/>
  <c r="M6" i="133"/>
  <c r="AK6" i="133"/>
  <c r="BI6" i="133"/>
  <c r="AU7" i="133"/>
  <c r="BC9" i="133"/>
  <c r="O11" i="133"/>
  <c r="BK11" i="133"/>
  <c r="AQ12" i="133"/>
  <c r="W13" i="133"/>
  <c r="BS13" i="133"/>
  <c r="AY14" i="133"/>
  <c r="AE15" i="133"/>
  <c r="AM17" i="133"/>
  <c r="S18" i="133"/>
  <c r="BO18" i="133"/>
  <c r="AY19" i="133"/>
  <c r="S21" i="133"/>
  <c r="BS21" i="133"/>
  <c r="BC22" i="133"/>
  <c r="AQ23" i="133"/>
  <c r="AE24" i="133"/>
  <c r="S25" i="133"/>
  <c r="BO26" i="133"/>
  <c r="BG27" i="133"/>
  <c r="AQ28" i="133"/>
  <c r="AE29" i="133"/>
  <c r="W30" i="133"/>
  <c r="O31" i="133"/>
  <c r="S32" i="133"/>
  <c r="W33" i="133"/>
  <c r="S34" i="133"/>
  <c r="W35" i="133"/>
  <c r="AA36" i="133"/>
  <c r="AE37" i="133"/>
  <c r="AU38" i="133"/>
  <c r="BK39" i="133"/>
  <c r="BO40" i="133"/>
  <c r="O43" i="133"/>
  <c r="AE44" i="133"/>
  <c r="AU45" i="133"/>
  <c r="BO47" i="133"/>
  <c r="S50" i="133"/>
  <c r="BK51" i="133"/>
  <c r="W53" i="133"/>
  <c r="AE55" i="133"/>
  <c r="W80" i="133"/>
  <c r="L6" i="133"/>
  <c r="AA82" i="133"/>
  <c r="AA70" i="133"/>
  <c r="AA58" i="133"/>
  <c r="AA77" i="133"/>
  <c r="AA65" i="133"/>
  <c r="AA53" i="133"/>
  <c r="AA41" i="133"/>
  <c r="AA72" i="133"/>
  <c r="AA60" i="133"/>
  <c r="AA79" i="133"/>
  <c r="AA67" i="133"/>
  <c r="AA55" i="133"/>
  <c r="AA74" i="133"/>
  <c r="AA62" i="133"/>
  <c r="AA50" i="133"/>
  <c r="AA38" i="133"/>
  <c r="AA26" i="133"/>
  <c r="AA81" i="133"/>
  <c r="AA69" i="133"/>
  <c r="AA57" i="133"/>
  <c r="AA45" i="133"/>
  <c r="AA76" i="133"/>
  <c r="AA64" i="133"/>
  <c r="AA52" i="133"/>
  <c r="AA71" i="133"/>
  <c r="AA59" i="133"/>
  <c r="AA47" i="133"/>
  <c r="AA35" i="133"/>
  <c r="AA78" i="133"/>
  <c r="AA66" i="133"/>
  <c r="AA54" i="133"/>
  <c r="AA73" i="133"/>
  <c r="AA61" i="133"/>
  <c r="AA80" i="133"/>
  <c r="AA68" i="133"/>
  <c r="AA56" i="133"/>
  <c r="AA44" i="133"/>
  <c r="AA32" i="133"/>
  <c r="AA20" i="133"/>
  <c r="AY76" i="133"/>
  <c r="AY64" i="133"/>
  <c r="AY71" i="133"/>
  <c r="AY59" i="133"/>
  <c r="AY47" i="133"/>
  <c r="AY35" i="133"/>
  <c r="AY78" i="133"/>
  <c r="AY66" i="133"/>
  <c r="AY73" i="133"/>
  <c r="AY61" i="133"/>
  <c r="AY80" i="133"/>
  <c r="AY68" i="133"/>
  <c r="AY56" i="133"/>
  <c r="AY44" i="133"/>
  <c r="AY32" i="133"/>
  <c r="AY75" i="133"/>
  <c r="AY63" i="133"/>
  <c r="AY51" i="133"/>
  <c r="AY39" i="133"/>
  <c r="AY82" i="133"/>
  <c r="AY70" i="133"/>
  <c r="AY58" i="133"/>
  <c r="AY77" i="133"/>
  <c r="AY65" i="133"/>
  <c r="AY53" i="133"/>
  <c r="AY41" i="133"/>
  <c r="AY72" i="133"/>
  <c r="AY60" i="133"/>
  <c r="AY79" i="133"/>
  <c r="AY67" i="133"/>
  <c r="AY74" i="133"/>
  <c r="AY62" i="133"/>
  <c r="AY50" i="133"/>
  <c r="AY38" i="133"/>
  <c r="AY26" i="133"/>
  <c r="BW82" i="133"/>
  <c r="BW70" i="133"/>
  <c r="BW58" i="133"/>
  <c r="BW77" i="133"/>
  <c r="BW65" i="133"/>
  <c r="BW53" i="133"/>
  <c r="BW41" i="133"/>
  <c r="BW72" i="133"/>
  <c r="BW60" i="133"/>
  <c r="BW79" i="133"/>
  <c r="BW67" i="133"/>
  <c r="BW55" i="133"/>
  <c r="BW74" i="133"/>
  <c r="BW62" i="133"/>
  <c r="BW50" i="133"/>
  <c r="BW38" i="133"/>
  <c r="BW26" i="133"/>
  <c r="BW81" i="133"/>
  <c r="BW69" i="133"/>
  <c r="BW57" i="133"/>
  <c r="BW45" i="133"/>
  <c r="BW76" i="133"/>
  <c r="BW64" i="133"/>
  <c r="BW52" i="133"/>
  <c r="BW71" i="133"/>
  <c r="BW59" i="133"/>
  <c r="BW47" i="133"/>
  <c r="BW35" i="133"/>
  <c r="BW78" i="133"/>
  <c r="BW66" i="133"/>
  <c r="BW54" i="133"/>
  <c r="BW73" i="133"/>
  <c r="BW61" i="133"/>
  <c r="BW80" i="133"/>
  <c r="BW68" i="133"/>
  <c r="BW56" i="133"/>
  <c r="BW44" i="133"/>
  <c r="BW32" i="133"/>
  <c r="BW20" i="133"/>
  <c r="N6" i="133"/>
  <c r="O6" i="133" s="1"/>
  <c r="Z6" i="133"/>
  <c r="AA6" i="133" s="1"/>
  <c r="AL6" i="133"/>
  <c r="AM6" i="133" s="1"/>
  <c r="AX6" i="133"/>
  <c r="AY6" i="133" s="1"/>
  <c r="BJ6" i="133"/>
  <c r="BK6" i="133" s="1"/>
  <c r="BV6" i="133"/>
  <c r="BW6" i="133" s="1"/>
  <c r="AY7" i="133"/>
  <c r="AE8" i="133"/>
  <c r="AM10" i="133"/>
  <c r="S11" i="133"/>
  <c r="BO11" i="133"/>
  <c r="AU12" i="133"/>
  <c r="AA13" i="133"/>
  <c r="BW13" i="133"/>
  <c r="BC14" i="133"/>
  <c r="AI15" i="133"/>
  <c r="O16" i="133"/>
  <c r="BK16" i="133"/>
  <c r="AQ17" i="133"/>
  <c r="W18" i="133"/>
  <c r="BS18" i="133"/>
  <c r="BC19" i="133"/>
  <c r="AM20" i="133"/>
  <c r="W21" i="133"/>
  <c r="BW21" i="133"/>
  <c r="BG22" i="133"/>
  <c r="AU23" i="133"/>
  <c r="AI24" i="133"/>
  <c r="AA25" i="133"/>
  <c r="O26" i="133"/>
  <c r="BS26" i="133"/>
  <c r="BK27" i="133"/>
  <c r="AU28" i="133"/>
  <c r="AI29" i="133"/>
  <c r="AA30" i="133"/>
  <c r="S31" i="133"/>
  <c r="W32" i="133"/>
  <c r="AA33" i="133"/>
  <c r="AA34" i="133"/>
  <c r="AE35" i="133"/>
  <c r="AI36" i="133"/>
  <c r="AM37" i="133"/>
  <c r="BS39" i="133"/>
  <c r="BW40" i="133"/>
  <c r="O42" i="133"/>
  <c r="AA43" i="133"/>
  <c r="AI44" i="133"/>
  <c r="AY45" i="133"/>
  <c r="BK46" i="133"/>
  <c r="BS47" i="133"/>
  <c r="O49" i="133"/>
  <c r="AE50" i="133"/>
  <c r="BS51" i="133"/>
  <c r="AE53" i="133"/>
  <c r="AQ55" i="133"/>
  <c r="AM60" i="133"/>
  <c r="AE70" i="133"/>
  <c r="BW75" i="133"/>
  <c r="BS80" i="133"/>
  <c r="O9" i="133"/>
  <c r="BK9" i="133"/>
  <c r="AQ10" i="133"/>
  <c r="W11" i="133"/>
  <c r="BS11" i="133"/>
  <c r="AE13" i="133"/>
  <c r="AM15" i="133"/>
  <c r="S16" i="133"/>
  <c r="BO16" i="133"/>
  <c r="AU17" i="133"/>
  <c r="AQ20" i="133"/>
  <c r="BK22" i="133"/>
  <c r="AM24" i="133"/>
  <c r="AE25" i="133"/>
  <c r="S26" i="133"/>
  <c r="BO27" i="133"/>
  <c r="AQ29" i="133"/>
  <c r="AE30" i="133"/>
  <c r="AE32" i="133"/>
  <c r="AE34" i="133"/>
  <c r="W42" i="133"/>
  <c r="AQ44" i="133"/>
  <c r="BO46" i="133"/>
  <c r="S49" i="133"/>
  <c r="BW51" i="133"/>
  <c r="AY55" i="133"/>
  <c r="AM79" i="133"/>
  <c r="AM67" i="133"/>
  <c r="AM55" i="133"/>
  <c r="AM74" i="133"/>
  <c r="AM62" i="133"/>
  <c r="AM50" i="133"/>
  <c r="AM38" i="133"/>
  <c r="AM81" i="133"/>
  <c r="AM69" i="133"/>
  <c r="AM57" i="133"/>
  <c r="AM76" i="133"/>
  <c r="AM64" i="133"/>
  <c r="AM71" i="133"/>
  <c r="AM59" i="133"/>
  <c r="AM47" i="133"/>
  <c r="AM35" i="133"/>
  <c r="AM23" i="133"/>
  <c r="AM78" i="133"/>
  <c r="AM66" i="133"/>
  <c r="AM54" i="133"/>
  <c r="AM42" i="133"/>
  <c r="AM73" i="133"/>
  <c r="AM61" i="133"/>
  <c r="AM80" i="133"/>
  <c r="AM68" i="133"/>
  <c r="AM56" i="133"/>
  <c r="AM44" i="133"/>
  <c r="AM32" i="133"/>
  <c r="AM75" i="133"/>
  <c r="AM63" i="133"/>
  <c r="AM51" i="133"/>
  <c r="AM82" i="133"/>
  <c r="AM70" i="133"/>
  <c r="AM58" i="133"/>
  <c r="AM77" i="133"/>
  <c r="AM65" i="133"/>
  <c r="AM53" i="133"/>
  <c r="AM41" i="133"/>
  <c r="AM29" i="133"/>
  <c r="AE77" i="133"/>
  <c r="AE65" i="133"/>
  <c r="AE72" i="133"/>
  <c r="AE60" i="133"/>
  <c r="AE48" i="133"/>
  <c r="AE36" i="133"/>
  <c r="AE79" i="133"/>
  <c r="AE67" i="133"/>
  <c r="AE74" i="133"/>
  <c r="AE62" i="133"/>
  <c r="AE81" i="133"/>
  <c r="AE69" i="133"/>
  <c r="AE57" i="133"/>
  <c r="AE45" i="133"/>
  <c r="AE33" i="133"/>
  <c r="AE76" i="133"/>
  <c r="AE64" i="133"/>
  <c r="AE52" i="133"/>
  <c r="AE40" i="133"/>
  <c r="AE71" i="133"/>
  <c r="AE59" i="133"/>
  <c r="AE78" i="133"/>
  <c r="AE66" i="133"/>
  <c r="AE54" i="133"/>
  <c r="AE42" i="133"/>
  <c r="AE73" i="133"/>
  <c r="AE61" i="133"/>
  <c r="AE80" i="133"/>
  <c r="AE68" i="133"/>
  <c r="AE56" i="133"/>
  <c r="AE75" i="133"/>
  <c r="AE63" i="133"/>
  <c r="AE51" i="133"/>
  <c r="AE39" i="133"/>
  <c r="AE27" i="133"/>
  <c r="BC71" i="133"/>
  <c r="BC59" i="133"/>
  <c r="BC78" i="133"/>
  <c r="BC66" i="133"/>
  <c r="BC54" i="133"/>
  <c r="BC42" i="133"/>
  <c r="BC30" i="133"/>
  <c r="BC73" i="133"/>
  <c r="BC61" i="133"/>
  <c r="BC80" i="133"/>
  <c r="BC68" i="133"/>
  <c r="BC56" i="133"/>
  <c r="BC75" i="133"/>
  <c r="BC63" i="133"/>
  <c r="BC51" i="133"/>
  <c r="BC39" i="133"/>
  <c r="BC27" i="133"/>
  <c r="BC82" i="133"/>
  <c r="BC70" i="133"/>
  <c r="BC58" i="133"/>
  <c r="BC46" i="133"/>
  <c r="BC77" i="133"/>
  <c r="BC65" i="133"/>
  <c r="BC53" i="133"/>
  <c r="BC72" i="133"/>
  <c r="BC60" i="133"/>
  <c r="BC48" i="133"/>
  <c r="BC36" i="133"/>
  <c r="BC79" i="133"/>
  <c r="BC67" i="133"/>
  <c r="BC55" i="133"/>
  <c r="BC74" i="133"/>
  <c r="BC62" i="133"/>
  <c r="BC81" i="133"/>
  <c r="BC69" i="133"/>
  <c r="BC57" i="133"/>
  <c r="BC45" i="133"/>
  <c r="BC33" i="133"/>
  <c r="BC21" i="133"/>
  <c r="L5" i="133"/>
  <c r="O5" i="133" s="1"/>
  <c r="AJ5" i="133"/>
  <c r="AM5" i="133" s="1"/>
  <c r="BH5" i="133"/>
  <c r="BK5" i="133" s="1"/>
  <c r="P6" i="133"/>
  <c r="AB6" i="133"/>
  <c r="AN6" i="133"/>
  <c r="AZ6" i="133"/>
  <c r="BL6" i="133"/>
  <c r="AM8" i="133"/>
  <c r="S9" i="133"/>
  <c r="BO9" i="133"/>
  <c r="AU10" i="133"/>
  <c r="BC12" i="133"/>
  <c r="O14" i="133"/>
  <c r="BK14" i="133"/>
  <c r="AQ15" i="133"/>
  <c r="W16" i="133"/>
  <c r="BS16" i="133"/>
  <c r="AE18" i="133"/>
  <c r="BK19" i="133"/>
  <c r="AU20" i="133"/>
  <c r="AE21" i="133"/>
  <c r="O22" i="133"/>
  <c r="BO22" i="133"/>
  <c r="BC23" i="133"/>
  <c r="AU24" i="133"/>
  <c r="W26" i="133"/>
  <c r="O27" i="133"/>
  <c r="BS27" i="133"/>
  <c r="BC28" i="133"/>
  <c r="AU29" i="133"/>
  <c r="AE31" i="133"/>
  <c r="AM33" i="133"/>
  <c r="AM34" i="133"/>
  <c r="AQ35" i="133"/>
  <c r="AU36" i="133"/>
  <c r="BC37" i="133"/>
  <c r="BO38" i="133"/>
  <c r="S41" i="133"/>
  <c r="AA42" i="133"/>
  <c r="AM43" i="133"/>
  <c r="BC44" i="133"/>
  <c r="BW46" i="133"/>
  <c r="W48" i="133"/>
  <c r="AA49" i="133"/>
  <c r="AQ50" i="133"/>
  <c r="AQ53" i="133"/>
  <c r="S61" i="133"/>
  <c r="O66" i="133"/>
  <c r="BC76" i="133"/>
  <c r="AY81" i="133"/>
  <c r="BK73" i="133"/>
  <c r="BK61" i="133"/>
  <c r="BK80" i="133"/>
  <c r="BK68" i="133"/>
  <c r="BK56" i="133"/>
  <c r="BK44" i="133"/>
  <c r="BK32" i="133"/>
  <c r="BK75" i="133"/>
  <c r="BK63" i="133"/>
  <c r="BK82" i="133"/>
  <c r="BK70" i="133"/>
  <c r="BK58" i="133"/>
  <c r="BK77" i="133"/>
  <c r="BK65" i="133"/>
  <c r="BK53" i="133"/>
  <c r="BK41" i="133"/>
  <c r="BK29" i="133"/>
  <c r="BK72" i="133"/>
  <c r="BK60" i="133"/>
  <c r="BK48" i="133"/>
  <c r="BK36" i="133"/>
  <c r="BK79" i="133"/>
  <c r="BK67" i="133"/>
  <c r="BK55" i="133"/>
  <c r="BK74" i="133"/>
  <c r="BK62" i="133"/>
  <c r="BK50" i="133"/>
  <c r="BK38" i="133"/>
  <c r="BK81" i="133"/>
  <c r="BK69" i="133"/>
  <c r="BK57" i="133"/>
  <c r="BK76" i="133"/>
  <c r="BK64" i="133"/>
  <c r="BK71" i="133"/>
  <c r="BK59" i="133"/>
  <c r="BK47" i="133"/>
  <c r="BK35" i="133"/>
  <c r="BK23" i="133"/>
  <c r="Q6" i="133"/>
  <c r="AO6" i="133"/>
  <c r="BM6" i="133"/>
  <c r="O7" i="133"/>
  <c r="BK7" i="133"/>
  <c r="AQ8" i="133"/>
  <c r="W9" i="133"/>
  <c r="BS9" i="133"/>
  <c r="AE11" i="133"/>
  <c r="AM13" i="133"/>
  <c r="S14" i="133"/>
  <c r="BO14" i="133"/>
  <c r="AU15" i="133"/>
  <c r="BC17" i="133"/>
  <c r="O19" i="133"/>
  <c r="BO19" i="133"/>
  <c r="S22" i="133"/>
  <c r="BS22" i="133"/>
  <c r="AM25" i="133"/>
  <c r="AE26" i="133"/>
  <c r="S27" i="133"/>
  <c r="BK28" i="133"/>
  <c r="AM30" i="133"/>
  <c r="AM31" i="133"/>
  <c r="AQ32" i="133"/>
  <c r="AU33" i="133"/>
  <c r="AQ34" i="133"/>
  <c r="AU35" i="133"/>
  <c r="BK37" i="133"/>
  <c r="O40" i="133"/>
  <c r="W41" i="133"/>
  <c r="AQ43" i="133"/>
  <c r="BS45" i="133"/>
  <c r="AA48" i="133"/>
  <c r="AE49" i="133"/>
  <c r="AU50" i="133"/>
  <c r="BS53" i="133"/>
  <c r="W56" i="133"/>
  <c r="BO61" i="133"/>
  <c r="BK66" i="133"/>
  <c r="O73" i="133"/>
  <c r="O61" i="133"/>
  <c r="O80" i="133"/>
  <c r="O68" i="133"/>
  <c r="O56" i="133"/>
  <c r="O44" i="133"/>
  <c r="O32" i="133"/>
  <c r="O75" i="133"/>
  <c r="O63" i="133"/>
  <c r="O82" i="133"/>
  <c r="O70" i="133"/>
  <c r="O58" i="133"/>
  <c r="O77" i="133"/>
  <c r="O65" i="133"/>
  <c r="O53" i="133"/>
  <c r="O41" i="133"/>
  <c r="O29" i="133"/>
  <c r="O72" i="133"/>
  <c r="O60" i="133"/>
  <c r="O48" i="133"/>
  <c r="O79" i="133"/>
  <c r="O67" i="133"/>
  <c r="O55" i="133"/>
  <c r="O74" i="133"/>
  <c r="O62" i="133"/>
  <c r="O50" i="133"/>
  <c r="O38" i="133"/>
  <c r="O81" i="133"/>
  <c r="O69" i="133"/>
  <c r="O57" i="133"/>
  <c r="O76" i="133"/>
  <c r="O64" i="133"/>
  <c r="O71" i="133"/>
  <c r="O59" i="133"/>
  <c r="O47" i="133"/>
  <c r="O35" i="133"/>
  <c r="O23" i="133"/>
  <c r="O10" i="133"/>
  <c r="BK20" i="133"/>
  <c r="AM40" i="133"/>
  <c r="O51" i="133"/>
  <c r="AI72" i="133"/>
  <c r="AI60" i="133"/>
  <c r="AI79" i="133"/>
  <c r="AI67" i="133"/>
  <c r="AI55" i="133"/>
  <c r="AI43" i="133"/>
  <c r="AI31" i="133"/>
  <c r="AI74" i="133"/>
  <c r="AI62" i="133"/>
  <c r="AI81" i="133"/>
  <c r="AI69" i="133"/>
  <c r="AI57" i="133"/>
  <c r="AI76" i="133"/>
  <c r="AI64" i="133"/>
  <c r="AI52" i="133"/>
  <c r="AI40" i="133"/>
  <c r="AI28" i="133"/>
  <c r="AI71" i="133"/>
  <c r="AI59" i="133"/>
  <c r="AI47" i="133"/>
  <c r="AI78" i="133"/>
  <c r="AI66" i="133"/>
  <c r="AI54" i="133"/>
  <c r="AI73" i="133"/>
  <c r="AI61" i="133"/>
  <c r="AI49" i="133"/>
  <c r="AI37" i="133"/>
  <c r="AI80" i="133"/>
  <c r="AI68" i="133"/>
  <c r="AI56" i="133"/>
  <c r="AI75" i="133"/>
  <c r="AI63" i="133"/>
  <c r="AI82" i="133"/>
  <c r="AI70" i="133"/>
  <c r="AI58" i="133"/>
  <c r="AI46" i="133"/>
  <c r="AI34" i="133"/>
  <c r="AI22" i="133"/>
  <c r="BG78" i="133"/>
  <c r="BG66" i="133"/>
  <c r="BG54" i="133"/>
  <c r="BG73" i="133"/>
  <c r="BG61" i="133"/>
  <c r="BG49" i="133"/>
  <c r="BG37" i="133"/>
  <c r="BG80" i="133"/>
  <c r="BG68" i="133"/>
  <c r="BG56" i="133"/>
  <c r="BG75" i="133"/>
  <c r="BG63" i="133"/>
  <c r="BG82" i="133"/>
  <c r="BG70" i="133"/>
  <c r="BG58" i="133"/>
  <c r="BG46" i="133"/>
  <c r="BG34" i="133"/>
  <c r="BG77" i="133"/>
  <c r="BG65" i="133"/>
  <c r="BG53" i="133"/>
  <c r="BG41" i="133"/>
  <c r="BG72" i="133"/>
  <c r="BG60" i="133"/>
  <c r="BG79" i="133"/>
  <c r="BG67" i="133"/>
  <c r="BG55" i="133"/>
  <c r="BG43" i="133"/>
  <c r="BG31" i="133"/>
  <c r="BG74" i="133"/>
  <c r="BG62" i="133"/>
  <c r="BG50" i="133"/>
  <c r="BG81" i="133"/>
  <c r="BG69" i="133"/>
  <c r="BG57" i="133"/>
  <c r="BG76" i="133"/>
  <c r="BG64" i="133"/>
  <c r="BG52" i="133"/>
  <c r="BG40" i="133"/>
  <c r="BG28" i="133"/>
  <c r="P5" i="133"/>
  <c r="S5" i="133" s="1"/>
  <c r="AN5" i="133"/>
  <c r="AQ5" i="133" s="1"/>
  <c r="BL5" i="133"/>
  <c r="BO5" i="133" s="1"/>
  <c r="R6" i="133"/>
  <c r="S6" i="133" s="1"/>
  <c r="AD6" i="133"/>
  <c r="AE6" i="133" s="1"/>
  <c r="AP6" i="133"/>
  <c r="AQ6" i="133" s="1"/>
  <c r="BB6" i="133"/>
  <c r="BC6" i="133" s="1"/>
  <c r="BN6" i="133"/>
  <c r="BO6" i="133" s="1"/>
  <c r="S7" i="133"/>
  <c r="BO7" i="133"/>
  <c r="AU8" i="133"/>
  <c r="AA9" i="133"/>
  <c r="BW9" i="133"/>
  <c r="BC10" i="133"/>
  <c r="AI11" i="133"/>
  <c r="O12" i="133"/>
  <c r="BK12" i="133"/>
  <c r="AQ13" i="133"/>
  <c r="W14" i="133"/>
  <c r="BS14" i="133"/>
  <c r="AY15" i="133"/>
  <c r="AE16" i="133"/>
  <c r="BG17" i="133"/>
  <c r="AM18" i="133"/>
  <c r="S19" i="133"/>
  <c r="BS19" i="133"/>
  <c r="BC20" i="133"/>
  <c r="AM21" i="133"/>
  <c r="W22" i="133"/>
  <c r="BW22" i="133"/>
  <c r="BO23" i="133"/>
  <c r="BC24" i="133"/>
  <c r="AQ25" i="133"/>
  <c r="AI26" i="133"/>
  <c r="W27" i="133"/>
  <c r="BO28" i="133"/>
  <c r="BC29" i="133"/>
  <c r="AU30" i="133"/>
  <c r="AQ31" i="133"/>
  <c r="AU32" i="133"/>
  <c r="AY33" i="133"/>
  <c r="AY34" i="133"/>
  <c r="BC35" i="133"/>
  <c r="BG36" i="133"/>
  <c r="BO37" i="133"/>
  <c r="O39" i="133"/>
  <c r="S40" i="133"/>
  <c r="AE41" i="133"/>
  <c r="AU42" i="133"/>
  <c r="AY43" i="133"/>
  <c r="BO44" i="133"/>
  <c r="S47" i="133"/>
  <c r="AI48" i="133"/>
  <c r="AM49" i="133"/>
  <c r="BC50" i="133"/>
  <c r="AM52" i="133"/>
  <c r="BS56" i="133"/>
  <c r="AM72" i="133"/>
  <c r="AI77" i="133"/>
  <c r="AE82" i="133"/>
  <c r="BG78" i="132"/>
  <c r="BG66" i="132"/>
  <c r="BG54" i="132"/>
  <c r="BG42" i="132"/>
  <c r="BG73" i="132"/>
  <c r="BG61" i="132"/>
  <c r="BG80" i="132"/>
  <c r="BG68" i="132"/>
  <c r="BG75" i="132"/>
  <c r="BG63" i="132"/>
  <c r="BG82" i="132"/>
  <c r="BG70" i="132"/>
  <c r="BG58" i="132"/>
  <c r="BG46" i="132"/>
  <c r="BG34" i="132"/>
  <c r="BG22" i="132"/>
  <c r="BG77" i="132"/>
  <c r="BG65" i="132"/>
  <c r="BG53" i="132"/>
  <c r="BG41" i="132"/>
  <c r="BG72" i="132"/>
  <c r="BG60" i="132"/>
  <c r="BG48" i="132"/>
  <c r="BG36" i="132"/>
  <c r="BG79" i="132"/>
  <c r="BG67" i="132"/>
  <c r="BG74" i="132"/>
  <c r="BG62" i="132"/>
  <c r="BG81" i="132"/>
  <c r="BG69" i="132"/>
  <c r="BG76" i="132"/>
  <c r="BG64" i="132"/>
  <c r="BG52" i="132"/>
  <c r="BG40" i="132"/>
  <c r="BG28" i="132"/>
  <c r="BG45" i="132"/>
  <c r="BG38" i="132"/>
  <c r="BG9" i="132"/>
  <c r="BD5" i="132"/>
  <c r="BG5" i="132" s="1"/>
  <c r="BG11" i="132"/>
  <c r="BG18" i="132"/>
  <c r="BG16" i="132"/>
  <c r="BG71" i="132"/>
  <c r="BG27" i="132"/>
  <c r="BG55" i="132"/>
  <c r="BG47" i="132"/>
  <c r="BG39" i="132"/>
  <c r="BG26" i="132"/>
  <c r="BG21" i="132"/>
  <c r="BG13" i="132"/>
  <c r="BF6" i="132"/>
  <c r="BG6" i="132" s="1"/>
  <c r="BG31" i="132"/>
  <c r="BG8" i="132"/>
  <c r="BE6" i="132"/>
  <c r="BG56" i="132"/>
  <c r="BG49" i="132"/>
  <c r="BG32" i="132"/>
  <c r="BG30" i="132"/>
  <c r="BG25" i="132"/>
  <c r="BG15" i="132"/>
  <c r="BD6" i="132"/>
  <c r="BG10" i="132"/>
  <c r="BD4" i="132"/>
  <c r="BG29" i="132"/>
  <c r="BG43" i="132"/>
  <c r="BG35" i="132"/>
  <c r="BG33" i="132"/>
  <c r="BG20" i="132"/>
  <c r="BG57" i="132"/>
  <c r="BG50" i="132"/>
  <c r="BG12" i="132"/>
  <c r="BG59" i="132"/>
  <c r="BG51" i="132"/>
  <c r="BG19" i="132"/>
  <c r="BG14" i="132"/>
  <c r="AN5" i="132"/>
  <c r="AQ5" i="132" s="1"/>
  <c r="AZ6" i="132"/>
  <c r="S7" i="132"/>
  <c r="BC12" i="132"/>
  <c r="AQ15" i="132"/>
  <c r="BG23" i="132"/>
  <c r="AE77" i="132"/>
  <c r="AE65" i="132"/>
  <c r="AE53" i="132"/>
  <c r="AE41" i="132"/>
  <c r="AE72" i="132"/>
  <c r="AE79" i="132"/>
  <c r="AE67" i="132"/>
  <c r="AE74" i="132"/>
  <c r="AE62" i="132"/>
  <c r="AE81" i="132"/>
  <c r="AE69" i="132"/>
  <c r="AE57" i="132"/>
  <c r="AE45" i="132"/>
  <c r="AE33" i="132"/>
  <c r="AE76" i="132"/>
  <c r="AE64" i="132"/>
  <c r="AE52" i="132"/>
  <c r="AE40" i="132"/>
  <c r="AE71" i="132"/>
  <c r="AE59" i="132"/>
  <c r="AE47" i="132"/>
  <c r="AE78" i="132"/>
  <c r="AE66" i="132"/>
  <c r="AE73" i="132"/>
  <c r="AE80" i="132"/>
  <c r="AE68" i="132"/>
  <c r="AE75" i="132"/>
  <c r="AE63" i="132"/>
  <c r="AE51" i="132"/>
  <c r="AE39" i="132"/>
  <c r="AE27" i="132"/>
  <c r="AE82" i="132"/>
  <c r="AE43" i="132"/>
  <c r="AE36" i="132"/>
  <c r="AE30" i="132"/>
  <c r="AE25" i="132"/>
  <c r="AE8" i="132"/>
  <c r="AB5" i="132"/>
  <c r="AE5" i="132" s="1"/>
  <c r="AE58" i="132"/>
  <c r="AE50" i="132"/>
  <c r="AE15" i="132"/>
  <c r="AE44" i="132"/>
  <c r="AE37" i="132"/>
  <c r="AE29" i="132"/>
  <c r="AE24" i="132"/>
  <c r="AE20" i="132"/>
  <c r="AE10" i="132"/>
  <c r="AE70" i="132"/>
  <c r="AE60" i="132"/>
  <c r="AE28" i="132"/>
  <c r="AE23" i="132"/>
  <c r="AE12" i="132"/>
  <c r="AE54" i="132"/>
  <c r="AE46" i="132"/>
  <c r="AE38" i="132"/>
  <c r="AE19" i="132"/>
  <c r="AE7" i="132"/>
  <c r="AE61" i="132"/>
  <c r="AE22" i="132"/>
  <c r="AE14" i="132"/>
  <c r="AE9" i="132"/>
  <c r="AE55" i="132"/>
  <c r="AE48" i="132"/>
  <c r="AE42" i="132"/>
  <c r="AE11" i="132"/>
  <c r="AC6" i="132"/>
  <c r="AB4" i="132"/>
  <c r="AE35" i="132"/>
  <c r="AE34" i="132"/>
  <c r="AE32" i="132"/>
  <c r="AE31" i="132"/>
  <c r="AE13" i="132"/>
  <c r="BG37" i="132"/>
  <c r="AI72" i="132"/>
  <c r="AI60" i="132"/>
  <c r="AI48" i="132"/>
  <c r="AI36" i="132"/>
  <c r="AI79" i="132"/>
  <c r="AI67" i="132"/>
  <c r="AI74" i="132"/>
  <c r="AI62" i="132"/>
  <c r="AI81" i="132"/>
  <c r="AI69" i="132"/>
  <c r="AI76" i="132"/>
  <c r="AI64" i="132"/>
  <c r="AI52" i="132"/>
  <c r="AI40" i="132"/>
  <c r="AI28" i="132"/>
  <c r="AI71" i="132"/>
  <c r="AI59" i="132"/>
  <c r="AI47" i="132"/>
  <c r="AI35" i="132"/>
  <c r="AI78" i="132"/>
  <c r="AI66" i="132"/>
  <c r="AI54" i="132"/>
  <c r="AI42" i="132"/>
  <c r="AI73" i="132"/>
  <c r="AI80" i="132"/>
  <c r="AI68" i="132"/>
  <c r="AI75" i="132"/>
  <c r="AI82" i="132"/>
  <c r="AI70" i="132"/>
  <c r="AI58" i="132"/>
  <c r="AI46" i="132"/>
  <c r="AI34" i="132"/>
  <c r="AI22" i="132"/>
  <c r="AI77" i="132"/>
  <c r="AI57" i="132"/>
  <c r="AI50" i="132"/>
  <c r="AI15" i="132"/>
  <c r="AF5" i="132"/>
  <c r="AI5" i="132" s="1"/>
  <c r="AI10" i="132"/>
  <c r="AI23" i="132"/>
  <c r="AI44" i="132"/>
  <c r="AI37" i="132"/>
  <c r="AI29" i="132"/>
  <c r="AI24" i="132"/>
  <c r="AI20" i="132"/>
  <c r="AI51" i="132"/>
  <c r="AI17" i="132"/>
  <c r="AI65" i="132"/>
  <c r="AI53" i="132"/>
  <c r="AI45" i="132"/>
  <c r="AI38" i="132"/>
  <c r="AI19" i="132"/>
  <c r="AI7" i="132"/>
  <c r="AH6" i="132"/>
  <c r="AI6" i="132" s="1"/>
  <c r="AI61" i="132"/>
  <c r="AI14" i="132"/>
  <c r="AG6" i="132"/>
  <c r="AI39" i="132"/>
  <c r="AI9" i="132"/>
  <c r="AF6" i="132"/>
  <c r="AI55" i="132"/>
  <c r="AI27" i="132"/>
  <c r="AI16" i="132"/>
  <c r="AF4" i="132"/>
  <c r="AI41" i="132"/>
  <c r="AI63" i="132"/>
  <c r="AI56" i="132"/>
  <c r="AI49" i="132"/>
  <c r="AI26" i="132"/>
  <c r="AI21" i="132"/>
  <c r="AI18" i="132"/>
  <c r="AI43" i="132"/>
  <c r="AI33" i="132"/>
  <c r="AI30" i="132"/>
  <c r="AI25" i="132"/>
  <c r="AI8" i="132"/>
  <c r="BO80" i="132"/>
  <c r="BO68" i="132"/>
  <c r="BO56" i="132"/>
  <c r="BO44" i="132"/>
  <c r="BO32" i="132"/>
  <c r="BO75" i="132"/>
  <c r="BO63" i="132"/>
  <c r="BO82" i="132"/>
  <c r="BO70" i="132"/>
  <c r="BO77" i="132"/>
  <c r="BO65" i="132"/>
  <c r="BO72" i="132"/>
  <c r="BO60" i="132"/>
  <c r="BO48" i="132"/>
  <c r="BO36" i="132"/>
  <c r="BO24" i="132"/>
  <c r="BO79" i="132"/>
  <c r="BO67" i="132"/>
  <c r="BO55" i="132"/>
  <c r="BO43" i="132"/>
  <c r="BO31" i="132"/>
  <c r="BO74" i="132"/>
  <c r="BO62" i="132"/>
  <c r="BO50" i="132"/>
  <c r="BO38" i="132"/>
  <c r="BO81" i="132"/>
  <c r="BO69" i="132"/>
  <c r="BO76" i="132"/>
  <c r="BO64" i="132"/>
  <c r="BO71" i="132"/>
  <c r="BO78" i="132"/>
  <c r="BO66" i="132"/>
  <c r="BO54" i="132"/>
  <c r="BO42" i="132"/>
  <c r="BO30" i="132"/>
  <c r="BO53" i="132"/>
  <c r="BO46" i="132"/>
  <c r="BO27" i="132"/>
  <c r="BO11" i="132"/>
  <c r="BO18" i="132"/>
  <c r="BO39" i="132"/>
  <c r="BO47" i="132"/>
  <c r="BO40" i="132"/>
  <c r="BO26" i="132"/>
  <c r="BO21" i="132"/>
  <c r="BO13" i="132"/>
  <c r="BO61" i="132"/>
  <c r="BO41" i="132"/>
  <c r="BO25" i="132"/>
  <c r="BO15" i="132"/>
  <c r="BO49" i="132"/>
  <c r="BO34" i="132"/>
  <c r="BO33" i="132"/>
  <c r="BO20" i="132"/>
  <c r="BO10" i="132"/>
  <c r="BO57" i="132"/>
  <c r="BO35" i="132"/>
  <c r="BO17" i="132"/>
  <c r="BO12" i="132"/>
  <c r="BO29" i="132"/>
  <c r="BO58" i="132"/>
  <c r="BO73" i="132"/>
  <c r="BO51" i="132"/>
  <c r="BO37" i="132"/>
  <c r="BO28" i="132"/>
  <c r="BO23" i="132"/>
  <c r="BO19" i="132"/>
  <c r="BO14" i="132"/>
  <c r="BM6" i="132"/>
  <c r="BO22" i="132"/>
  <c r="BO16" i="132"/>
  <c r="AB6" i="132"/>
  <c r="BO59" i="132"/>
  <c r="BL4" i="132"/>
  <c r="AE17" i="132"/>
  <c r="BL5" i="132"/>
  <c r="BO5" i="132" s="1"/>
  <c r="AI32" i="132"/>
  <c r="BG44" i="132"/>
  <c r="AQ74" i="132"/>
  <c r="AQ62" i="132"/>
  <c r="AQ50" i="132"/>
  <c r="AQ38" i="132"/>
  <c r="AQ81" i="132"/>
  <c r="AQ69" i="132"/>
  <c r="AQ76" i="132"/>
  <c r="AQ64" i="132"/>
  <c r="AQ71" i="132"/>
  <c r="AQ78" i="132"/>
  <c r="AQ66" i="132"/>
  <c r="AQ54" i="132"/>
  <c r="AQ42" i="132"/>
  <c r="AQ30" i="132"/>
  <c r="AQ73" i="132"/>
  <c r="AQ61" i="132"/>
  <c r="AQ49" i="132"/>
  <c r="AQ37" i="132"/>
  <c r="AQ80" i="132"/>
  <c r="AQ68" i="132"/>
  <c r="AQ56" i="132"/>
  <c r="AQ44" i="132"/>
  <c r="AQ75" i="132"/>
  <c r="AQ63" i="132"/>
  <c r="AQ82" i="132"/>
  <c r="AQ70" i="132"/>
  <c r="AQ77" i="132"/>
  <c r="AQ65" i="132"/>
  <c r="AQ72" i="132"/>
  <c r="AQ60" i="132"/>
  <c r="AQ48" i="132"/>
  <c r="AQ36" i="132"/>
  <c r="AQ24" i="132"/>
  <c r="AQ51" i="132"/>
  <c r="AQ29" i="132"/>
  <c r="AQ17" i="132"/>
  <c r="AQ7" i="132"/>
  <c r="AQ12" i="132"/>
  <c r="AQ59" i="132"/>
  <c r="AQ52" i="132"/>
  <c r="AQ45" i="132"/>
  <c r="AQ28" i="132"/>
  <c r="AQ23" i="132"/>
  <c r="AQ19" i="132"/>
  <c r="AQ53" i="132"/>
  <c r="AQ46" i="132"/>
  <c r="AQ39" i="132"/>
  <c r="AQ22" i="132"/>
  <c r="AQ9" i="132"/>
  <c r="AQ27" i="132"/>
  <c r="AQ16" i="132"/>
  <c r="AQ55" i="132"/>
  <c r="AQ47" i="132"/>
  <c r="AQ40" i="132"/>
  <c r="AQ11" i="132"/>
  <c r="AQ32" i="132"/>
  <c r="AQ79" i="132"/>
  <c r="AQ41" i="132"/>
  <c r="AQ26" i="132"/>
  <c r="AQ21" i="132"/>
  <c r="AQ18" i="132"/>
  <c r="AQ34" i="132"/>
  <c r="AQ33" i="132"/>
  <c r="AQ25" i="132"/>
  <c r="AQ8" i="132"/>
  <c r="AO6" i="132"/>
  <c r="AQ67" i="132"/>
  <c r="AQ58" i="132"/>
  <c r="AQ20" i="132"/>
  <c r="AQ10" i="132"/>
  <c r="AI13" i="132"/>
  <c r="AE26" i="132"/>
  <c r="AD6" i="132"/>
  <c r="AE6" i="132" s="1"/>
  <c r="BG7" i="132"/>
  <c r="BO8" i="132"/>
  <c r="BL6" i="132"/>
  <c r="BO7" i="132"/>
  <c r="AN4" i="132"/>
  <c r="BN6" i="132"/>
  <c r="BO6" i="132" s="1"/>
  <c r="BG17" i="132"/>
  <c r="BG24" i="132"/>
  <c r="AE56" i="132"/>
  <c r="S9" i="132"/>
  <c r="BO52" i="132"/>
  <c r="S80" i="132"/>
  <c r="S68" i="132"/>
  <c r="S56" i="132"/>
  <c r="S44" i="132"/>
  <c r="S32" i="132"/>
  <c r="S75" i="132"/>
  <c r="S63" i="132"/>
  <c r="S82" i="132"/>
  <c r="S70" i="132"/>
  <c r="S77" i="132"/>
  <c r="S65" i="132"/>
  <c r="S72" i="132"/>
  <c r="S60" i="132"/>
  <c r="S48" i="132"/>
  <c r="S36" i="132"/>
  <c r="S24" i="132"/>
  <c r="S79" i="132"/>
  <c r="S67" i="132"/>
  <c r="S55" i="132"/>
  <c r="S43" i="132"/>
  <c r="S31" i="132"/>
  <c r="S74" i="132"/>
  <c r="S62" i="132"/>
  <c r="S50" i="132"/>
  <c r="S38" i="132"/>
  <c r="S81" i="132"/>
  <c r="S69" i="132"/>
  <c r="S76" i="132"/>
  <c r="S64" i="132"/>
  <c r="S71" i="132"/>
  <c r="S78" i="132"/>
  <c r="S66" i="132"/>
  <c r="S54" i="132"/>
  <c r="S42" i="132"/>
  <c r="S30" i="132"/>
  <c r="S49" i="132"/>
  <c r="S26" i="132"/>
  <c r="S11" i="132"/>
  <c r="S21" i="132"/>
  <c r="S18" i="132"/>
  <c r="S57" i="132"/>
  <c r="S34" i="132"/>
  <c r="S33" i="132"/>
  <c r="S35" i="132"/>
  <c r="S25" i="132"/>
  <c r="S13" i="132"/>
  <c r="S58" i="132"/>
  <c r="S51" i="132"/>
  <c r="S37" i="132"/>
  <c r="S20" i="132"/>
  <c r="S15" i="132"/>
  <c r="S59" i="132"/>
  <c r="S52" i="132"/>
  <c r="S45" i="132"/>
  <c r="S29" i="132"/>
  <c r="S10" i="132"/>
  <c r="S17" i="132"/>
  <c r="S12" i="132"/>
  <c r="S53" i="132"/>
  <c r="S46" i="132"/>
  <c r="S28" i="132"/>
  <c r="S23" i="132"/>
  <c r="S61" i="132"/>
  <c r="S39" i="132"/>
  <c r="S47" i="132"/>
  <c r="S40" i="132"/>
  <c r="S22" i="132"/>
  <c r="S14" i="132"/>
  <c r="Q6" i="132"/>
  <c r="S73" i="132"/>
  <c r="S41" i="132"/>
  <c r="S16" i="132"/>
  <c r="P5" i="132"/>
  <c r="S5" i="132" s="1"/>
  <c r="AE16" i="132"/>
  <c r="AQ57" i="132"/>
  <c r="P4" i="132"/>
  <c r="P6" i="132"/>
  <c r="S8" i="132"/>
  <c r="AI12" i="132"/>
  <c r="S27" i="132"/>
  <c r="AI31" i="132"/>
  <c r="BO45" i="132"/>
  <c r="AE49" i="132"/>
  <c r="BC71" i="132"/>
  <c r="BC59" i="132"/>
  <c r="BC47" i="132"/>
  <c r="BC35" i="132"/>
  <c r="BC78" i="132"/>
  <c r="BC66" i="132"/>
  <c r="BC73" i="132"/>
  <c r="BC61" i="132"/>
  <c r="BC80" i="132"/>
  <c r="BC68" i="132"/>
  <c r="BC75" i="132"/>
  <c r="BC63" i="132"/>
  <c r="BC51" i="132"/>
  <c r="BC39" i="132"/>
  <c r="BC27" i="132"/>
  <c r="BC82" i="132"/>
  <c r="BC70" i="132"/>
  <c r="BC58" i="132"/>
  <c r="BC46" i="132"/>
  <c r="BC34" i="132"/>
  <c r="BC77" i="132"/>
  <c r="BC65" i="132"/>
  <c r="BC53" i="132"/>
  <c r="BC41" i="132"/>
  <c r="BC72" i="132"/>
  <c r="BC79" i="132"/>
  <c r="BC67" i="132"/>
  <c r="BC74" i="132"/>
  <c r="BC81" i="132"/>
  <c r="BC69" i="132"/>
  <c r="BC57" i="132"/>
  <c r="BC45" i="132"/>
  <c r="BC33" i="132"/>
  <c r="BC21" i="132"/>
  <c r="BC62" i="132"/>
  <c r="BC60" i="132"/>
  <c r="BC52" i="132"/>
  <c r="BC19" i="132"/>
  <c r="BC14" i="132"/>
  <c r="AZ5" i="132"/>
  <c r="BC5" i="132" s="1"/>
  <c r="BC38" i="132"/>
  <c r="BC22" i="132"/>
  <c r="BC9" i="132"/>
  <c r="BC76" i="132"/>
  <c r="BC54" i="132"/>
  <c r="BC16" i="132"/>
  <c r="BC55" i="132"/>
  <c r="BC48" i="132"/>
  <c r="BC40" i="132"/>
  <c r="BC18" i="132"/>
  <c r="BC26" i="132"/>
  <c r="BC13" i="132"/>
  <c r="BC64" i="132"/>
  <c r="BC42" i="132"/>
  <c r="BC31" i="132"/>
  <c r="BC8" i="132"/>
  <c r="BC56" i="132"/>
  <c r="BC49" i="132"/>
  <c r="BC32" i="132"/>
  <c r="BC30" i="132"/>
  <c r="BC25" i="132"/>
  <c r="BC15" i="132"/>
  <c r="BC43" i="132"/>
  <c r="BC36" i="132"/>
  <c r="BC50" i="132"/>
  <c r="BC29" i="132"/>
  <c r="BC24" i="132"/>
  <c r="BC17" i="132"/>
  <c r="BA6" i="132"/>
  <c r="AZ4" i="132"/>
  <c r="BC44" i="132"/>
  <c r="BC37" i="132"/>
  <c r="BC28" i="132"/>
  <c r="BC23" i="132"/>
  <c r="BC7" i="132"/>
  <c r="R6" i="132"/>
  <c r="S6" i="132" s="1"/>
  <c r="AE21" i="132"/>
  <c r="W11" i="132"/>
  <c r="BS11" i="132"/>
  <c r="AU17" i="132"/>
  <c r="AU24" i="132"/>
  <c r="W26" i="132"/>
  <c r="O27" i="132"/>
  <c r="BS27" i="132"/>
  <c r="AU29" i="132"/>
  <c r="AM36" i="132"/>
  <c r="BK38" i="132"/>
  <c r="W42" i="132"/>
  <c r="BK45" i="132"/>
  <c r="BS46" i="132"/>
  <c r="AM50" i="132"/>
  <c r="BK52" i="132"/>
  <c r="BS53" i="132"/>
  <c r="W56" i="132"/>
  <c r="AM57" i="132"/>
  <c r="BS60" i="132"/>
  <c r="W9" i="132"/>
  <c r="BS9" i="132"/>
  <c r="AU15" i="132"/>
  <c r="W27" i="132"/>
  <c r="AU30" i="132"/>
  <c r="AU35" i="132"/>
  <c r="BS52" i="132"/>
  <c r="BK58" i="132"/>
  <c r="BS59" i="132"/>
  <c r="W68" i="132"/>
  <c r="BK78" i="132"/>
  <c r="AU34" i="132"/>
  <c r="W40" i="132"/>
  <c r="AU42" i="132"/>
  <c r="BS44" i="132"/>
  <c r="W47" i="132"/>
  <c r="AM56" i="132"/>
  <c r="BS68" i="132"/>
  <c r="BS7" i="132"/>
  <c r="W19" i="132"/>
  <c r="BS36" i="132"/>
  <c r="BK50" i="132"/>
  <c r="W54" i="132"/>
  <c r="BS58" i="132"/>
  <c r="AU74" i="132"/>
  <c r="W7" i="132"/>
  <c r="AU13" i="132"/>
  <c r="O73" i="132"/>
  <c r="O61" i="132"/>
  <c r="O49" i="132"/>
  <c r="O37" i="132"/>
  <c r="O80" i="132"/>
  <c r="O68" i="132"/>
  <c r="O75" i="132"/>
  <c r="O63" i="132"/>
  <c r="O82" i="132"/>
  <c r="O70" i="132"/>
  <c r="O77" i="132"/>
  <c r="O65" i="132"/>
  <c r="O53" i="132"/>
  <c r="O41" i="132"/>
  <c r="O29" i="132"/>
  <c r="O72" i="132"/>
  <c r="O60" i="132"/>
  <c r="O48" i="132"/>
  <c r="O36" i="132"/>
  <c r="O79" i="132"/>
  <c r="O67" i="132"/>
  <c r="O55" i="132"/>
  <c r="O43" i="132"/>
  <c r="O74" i="132"/>
  <c r="O62" i="132"/>
  <c r="O81" i="132"/>
  <c r="O69" i="132"/>
  <c r="O76" i="132"/>
  <c r="O64" i="132"/>
  <c r="O71" i="132"/>
  <c r="O59" i="132"/>
  <c r="O47" i="132"/>
  <c r="O35" i="132"/>
  <c r="O23" i="132"/>
  <c r="AM79" i="132"/>
  <c r="AM67" i="132"/>
  <c r="AM55" i="132"/>
  <c r="AM43" i="132"/>
  <c r="AM74" i="132"/>
  <c r="AM62" i="132"/>
  <c r="AM81" i="132"/>
  <c r="AM69" i="132"/>
  <c r="AM76" i="132"/>
  <c r="AM64" i="132"/>
  <c r="AM71" i="132"/>
  <c r="AM59" i="132"/>
  <c r="AM47" i="132"/>
  <c r="AM35" i="132"/>
  <c r="AM23" i="132"/>
  <c r="AM78" i="132"/>
  <c r="AM66" i="132"/>
  <c r="AM54" i="132"/>
  <c r="AM42" i="132"/>
  <c r="AM73" i="132"/>
  <c r="AM61" i="132"/>
  <c r="AM49" i="132"/>
  <c r="AM37" i="132"/>
  <c r="AM80" i="132"/>
  <c r="AM68" i="132"/>
  <c r="AM75" i="132"/>
  <c r="AM63" i="132"/>
  <c r="AM82" i="132"/>
  <c r="AM70" i="132"/>
  <c r="AM77" i="132"/>
  <c r="AM65" i="132"/>
  <c r="AM53" i="132"/>
  <c r="AM41" i="132"/>
  <c r="AM29" i="132"/>
  <c r="BK73" i="132"/>
  <c r="BK61" i="132"/>
  <c r="BK49" i="132"/>
  <c r="BK37" i="132"/>
  <c r="BK80" i="132"/>
  <c r="BK68" i="132"/>
  <c r="BK75" i="132"/>
  <c r="BK63" i="132"/>
  <c r="BK82" i="132"/>
  <c r="BK70" i="132"/>
  <c r="BK77" i="132"/>
  <c r="BK65" i="132"/>
  <c r="BK53" i="132"/>
  <c r="BK41" i="132"/>
  <c r="BK29" i="132"/>
  <c r="BK72" i="132"/>
  <c r="BK60" i="132"/>
  <c r="BK48" i="132"/>
  <c r="BK36" i="132"/>
  <c r="BK79" i="132"/>
  <c r="BK67" i="132"/>
  <c r="BK55" i="132"/>
  <c r="BK43" i="132"/>
  <c r="BK74" i="132"/>
  <c r="BK62" i="132"/>
  <c r="BK81" i="132"/>
  <c r="BK69" i="132"/>
  <c r="BK76" i="132"/>
  <c r="BK64" i="132"/>
  <c r="BK71" i="132"/>
  <c r="BK59" i="132"/>
  <c r="BK47" i="132"/>
  <c r="BK35" i="132"/>
  <c r="BK23" i="132"/>
  <c r="T5" i="132"/>
  <c r="W5" i="132" s="1"/>
  <c r="AR5" i="132"/>
  <c r="AU5" i="132" s="1"/>
  <c r="BP5" i="132"/>
  <c r="BS5" i="132" s="1"/>
  <c r="T6" i="132"/>
  <c r="AR6" i="132"/>
  <c r="BP6" i="132"/>
  <c r="O10" i="132"/>
  <c r="BK10" i="132"/>
  <c r="W12" i="132"/>
  <c r="BS12" i="132"/>
  <c r="AM16" i="132"/>
  <c r="AU18" i="132"/>
  <c r="BK20" i="132"/>
  <c r="AU21" i="132"/>
  <c r="W23" i="132"/>
  <c r="BS24" i="132"/>
  <c r="AU26" i="132"/>
  <c r="AM27" i="132"/>
  <c r="W28" i="132"/>
  <c r="BS29" i="132"/>
  <c r="BK33" i="132"/>
  <c r="BK34" i="132"/>
  <c r="O38" i="132"/>
  <c r="AU41" i="132"/>
  <c r="O45" i="132"/>
  <c r="W46" i="132"/>
  <c r="AU48" i="132"/>
  <c r="O52" i="132"/>
  <c r="W53" i="132"/>
  <c r="AA54" i="132"/>
  <c r="W60" i="132"/>
  <c r="AY69" i="132"/>
  <c r="U6" i="132"/>
  <c r="AS6" i="132"/>
  <c r="BQ6" i="132"/>
  <c r="AU11" i="132"/>
  <c r="W17" i="132"/>
  <c r="BS17" i="132"/>
  <c r="O20" i="132"/>
  <c r="AM22" i="132"/>
  <c r="O24" i="132"/>
  <c r="BK25" i="132"/>
  <c r="BK30" i="132"/>
  <c r="BK32" i="132"/>
  <c r="BS35" i="132"/>
  <c r="AM39" i="132"/>
  <c r="AU40" i="132"/>
  <c r="BK42" i="132"/>
  <c r="AU47" i="132"/>
  <c r="AY48" i="132"/>
  <c r="O51" i="132"/>
  <c r="AA53" i="132"/>
  <c r="AY55" i="132"/>
  <c r="BK56" i="132"/>
  <c r="AA60" i="132"/>
  <c r="W80" i="132"/>
  <c r="V6" i="132"/>
  <c r="W6" i="132" s="1"/>
  <c r="AT6" i="132"/>
  <c r="AU6" i="132" s="1"/>
  <c r="BR6" i="132"/>
  <c r="BS6" i="132" s="1"/>
  <c r="W10" i="132"/>
  <c r="BS10" i="132"/>
  <c r="AM14" i="132"/>
  <c r="AU16" i="132"/>
  <c r="BS20" i="132"/>
  <c r="W24" i="132"/>
  <c r="AU27" i="132"/>
  <c r="W29" i="132"/>
  <c r="BS30" i="132"/>
  <c r="BK31" i="132"/>
  <c r="BS32" i="132"/>
  <c r="BS33" i="132"/>
  <c r="BS34" i="132"/>
  <c r="BS42" i="132"/>
  <c r="O44" i="132"/>
  <c r="AM46" i="132"/>
  <c r="BW49" i="132"/>
  <c r="W52" i="132"/>
  <c r="BS56" i="132"/>
  <c r="O58" i="132"/>
  <c r="W59" i="132"/>
  <c r="BS80" i="132"/>
  <c r="BS41" i="132"/>
  <c r="W44" i="132"/>
  <c r="BS48" i="132"/>
  <c r="AM60" i="132"/>
  <c r="AU81" i="132"/>
  <c r="AU69" i="132"/>
  <c r="AU57" i="132"/>
  <c r="AU45" i="132"/>
  <c r="AU33" i="132"/>
  <c r="AU76" i="132"/>
  <c r="AU64" i="132"/>
  <c r="AU71" i="132"/>
  <c r="AU78" i="132"/>
  <c r="AU66" i="132"/>
  <c r="AU73" i="132"/>
  <c r="AU61" i="132"/>
  <c r="AU49" i="132"/>
  <c r="AU37" i="132"/>
  <c r="AU25" i="132"/>
  <c r="AU80" i="132"/>
  <c r="AU68" i="132"/>
  <c r="AU56" i="132"/>
  <c r="AU44" i="132"/>
  <c r="AU32" i="132"/>
  <c r="AU75" i="132"/>
  <c r="AU63" i="132"/>
  <c r="AU51" i="132"/>
  <c r="AU39" i="132"/>
  <c r="AU82" i="132"/>
  <c r="AU70" i="132"/>
  <c r="AU77" i="132"/>
  <c r="AU65" i="132"/>
  <c r="AU72" i="132"/>
  <c r="AU79" i="132"/>
  <c r="AU67" i="132"/>
  <c r="AU55" i="132"/>
  <c r="AU43" i="132"/>
  <c r="AU31" i="132"/>
  <c r="AU19" i="132"/>
  <c r="AU14" i="132"/>
  <c r="W30" i="132"/>
  <c r="W36" i="132"/>
  <c r="AU38" i="132"/>
  <c r="AU46" i="132"/>
  <c r="O50" i="132"/>
  <c r="AU53" i="132"/>
  <c r="O57" i="132"/>
  <c r="W58" i="132"/>
  <c r="AU60" i="132"/>
  <c r="O66" i="132"/>
  <c r="T4" i="132"/>
  <c r="BP4" i="132"/>
  <c r="AU7" i="132"/>
  <c r="BS21" i="132"/>
  <c r="AU23" i="132"/>
  <c r="BS26" i="132"/>
  <c r="AU28" i="132"/>
  <c r="BS40" i="132"/>
  <c r="AM51" i="132"/>
  <c r="AU52" i="132"/>
  <c r="BK54" i="132"/>
  <c r="AU59" i="132"/>
  <c r="AU62" i="132"/>
  <c r="BK66" i="132"/>
  <c r="W75" i="132"/>
  <c r="W63" i="132"/>
  <c r="W51" i="132"/>
  <c r="W39" i="132"/>
  <c r="W82" i="132"/>
  <c r="W70" i="132"/>
  <c r="W77" i="132"/>
  <c r="W65" i="132"/>
  <c r="W72" i="132"/>
  <c r="W79" i="132"/>
  <c r="W67" i="132"/>
  <c r="W55" i="132"/>
  <c r="W43" i="132"/>
  <c r="W31" i="132"/>
  <c r="W74" i="132"/>
  <c r="W62" i="132"/>
  <c r="W50" i="132"/>
  <c r="W38" i="132"/>
  <c r="W81" i="132"/>
  <c r="W69" i="132"/>
  <c r="W57" i="132"/>
  <c r="W45" i="132"/>
  <c r="W76" i="132"/>
  <c r="W64" i="132"/>
  <c r="W71" i="132"/>
  <c r="W78" i="132"/>
  <c r="W66" i="132"/>
  <c r="W73" i="132"/>
  <c r="W61" i="132"/>
  <c r="W49" i="132"/>
  <c r="W37" i="132"/>
  <c r="W25" i="132"/>
  <c r="BS75" i="132"/>
  <c r="BS63" i="132"/>
  <c r="BS51" i="132"/>
  <c r="BS39" i="132"/>
  <c r="BS82" i="132"/>
  <c r="BS70" i="132"/>
  <c r="BS77" i="132"/>
  <c r="BS65" i="132"/>
  <c r="BS72" i="132"/>
  <c r="BS79" i="132"/>
  <c r="BS67" i="132"/>
  <c r="BS55" i="132"/>
  <c r="BS43" i="132"/>
  <c r="BS31" i="132"/>
  <c r="BS74" i="132"/>
  <c r="BS62" i="132"/>
  <c r="BS50" i="132"/>
  <c r="BS38" i="132"/>
  <c r="BS81" i="132"/>
  <c r="BS69" i="132"/>
  <c r="BS57" i="132"/>
  <c r="BS45" i="132"/>
  <c r="BS76" i="132"/>
  <c r="BS64" i="132"/>
  <c r="BS71" i="132"/>
  <c r="BS78" i="132"/>
  <c r="BS66" i="132"/>
  <c r="BS73" i="132"/>
  <c r="BS61" i="132"/>
  <c r="BS49" i="132"/>
  <c r="BS37" i="132"/>
  <c r="BS25" i="132"/>
  <c r="W8" i="132"/>
  <c r="BS8" i="132"/>
  <c r="AR4" i="132"/>
  <c r="W13" i="132"/>
  <c r="BS13" i="132"/>
  <c r="AA82" i="132"/>
  <c r="AA70" i="132"/>
  <c r="AA58" i="132"/>
  <c r="AA46" i="132"/>
  <c r="AA34" i="132"/>
  <c r="AA77" i="132"/>
  <c r="AA65" i="132"/>
  <c r="AA72" i="132"/>
  <c r="AA79" i="132"/>
  <c r="AA67" i="132"/>
  <c r="AA74" i="132"/>
  <c r="AA62" i="132"/>
  <c r="AA50" i="132"/>
  <c r="AA38" i="132"/>
  <c r="AA26" i="132"/>
  <c r="AA81" i="132"/>
  <c r="AA69" i="132"/>
  <c r="AA57" i="132"/>
  <c r="AA45" i="132"/>
  <c r="AA33" i="132"/>
  <c r="AA76" i="132"/>
  <c r="AA64" i="132"/>
  <c r="AA52" i="132"/>
  <c r="AA40" i="132"/>
  <c r="AA71" i="132"/>
  <c r="AA78" i="132"/>
  <c r="AA66" i="132"/>
  <c r="AA73" i="132"/>
  <c r="AA80" i="132"/>
  <c r="AA68" i="132"/>
  <c r="AA56" i="132"/>
  <c r="AA44" i="132"/>
  <c r="AA32" i="132"/>
  <c r="AA20" i="132"/>
  <c r="AY76" i="132"/>
  <c r="AY64" i="132"/>
  <c r="AY52" i="132"/>
  <c r="AY40" i="132"/>
  <c r="AY71" i="132"/>
  <c r="AY78" i="132"/>
  <c r="AY66" i="132"/>
  <c r="AY73" i="132"/>
  <c r="AY61" i="132"/>
  <c r="AY80" i="132"/>
  <c r="AY68" i="132"/>
  <c r="AY56" i="132"/>
  <c r="AY44" i="132"/>
  <c r="AY32" i="132"/>
  <c r="AY75" i="132"/>
  <c r="AY63" i="132"/>
  <c r="AY51" i="132"/>
  <c r="AY39" i="132"/>
  <c r="AY82" i="132"/>
  <c r="AY70" i="132"/>
  <c r="AY58" i="132"/>
  <c r="AY46" i="132"/>
  <c r="AY77" i="132"/>
  <c r="AY65" i="132"/>
  <c r="AY72" i="132"/>
  <c r="AY79" i="132"/>
  <c r="AY67" i="132"/>
  <c r="AY74" i="132"/>
  <c r="AY62" i="132"/>
  <c r="AY50" i="132"/>
  <c r="AY38" i="132"/>
  <c r="AY26" i="132"/>
  <c r="BW82" i="132"/>
  <c r="BW70" i="132"/>
  <c r="BW58" i="132"/>
  <c r="BW46" i="132"/>
  <c r="BW34" i="132"/>
  <c r="BW77" i="132"/>
  <c r="BW65" i="132"/>
  <c r="BW72" i="132"/>
  <c r="BW79" i="132"/>
  <c r="BW67" i="132"/>
  <c r="BW74" i="132"/>
  <c r="BW62" i="132"/>
  <c r="BW50" i="132"/>
  <c r="BW38" i="132"/>
  <c r="BW26" i="132"/>
  <c r="BW81" i="132"/>
  <c r="BW69" i="132"/>
  <c r="BW57" i="132"/>
  <c r="BW45" i="132"/>
  <c r="BW33" i="132"/>
  <c r="BW76" i="132"/>
  <c r="BW64" i="132"/>
  <c r="BW52" i="132"/>
  <c r="BW40" i="132"/>
  <c r="BW71" i="132"/>
  <c r="BW78" i="132"/>
  <c r="BW66" i="132"/>
  <c r="BW73" i="132"/>
  <c r="BW80" i="132"/>
  <c r="BW68" i="132"/>
  <c r="BW56" i="132"/>
  <c r="BW44" i="132"/>
  <c r="BW32" i="132"/>
  <c r="BW20" i="132"/>
  <c r="N6" i="132"/>
  <c r="O6" i="132" s="1"/>
  <c r="Z6" i="132"/>
  <c r="AA6" i="132" s="1"/>
  <c r="AL6" i="132"/>
  <c r="AM6" i="132" s="1"/>
  <c r="AX6" i="132"/>
  <c r="AY6" i="132" s="1"/>
  <c r="BJ6" i="132"/>
  <c r="BK6" i="132" s="1"/>
  <c r="BV6" i="132"/>
  <c r="BW6" i="132" s="1"/>
  <c r="AY7" i="132"/>
  <c r="AM10" i="132"/>
  <c r="AU12" i="132"/>
  <c r="AA13" i="132"/>
  <c r="BW13" i="132"/>
  <c r="O16" i="132"/>
  <c r="BK16" i="132"/>
  <c r="W18" i="132"/>
  <c r="BS18" i="132"/>
  <c r="AM20" i="132"/>
  <c r="W21" i="132"/>
  <c r="BW21" i="132"/>
  <c r="BK22" i="132"/>
  <c r="AY23" i="132"/>
  <c r="AM24" i="132"/>
  <c r="AY28" i="132"/>
  <c r="AA31" i="132"/>
  <c r="W32" i="132"/>
  <c r="W33" i="132"/>
  <c r="W34" i="132"/>
  <c r="AA35" i="132"/>
  <c r="AY37" i="132"/>
  <c r="BW39" i="132"/>
  <c r="O42" i="132"/>
  <c r="AM44" i="132"/>
  <c r="BW47" i="132"/>
  <c r="BS54" i="132"/>
  <c r="O56" i="132"/>
  <c r="AM58" i="132"/>
  <c r="AY59" i="132"/>
  <c r="AM72" i="132"/>
  <c r="AY19" i="131"/>
  <c r="X4" i="131"/>
  <c r="BW18" i="131"/>
  <c r="AE77" i="131"/>
  <c r="AE65" i="131"/>
  <c r="AE53" i="131"/>
  <c r="AE41" i="131"/>
  <c r="AE29" i="131"/>
  <c r="AE72" i="131"/>
  <c r="AE60" i="131"/>
  <c r="AE48" i="131"/>
  <c r="AE36" i="131"/>
  <c r="AE24" i="131"/>
  <c r="AE79" i="131"/>
  <c r="AE67" i="131"/>
  <c r="AE55" i="131"/>
  <c r="AE43" i="131"/>
  <c r="AE31" i="131"/>
  <c r="AE74" i="131"/>
  <c r="AE62" i="131"/>
  <c r="AE50" i="131"/>
  <c r="AE38" i="131"/>
  <c r="AE26" i="131"/>
  <c r="AE81" i="131"/>
  <c r="AE69" i="131"/>
  <c r="AE57" i="131"/>
  <c r="AE45" i="131"/>
  <c r="AE33" i="131"/>
  <c r="AE76" i="131"/>
  <c r="AE64" i="131"/>
  <c r="AE52" i="131"/>
  <c r="AE40" i="131"/>
  <c r="AE28" i="131"/>
  <c r="AE71" i="131"/>
  <c r="AE59" i="131"/>
  <c r="AE47" i="131"/>
  <c r="AE35" i="131"/>
  <c r="AE23" i="131"/>
  <c r="AE78" i="131"/>
  <c r="AE66" i="131"/>
  <c r="AE54" i="131"/>
  <c r="AE42" i="131"/>
  <c r="AE73" i="131"/>
  <c r="AE61" i="131"/>
  <c r="AE49" i="131"/>
  <c r="AE37" i="131"/>
  <c r="AE25" i="131"/>
  <c r="AE80" i="131"/>
  <c r="AE68" i="131"/>
  <c r="AE56" i="131"/>
  <c r="AE44" i="131"/>
  <c r="AE32" i="131"/>
  <c r="BC71" i="131"/>
  <c r="BC59" i="131"/>
  <c r="BC47" i="131"/>
  <c r="BC35" i="131"/>
  <c r="BC78" i="131"/>
  <c r="BC66" i="131"/>
  <c r="BC54" i="131"/>
  <c r="BC42" i="131"/>
  <c r="BC30" i="131"/>
  <c r="BC73" i="131"/>
  <c r="BC61" i="131"/>
  <c r="BC49" i="131"/>
  <c r="BC37" i="131"/>
  <c r="BC80" i="131"/>
  <c r="BC68" i="131"/>
  <c r="BC56" i="131"/>
  <c r="BC44" i="131"/>
  <c r="BC32" i="131"/>
  <c r="BC75" i="131"/>
  <c r="BC63" i="131"/>
  <c r="BC51" i="131"/>
  <c r="BC39" i="131"/>
  <c r="BC82" i="131"/>
  <c r="BC70" i="131"/>
  <c r="BC58" i="131"/>
  <c r="BC46" i="131"/>
  <c r="BC34" i="131"/>
  <c r="BC22" i="131"/>
  <c r="BC77" i="131"/>
  <c r="BC65" i="131"/>
  <c r="BC53" i="131"/>
  <c r="BC41" i="131"/>
  <c r="BC29" i="131"/>
  <c r="BC72" i="131"/>
  <c r="BC60" i="131"/>
  <c r="BC48" i="131"/>
  <c r="BC79" i="131"/>
  <c r="BC67" i="131"/>
  <c r="BC55" i="131"/>
  <c r="BC43" i="131"/>
  <c r="BC31" i="131"/>
  <c r="BC74" i="131"/>
  <c r="BC62" i="131"/>
  <c r="BC50" i="131"/>
  <c r="BC38" i="131"/>
  <c r="L5" i="131"/>
  <c r="O5" i="131" s="1"/>
  <c r="AJ5" i="131"/>
  <c r="AM5" i="131" s="1"/>
  <c r="BH5" i="131"/>
  <c r="BK5" i="131" s="1"/>
  <c r="P6" i="131"/>
  <c r="AB6" i="131"/>
  <c r="AN6" i="131"/>
  <c r="AZ6" i="131"/>
  <c r="BL6" i="131"/>
  <c r="BG7" i="131"/>
  <c r="AM8" i="131"/>
  <c r="S9" i="131"/>
  <c r="BO9" i="131"/>
  <c r="AU10" i="131"/>
  <c r="AA11" i="131"/>
  <c r="BW11" i="131"/>
  <c r="BC12" i="131"/>
  <c r="AI13" i="131"/>
  <c r="O14" i="131"/>
  <c r="BK14" i="131"/>
  <c r="AQ15" i="131"/>
  <c r="W16" i="131"/>
  <c r="BS16" i="131"/>
  <c r="AY17" i="131"/>
  <c r="AE18" i="131"/>
  <c r="BG19" i="131"/>
  <c r="AU20" i="131"/>
  <c r="AM21" i="131"/>
  <c r="AI22" i="131"/>
  <c r="AA23" i="131"/>
  <c r="W24" i="131"/>
  <c r="W25" i="131"/>
  <c r="AU26" i="131"/>
  <c r="BK27" i="131"/>
  <c r="O29" i="131"/>
  <c r="AQ30" i="131"/>
  <c r="BW32" i="131"/>
  <c r="BO37" i="131"/>
  <c r="W44" i="131"/>
  <c r="BG47" i="131"/>
  <c r="AY50" i="131"/>
  <c r="O54" i="131"/>
  <c r="AQ60" i="131"/>
  <c r="BW63" i="131"/>
  <c r="AE70" i="131"/>
  <c r="BO73" i="131"/>
  <c r="W80" i="131"/>
  <c r="AA82" i="131"/>
  <c r="AA70" i="131"/>
  <c r="AA58" i="131"/>
  <c r="AA46" i="131"/>
  <c r="AA34" i="131"/>
  <c r="AA77" i="131"/>
  <c r="AA65" i="131"/>
  <c r="AA53" i="131"/>
  <c r="AA41" i="131"/>
  <c r="AA29" i="131"/>
  <c r="AA72" i="131"/>
  <c r="AA60" i="131"/>
  <c r="AA48" i="131"/>
  <c r="AA36" i="131"/>
  <c r="AA79" i="131"/>
  <c r="AA67" i="131"/>
  <c r="AA55" i="131"/>
  <c r="AA43" i="131"/>
  <c r="AA31" i="131"/>
  <c r="AA74" i="131"/>
  <c r="AA62" i="131"/>
  <c r="AA50" i="131"/>
  <c r="AA38" i="131"/>
  <c r="AA81" i="131"/>
  <c r="AA69" i="131"/>
  <c r="AA57" i="131"/>
  <c r="AA45" i="131"/>
  <c r="AA33" i="131"/>
  <c r="AA21" i="131"/>
  <c r="AA76" i="131"/>
  <c r="AA64" i="131"/>
  <c r="AA52" i="131"/>
  <c r="AA40" i="131"/>
  <c r="AA28" i="131"/>
  <c r="AA71" i="131"/>
  <c r="AA59" i="131"/>
  <c r="AA47" i="131"/>
  <c r="AA78" i="131"/>
  <c r="AA66" i="131"/>
  <c r="AA54" i="131"/>
  <c r="AA42" i="131"/>
  <c r="AA30" i="131"/>
  <c r="AA73" i="131"/>
  <c r="AA61" i="131"/>
  <c r="AA49" i="131"/>
  <c r="AA37" i="131"/>
  <c r="Z6" i="131"/>
  <c r="AA6" i="131" s="1"/>
  <c r="AY10" i="131"/>
  <c r="AA16" i="131"/>
  <c r="BW16" i="131"/>
  <c r="AI18" i="131"/>
  <c r="O19" i="131"/>
  <c r="BK19" i="131"/>
  <c r="AY20" i="131"/>
  <c r="AM22" i="131"/>
  <c r="AM23" i="131"/>
  <c r="AA24" i="131"/>
  <c r="AA25" i="131"/>
  <c r="AY26" i="131"/>
  <c r="BW27" i="131"/>
  <c r="BK30" i="131"/>
  <c r="AI41" i="131"/>
  <c r="AA44" i="131"/>
  <c r="BK47" i="131"/>
  <c r="S54" i="131"/>
  <c r="AY57" i="131"/>
  <c r="AQ67" i="131"/>
  <c r="AI70" i="131"/>
  <c r="BS73" i="131"/>
  <c r="AA80" i="131"/>
  <c r="BV6" i="131"/>
  <c r="BW6" i="131" s="1"/>
  <c r="AY12" i="131"/>
  <c r="AI72" i="131"/>
  <c r="AI60" i="131"/>
  <c r="AI48" i="131"/>
  <c r="AI36" i="131"/>
  <c r="AI24" i="131"/>
  <c r="AI79" i="131"/>
  <c r="AI67" i="131"/>
  <c r="AI55" i="131"/>
  <c r="AI43" i="131"/>
  <c r="AI31" i="131"/>
  <c r="AI74" i="131"/>
  <c r="AI62" i="131"/>
  <c r="AI50" i="131"/>
  <c r="AI38" i="131"/>
  <c r="AI81" i="131"/>
  <c r="AI69" i="131"/>
  <c r="AI57" i="131"/>
  <c r="AI45" i="131"/>
  <c r="AI33" i="131"/>
  <c r="AI76" i="131"/>
  <c r="AI64" i="131"/>
  <c r="AI52" i="131"/>
  <c r="AI40" i="131"/>
  <c r="AI71" i="131"/>
  <c r="AI59" i="131"/>
  <c r="AI47" i="131"/>
  <c r="AI35" i="131"/>
  <c r="AI23" i="131"/>
  <c r="AI78" i="131"/>
  <c r="AI66" i="131"/>
  <c r="AI54" i="131"/>
  <c r="AI42" i="131"/>
  <c r="AI30" i="131"/>
  <c r="AI73" i="131"/>
  <c r="AI61" i="131"/>
  <c r="AI49" i="131"/>
  <c r="AI80" i="131"/>
  <c r="AI68" i="131"/>
  <c r="AI56" i="131"/>
  <c r="AI44" i="131"/>
  <c r="AI32" i="131"/>
  <c r="AI75" i="131"/>
  <c r="AI63" i="131"/>
  <c r="AI51" i="131"/>
  <c r="AI39" i="131"/>
  <c r="BG78" i="131"/>
  <c r="BG66" i="131"/>
  <c r="BG54" i="131"/>
  <c r="BG42" i="131"/>
  <c r="BG30" i="131"/>
  <c r="BG73" i="131"/>
  <c r="BG61" i="131"/>
  <c r="BG49" i="131"/>
  <c r="BG37" i="131"/>
  <c r="BG25" i="131"/>
  <c r="BG80" i="131"/>
  <c r="BG68" i="131"/>
  <c r="BG56" i="131"/>
  <c r="BG44" i="131"/>
  <c r="BG32" i="131"/>
  <c r="BG75" i="131"/>
  <c r="BG63" i="131"/>
  <c r="BG51" i="131"/>
  <c r="BG39" i="131"/>
  <c r="BG27" i="131"/>
  <c r="BG82" i="131"/>
  <c r="BG70" i="131"/>
  <c r="BG58" i="131"/>
  <c r="BG46" i="131"/>
  <c r="BG34" i="131"/>
  <c r="BG77" i="131"/>
  <c r="BG65" i="131"/>
  <c r="BG53" i="131"/>
  <c r="BG41" i="131"/>
  <c r="BG29" i="131"/>
  <c r="BG72" i="131"/>
  <c r="BG60" i="131"/>
  <c r="BG48" i="131"/>
  <c r="BG36" i="131"/>
  <c r="BG24" i="131"/>
  <c r="BG79" i="131"/>
  <c r="BG67" i="131"/>
  <c r="BG55" i="131"/>
  <c r="BG43" i="131"/>
  <c r="BG74" i="131"/>
  <c r="BG62" i="131"/>
  <c r="BG50" i="131"/>
  <c r="BG38" i="131"/>
  <c r="BG26" i="131"/>
  <c r="BG81" i="131"/>
  <c r="BG69" i="131"/>
  <c r="BG57" i="131"/>
  <c r="BG45" i="131"/>
  <c r="BG33" i="131"/>
  <c r="AA9" i="131"/>
  <c r="BW9" i="131"/>
  <c r="AI11" i="131"/>
  <c r="O12" i="131"/>
  <c r="BK12" i="131"/>
  <c r="AQ13" i="131"/>
  <c r="W14" i="131"/>
  <c r="BS14" i="131"/>
  <c r="AY15" i="131"/>
  <c r="AE16" i="131"/>
  <c r="BG17" i="131"/>
  <c r="AM18" i="131"/>
  <c r="S19" i="131"/>
  <c r="BO19" i="131"/>
  <c r="BC20" i="131"/>
  <c r="AY21" i="131"/>
  <c r="AQ22" i="131"/>
  <c r="AQ23" i="131"/>
  <c r="AM24" i="131"/>
  <c r="AI25" i="131"/>
  <c r="BC26" i="131"/>
  <c r="AI29" i="131"/>
  <c r="BO30" i="131"/>
  <c r="S33" i="131"/>
  <c r="BK35" i="131"/>
  <c r="AM41" i="131"/>
  <c r="BS44" i="131"/>
  <c r="AA51" i="131"/>
  <c r="BK54" i="131"/>
  <c r="BC57" i="131"/>
  <c r="S61" i="131"/>
  <c r="BC64" i="131"/>
  <c r="AU67" i="131"/>
  <c r="AM77" i="131"/>
  <c r="BS80" i="131"/>
  <c r="AF4" i="131"/>
  <c r="BD4" i="131"/>
  <c r="AY8" i="131"/>
  <c r="BG10" i="131"/>
  <c r="AM11" i="131"/>
  <c r="S12" i="131"/>
  <c r="BO12" i="131"/>
  <c r="AU13" i="131"/>
  <c r="AA14" i="131"/>
  <c r="BW14" i="131"/>
  <c r="BC15" i="131"/>
  <c r="AI16" i="131"/>
  <c r="O17" i="131"/>
  <c r="BK17" i="131"/>
  <c r="AQ18" i="131"/>
  <c r="W19" i="131"/>
  <c r="BS19" i="131"/>
  <c r="BG20" i="131"/>
  <c r="BC21" i="131"/>
  <c r="AU22" i="131"/>
  <c r="AU23" i="131"/>
  <c r="AQ24" i="131"/>
  <c r="AU25" i="131"/>
  <c r="O28" i="131"/>
  <c r="AM29" i="131"/>
  <c r="AY33" i="131"/>
  <c r="BW35" i="131"/>
  <c r="AU38" i="131"/>
  <c r="BW44" i="131"/>
  <c r="AE51" i="131"/>
  <c r="BO54" i="131"/>
  <c r="W61" i="131"/>
  <c r="BG64" i="131"/>
  <c r="AU74" i="131"/>
  <c r="BW80" i="131"/>
  <c r="AA13" i="131"/>
  <c r="BW56" i="131"/>
  <c r="O73" i="131"/>
  <c r="O61" i="131"/>
  <c r="O49" i="131"/>
  <c r="O37" i="131"/>
  <c r="O25" i="131"/>
  <c r="O80" i="131"/>
  <c r="O68" i="131"/>
  <c r="O56" i="131"/>
  <c r="O44" i="131"/>
  <c r="O32" i="131"/>
  <c r="O20" i="131"/>
  <c r="O75" i="131"/>
  <c r="O63" i="131"/>
  <c r="O51" i="131"/>
  <c r="O39" i="131"/>
  <c r="O82" i="131"/>
  <c r="O70" i="131"/>
  <c r="O58" i="131"/>
  <c r="O46" i="131"/>
  <c r="O34" i="131"/>
  <c r="O77" i="131"/>
  <c r="O65" i="131"/>
  <c r="O53" i="131"/>
  <c r="O41" i="131"/>
  <c r="O72" i="131"/>
  <c r="O60" i="131"/>
  <c r="O48" i="131"/>
  <c r="O36" i="131"/>
  <c r="O24" i="131"/>
  <c r="O79" i="131"/>
  <c r="O67" i="131"/>
  <c r="O55" i="131"/>
  <c r="O43" i="131"/>
  <c r="O31" i="131"/>
  <c r="O74" i="131"/>
  <c r="O62" i="131"/>
  <c r="O50" i="131"/>
  <c r="O38" i="131"/>
  <c r="O81" i="131"/>
  <c r="O69" i="131"/>
  <c r="O57" i="131"/>
  <c r="O45" i="131"/>
  <c r="O33" i="131"/>
  <c r="O76" i="131"/>
  <c r="O64" i="131"/>
  <c r="O52" i="131"/>
  <c r="O40" i="131"/>
  <c r="AM79" i="131"/>
  <c r="AM67" i="131"/>
  <c r="AM55" i="131"/>
  <c r="AM43" i="131"/>
  <c r="AM31" i="131"/>
  <c r="AM74" i="131"/>
  <c r="AM62" i="131"/>
  <c r="AM50" i="131"/>
  <c r="AM38" i="131"/>
  <c r="AM26" i="131"/>
  <c r="AM81" i="131"/>
  <c r="AM69" i="131"/>
  <c r="AM57" i="131"/>
  <c r="AM45" i="131"/>
  <c r="AM33" i="131"/>
  <c r="AM76" i="131"/>
  <c r="AM64" i="131"/>
  <c r="AM52" i="131"/>
  <c r="AM40" i="131"/>
  <c r="AM28" i="131"/>
  <c r="AM71" i="131"/>
  <c r="AM59" i="131"/>
  <c r="AM47" i="131"/>
  <c r="AM35" i="131"/>
  <c r="AM78" i="131"/>
  <c r="AM66" i="131"/>
  <c r="AM54" i="131"/>
  <c r="AM42" i="131"/>
  <c r="AM30" i="131"/>
  <c r="AM73" i="131"/>
  <c r="AM61" i="131"/>
  <c r="AM49" i="131"/>
  <c r="AM37" i="131"/>
  <c r="AM25" i="131"/>
  <c r="AM80" i="131"/>
  <c r="AM68" i="131"/>
  <c r="AM56" i="131"/>
  <c r="AM44" i="131"/>
  <c r="AM75" i="131"/>
  <c r="AM63" i="131"/>
  <c r="AM51" i="131"/>
  <c r="AM39" i="131"/>
  <c r="AM27" i="131"/>
  <c r="AM82" i="131"/>
  <c r="AM70" i="131"/>
  <c r="AM58" i="131"/>
  <c r="AM46" i="131"/>
  <c r="AM34" i="131"/>
  <c r="BK73" i="131"/>
  <c r="BK61" i="131"/>
  <c r="BK49" i="131"/>
  <c r="BK37" i="131"/>
  <c r="BK25" i="131"/>
  <c r="BK80" i="131"/>
  <c r="BK68" i="131"/>
  <c r="BK56" i="131"/>
  <c r="BK44" i="131"/>
  <c r="BK32" i="131"/>
  <c r="BK20" i="131"/>
  <c r="BK75" i="131"/>
  <c r="BK63" i="131"/>
  <c r="BK51" i="131"/>
  <c r="BK39" i="131"/>
  <c r="BK82" i="131"/>
  <c r="BK70" i="131"/>
  <c r="BK58" i="131"/>
  <c r="BK46" i="131"/>
  <c r="BK34" i="131"/>
  <c r="BK77" i="131"/>
  <c r="BK65" i="131"/>
  <c r="BK53" i="131"/>
  <c r="BK41" i="131"/>
  <c r="BK72" i="131"/>
  <c r="BK60" i="131"/>
  <c r="BK48" i="131"/>
  <c r="BK36" i="131"/>
  <c r="BK24" i="131"/>
  <c r="BK79" i="131"/>
  <c r="BK67" i="131"/>
  <c r="BK55" i="131"/>
  <c r="BK43" i="131"/>
  <c r="BK31" i="131"/>
  <c r="BK74" i="131"/>
  <c r="BK62" i="131"/>
  <c r="BK50" i="131"/>
  <c r="BK38" i="131"/>
  <c r="BK81" i="131"/>
  <c r="BK69" i="131"/>
  <c r="BK57" i="131"/>
  <c r="BK45" i="131"/>
  <c r="BK33" i="131"/>
  <c r="BK76" i="131"/>
  <c r="BK64" i="131"/>
  <c r="BK52" i="131"/>
  <c r="BK40" i="131"/>
  <c r="AF6" i="131"/>
  <c r="BD6" i="131"/>
  <c r="AA7" i="131"/>
  <c r="BW7" i="131"/>
  <c r="AI9" i="131"/>
  <c r="O10" i="131"/>
  <c r="BK10" i="131"/>
  <c r="AY13" i="131"/>
  <c r="AE14" i="131"/>
  <c r="BG15" i="131"/>
  <c r="AM16" i="131"/>
  <c r="S17" i="131"/>
  <c r="BO17" i="131"/>
  <c r="AU18" i="131"/>
  <c r="AA19" i="131"/>
  <c r="BW19" i="131"/>
  <c r="BO20" i="131"/>
  <c r="BG21" i="131"/>
  <c r="BG22" i="131"/>
  <c r="BC23" i="131"/>
  <c r="AU24" i="131"/>
  <c r="BC25" i="131"/>
  <c r="BW26" i="131"/>
  <c r="W28" i="131"/>
  <c r="AQ29" i="131"/>
  <c r="AQ31" i="131"/>
  <c r="BC33" i="131"/>
  <c r="AY38" i="131"/>
  <c r="O42" i="131"/>
  <c r="AQ48" i="131"/>
  <c r="BW51" i="131"/>
  <c r="AE58" i="131"/>
  <c r="BO61" i="131"/>
  <c r="W68" i="131"/>
  <c r="BG71" i="131"/>
  <c r="O78" i="131"/>
  <c r="AY76" i="131"/>
  <c r="AY64" i="131"/>
  <c r="AY52" i="131"/>
  <c r="AY40" i="131"/>
  <c r="AY28" i="131"/>
  <c r="AY71" i="131"/>
  <c r="AY59" i="131"/>
  <c r="AY47" i="131"/>
  <c r="AY35" i="131"/>
  <c r="AY23" i="131"/>
  <c r="AY78" i="131"/>
  <c r="AY66" i="131"/>
  <c r="AY54" i="131"/>
  <c r="AY42" i="131"/>
  <c r="AY30" i="131"/>
  <c r="AY73" i="131"/>
  <c r="AY61" i="131"/>
  <c r="AY49" i="131"/>
  <c r="AY37" i="131"/>
  <c r="AY25" i="131"/>
  <c r="AY80" i="131"/>
  <c r="AY68" i="131"/>
  <c r="AY56" i="131"/>
  <c r="AY44" i="131"/>
  <c r="AY32" i="131"/>
  <c r="AY75" i="131"/>
  <c r="AY63" i="131"/>
  <c r="AY51" i="131"/>
  <c r="AY39" i="131"/>
  <c r="AY27" i="131"/>
  <c r="AY82" i="131"/>
  <c r="AY70" i="131"/>
  <c r="AY58" i="131"/>
  <c r="AY46" i="131"/>
  <c r="AY34" i="131"/>
  <c r="AY22" i="131"/>
  <c r="AY77" i="131"/>
  <c r="AY65" i="131"/>
  <c r="AY53" i="131"/>
  <c r="AY41" i="131"/>
  <c r="AY72" i="131"/>
  <c r="AY60" i="131"/>
  <c r="AY48" i="131"/>
  <c r="AY36" i="131"/>
  <c r="AY79" i="131"/>
  <c r="AY67" i="131"/>
  <c r="AY55" i="131"/>
  <c r="AY43" i="131"/>
  <c r="AY31" i="131"/>
  <c r="AA18" i="131"/>
  <c r="L4" i="131"/>
  <c r="AJ4" i="131"/>
  <c r="BH4" i="131"/>
  <c r="AG6" i="131"/>
  <c r="BE6" i="131"/>
  <c r="BG8" i="131"/>
  <c r="AM9" i="131"/>
  <c r="AU11" i="131"/>
  <c r="AA12" i="131"/>
  <c r="BC13" i="131"/>
  <c r="AI14" i="131"/>
  <c r="O15" i="131"/>
  <c r="BK15" i="131"/>
  <c r="AQ16" i="131"/>
  <c r="W17" i="131"/>
  <c r="BS17" i="131"/>
  <c r="AY18" i="131"/>
  <c r="AE19" i="131"/>
  <c r="BS20" i="131"/>
  <c r="BK21" i="131"/>
  <c r="BK22" i="131"/>
  <c r="BG23" i="131"/>
  <c r="AY24" i="131"/>
  <c r="BO25" i="131"/>
  <c r="AI28" i="131"/>
  <c r="AY29" i="131"/>
  <c r="AU31" i="131"/>
  <c r="AM36" i="131"/>
  <c r="S42" i="131"/>
  <c r="AY45" i="131"/>
  <c r="AI58" i="131"/>
  <c r="BS61" i="131"/>
  <c r="AI65" i="131"/>
  <c r="AA68" i="131"/>
  <c r="BK71" i="131"/>
  <c r="AY81" i="131"/>
  <c r="BW82" i="131"/>
  <c r="BW70" i="131"/>
  <c r="BW58" i="131"/>
  <c r="BW46" i="131"/>
  <c r="BW34" i="131"/>
  <c r="BW77" i="131"/>
  <c r="BW65" i="131"/>
  <c r="BW53" i="131"/>
  <c r="BW41" i="131"/>
  <c r="BW29" i="131"/>
  <c r="BW72" i="131"/>
  <c r="BW60" i="131"/>
  <c r="BW48" i="131"/>
  <c r="BW36" i="131"/>
  <c r="BW79" i="131"/>
  <c r="BW67" i="131"/>
  <c r="BW55" i="131"/>
  <c r="BW43" i="131"/>
  <c r="BW31" i="131"/>
  <c r="BW74" i="131"/>
  <c r="BW62" i="131"/>
  <c r="BW50" i="131"/>
  <c r="BW38" i="131"/>
  <c r="BW81" i="131"/>
  <c r="BW69" i="131"/>
  <c r="BW57" i="131"/>
  <c r="BW45" i="131"/>
  <c r="BW33" i="131"/>
  <c r="BW21" i="131"/>
  <c r="BW76" i="131"/>
  <c r="BW64" i="131"/>
  <c r="BW52" i="131"/>
  <c r="BW40" i="131"/>
  <c r="BW28" i="131"/>
  <c r="BW71" i="131"/>
  <c r="BW59" i="131"/>
  <c r="BW47" i="131"/>
  <c r="BW78" i="131"/>
  <c r="BW66" i="131"/>
  <c r="BW54" i="131"/>
  <c r="BW42" i="131"/>
  <c r="BW30" i="131"/>
  <c r="BW73" i="131"/>
  <c r="BW61" i="131"/>
  <c r="BW49" i="131"/>
  <c r="BW37" i="131"/>
  <c r="AA22" i="131"/>
  <c r="AA63" i="131"/>
  <c r="BT4" i="131"/>
  <c r="S80" i="131"/>
  <c r="S68" i="131"/>
  <c r="S56" i="131"/>
  <c r="S44" i="131"/>
  <c r="S32" i="131"/>
  <c r="S75" i="131"/>
  <c r="S63" i="131"/>
  <c r="S51" i="131"/>
  <c r="S39" i="131"/>
  <c r="S27" i="131"/>
  <c r="S82" i="131"/>
  <c r="S70" i="131"/>
  <c r="S58" i="131"/>
  <c r="S46" i="131"/>
  <c r="S34" i="131"/>
  <c r="S77" i="131"/>
  <c r="S65" i="131"/>
  <c r="S53" i="131"/>
  <c r="S41" i="131"/>
  <c r="S29" i="131"/>
  <c r="S72" i="131"/>
  <c r="S60" i="131"/>
  <c r="S48" i="131"/>
  <c r="S36" i="131"/>
  <c r="S79" i="131"/>
  <c r="S67" i="131"/>
  <c r="S55" i="131"/>
  <c r="S43" i="131"/>
  <c r="S31" i="131"/>
  <c r="S74" i="131"/>
  <c r="S62" i="131"/>
  <c r="S50" i="131"/>
  <c r="S38" i="131"/>
  <c r="S26" i="131"/>
  <c r="S81" i="131"/>
  <c r="S69" i="131"/>
  <c r="S57" i="131"/>
  <c r="S45" i="131"/>
  <c r="S76" i="131"/>
  <c r="S64" i="131"/>
  <c r="S52" i="131"/>
  <c r="S40" i="131"/>
  <c r="S28" i="131"/>
  <c r="S71" i="131"/>
  <c r="S59" i="131"/>
  <c r="S47" i="131"/>
  <c r="S35" i="131"/>
  <c r="AQ74" i="131"/>
  <c r="AQ62" i="131"/>
  <c r="AQ50" i="131"/>
  <c r="AQ38" i="131"/>
  <c r="AQ26" i="131"/>
  <c r="AQ81" i="131"/>
  <c r="AQ69" i="131"/>
  <c r="AQ57" i="131"/>
  <c r="AQ45" i="131"/>
  <c r="AQ33" i="131"/>
  <c r="AQ21" i="131"/>
  <c r="AQ76" i="131"/>
  <c r="AQ64" i="131"/>
  <c r="AQ52" i="131"/>
  <c r="AQ40" i="131"/>
  <c r="AQ71" i="131"/>
  <c r="AQ59" i="131"/>
  <c r="AQ47" i="131"/>
  <c r="AQ35" i="131"/>
  <c r="AQ78" i="131"/>
  <c r="AQ66" i="131"/>
  <c r="AQ54" i="131"/>
  <c r="AQ42" i="131"/>
  <c r="AQ73" i="131"/>
  <c r="AQ61" i="131"/>
  <c r="AQ49" i="131"/>
  <c r="AQ37" i="131"/>
  <c r="AQ25" i="131"/>
  <c r="AQ80" i="131"/>
  <c r="AQ68" i="131"/>
  <c r="AQ56" i="131"/>
  <c r="AQ44" i="131"/>
  <c r="AQ32" i="131"/>
  <c r="AQ20" i="131"/>
  <c r="AQ75" i="131"/>
  <c r="AQ63" i="131"/>
  <c r="AQ51" i="131"/>
  <c r="AQ39" i="131"/>
  <c r="AQ82" i="131"/>
  <c r="AQ70" i="131"/>
  <c r="AQ58" i="131"/>
  <c r="AQ46" i="131"/>
  <c r="AQ34" i="131"/>
  <c r="AQ77" i="131"/>
  <c r="AQ65" i="131"/>
  <c r="AQ53" i="131"/>
  <c r="AQ41" i="131"/>
  <c r="BO80" i="131"/>
  <c r="BO68" i="131"/>
  <c r="BO56" i="131"/>
  <c r="BO44" i="131"/>
  <c r="BO32" i="131"/>
  <c r="BO75" i="131"/>
  <c r="BO63" i="131"/>
  <c r="BO51" i="131"/>
  <c r="BO39" i="131"/>
  <c r="BO27" i="131"/>
  <c r="BO82" i="131"/>
  <c r="BO70" i="131"/>
  <c r="BO58" i="131"/>
  <c r="BO46" i="131"/>
  <c r="BO34" i="131"/>
  <c r="BO77" i="131"/>
  <c r="BO65" i="131"/>
  <c r="BO53" i="131"/>
  <c r="BO41" i="131"/>
  <c r="BO29" i="131"/>
  <c r="BO72" i="131"/>
  <c r="BO60" i="131"/>
  <c r="BO48" i="131"/>
  <c r="BO36" i="131"/>
  <c r="BO79" i="131"/>
  <c r="BO67" i="131"/>
  <c r="BO55" i="131"/>
  <c r="BO43" i="131"/>
  <c r="BO31" i="131"/>
  <c r="BO74" i="131"/>
  <c r="BO62" i="131"/>
  <c r="BO50" i="131"/>
  <c r="BO38" i="131"/>
  <c r="BO26" i="131"/>
  <c r="BO81" i="131"/>
  <c r="BO69" i="131"/>
  <c r="BO57" i="131"/>
  <c r="BO45" i="131"/>
  <c r="BO76" i="131"/>
  <c r="BO64" i="131"/>
  <c r="BO52" i="131"/>
  <c r="BO40" i="131"/>
  <c r="BO28" i="131"/>
  <c r="BO71" i="131"/>
  <c r="BO59" i="131"/>
  <c r="BO47" i="131"/>
  <c r="BO35" i="131"/>
  <c r="X5" i="131"/>
  <c r="AA5" i="131" s="1"/>
  <c r="AV5" i="131"/>
  <c r="AY5" i="131" s="1"/>
  <c r="BT5" i="131"/>
  <c r="BW5" i="131" s="1"/>
  <c r="V6" i="131"/>
  <c r="W6" i="131" s="1"/>
  <c r="AH6" i="131"/>
  <c r="AI6" i="131" s="1"/>
  <c r="AT6" i="131"/>
  <c r="AU6" i="131" s="1"/>
  <c r="BF6" i="131"/>
  <c r="BG6" i="131" s="1"/>
  <c r="BR6" i="131"/>
  <c r="BS6" i="131" s="1"/>
  <c r="AI7" i="131"/>
  <c r="O8" i="131"/>
  <c r="BK8" i="131"/>
  <c r="AQ9" i="131"/>
  <c r="W10" i="131"/>
  <c r="BS10" i="131"/>
  <c r="AY11" i="131"/>
  <c r="AE12" i="131"/>
  <c r="BG13" i="131"/>
  <c r="AM14" i="131"/>
  <c r="S15" i="131"/>
  <c r="BO15" i="131"/>
  <c r="AU16" i="131"/>
  <c r="AA17" i="131"/>
  <c r="BW17" i="131"/>
  <c r="BC18" i="131"/>
  <c r="AI19" i="131"/>
  <c r="S20" i="131"/>
  <c r="BW20" i="131"/>
  <c r="BO21" i="131"/>
  <c r="BO22" i="131"/>
  <c r="BK23" i="131"/>
  <c r="BC24" i="131"/>
  <c r="BS25" i="131"/>
  <c r="O27" i="131"/>
  <c r="AQ28" i="131"/>
  <c r="BK29" i="131"/>
  <c r="BG31" i="131"/>
  <c r="AQ36" i="131"/>
  <c r="AA39" i="131"/>
  <c r="BK42" i="131"/>
  <c r="BC45" i="131"/>
  <c r="S49" i="131"/>
  <c r="BC52" i="131"/>
  <c r="AU55" i="131"/>
  <c r="AM65" i="131"/>
  <c r="BS68" i="131"/>
  <c r="AA75" i="131"/>
  <c r="BK78" i="131"/>
  <c r="BC81" i="131"/>
  <c r="AX6" i="131"/>
  <c r="AY6" i="131" s="1"/>
  <c r="AA26" i="131"/>
  <c r="P4" i="131"/>
  <c r="AN4" i="131"/>
  <c r="BL4" i="131"/>
  <c r="AM7" i="131"/>
  <c r="S8" i="131"/>
  <c r="BO8" i="131"/>
  <c r="AU9" i="131"/>
  <c r="AA10" i="131"/>
  <c r="BW10" i="131"/>
  <c r="BC11" i="131"/>
  <c r="AI12" i="131"/>
  <c r="O13" i="131"/>
  <c r="BK13" i="131"/>
  <c r="AQ14" i="131"/>
  <c r="W15" i="131"/>
  <c r="BS15" i="131"/>
  <c r="AY16" i="131"/>
  <c r="AE17" i="131"/>
  <c r="BG18" i="131"/>
  <c r="AM19" i="131"/>
  <c r="W20" i="131"/>
  <c r="BW22" i="131"/>
  <c r="BO23" i="131"/>
  <c r="BO24" i="131"/>
  <c r="BW25" i="131"/>
  <c r="AA27" i="131"/>
  <c r="BC28" i="131"/>
  <c r="AE34" i="131"/>
  <c r="BC36" i="131"/>
  <c r="AE39" i="131"/>
  <c r="BO42" i="131"/>
  <c r="BG52" i="131"/>
  <c r="O59" i="131"/>
  <c r="BW68" i="131"/>
  <c r="AM72" i="131"/>
  <c r="AE75" i="131"/>
  <c r="BO78" i="131"/>
  <c r="AY7" i="131"/>
  <c r="AV4" i="131"/>
  <c r="W75" i="131"/>
  <c r="W63" i="131"/>
  <c r="W51" i="131"/>
  <c r="W39" i="131"/>
  <c r="W27" i="131"/>
  <c r="W82" i="131"/>
  <c r="W70" i="131"/>
  <c r="W58" i="131"/>
  <c r="W46" i="131"/>
  <c r="W34" i="131"/>
  <c r="W22" i="131"/>
  <c r="W77" i="131"/>
  <c r="W65" i="131"/>
  <c r="W53" i="131"/>
  <c r="W41" i="131"/>
  <c r="W72" i="131"/>
  <c r="W60" i="131"/>
  <c r="W48" i="131"/>
  <c r="W36" i="131"/>
  <c r="W79" i="131"/>
  <c r="W67" i="131"/>
  <c r="W55" i="131"/>
  <c r="W43" i="131"/>
  <c r="W31" i="131"/>
  <c r="W74" i="131"/>
  <c r="W62" i="131"/>
  <c r="W50" i="131"/>
  <c r="W38" i="131"/>
  <c r="W26" i="131"/>
  <c r="W81" i="131"/>
  <c r="W69" i="131"/>
  <c r="W57" i="131"/>
  <c r="W45" i="131"/>
  <c r="W33" i="131"/>
  <c r="W21" i="131"/>
  <c r="W76" i="131"/>
  <c r="W64" i="131"/>
  <c r="W52" i="131"/>
  <c r="W40" i="131"/>
  <c r="W71" i="131"/>
  <c r="W59" i="131"/>
  <c r="W47" i="131"/>
  <c r="W35" i="131"/>
  <c r="W78" i="131"/>
  <c r="W66" i="131"/>
  <c r="W54" i="131"/>
  <c r="W42" i="131"/>
  <c r="W30" i="131"/>
  <c r="AU81" i="131"/>
  <c r="AU69" i="131"/>
  <c r="AU57" i="131"/>
  <c r="AU45" i="131"/>
  <c r="AU33" i="131"/>
  <c r="AU76" i="131"/>
  <c r="AU64" i="131"/>
  <c r="AU52" i="131"/>
  <c r="AU40" i="131"/>
  <c r="AU28" i="131"/>
  <c r="AU71" i="131"/>
  <c r="AU59" i="131"/>
  <c r="AU47" i="131"/>
  <c r="AU35" i="131"/>
  <c r="AU78" i="131"/>
  <c r="AU66" i="131"/>
  <c r="AU54" i="131"/>
  <c r="AU42" i="131"/>
  <c r="AU30" i="131"/>
  <c r="AU73" i="131"/>
  <c r="AU61" i="131"/>
  <c r="AU49" i="131"/>
  <c r="AU37" i="131"/>
  <c r="AU80" i="131"/>
  <c r="AU68" i="131"/>
  <c r="AU56" i="131"/>
  <c r="AU44" i="131"/>
  <c r="AU32" i="131"/>
  <c r="AU75" i="131"/>
  <c r="AU63" i="131"/>
  <c r="AU51" i="131"/>
  <c r="AU39" i="131"/>
  <c r="AU27" i="131"/>
  <c r="AU82" i="131"/>
  <c r="AU70" i="131"/>
  <c r="AU58" i="131"/>
  <c r="AU46" i="131"/>
  <c r="AU77" i="131"/>
  <c r="AU65" i="131"/>
  <c r="AU53" i="131"/>
  <c r="AU41" i="131"/>
  <c r="AU29" i="131"/>
  <c r="AU72" i="131"/>
  <c r="AU60" i="131"/>
  <c r="AU48" i="131"/>
  <c r="AU36" i="131"/>
  <c r="BS75" i="131"/>
  <c r="BS63" i="131"/>
  <c r="BS51" i="131"/>
  <c r="BS39" i="131"/>
  <c r="BS27" i="131"/>
  <c r="BS82" i="131"/>
  <c r="BS70" i="131"/>
  <c r="BS58" i="131"/>
  <c r="BS46" i="131"/>
  <c r="BS34" i="131"/>
  <c r="BS22" i="131"/>
  <c r="BS77" i="131"/>
  <c r="BS65" i="131"/>
  <c r="BS53" i="131"/>
  <c r="BS41" i="131"/>
  <c r="BS72" i="131"/>
  <c r="BS60" i="131"/>
  <c r="BS48" i="131"/>
  <c r="BS36" i="131"/>
  <c r="BS79" i="131"/>
  <c r="BS67" i="131"/>
  <c r="BS55" i="131"/>
  <c r="BS43" i="131"/>
  <c r="BS31" i="131"/>
  <c r="BS74" i="131"/>
  <c r="BS62" i="131"/>
  <c r="BS50" i="131"/>
  <c r="BS38" i="131"/>
  <c r="BS26" i="131"/>
  <c r="BS81" i="131"/>
  <c r="BS69" i="131"/>
  <c r="BS57" i="131"/>
  <c r="BS45" i="131"/>
  <c r="BS33" i="131"/>
  <c r="BS21" i="131"/>
  <c r="BS76" i="131"/>
  <c r="BS64" i="131"/>
  <c r="BS52" i="131"/>
  <c r="BS40" i="131"/>
  <c r="BS71" i="131"/>
  <c r="BS59" i="131"/>
  <c r="BS47" i="131"/>
  <c r="BS35" i="131"/>
  <c r="BS78" i="131"/>
  <c r="BS66" i="131"/>
  <c r="BS54" i="131"/>
  <c r="BS42" i="131"/>
  <c r="BS30" i="131"/>
  <c r="AB5" i="131"/>
  <c r="AE5" i="131" s="1"/>
  <c r="AZ5" i="131"/>
  <c r="BC5" i="131" s="1"/>
  <c r="L6" i="131"/>
  <c r="X6" i="131"/>
  <c r="AJ6" i="131"/>
  <c r="AV6" i="131"/>
  <c r="BH6" i="131"/>
  <c r="BT6" i="131"/>
  <c r="AQ7" i="131"/>
  <c r="W8" i="131"/>
  <c r="BS8" i="131"/>
  <c r="AY9" i="131"/>
  <c r="AE10" i="131"/>
  <c r="BG11" i="131"/>
  <c r="AM12" i="131"/>
  <c r="S13" i="131"/>
  <c r="BO13" i="131"/>
  <c r="AU14" i="131"/>
  <c r="AA15" i="131"/>
  <c r="BW15" i="131"/>
  <c r="BC16" i="131"/>
  <c r="AI17" i="131"/>
  <c r="O18" i="131"/>
  <c r="BK18" i="131"/>
  <c r="AQ19" i="131"/>
  <c r="AA20" i="131"/>
  <c r="O21" i="131"/>
  <c r="O22" i="131"/>
  <c r="BS23" i="131"/>
  <c r="BS24" i="131"/>
  <c r="AE27" i="131"/>
  <c r="BG28" i="131"/>
  <c r="W32" i="131"/>
  <c r="AI34" i="131"/>
  <c r="BW39" i="131"/>
  <c r="AE46" i="131"/>
  <c r="BO49" i="131"/>
  <c r="W56" i="131"/>
  <c r="BG59" i="131"/>
  <c r="AY62" i="131"/>
  <c r="O66" i="131"/>
  <c r="AQ72" i="131"/>
  <c r="BW75" i="131"/>
  <c r="AE82" i="131"/>
  <c r="BW13" i="131"/>
  <c r="T4" i="131"/>
  <c r="AR4" i="131"/>
  <c r="BP4" i="131"/>
  <c r="M6" i="131"/>
  <c r="Y6" i="131"/>
  <c r="AK6" i="131"/>
  <c r="AW6" i="131"/>
  <c r="BI6" i="131"/>
  <c r="BU6" i="131"/>
  <c r="AU7" i="131"/>
  <c r="AA8" i="131"/>
  <c r="BW8" i="131"/>
  <c r="BC9" i="131"/>
  <c r="AI10" i="131"/>
  <c r="O11" i="131"/>
  <c r="BK11" i="131"/>
  <c r="AQ12" i="131"/>
  <c r="W13" i="131"/>
  <c r="BS13" i="131"/>
  <c r="AY14" i="131"/>
  <c r="AE15" i="131"/>
  <c r="BG16" i="131"/>
  <c r="AM17" i="131"/>
  <c r="S18" i="131"/>
  <c r="BO18" i="131"/>
  <c r="AU19" i="131"/>
  <c r="AE20" i="131"/>
  <c r="S21" i="131"/>
  <c r="S22" i="131"/>
  <c r="O23" i="131"/>
  <c r="BW23" i="131"/>
  <c r="BW24" i="131"/>
  <c r="O26" i="131"/>
  <c r="AI27" i="131"/>
  <c r="BK28" i="131"/>
  <c r="O30" i="131"/>
  <c r="AA32" i="131"/>
  <c r="AU34" i="131"/>
  <c r="S37" i="131"/>
  <c r="AQ43" i="131"/>
  <c r="AI46" i="131"/>
  <c r="BS49" i="131"/>
  <c r="AI53" i="131"/>
  <c r="AA56" i="131"/>
  <c r="BK59" i="131"/>
  <c r="S66" i="131"/>
  <c r="AY69" i="131"/>
  <c r="AQ79" i="131"/>
  <c r="AI82" i="131"/>
  <c r="W75" i="130"/>
  <c r="W63" i="130"/>
  <c r="W51" i="130"/>
  <c r="W39" i="130"/>
  <c r="W82" i="130"/>
  <c r="W70" i="130"/>
  <c r="W77" i="130"/>
  <c r="W65" i="130"/>
  <c r="W72" i="130"/>
  <c r="W79" i="130"/>
  <c r="W67" i="130"/>
  <c r="W55" i="130"/>
  <c r="W43" i="130"/>
  <c r="W31" i="130"/>
  <c r="W74" i="130"/>
  <c r="W62" i="130"/>
  <c r="W50" i="130"/>
  <c r="W38" i="130"/>
  <c r="W81" i="130"/>
  <c r="W69" i="130"/>
  <c r="W57" i="130"/>
  <c r="W45" i="130"/>
  <c r="W76" i="130"/>
  <c r="W64" i="130"/>
  <c r="W71" i="130"/>
  <c r="W78" i="130"/>
  <c r="W66" i="130"/>
  <c r="W73" i="130"/>
  <c r="W61" i="130"/>
  <c r="W49" i="130"/>
  <c r="W37" i="130"/>
  <c r="W25" i="130"/>
  <c r="W48" i="130"/>
  <c r="W41" i="130"/>
  <c r="W10" i="130"/>
  <c r="V6" i="130"/>
  <c r="W6" i="130" s="1"/>
  <c r="W23" i="130"/>
  <c r="W17" i="130"/>
  <c r="W56" i="130"/>
  <c r="W42" i="130"/>
  <c r="W58" i="130"/>
  <c r="W30" i="130"/>
  <c r="W22" i="130"/>
  <c r="W14" i="130"/>
  <c r="W80" i="130"/>
  <c r="W44" i="130"/>
  <c r="W9" i="130"/>
  <c r="W59" i="130"/>
  <c r="W52" i="130"/>
  <c r="W29" i="130"/>
  <c r="W16" i="130"/>
  <c r="W36" i="130"/>
  <c r="W35" i="130"/>
  <c r="W60" i="130"/>
  <c r="W53" i="130"/>
  <c r="W46" i="130"/>
  <c r="W34" i="130"/>
  <c r="W28" i="130"/>
  <c r="W68" i="130"/>
  <c r="W54" i="130"/>
  <c r="W33" i="130"/>
  <c r="W32" i="130"/>
  <c r="W27" i="130"/>
  <c r="W20" i="130"/>
  <c r="W15" i="130"/>
  <c r="AU81" i="130"/>
  <c r="AU69" i="130"/>
  <c r="AU57" i="130"/>
  <c r="AU45" i="130"/>
  <c r="AU76" i="130"/>
  <c r="AU64" i="130"/>
  <c r="AU71" i="130"/>
  <c r="AU78" i="130"/>
  <c r="AU66" i="130"/>
  <c r="AU73" i="130"/>
  <c r="AU61" i="130"/>
  <c r="AU49" i="130"/>
  <c r="AU37" i="130"/>
  <c r="AU80" i="130"/>
  <c r="AU68" i="130"/>
  <c r="AU56" i="130"/>
  <c r="AU44" i="130"/>
  <c r="AU75" i="130"/>
  <c r="AU63" i="130"/>
  <c r="AU51" i="130"/>
  <c r="AU39" i="130"/>
  <c r="AU82" i="130"/>
  <c r="AU70" i="130"/>
  <c r="AU77" i="130"/>
  <c r="AU65" i="130"/>
  <c r="AU72" i="130"/>
  <c r="AU79" i="130"/>
  <c r="AU67" i="130"/>
  <c r="AU55" i="130"/>
  <c r="AU43" i="130"/>
  <c r="AU31" i="130"/>
  <c r="AU19" i="130"/>
  <c r="AU62" i="130"/>
  <c r="AU58" i="130"/>
  <c r="AU50" i="130"/>
  <c r="AU25" i="130"/>
  <c r="AU16" i="130"/>
  <c r="AT6" i="130"/>
  <c r="AU6" i="130" s="1"/>
  <c r="AU11" i="130"/>
  <c r="AU29" i="130"/>
  <c r="AU36" i="130"/>
  <c r="AU59" i="130"/>
  <c r="AU52" i="130"/>
  <c r="AU35" i="130"/>
  <c r="AU34" i="130"/>
  <c r="AU28" i="130"/>
  <c r="AU53" i="130"/>
  <c r="AU46" i="130"/>
  <c r="AU38" i="130"/>
  <c r="AU24" i="130"/>
  <c r="AU8" i="130"/>
  <c r="AU60" i="130"/>
  <c r="AU33" i="130"/>
  <c r="AU15" i="130"/>
  <c r="AU54" i="130"/>
  <c r="AU32" i="130"/>
  <c r="AU27" i="130"/>
  <c r="AU20" i="130"/>
  <c r="AU10" i="130"/>
  <c r="AU74" i="130"/>
  <c r="AU47" i="130"/>
  <c r="AU40" i="130"/>
  <c r="AU48" i="130"/>
  <c r="AU41" i="130"/>
  <c r="AU26" i="130"/>
  <c r="AU30" i="130"/>
  <c r="AU22" i="130"/>
  <c r="AU9" i="130"/>
  <c r="BS75" i="130"/>
  <c r="BS63" i="130"/>
  <c r="BS51" i="130"/>
  <c r="BS39" i="130"/>
  <c r="BS82" i="130"/>
  <c r="BS70" i="130"/>
  <c r="BS77" i="130"/>
  <c r="BS65" i="130"/>
  <c r="BS72" i="130"/>
  <c r="BS79" i="130"/>
  <c r="BS67" i="130"/>
  <c r="BS55" i="130"/>
  <c r="BS43" i="130"/>
  <c r="BS31" i="130"/>
  <c r="BS74" i="130"/>
  <c r="BS62" i="130"/>
  <c r="BS50" i="130"/>
  <c r="BS38" i="130"/>
  <c r="BS81" i="130"/>
  <c r="BS69" i="130"/>
  <c r="BS57" i="130"/>
  <c r="BS45" i="130"/>
  <c r="BS76" i="130"/>
  <c r="BS64" i="130"/>
  <c r="BS71" i="130"/>
  <c r="BS78" i="130"/>
  <c r="BS66" i="130"/>
  <c r="BS73" i="130"/>
  <c r="BS61" i="130"/>
  <c r="BS49" i="130"/>
  <c r="BS37" i="130"/>
  <c r="BS25" i="130"/>
  <c r="BS33" i="130"/>
  <c r="BS20" i="130"/>
  <c r="BS10" i="130"/>
  <c r="BR6" i="130"/>
  <c r="BS6" i="130" s="1"/>
  <c r="BS27" i="130"/>
  <c r="BS17" i="130"/>
  <c r="BQ6" i="130"/>
  <c r="BS53" i="130"/>
  <c r="BS46" i="130"/>
  <c r="BS32" i="130"/>
  <c r="BS60" i="130"/>
  <c r="BS54" i="130"/>
  <c r="BS47" i="130"/>
  <c r="BS40" i="130"/>
  <c r="BS26" i="130"/>
  <c r="BS80" i="130"/>
  <c r="BS19" i="130"/>
  <c r="BS14" i="130"/>
  <c r="BS48" i="130"/>
  <c r="BS41" i="130"/>
  <c r="BS22" i="130"/>
  <c r="BS9" i="130"/>
  <c r="BS56" i="130"/>
  <c r="BS42" i="130"/>
  <c r="BS30" i="130"/>
  <c r="BS16" i="130"/>
  <c r="BS68" i="130"/>
  <c r="BS29" i="130"/>
  <c r="BS58" i="130"/>
  <c r="BS59" i="130"/>
  <c r="BS52" i="130"/>
  <c r="BS36" i="130"/>
  <c r="BS34" i="130"/>
  <c r="BS15" i="130"/>
  <c r="L6" i="130"/>
  <c r="BH6" i="130"/>
  <c r="AY13" i="130"/>
  <c r="O17" i="130"/>
  <c r="BS35" i="130"/>
  <c r="T4" i="130"/>
  <c r="AR4" i="130"/>
  <c r="BP4" i="130"/>
  <c r="M6" i="130"/>
  <c r="AR6" i="130"/>
  <c r="BI6" i="130"/>
  <c r="AM11" i="130"/>
  <c r="AU12" i="130"/>
  <c r="O16" i="130"/>
  <c r="W18" i="130"/>
  <c r="BS21" i="130"/>
  <c r="AY24" i="130"/>
  <c r="W47" i="130"/>
  <c r="O63" i="130"/>
  <c r="AA82" i="130"/>
  <c r="AA70" i="130"/>
  <c r="AA58" i="130"/>
  <c r="AA46" i="130"/>
  <c r="AA77" i="130"/>
  <c r="AA65" i="130"/>
  <c r="AA72" i="130"/>
  <c r="AA79" i="130"/>
  <c r="AA67" i="130"/>
  <c r="AA74" i="130"/>
  <c r="AA62" i="130"/>
  <c r="AA50" i="130"/>
  <c r="AA38" i="130"/>
  <c r="AA81" i="130"/>
  <c r="AA69" i="130"/>
  <c r="AA57" i="130"/>
  <c r="AA45" i="130"/>
  <c r="AA33" i="130"/>
  <c r="AA76" i="130"/>
  <c r="AA64" i="130"/>
  <c r="AA52" i="130"/>
  <c r="AA40" i="130"/>
  <c r="AA71" i="130"/>
  <c r="AA78" i="130"/>
  <c r="AA66" i="130"/>
  <c r="AA73" i="130"/>
  <c r="AA80" i="130"/>
  <c r="AA68" i="130"/>
  <c r="AA56" i="130"/>
  <c r="AA44" i="130"/>
  <c r="AA32" i="130"/>
  <c r="AA20" i="130"/>
  <c r="AA42" i="130"/>
  <c r="AA23" i="130"/>
  <c r="AA17" i="130"/>
  <c r="X5" i="130"/>
  <c r="AA5" i="130" s="1"/>
  <c r="AA26" i="130"/>
  <c r="AA12" i="130"/>
  <c r="AA49" i="130"/>
  <c r="AA31" i="130"/>
  <c r="AA43" i="130"/>
  <c r="AA30" i="130"/>
  <c r="AA9" i="130"/>
  <c r="AA75" i="130"/>
  <c r="AA59" i="130"/>
  <c r="AA51" i="130"/>
  <c r="AA29" i="130"/>
  <c r="AA25" i="130"/>
  <c r="AA16" i="130"/>
  <c r="AA37" i="130"/>
  <c r="AA36" i="130"/>
  <c r="AA35" i="130"/>
  <c r="AA11" i="130"/>
  <c r="AA60" i="130"/>
  <c r="AA53" i="130"/>
  <c r="AA34" i="130"/>
  <c r="AA28" i="130"/>
  <c r="AA54" i="130"/>
  <c r="AA24" i="130"/>
  <c r="AA63" i="130"/>
  <c r="AA47" i="130"/>
  <c r="AA39" i="130"/>
  <c r="AA55" i="130"/>
  <c r="AA48" i="130"/>
  <c r="AA41" i="130"/>
  <c r="AA10" i="130"/>
  <c r="BW82" i="130"/>
  <c r="BW70" i="130"/>
  <c r="BW58" i="130"/>
  <c r="BW46" i="130"/>
  <c r="BW77" i="130"/>
  <c r="BW65" i="130"/>
  <c r="BW72" i="130"/>
  <c r="BW79" i="130"/>
  <c r="BW67" i="130"/>
  <c r="BW74" i="130"/>
  <c r="BW62" i="130"/>
  <c r="BW50" i="130"/>
  <c r="BW38" i="130"/>
  <c r="BW26" i="130"/>
  <c r="BW81" i="130"/>
  <c r="BW69" i="130"/>
  <c r="BW57" i="130"/>
  <c r="BW45" i="130"/>
  <c r="BW33" i="130"/>
  <c r="BW76" i="130"/>
  <c r="BW64" i="130"/>
  <c r="BW52" i="130"/>
  <c r="BW40" i="130"/>
  <c r="BW71" i="130"/>
  <c r="BW78" i="130"/>
  <c r="BW66" i="130"/>
  <c r="BW73" i="130"/>
  <c r="BW80" i="130"/>
  <c r="BW68" i="130"/>
  <c r="BW56" i="130"/>
  <c r="BW44" i="130"/>
  <c r="BW32" i="130"/>
  <c r="BW20" i="130"/>
  <c r="BW53" i="130"/>
  <c r="BW27" i="130"/>
  <c r="BW17" i="130"/>
  <c r="BT5" i="130"/>
  <c r="BW5" i="130" s="1"/>
  <c r="BW23" i="130"/>
  <c r="BW12" i="130"/>
  <c r="BW60" i="130"/>
  <c r="BW54" i="130"/>
  <c r="BW47" i="130"/>
  <c r="BW39" i="130"/>
  <c r="BW31" i="130"/>
  <c r="BW75" i="130"/>
  <c r="BW61" i="130"/>
  <c r="BW55" i="130"/>
  <c r="BW48" i="130"/>
  <c r="BW41" i="130"/>
  <c r="BW22" i="130"/>
  <c r="BW9" i="130"/>
  <c r="BW42" i="130"/>
  <c r="BW30" i="130"/>
  <c r="BW16" i="130"/>
  <c r="BW49" i="130"/>
  <c r="BW25" i="130"/>
  <c r="BW11" i="130"/>
  <c r="BW29" i="130"/>
  <c r="BW63" i="130"/>
  <c r="BW43" i="130"/>
  <c r="BW35" i="130"/>
  <c r="BW10" i="130"/>
  <c r="O9" i="130"/>
  <c r="AM10" i="130"/>
  <c r="AY12" i="130"/>
  <c r="AA18" i="130"/>
  <c r="BW21" i="130"/>
  <c r="BW36" i="130"/>
  <c r="W40" i="130"/>
  <c r="AA7" i="130"/>
  <c r="AA8" i="130"/>
  <c r="BW14" i="130"/>
  <c r="AY19" i="130"/>
  <c r="BK20" i="130"/>
  <c r="AM23" i="130"/>
  <c r="O28" i="130"/>
  <c r="AY30" i="130"/>
  <c r="BW51" i="130"/>
  <c r="BS12" i="130"/>
  <c r="BW13" i="130"/>
  <c r="AU18" i="130"/>
  <c r="BS44" i="130"/>
  <c r="AY9" i="130"/>
  <c r="BK11" i="130"/>
  <c r="AA15" i="130"/>
  <c r="AM16" i="130"/>
  <c r="BK18" i="130"/>
  <c r="AA22" i="130"/>
  <c r="AU23" i="130"/>
  <c r="BW24" i="130"/>
  <c r="AM26" i="130"/>
  <c r="AM56" i="130"/>
  <c r="BW59" i="130"/>
  <c r="AU17" i="130"/>
  <c r="BS28" i="130"/>
  <c r="O34" i="130"/>
  <c r="BW37" i="130"/>
  <c r="AY76" i="130"/>
  <c r="AY64" i="130"/>
  <c r="AY52" i="130"/>
  <c r="AY40" i="130"/>
  <c r="AY71" i="130"/>
  <c r="AY78" i="130"/>
  <c r="AY66" i="130"/>
  <c r="AY73" i="130"/>
  <c r="AY80" i="130"/>
  <c r="AY68" i="130"/>
  <c r="AY56" i="130"/>
  <c r="AY44" i="130"/>
  <c r="AY32" i="130"/>
  <c r="AY75" i="130"/>
  <c r="AY63" i="130"/>
  <c r="AY51" i="130"/>
  <c r="AY39" i="130"/>
  <c r="AY82" i="130"/>
  <c r="AY70" i="130"/>
  <c r="AY58" i="130"/>
  <c r="AY46" i="130"/>
  <c r="AY77" i="130"/>
  <c r="AY65" i="130"/>
  <c r="AY72" i="130"/>
  <c r="AY79" i="130"/>
  <c r="AY67" i="130"/>
  <c r="AY74" i="130"/>
  <c r="AY62" i="130"/>
  <c r="AY50" i="130"/>
  <c r="AY38" i="130"/>
  <c r="AY26" i="130"/>
  <c r="AY29" i="130"/>
  <c r="AY11" i="130"/>
  <c r="AV5" i="130"/>
  <c r="AY5" i="130" s="1"/>
  <c r="AY21" i="130"/>
  <c r="AY18" i="130"/>
  <c r="AY36" i="130"/>
  <c r="AY81" i="130"/>
  <c r="AY59" i="130"/>
  <c r="AY35" i="130"/>
  <c r="AY34" i="130"/>
  <c r="AY28" i="130"/>
  <c r="AY53" i="130"/>
  <c r="AY45" i="130"/>
  <c r="AY37" i="130"/>
  <c r="AY60" i="130"/>
  <c r="AY33" i="130"/>
  <c r="AY15" i="130"/>
  <c r="AY54" i="130"/>
  <c r="AY27" i="130"/>
  <c r="AY20" i="130"/>
  <c r="AY10" i="130"/>
  <c r="AY69" i="130"/>
  <c r="AY47" i="130"/>
  <c r="AY23" i="130"/>
  <c r="AY17" i="130"/>
  <c r="AY41" i="130"/>
  <c r="AY61" i="130"/>
  <c r="AY55" i="130"/>
  <c r="AY48" i="130"/>
  <c r="AY31" i="130"/>
  <c r="AY42" i="130"/>
  <c r="AY57" i="130"/>
  <c r="AY43" i="130"/>
  <c r="AY25" i="130"/>
  <c r="AY16" i="130"/>
  <c r="N6" i="130"/>
  <c r="O6" i="130" s="1"/>
  <c r="X4" i="130"/>
  <c r="AV4" i="130"/>
  <c r="BT4" i="130"/>
  <c r="AW6" i="130"/>
  <c r="AM17" i="130"/>
  <c r="W26" i="130"/>
  <c r="AX6" i="130"/>
  <c r="AY6" i="130" s="1"/>
  <c r="T5" i="130"/>
  <c r="W5" i="130" s="1"/>
  <c r="AJ6" i="130"/>
  <c r="AU7" i="130"/>
  <c r="O21" i="130"/>
  <c r="T6" i="130"/>
  <c r="AK6" i="130"/>
  <c r="BP6" i="130"/>
  <c r="AY7" i="130"/>
  <c r="AY8" i="130"/>
  <c r="BS11" i="130"/>
  <c r="W13" i="130"/>
  <c r="AA14" i="130"/>
  <c r="BS18" i="130"/>
  <c r="BW19" i="130"/>
  <c r="AY22" i="130"/>
  <c r="BW28" i="130"/>
  <c r="AY49" i="130"/>
  <c r="O73" i="130"/>
  <c r="O61" i="130"/>
  <c r="O49" i="130"/>
  <c r="O80" i="130"/>
  <c r="O68" i="130"/>
  <c r="O75" i="130"/>
  <c r="O82" i="130"/>
  <c r="O70" i="130"/>
  <c r="O77" i="130"/>
  <c r="O65" i="130"/>
  <c r="O53" i="130"/>
  <c r="O41" i="130"/>
  <c r="O29" i="130"/>
  <c r="O72" i="130"/>
  <c r="O60" i="130"/>
  <c r="O48" i="130"/>
  <c r="O36" i="130"/>
  <c r="O79" i="130"/>
  <c r="O67" i="130"/>
  <c r="O55" i="130"/>
  <c r="O43" i="130"/>
  <c r="O74" i="130"/>
  <c r="O62" i="130"/>
  <c r="O81" i="130"/>
  <c r="O69" i="130"/>
  <c r="O76" i="130"/>
  <c r="O64" i="130"/>
  <c r="O71" i="130"/>
  <c r="O59" i="130"/>
  <c r="O47" i="130"/>
  <c r="O35" i="130"/>
  <c r="O23" i="130"/>
  <c r="O40" i="130"/>
  <c r="O8" i="130"/>
  <c r="O32" i="130"/>
  <c r="O27" i="130"/>
  <c r="O15" i="130"/>
  <c r="O20" i="130"/>
  <c r="O66" i="130"/>
  <c r="O56" i="130"/>
  <c r="O42" i="130"/>
  <c r="O31" i="130"/>
  <c r="O57" i="130"/>
  <c r="O50" i="130"/>
  <c r="O26" i="130"/>
  <c r="O12" i="130"/>
  <c r="O30" i="130"/>
  <c r="O19" i="130"/>
  <c r="O7" i="130"/>
  <c r="O58" i="130"/>
  <c r="O44" i="130"/>
  <c r="O22" i="130"/>
  <c r="O14" i="130"/>
  <c r="L5" i="130"/>
  <c r="O5" i="130" s="1"/>
  <c r="O51" i="130"/>
  <c r="O25" i="130"/>
  <c r="O52" i="130"/>
  <c r="O45" i="130"/>
  <c r="O38" i="130"/>
  <c r="O37" i="130"/>
  <c r="O39" i="130"/>
  <c r="O33" i="130"/>
  <c r="O24" i="130"/>
  <c r="O13" i="130"/>
  <c r="AM79" i="130"/>
  <c r="AM67" i="130"/>
  <c r="AM55" i="130"/>
  <c r="AM43" i="130"/>
  <c r="AM74" i="130"/>
  <c r="AM62" i="130"/>
  <c r="AM81" i="130"/>
  <c r="AM69" i="130"/>
  <c r="AM76" i="130"/>
  <c r="AM64" i="130"/>
  <c r="AM71" i="130"/>
  <c r="AM59" i="130"/>
  <c r="AM47" i="130"/>
  <c r="AM35" i="130"/>
  <c r="AM78" i="130"/>
  <c r="AM66" i="130"/>
  <c r="AM54" i="130"/>
  <c r="AM42" i="130"/>
  <c r="AM73" i="130"/>
  <c r="AM61" i="130"/>
  <c r="AM49" i="130"/>
  <c r="AM37" i="130"/>
  <c r="AM80" i="130"/>
  <c r="AM68" i="130"/>
  <c r="AM75" i="130"/>
  <c r="AM63" i="130"/>
  <c r="AM82" i="130"/>
  <c r="AM70" i="130"/>
  <c r="AM77" i="130"/>
  <c r="AM65" i="130"/>
  <c r="AM53" i="130"/>
  <c r="AM41" i="130"/>
  <c r="AM29" i="130"/>
  <c r="AM72" i="130"/>
  <c r="AM30" i="130"/>
  <c r="AM14" i="130"/>
  <c r="AM22" i="130"/>
  <c r="AM9" i="130"/>
  <c r="AM57" i="130"/>
  <c r="AM50" i="130"/>
  <c r="AM58" i="130"/>
  <c r="AM44" i="130"/>
  <c r="AM51" i="130"/>
  <c r="AM36" i="130"/>
  <c r="AM21" i="130"/>
  <c r="AM18" i="130"/>
  <c r="AM52" i="130"/>
  <c r="AM45" i="130"/>
  <c r="AM38" i="130"/>
  <c r="AM34" i="130"/>
  <c r="AM28" i="130"/>
  <c r="AM24" i="130"/>
  <c r="AM13" i="130"/>
  <c r="AM60" i="130"/>
  <c r="AM46" i="130"/>
  <c r="AM8" i="130"/>
  <c r="AJ5" i="130"/>
  <c r="AM5" i="130" s="1"/>
  <c r="AM39" i="130"/>
  <c r="AM33" i="130"/>
  <c r="AM32" i="130"/>
  <c r="AM27" i="130"/>
  <c r="AM48" i="130"/>
  <c r="AM40" i="130"/>
  <c r="AM19" i="130"/>
  <c r="AM7" i="130"/>
  <c r="BK73" i="130"/>
  <c r="BK61" i="130"/>
  <c r="BK49" i="130"/>
  <c r="BK80" i="130"/>
  <c r="BK68" i="130"/>
  <c r="BK75" i="130"/>
  <c r="BK63" i="130"/>
  <c r="BK82" i="130"/>
  <c r="BK70" i="130"/>
  <c r="BK77" i="130"/>
  <c r="BK65" i="130"/>
  <c r="BK53" i="130"/>
  <c r="BK41" i="130"/>
  <c r="BK29" i="130"/>
  <c r="BK72" i="130"/>
  <c r="BK60" i="130"/>
  <c r="BK48" i="130"/>
  <c r="BK36" i="130"/>
  <c r="BK79" i="130"/>
  <c r="BK67" i="130"/>
  <c r="BK55" i="130"/>
  <c r="BK43" i="130"/>
  <c r="BK74" i="130"/>
  <c r="BK62" i="130"/>
  <c r="BK81" i="130"/>
  <c r="BK69" i="130"/>
  <c r="BK76" i="130"/>
  <c r="BK64" i="130"/>
  <c r="BK71" i="130"/>
  <c r="BK59" i="130"/>
  <c r="BK47" i="130"/>
  <c r="BK35" i="130"/>
  <c r="BK23" i="130"/>
  <c r="BK51" i="130"/>
  <c r="BK37" i="130"/>
  <c r="BK28" i="130"/>
  <c r="BK24" i="130"/>
  <c r="BK8" i="130"/>
  <c r="BK66" i="130"/>
  <c r="BK52" i="130"/>
  <c r="BK45" i="130"/>
  <c r="BK38" i="130"/>
  <c r="BK34" i="130"/>
  <c r="BK15" i="130"/>
  <c r="BK33" i="130"/>
  <c r="BK54" i="130"/>
  <c r="BK46" i="130"/>
  <c r="BK32" i="130"/>
  <c r="BK27" i="130"/>
  <c r="BK39" i="130"/>
  <c r="BK12" i="130"/>
  <c r="BK40" i="130"/>
  <c r="BK31" i="130"/>
  <c r="BK26" i="130"/>
  <c r="BK7" i="130"/>
  <c r="BK19" i="130"/>
  <c r="BK14" i="130"/>
  <c r="BH5" i="130"/>
  <c r="BK5" i="130" s="1"/>
  <c r="BK30" i="130"/>
  <c r="BK56" i="130"/>
  <c r="BK42" i="130"/>
  <c r="BK25" i="130"/>
  <c r="BK78" i="130"/>
  <c r="BK57" i="130"/>
  <c r="BK50" i="130"/>
  <c r="BK58" i="130"/>
  <c r="BK44" i="130"/>
  <c r="BK21" i="130"/>
  <c r="BK13" i="130"/>
  <c r="AL6" i="130"/>
  <c r="AM6" i="130" s="1"/>
  <c r="BT6" i="130"/>
  <c r="BK9" i="130"/>
  <c r="AA13" i="130"/>
  <c r="AM15" i="130"/>
  <c r="BK17" i="130"/>
  <c r="BW18" i="130"/>
  <c r="W21" i="130"/>
  <c r="BS23" i="130"/>
  <c r="BW34" i="130"/>
  <c r="O46" i="130"/>
  <c r="X6" i="130"/>
  <c r="BU6" i="130"/>
  <c r="O11" i="130"/>
  <c r="BK16" i="130"/>
  <c r="AA21" i="130"/>
  <c r="AM25" i="130"/>
  <c r="AU42" i="130"/>
  <c r="AA61" i="130"/>
  <c r="Y6" i="130"/>
  <c r="BV6" i="130"/>
  <c r="BW6" i="130" s="1"/>
  <c r="O10" i="130"/>
  <c r="BK22" i="130"/>
  <c r="AA27" i="130"/>
  <c r="Z6" i="130"/>
  <c r="AA6" i="130" s="1"/>
  <c r="BW7" i="130"/>
  <c r="BS8" i="130"/>
  <c r="W11" i="130"/>
  <c r="AM12" i="130"/>
  <c r="AU13" i="130"/>
  <c r="AY14" i="130"/>
  <c r="BW15" i="130"/>
  <c r="O18" i="130"/>
  <c r="W19" i="130"/>
  <c r="AM20" i="130"/>
  <c r="AU21" i="130"/>
  <c r="W24" i="130"/>
  <c r="O54" i="130"/>
  <c r="AI12" i="130"/>
  <c r="BG18" i="130"/>
  <c r="AI26" i="130"/>
  <c r="BO28" i="130"/>
  <c r="BC29" i="130"/>
  <c r="AI31" i="130"/>
  <c r="BO35" i="130"/>
  <c r="BO37" i="130"/>
  <c r="S40" i="130"/>
  <c r="S47" i="130"/>
  <c r="AI49" i="130"/>
  <c r="BO51" i="130"/>
  <c r="AI56" i="130"/>
  <c r="S61" i="130"/>
  <c r="AQ67" i="130"/>
  <c r="AI32" i="130"/>
  <c r="BG43" i="130"/>
  <c r="AI55" i="130"/>
  <c r="BG30" i="130"/>
  <c r="AI33" i="130"/>
  <c r="AI39" i="130"/>
  <c r="BG49" i="130"/>
  <c r="BG56" i="130"/>
  <c r="AI61" i="130"/>
  <c r="AQ79" i="130"/>
  <c r="AE77" i="130"/>
  <c r="AE65" i="130"/>
  <c r="AE53" i="130"/>
  <c r="AE41" i="130"/>
  <c r="AE72" i="130"/>
  <c r="AE60" i="130"/>
  <c r="AE79" i="130"/>
  <c r="AE67" i="130"/>
  <c r="AE74" i="130"/>
  <c r="AE81" i="130"/>
  <c r="AE69" i="130"/>
  <c r="AE57" i="130"/>
  <c r="AE45" i="130"/>
  <c r="AE33" i="130"/>
  <c r="AE76" i="130"/>
  <c r="AE64" i="130"/>
  <c r="AE52" i="130"/>
  <c r="AE40" i="130"/>
  <c r="AE71" i="130"/>
  <c r="AE59" i="130"/>
  <c r="AE47" i="130"/>
  <c r="AE78" i="130"/>
  <c r="AE66" i="130"/>
  <c r="AE73" i="130"/>
  <c r="AE80" i="130"/>
  <c r="AE68" i="130"/>
  <c r="AE75" i="130"/>
  <c r="AE63" i="130"/>
  <c r="AE51" i="130"/>
  <c r="AE39" i="130"/>
  <c r="AE27" i="130"/>
  <c r="BC71" i="130"/>
  <c r="BC59" i="130"/>
  <c r="BC47" i="130"/>
  <c r="BC78" i="130"/>
  <c r="BC66" i="130"/>
  <c r="BC73" i="130"/>
  <c r="BC80" i="130"/>
  <c r="BC68" i="130"/>
  <c r="BC75" i="130"/>
  <c r="BC63" i="130"/>
  <c r="BC51" i="130"/>
  <c r="BC39" i="130"/>
  <c r="BC27" i="130"/>
  <c r="BC82" i="130"/>
  <c r="BC70" i="130"/>
  <c r="BC58" i="130"/>
  <c r="BC46" i="130"/>
  <c r="BC34" i="130"/>
  <c r="BC77" i="130"/>
  <c r="BC65" i="130"/>
  <c r="BC53" i="130"/>
  <c r="BC41" i="130"/>
  <c r="BC72" i="130"/>
  <c r="BC79" i="130"/>
  <c r="BC67" i="130"/>
  <c r="BC74" i="130"/>
  <c r="BC62" i="130"/>
  <c r="BC81" i="130"/>
  <c r="BC69" i="130"/>
  <c r="BC57" i="130"/>
  <c r="BC45" i="130"/>
  <c r="BC33" i="130"/>
  <c r="BC21" i="130"/>
  <c r="P6" i="130"/>
  <c r="AB6" i="130"/>
  <c r="AN6" i="130"/>
  <c r="AZ6" i="130"/>
  <c r="BL6" i="130"/>
  <c r="BG7" i="130"/>
  <c r="S9" i="130"/>
  <c r="BO9" i="130"/>
  <c r="BC12" i="130"/>
  <c r="AI13" i="130"/>
  <c r="AQ15" i="130"/>
  <c r="AE18" i="130"/>
  <c r="AE21" i="130"/>
  <c r="BO22" i="130"/>
  <c r="AI24" i="130"/>
  <c r="S25" i="130"/>
  <c r="BG26" i="130"/>
  <c r="AE28" i="130"/>
  <c r="BG31" i="130"/>
  <c r="AQ33" i="130"/>
  <c r="AE34" i="130"/>
  <c r="AI38" i="130"/>
  <c r="AQ39" i="130"/>
  <c r="BC40" i="130"/>
  <c r="BO41" i="130"/>
  <c r="AI45" i="130"/>
  <c r="BC48" i="130"/>
  <c r="S51" i="130"/>
  <c r="AI53" i="130"/>
  <c r="BC55" i="130"/>
  <c r="BC61" i="130"/>
  <c r="BC64" i="130"/>
  <c r="BG12" i="130"/>
  <c r="AI18" i="130"/>
  <c r="BC32" i="130"/>
  <c r="AE35" i="130"/>
  <c r="AE36" i="130"/>
  <c r="AE37" i="130"/>
  <c r="BG39" i="130"/>
  <c r="AQ46" i="130"/>
  <c r="BG47" i="130"/>
  <c r="AQ53" i="130"/>
  <c r="BO61" i="130"/>
  <c r="AI72" i="130"/>
  <c r="AI60" i="130"/>
  <c r="AI48" i="130"/>
  <c r="AI79" i="130"/>
  <c r="AI67" i="130"/>
  <c r="AI74" i="130"/>
  <c r="AI81" i="130"/>
  <c r="AI69" i="130"/>
  <c r="AI76" i="130"/>
  <c r="AI64" i="130"/>
  <c r="AI52" i="130"/>
  <c r="AI40" i="130"/>
  <c r="AI28" i="130"/>
  <c r="AI71" i="130"/>
  <c r="AI59" i="130"/>
  <c r="AI47" i="130"/>
  <c r="AI35" i="130"/>
  <c r="AI78" i="130"/>
  <c r="AI66" i="130"/>
  <c r="AI54" i="130"/>
  <c r="AI42" i="130"/>
  <c r="AI73" i="130"/>
  <c r="AI80" i="130"/>
  <c r="AI68" i="130"/>
  <c r="AI75" i="130"/>
  <c r="AI63" i="130"/>
  <c r="AI82" i="130"/>
  <c r="AI70" i="130"/>
  <c r="AI58" i="130"/>
  <c r="AI46" i="130"/>
  <c r="AI34" i="130"/>
  <c r="AI22" i="130"/>
  <c r="BG78" i="130"/>
  <c r="BG66" i="130"/>
  <c r="BG54" i="130"/>
  <c r="BG42" i="130"/>
  <c r="BG73" i="130"/>
  <c r="BG61" i="130"/>
  <c r="BG80" i="130"/>
  <c r="BG68" i="130"/>
  <c r="BG75" i="130"/>
  <c r="BG63" i="130"/>
  <c r="BG82" i="130"/>
  <c r="BG70" i="130"/>
  <c r="BG58" i="130"/>
  <c r="BG46" i="130"/>
  <c r="BG34" i="130"/>
  <c r="BG77" i="130"/>
  <c r="BG65" i="130"/>
  <c r="BG53" i="130"/>
  <c r="BG41" i="130"/>
  <c r="BG72" i="130"/>
  <c r="BG60" i="130"/>
  <c r="BG48" i="130"/>
  <c r="BG36" i="130"/>
  <c r="BG79" i="130"/>
  <c r="BG67" i="130"/>
  <c r="BG74" i="130"/>
  <c r="BG62" i="130"/>
  <c r="BG81" i="130"/>
  <c r="BG69" i="130"/>
  <c r="BG76" i="130"/>
  <c r="BG64" i="130"/>
  <c r="BG52" i="130"/>
  <c r="BG40" i="130"/>
  <c r="BG28" i="130"/>
  <c r="AI11" i="130"/>
  <c r="BG17" i="130"/>
  <c r="BG23" i="130"/>
  <c r="BG27" i="130"/>
  <c r="AQ28" i="130"/>
  <c r="AE29" i="130"/>
  <c r="BO31" i="130"/>
  <c r="BG32" i="130"/>
  <c r="AQ34" i="130"/>
  <c r="AQ35" i="130"/>
  <c r="AI36" i="130"/>
  <c r="AI37" i="130"/>
  <c r="BO40" i="130"/>
  <c r="AE44" i="130"/>
  <c r="AQ45" i="130"/>
  <c r="AI51" i="130"/>
  <c r="AQ52" i="130"/>
  <c r="BC54" i="130"/>
  <c r="AI65" i="130"/>
  <c r="AE70" i="130"/>
  <c r="AI29" i="130"/>
  <c r="BG33" i="130"/>
  <c r="AI44" i="130"/>
  <c r="BG38" i="130"/>
  <c r="BG45" i="130"/>
  <c r="AI50" i="130"/>
  <c r="AI57" i="130"/>
  <c r="AE62" i="130"/>
  <c r="BG71" i="130"/>
  <c r="BC76" i="130"/>
  <c r="AI30" i="130"/>
  <c r="BG37" i="130"/>
  <c r="AI43" i="130"/>
  <c r="BG51" i="130"/>
  <c r="BG59" i="130"/>
  <c r="AI62" i="130"/>
  <c r="AI14" i="130"/>
  <c r="BG24" i="130"/>
  <c r="S80" i="130"/>
  <c r="S68" i="130"/>
  <c r="S56" i="130"/>
  <c r="S44" i="130"/>
  <c r="S75" i="130"/>
  <c r="S63" i="130"/>
  <c r="S82" i="130"/>
  <c r="S70" i="130"/>
  <c r="S77" i="130"/>
  <c r="S65" i="130"/>
  <c r="S72" i="130"/>
  <c r="S60" i="130"/>
  <c r="S48" i="130"/>
  <c r="S36" i="130"/>
  <c r="S79" i="130"/>
  <c r="S67" i="130"/>
  <c r="S55" i="130"/>
  <c r="S43" i="130"/>
  <c r="S74" i="130"/>
  <c r="S62" i="130"/>
  <c r="S50" i="130"/>
  <c r="S38" i="130"/>
  <c r="S81" i="130"/>
  <c r="S69" i="130"/>
  <c r="S76" i="130"/>
  <c r="S64" i="130"/>
  <c r="S71" i="130"/>
  <c r="S78" i="130"/>
  <c r="S66" i="130"/>
  <c r="S54" i="130"/>
  <c r="S42" i="130"/>
  <c r="S30" i="130"/>
  <c r="AQ74" i="130"/>
  <c r="AQ62" i="130"/>
  <c r="AQ50" i="130"/>
  <c r="AQ38" i="130"/>
  <c r="AQ81" i="130"/>
  <c r="AQ69" i="130"/>
  <c r="AQ76" i="130"/>
  <c r="AQ64" i="130"/>
  <c r="AQ71" i="130"/>
  <c r="AQ78" i="130"/>
  <c r="AQ66" i="130"/>
  <c r="AQ54" i="130"/>
  <c r="AQ42" i="130"/>
  <c r="AQ30" i="130"/>
  <c r="AQ73" i="130"/>
  <c r="AQ61" i="130"/>
  <c r="AQ49" i="130"/>
  <c r="AQ37" i="130"/>
  <c r="AQ80" i="130"/>
  <c r="AQ68" i="130"/>
  <c r="AQ56" i="130"/>
  <c r="AQ44" i="130"/>
  <c r="AQ75" i="130"/>
  <c r="AQ63" i="130"/>
  <c r="AQ82" i="130"/>
  <c r="AQ70" i="130"/>
  <c r="AQ77" i="130"/>
  <c r="AQ65" i="130"/>
  <c r="AQ72" i="130"/>
  <c r="AQ60" i="130"/>
  <c r="AQ48" i="130"/>
  <c r="AQ36" i="130"/>
  <c r="AQ24" i="130"/>
  <c r="BO80" i="130"/>
  <c r="BO68" i="130"/>
  <c r="BO56" i="130"/>
  <c r="BO44" i="130"/>
  <c r="BO75" i="130"/>
  <c r="BO63" i="130"/>
  <c r="BO82" i="130"/>
  <c r="BO70" i="130"/>
  <c r="BO77" i="130"/>
  <c r="BO65" i="130"/>
  <c r="BO72" i="130"/>
  <c r="BO60" i="130"/>
  <c r="BO48" i="130"/>
  <c r="BO36" i="130"/>
  <c r="BO79" i="130"/>
  <c r="BO67" i="130"/>
  <c r="BO55" i="130"/>
  <c r="BO43" i="130"/>
  <c r="BO74" i="130"/>
  <c r="BO62" i="130"/>
  <c r="BO50" i="130"/>
  <c r="BO38" i="130"/>
  <c r="BO81" i="130"/>
  <c r="BO69" i="130"/>
  <c r="BO76" i="130"/>
  <c r="BO64" i="130"/>
  <c r="BO71" i="130"/>
  <c r="BO78" i="130"/>
  <c r="BO66" i="130"/>
  <c r="BO54" i="130"/>
  <c r="BO42" i="130"/>
  <c r="BO30" i="130"/>
  <c r="AH6" i="130"/>
  <c r="AI6" i="130" s="1"/>
  <c r="BF6" i="130"/>
  <c r="BG6" i="130" s="1"/>
  <c r="AI7" i="130"/>
  <c r="AQ9" i="130"/>
  <c r="AE12" i="130"/>
  <c r="BG13" i="130"/>
  <c r="S15" i="130"/>
  <c r="BO15" i="130"/>
  <c r="BC18" i="130"/>
  <c r="AI19" i="130"/>
  <c r="S20" i="130"/>
  <c r="BG21" i="130"/>
  <c r="AQ22" i="130"/>
  <c r="AE26" i="130"/>
  <c r="S27" i="130"/>
  <c r="AE31" i="130"/>
  <c r="S32" i="130"/>
  <c r="BO34" i="130"/>
  <c r="BG35" i="130"/>
  <c r="BC36" i="130"/>
  <c r="AQ43" i="130"/>
  <c r="BG44" i="130"/>
  <c r="BO45" i="130"/>
  <c r="AE49" i="130"/>
  <c r="BO52" i="130"/>
  <c r="AE56" i="130"/>
  <c r="AQ57" i="130"/>
  <c r="BO59" i="130"/>
  <c r="AI77" i="130"/>
  <c r="AE82" i="130"/>
  <c r="AE79" i="129"/>
  <c r="AE67" i="129"/>
  <c r="AE55" i="129"/>
  <c r="AE43" i="129"/>
  <c r="AE31" i="129"/>
  <c r="AE19" i="129"/>
  <c r="AE76" i="129"/>
  <c r="AE64" i="129"/>
  <c r="AE52" i="129"/>
  <c r="AE40" i="129"/>
  <c r="AE80" i="129"/>
  <c r="AE68" i="129"/>
  <c r="AE56" i="129"/>
  <c r="AE44" i="129"/>
  <c r="AE32" i="129"/>
  <c r="AE78" i="129"/>
  <c r="AE77" i="129"/>
  <c r="AE65" i="129"/>
  <c r="AE30" i="129"/>
  <c r="AE10" i="129"/>
  <c r="AE75" i="129"/>
  <c r="AE74" i="129"/>
  <c r="AE62" i="129"/>
  <c r="AE73" i="129"/>
  <c r="AE61" i="129"/>
  <c r="AE72" i="129"/>
  <c r="AE71" i="129"/>
  <c r="AE82" i="129"/>
  <c r="AE81" i="129"/>
  <c r="AE69" i="129"/>
  <c r="AE57" i="129"/>
  <c r="AE45" i="129"/>
  <c r="AE27" i="129"/>
  <c r="AE16" i="129"/>
  <c r="AE41" i="129"/>
  <c r="AE28" i="129"/>
  <c r="AE25" i="129"/>
  <c r="AE15" i="129"/>
  <c r="AE59" i="129"/>
  <c r="AE53" i="129"/>
  <c r="AE42" i="129"/>
  <c r="AE20" i="129"/>
  <c r="AE11" i="129"/>
  <c r="AE8" i="129"/>
  <c r="AE54" i="129"/>
  <c r="AE14" i="129"/>
  <c r="AE46" i="129"/>
  <c r="AE18" i="129"/>
  <c r="AE7" i="129"/>
  <c r="AE47" i="129"/>
  <c r="AD6" i="129"/>
  <c r="AE6" i="129" s="1"/>
  <c r="AE60" i="129"/>
  <c r="AE17" i="129"/>
  <c r="AE13" i="129"/>
  <c r="AC6" i="129"/>
  <c r="AB4" i="129"/>
  <c r="AE66" i="129"/>
  <c r="AE63" i="129"/>
  <c r="AE48" i="129"/>
  <c r="AE50" i="129"/>
  <c r="AE49" i="129"/>
  <c r="AE58" i="129"/>
  <c r="AE51" i="129"/>
  <c r="AE12" i="129"/>
  <c r="AE9" i="129"/>
  <c r="AE70" i="129"/>
  <c r="AE38" i="129"/>
  <c r="AE37" i="129"/>
  <c r="AE35" i="129"/>
  <c r="AE29" i="129"/>
  <c r="AE24" i="129"/>
  <c r="AE23" i="129"/>
  <c r="AE22" i="129"/>
  <c r="AE39" i="129"/>
  <c r="AE34" i="129"/>
  <c r="AE33" i="129"/>
  <c r="AE21" i="129"/>
  <c r="AE36" i="129"/>
  <c r="AE26" i="129"/>
  <c r="BS7" i="129"/>
  <c r="AM9" i="129"/>
  <c r="BK75" i="129"/>
  <c r="BK63" i="129"/>
  <c r="BK51" i="129"/>
  <c r="BK39" i="129"/>
  <c r="BK27" i="129"/>
  <c r="BK72" i="129"/>
  <c r="BK60" i="129"/>
  <c r="BK48" i="129"/>
  <c r="BK76" i="129"/>
  <c r="BK64" i="129"/>
  <c r="BK52" i="129"/>
  <c r="BK40" i="129"/>
  <c r="BK28" i="129"/>
  <c r="BK71" i="129"/>
  <c r="BK82" i="129"/>
  <c r="BK70" i="129"/>
  <c r="BK58" i="129"/>
  <c r="BK81" i="129"/>
  <c r="BK69" i="129"/>
  <c r="BK57" i="129"/>
  <c r="BK45" i="129"/>
  <c r="BK37" i="129"/>
  <c r="BK32" i="129"/>
  <c r="BK18" i="129"/>
  <c r="BH6" i="129"/>
  <c r="BK80" i="129"/>
  <c r="BK68" i="129"/>
  <c r="BK56" i="129"/>
  <c r="BK79" i="129"/>
  <c r="BK67" i="129"/>
  <c r="BK78" i="129"/>
  <c r="BK77" i="129"/>
  <c r="BK34" i="129"/>
  <c r="BK24" i="129"/>
  <c r="BK47" i="129"/>
  <c r="BK17" i="129"/>
  <c r="BK74" i="129"/>
  <c r="BK66" i="129"/>
  <c r="BK12" i="129"/>
  <c r="BK9" i="129"/>
  <c r="BK50" i="129"/>
  <c r="BK49" i="129"/>
  <c r="BK16" i="129"/>
  <c r="BK36" i="129"/>
  <c r="BK35" i="129"/>
  <c r="BK33" i="129"/>
  <c r="BK29" i="129"/>
  <c r="BK23" i="129"/>
  <c r="BK22" i="129"/>
  <c r="BK21" i="129"/>
  <c r="BK15" i="129"/>
  <c r="BK8" i="129"/>
  <c r="BK38" i="129"/>
  <c r="BK31" i="129"/>
  <c r="BK30" i="129"/>
  <c r="BK26" i="129"/>
  <c r="BK25" i="129"/>
  <c r="BK11" i="129"/>
  <c r="BK73" i="129"/>
  <c r="BK41" i="129"/>
  <c r="BK20" i="129"/>
  <c r="BK14" i="129"/>
  <c r="BK61" i="129"/>
  <c r="BK53" i="129"/>
  <c r="BK42" i="129"/>
  <c r="BK19" i="129"/>
  <c r="BK54" i="129"/>
  <c r="BK44" i="129"/>
  <c r="BK43" i="129"/>
  <c r="BK7" i="129"/>
  <c r="BK65" i="129"/>
  <c r="BK62" i="129"/>
  <c r="BK55" i="129"/>
  <c r="BK13" i="129"/>
  <c r="BK10" i="129"/>
  <c r="BJ6" i="129"/>
  <c r="BK6" i="129" s="1"/>
  <c r="BK59" i="129"/>
  <c r="BK46" i="129"/>
  <c r="AB5" i="129"/>
  <c r="AE5" i="129" s="1"/>
  <c r="AJ6" i="129"/>
  <c r="W16" i="129"/>
  <c r="AM81" i="129"/>
  <c r="AM69" i="129"/>
  <c r="AM57" i="129"/>
  <c r="AM45" i="129"/>
  <c r="AM33" i="129"/>
  <c r="AM21" i="129"/>
  <c r="AM78" i="129"/>
  <c r="AM66" i="129"/>
  <c r="AM54" i="129"/>
  <c r="AM42" i="129"/>
  <c r="AM82" i="129"/>
  <c r="AM70" i="129"/>
  <c r="AM58" i="129"/>
  <c r="AM46" i="129"/>
  <c r="AM34" i="129"/>
  <c r="AM22" i="129"/>
  <c r="AM77" i="129"/>
  <c r="AM76" i="129"/>
  <c r="AM64" i="129"/>
  <c r="AM75" i="129"/>
  <c r="AM63" i="129"/>
  <c r="AM51" i="129"/>
  <c r="AM29" i="129"/>
  <c r="AM12" i="129"/>
  <c r="AM74" i="129"/>
  <c r="AM73" i="129"/>
  <c r="AM72" i="129"/>
  <c r="AM60" i="129"/>
  <c r="AM71" i="129"/>
  <c r="AM59" i="129"/>
  <c r="AM80" i="129"/>
  <c r="AM68" i="129"/>
  <c r="AM56" i="129"/>
  <c r="AM44" i="129"/>
  <c r="AM18" i="129"/>
  <c r="AM14" i="129"/>
  <c r="AM43" i="129"/>
  <c r="AM19" i="129"/>
  <c r="AM65" i="129"/>
  <c r="AM62" i="129"/>
  <c r="AM7" i="129"/>
  <c r="AM55" i="129"/>
  <c r="AM47" i="129"/>
  <c r="AM13" i="129"/>
  <c r="AM10" i="129"/>
  <c r="AM48" i="129"/>
  <c r="AM17" i="129"/>
  <c r="AM49" i="129"/>
  <c r="AM50" i="129"/>
  <c r="AM16" i="129"/>
  <c r="AM39" i="129"/>
  <c r="AM36" i="129"/>
  <c r="AM35" i="129"/>
  <c r="AM23" i="129"/>
  <c r="AL6" i="129"/>
  <c r="AM6" i="129" s="1"/>
  <c r="AM79" i="129"/>
  <c r="AM67" i="129"/>
  <c r="AM61" i="129"/>
  <c r="AM52" i="129"/>
  <c r="AM41" i="129"/>
  <c r="AM40" i="129"/>
  <c r="AM38" i="129"/>
  <c r="AM37" i="129"/>
  <c r="AM32" i="129"/>
  <c r="AM31" i="129"/>
  <c r="AM30" i="129"/>
  <c r="AM28" i="129"/>
  <c r="AM26" i="129"/>
  <c r="AM25" i="129"/>
  <c r="AM24" i="129"/>
  <c r="AM15" i="129"/>
  <c r="AK6" i="129"/>
  <c r="AM53" i="129"/>
  <c r="AM27" i="129"/>
  <c r="AJ5" i="129"/>
  <c r="AM5" i="129" s="1"/>
  <c r="AR5" i="129"/>
  <c r="AU5" i="129" s="1"/>
  <c r="O75" i="129"/>
  <c r="O63" i="129"/>
  <c r="O51" i="129"/>
  <c r="O39" i="129"/>
  <c r="O27" i="129"/>
  <c r="O72" i="129"/>
  <c r="O60" i="129"/>
  <c r="O48" i="129"/>
  <c r="O76" i="129"/>
  <c r="O64" i="129"/>
  <c r="O52" i="129"/>
  <c r="O40" i="129"/>
  <c r="O28" i="129"/>
  <c r="O81" i="129"/>
  <c r="O80" i="129"/>
  <c r="O68" i="129"/>
  <c r="O79" i="129"/>
  <c r="O67" i="129"/>
  <c r="O55" i="129"/>
  <c r="O43" i="129"/>
  <c r="O36" i="129"/>
  <c r="O26" i="129"/>
  <c r="O18" i="129"/>
  <c r="O78" i="129"/>
  <c r="O77" i="129"/>
  <c r="O65" i="129"/>
  <c r="O53" i="129"/>
  <c r="O74" i="129"/>
  <c r="O73" i="129"/>
  <c r="O61" i="129"/>
  <c r="O49" i="129"/>
  <c r="O23" i="129"/>
  <c r="O82" i="129"/>
  <c r="O70" i="129"/>
  <c r="O35" i="129"/>
  <c r="O34" i="129"/>
  <c r="O33" i="129"/>
  <c r="O22" i="129"/>
  <c r="O16" i="129"/>
  <c r="O12" i="129"/>
  <c r="O9" i="129"/>
  <c r="O41" i="129"/>
  <c r="O38" i="129"/>
  <c r="O37" i="129"/>
  <c r="O32" i="129"/>
  <c r="O31" i="129"/>
  <c r="O30" i="129"/>
  <c r="O29" i="129"/>
  <c r="O25" i="129"/>
  <c r="O24" i="129"/>
  <c r="O21" i="129"/>
  <c r="O59" i="129"/>
  <c r="O42" i="129"/>
  <c r="O15" i="129"/>
  <c r="O62" i="129"/>
  <c r="O54" i="129"/>
  <c r="O20" i="129"/>
  <c r="O8" i="129"/>
  <c r="O45" i="129"/>
  <c r="O44" i="129"/>
  <c r="O19" i="129"/>
  <c r="O11" i="129"/>
  <c r="O71" i="129"/>
  <c r="O46" i="129"/>
  <c r="O14" i="129"/>
  <c r="O47" i="129"/>
  <c r="O69" i="129"/>
  <c r="O66" i="129"/>
  <c r="O56" i="129"/>
  <c r="O57" i="129"/>
  <c r="O13" i="129"/>
  <c r="O10" i="129"/>
  <c r="N6" i="129"/>
  <c r="O6" i="129" s="1"/>
  <c r="O58" i="129"/>
  <c r="O17" i="129"/>
  <c r="M6" i="129"/>
  <c r="O50" i="129"/>
  <c r="BS77" i="129"/>
  <c r="BS65" i="129"/>
  <c r="BS53" i="129"/>
  <c r="BS41" i="129"/>
  <c r="BS29" i="129"/>
  <c r="BS74" i="129"/>
  <c r="BS62" i="129"/>
  <c r="BS50" i="129"/>
  <c r="BS78" i="129"/>
  <c r="BS66" i="129"/>
  <c r="BS54" i="129"/>
  <c r="BS42" i="129"/>
  <c r="BS30" i="129"/>
  <c r="BS82" i="129"/>
  <c r="BS81" i="129"/>
  <c r="BS70" i="129"/>
  <c r="BS69" i="129"/>
  <c r="BS80" i="129"/>
  <c r="BS68" i="129"/>
  <c r="BS56" i="129"/>
  <c r="BS44" i="129"/>
  <c r="BS36" i="129"/>
  <c r="BS26" i="129"/>
  <c r="BS8" i="129"/>
  <c r="BS79" i="129"/>
  <c r="BS67" i="129"/>
  <c r="BS55" i="129"/>
  <c r="BS76" i="129"/>
  <c r="BS75" i="129"/>
  <c r="BS63" i="129"/>
  <c r="BS51" i="129"/>
  <c r="BS39" i="129"/>
  <c r="BS19" i="129"/>
  <c r="BS14" i="129"/>
  <c r="BS48" i="129"/>
  <c r="BS12" i="129"/>
  <c r="BS9" i="129"/>
  <c r="BS57" i="129"/>
  <c r="BS49" i="129"/>
  <c r="BS16" i="129"/>
  <c r="BS60" i="129"/>
  <c r="BR6" i="129"/>
  <c r="BS6" i="129" s="1"/>
  <c r="BS71" i="129"/>
  <c r="BS33" i="129"/>
  <c r="BS15" i="129"/>
  <c r="BS38" i="129"/>
  <c r="BS37" i="129"/>
  <c r="BS35" i="129"/>
  <c r="BS34" i="129"/>
  <c r="BS32" i="129"/>
  <c r="BS31" i="129"/>
  <c r="BS25" i="129"/>
  <c r="BS24" i="129"/>
  <c r="BS23" i="129"/>
  <c r="BS22" i="129"/>
  <c r="BS21" i="129"/>
  <c r="BS11" i="129"/>
  <c r="BP6" i="129"/>
  <c r="BS73" i="129"/>
  <c r="BS52" i="129"/>
  <c r="BS40" i="129"/>
  <c r="BS28" i="129"/>
  <c r="BS27" i="129"/>
  <c r="BS20" i="129"/>
  <c r="BS61" i="129"/>
  <c r="BS58" i="129"/>
  <c r="BS64" i="129"/>
  <c r="BS45" i="129"/>
  <c r="BS43" i="129"/>
  <c r="BS18" i="129"/>
  <c r="BS13" i="129"/>
  <c r="BS72" i="129"/>
  <c r="BS59" i="129"/>
  <c r="BS46" i="129"/>
  <c r="BS17" i="129"/>
  <c r="BP4" i="129"/>
  <c r="BS47" i="129"/>
  <c r="O7" i="129"/>
  <c r="AM8" i="129"/>
  <c r="W10" i="129"/>
  <c r="L4" i="129"/>
  <c r="T6" i="129"/>
  <c r="AM20" i="129"/>
  <c r="AU71" i="129"/>
  <c r="AU59" i="129"/>
  <c r="AU47" i="129"/>
  <c r="AU35" i="129"/>
  <c r="AU23" i="129"/>
  <c r="AU80" i="129"/>
  <c r="AU68" i="129"/>
  <c r="AU56" i="129"/>
  <c r="AU44" i="129"/>
  <c r="AU72" i="129"/>
  <c r="AU60" i="129"/>
  <c r="AU48" i="129"/>
  <c r="AU36" i="129"/>
  <c r="AU24" i="129"/>
  <c r="AU76" i="129"/>
  <c r="AU75" i="129"/>
  <c r="AU74" i="129"/>
  <c r="AU62" i="129"/>
  <c r="AU73" i="129"/>
  <c r="AU61" i="129"/>
  <c r="AU49" i="129"/>
  <c r="AU33" i="129"/>
  <c r="AU19" i="129"/>
  <c r="AU14" i="129"/>
  <c r="AU82" i="129"/>
  <c r="AU70" i="129"/>
  <c r="AU58" i="129"/>
  <c r="AU81" i="129"/>
  <c r="AU69" i="129"/>
  <c r="AU79" i="129"/>
  <c r="AU67" i="129"/>
  <c r="AU55" i="129"/>
  <c r="AU43" i="129"/>
  <c r="AU31" i="129"/>
  <c r="AU78" i="129"/>
  <c r="AU45" i="129"/>
  <c r="AU65" i="129"/>
  <c r="AU46" i="129"/>
  <c r="AU18" i="129"/>
  <c r="AU7" i="129"/>
  <c r="AT6" i="129"/>
  <c r="AU6" i="129" s="1"/>
  <c r="AU13" i="129"/>
  <c r="AU10" i="129"/>
  <c r="AS6" i="129"/>
  <c r="AU17" i="129"/>
  <c r="AU77" i="129"/>
  <c r="AU66" i="129"/>
  <c r="AU57" i="129"/>
  <c r="AU9" i="129"/>
  <c r="AU63" i="129"/>
  <c r="AU50" i="129"/>
  <c r="AU16" i="129"/>
  <c r="AU12" i="129"/>
  <c r="AU51" i="129"/>
  <c r="AU39" i="129"/>
  <c r="AU38" i="129"/>
  <c r="AU37" i="129"/>
  <c r="AU34" i="129"/>
  <c r="AU32" i="129"/>
  <c r="AU30" i="129"/>
  <c r="AU25" i="129"/>
  <c r="AU22" i="129"/>
  <c r="AU21" i="129"/>
  <c r="AU15" i="129"/>
  <c r="AU52" i="129"/>
  <c r="AU41" i="129"/>
  <c r="AU40" i="129"/>
  <c r="AU29" i="129"/>
  <c r="AU28" i="129"/>
  <c r="AU27" i="129"/>
  <c r="AU26" i="129"/>
  <c r="AU20" i="129"/>
  <c r="AU11" i="129"/>
  <c r="AU8" i="129"/>
  <c r="AU64" i="129"/>
  <c r="AU54" i="129"/>
  <c r="AU53" i="129"/>
  <c r="AU42" i="129"/>
  <c r="AR4" i="129"/>
  <c r="W77" i="129"/>
  <c r="W65" i="129"/>
  <c r="W53" i="129"/>
  <c r="W41" i="129"/>
  <c r="W29" i="129"/>
  <c r="W74" i="129"/>
  <c r="W62" i="129"/>
  <c r="W50" i="129"/>
  <c r="W78" i="129"/>
  <c r="W66" i="129"/>
  <c r="W54" i="129"/>
  <c r="W42" i="129"/>
  <c r="W30" i="129"/>
  <c r="W80" i="129"/>
  <c r="W79" i="129"/>
  <c r="W67" i="129"/>
  <c r="W25" i="129"/>
  <c r="W8" i="129"/>
  <c r="W76" i="129"/>
  <c r="W64" i="129"/>
  <c r="W75" i="129"/>
  <c r="W63" i="129"/>
  <c r="W73" i="129"/>
  <c r="W71" i="129"/>
  <c r="W59" i="129"/>
  <c r="W47" i="129"/>
  <c r="W38" i="129"/>
  <c r="W28" i="129"/>
  <c r="W82" i="129"/>
  <c r="W72" i="129"/>
  <c r="W70" i="129"/>
  <c r="W52" i="129"/>
  <c r="W40" i="129"/>
  <c r="W39" i="129"/>
  <c r="W37" i="129"/>
  <c r="W36" i="129"/>
  <c r="W35" i="129"/>
  <c r="W34" i="129"/>
  <c r="W33" i="129"/>
  <c r="W32" i="129"/>
  <c r="W24" i="129"/>
  <c r="W22" i="129"/>
  <c r="W21" i="129"/>
  <c r="W31" i="129"/>
  <c r="W27" i="129"/>
  <c r="W26" i="129"/>
  <c r="W23" i="129"/>
  <c r="W15" i="129"/>
  <c r="V6" i="129"/>
  <c r="W6" i="129" s="1"/>
  <c r="W20" i="129"/>
  <c r="W81" i="129"/>
  <c r="W68" i="129"/>
  <c r="W45" i="129"/>
  <c r="W44" i="129"/>
  <c r="W11" i="129"/>
  <c r="W43" i="129"/>
  <c r="W19" i="129"/>
  <c r="W14" i="129"/>
  <c r="W46" i="129"/>
  <c r="W69" i="129"/>
  <c r="W56" i="129"/>
  <c r="W55" i="129"/>
  <c r="W18" i="129"/>
  <c r="W7" i="129"/>
  <c r="W60" i="129"/>
  <c r="W57" i="129"/>
  <c r="W48" i="129"/>
  <c r="W17" i="129"/>
  <c r="W13" i="129"/>
  <c r="W49" i="129"/>
  <c r="W61" i="129"/>
  <c r="W58" i="129"/>
  <c r="T4" i="129"/>
  <c r="W51" i="129"/>
  <c r="T5" i="129"/>
  <c r="W5" i="129" s="1"/>
  <c r="BC73" i="129"/>
  <c r="BC61" i="129"/>
  <c r="BC49" i="129"/>
  <c r="BC37" i="129"/>
  <c r="BC25" i="129"/>
  <c r="BC82" i="129"/>
  <c r="BC70" i="129"/>
  <c r="BC58" i="129"/>
  <c r="BC46" i="129"/>
  <c r="BC74" i="129"/>
  <c r="BC62" i="129"/>
  <c r="BC50" i="129"/>
  <c r="BC38" i="129"/>
  <c r="BC26" i="129"/>
  <c r="BC72" i="129"/>
  <c r="BC60" i="129"/>
  <c r="BC71" i="129"/>
  <c r="BC59" i="129"/>
  <c r="BC47" i="129"/>
  <c r="BC22" i="129"/>
  <c r="BC16" i="129"/>
  <c r="BC81" i="129"/>
  <c r="BC80" i="129"/>
  <c r="BC68" i="129"/>
  <c r="BC79" i="129"/>
  <c r="BC78" i="129"/>
  <c r="BC77" i="129"/>
  <c r="BC66" i="129"/>
  <c r="BC65" i="129"/>
  <c r="BC54" i="129"/>
  <c r="BC53" i="129"/>
  <c r="BC42" i="129"/>
  <c r="BC41" i="129"/>
  <c r="BC35" i="129"/>
  <c r="BC13" i="129"/>
  <c r="BC10" i="129"/>
  <c r="BC56" i="129"/>
  <c r="BC55" i="129"/>
  <c r="BC17" i="129"/>
  <c r="BC69" i="129"/>
  <c r="BC57" i="129"/>
  <c r="BC48" i="129"/>
  <c r="BC12" i="129"/>
  <c r="BC9" i="129"/>
  <c r="BC63" i="129"/>
  <c r="BB6" i="129"/>
  <c r="BC6" i="129" s="1"/>
  <c r="BC51" i="129"/>
  <c r="BC39" i="129"/>
  <c r="BC34" i="129"/>
  <c r="BC33" i="129"/>
  <c r="BC32" i="129"/>
  <c r="BC21" i="129"/>
  <c r="BA6" i="129"/>
  <c r="AZ4" i="129"/>
  <c r="BC76" i="129"/>
  <c r="BC52" i="129"/>
  <c r="BC40" i="129"/>
  <c r="BC36" i="129"/>
  <c r="BC30" i="129"/>
  <c r="BC29" i="129"/>
  <c r="BC27" i="129"/>
  <c r="BC24" i="129"/>
  <c r="BC23" i="129"/>
  <c r="BC15" i="129"/>
  <c r="BC11" i="129"/>
  <c r="BC67" i="129"/>
  <c r="BC31" i="129"/>
  <c r="BC28" i="129"/>
  <c r="BC20" i="129"/>
  <c r="BC64" i="129"/>
  <c r="BC14" i="129"/>
  <c r="BC75" i="129"/>
  <c r="BC43" i="129"/>
  <c r="BC45" i="129"/>
  <c r="BC44" i="129"/>
  <c r="BC19" i="129"/>
  <c r="BH5" i="129"/>
  <c r="BK5" i="129" s="1"/>
  <c r="AB6" i="129"/>
  <c r="BI6" i="129"/>
  <c r="BC7" i="129"/>
  <c r="W9" i="129"/>
  <c r="BS10" i="129"/>
  <c r="BO72" i="129"/>
  <c r="Y6" i="129"/>
  <c r="AW6" i="129"/>
  <c r="BG7" i="129"/>
  <c r="AQ8" i="129"/>
  <c r="AA9" i="129"/>
  <c r="AQ11" i="129"/>
  <c r="AA12" i="129"/>
  <c r="AY14" i="129"/>
  <c r="AA16" i="129"/>
  <c r="BG18" i="129"/>
  <c r="AQ20" i="129"/>
  <c r="AI22" i="129"/>
  <c r="AI23" i="129"/>
  <c r="AQ27" i="129"/>
  <c r="AI29" i="129"/>
  <c r="AI35" i="129"/>
  <c r="AI36" i="129"/>
  <c r="BG43" i="129"/>
  <c r="BW47" i="129"/>
  <c r="S49" i="129"/>
  <c r="S50" i="129"/>
  <c r="BG54" i="129"/>
  <c r="BO62" i="129"/>
  <c r="BO65" i="129"/>
  <c r="BO68" i="129"/>
  <c r="AI70" i="129"/>
  <c r="BG75" i="129"/>
  <c r="AQ42" i="129"/>
  <c r="AI67" i="129"/>
  <c r="AA72" i="129"/>
  <c r="AA60" i="129"/>
  <c r="AA48" i="129"/>
  <c r="AA36" i="129"/>
  <c r="AA24" i="129"/>
  <c r="AA81" i="129"/>
  <c r="AA69" i="129"/>
  <c r="AA57" i="129"/>
  <c r="AA45" i="129"/>
  <c r="AA73" i="129"/>
  <c r="AA61" i="129"/>
  <c r="AA49" i="129"/>
  <c r="AA37" i="129"/>
  <c r="AA25" i="129"/>
  <c r="AA79" i="129"/>
  <c r="AA78" i="129"/>
  <c r="AA66" i="129"/>
  <c r="AA77" i="129"/>
  <c r="AA65" i="129"/>
  <c r="AA53" i="129"/>
  <c r="AA41" i="129"/>
  <c r="AA35" i="129"/>
  <c r="AA20" i="129"/>
  <c r="AA15" i="129"/>
  <c r="AA76" i="129"/>
  <c r="AA75" i="129"/>
  <c r="AA63" i="129"/>
  <c r="AA74" i="129"/>
  <c r="AA62" i="129"/>
  <c r="AA82" i="129"/>
  <c r="AA70" i="129"/>
  <c r="AA58" i="129"/>
  <c r="AA46" i="129"/>
  <c r="AA22" i="129"/>
  <c r="AY78" i="129"/>
  <c r="AY66" i="129"/>
  <c r="AY54" i="129"/>
  <c r="AY42" i="129"/>
  <c r="AY30" i="129"/>
  <c r="AY75" i="129"/>
  <c r="AY63" i="129"/>
  <c r="AY51" i="129"/>
  <c r="AY79" i="129"/>
  <c r="AY67" i="129"/>
  <c r="AY55" i="129"/>
  <c r="AY43" i="129"/>
  <c r="AY31" i="129"/>
  <c r="AY76" i="129"/>
  <c r="AY74" i="129"/>
  <c r="AY73" i="129"/>
  <c r="AY61" i="129"/>
  <c r="AY72" i="129"/>
  <c r="AY60" i="129"/>
  <c r="AY48" i="129"/>
  <c r="AY38" i="129"/>
  <c r="AY28" i="129"/>
  <c r="AY9" i="129"/>
  <c r="AY82" i="129"/>
  <c r="AY81" i="129"/>
  <c r="AY69" i="129"/>
  <c r="AY57" i="129"/>
  <c r="AY80" i="129"/>
  <c r="AY25" i="129"/>
  <c r="AY20" i="129"/>
  <c r="AY15" i="129"/>
  <c r="BW72" i="129"/>
  <c r="BW60" i="129"/>
  <c r="BW48" i="129"/>
  <c r="BW36" i="129"/>
  <c r="BW24" i="129"/>
  <c r="BW81" i="129"/>
  <c r="BW69" i="129"/>
  <c r="BW57" i="129"/>
  <c r="BW45" i="129"/>
  <c r="BW73" i="129"/>
  <c r="BW61" i="129"/>
  <c r="BW49" i="129"/>
  <c r="BW37" i="129"/>
  <c r="BW25" i="129"/>
  <c r="BW82" i="129"/>
  <c r="BW80" i="129"/>
  <c r="BW68" i="129"/>
  <c r="BW31" i="129"/>
  <c r="BW15" i="129"/>
  <c r="BT6" i="129"/>
  <c r="BW79" i="129"/>
  <c r="BW78" i="129"/>
  <c r="BW66" i="129"/>
  <c r="BW54" i="129"/>
  <c r="BW77" i="129"/>
  <c r="BW65" i="129"/>
  <c r="BW76" i="129"/>
  <c r="BW75" i="129"/>
  <c r="BW74" i="129"/>
  <c r="BW62" i="129"/>
  <c r="BW50" i="129"/>
  <c r="BW33" i="129"/>
  <c r="BW23" i="129"/>
  <c r="AF5" i="129"/>
  <c r="AI5" i="129" s="1"/>
  <c r="BD5" i="129"/>
  <c r="BG5" i="129" s="1"/>
  <c r="Z6" i="129"/>
  <c r="AA6" i="129" s="1"/>
  <c r="AX6" i="129"/>
  <c r="AY6" i="129" s="1"/>
  <c r="BO10" i="129"/>
  <c r="AQ15" i="129"/>
  <c r="AI16" i="129"/>
  <c r="S17" i="129"/>
  <c r="BW17" i="129"/>
  <c r="BO18" i="129"/>
  <c r="BG19" i="129"/>
  <c r="AQ21" i="129"/>
  <c r="AQ22" i="129"/>
  <c r="AQ24" i="129"/>
  <c r="AQ25" i="129"/>
  <c r="AQ30" i="129"/>
  <c r="AQ31" i="129"/>
  <c r="AQ32" i="129"/>
  <c r="AI33" i="129"/>
  <c r="AQ34" i="129"/>
  <c r="AQ37" i="129"/>
  <c r="AQ38" i="129"/>
  <c r="BG42" i="129"/>
  <c r="BO45" i="129"/>
  <c r="BW46" i="129"/>
  <c r="AA50" i="129"/>
  <c r="AY53" i="129"/>
  <c r="BW59" i="129"/>
  <c r="BG61" i="129"/>
  <c r="AQ67" i="129"/>
  <c r="AY70" i="129"/>
  <c r="BO75" i="129"/>
  <c r="AQ79" i="129"/>
  <c r="AQ33" i="129"/>
  <c r="AQ35" i="129"/>
  <c r="BO44" i="129"/>
  <c r="AQ51" i="129"/>
  <c r="AY52" i="129"/>
  <c r="BO54" i="129"/>
  <c r="S57" i="129"/>
  <c r="AI58" i="129"/>
  <c r="S63" i="129"/>
  <c r="BG64" i="129"/>
  <c r="BW70" i="129"/>
  <c r="S73" i="129"/>
  <c r="AQ16" i="129"/>
  <c r="S18" i="129"/>
  <c r="BO19" i="129"/>
  <c r="BG25" i="129"/>
  <c r="BG26" i="129"/>
  <c r="BG28" i="129"/>
  <c r="BG31" i="129"/>
  <c r="BG38" i="129"/>
  <c r="BO42" i="129"/>
  <c r="AI49" i="129"/>
  <c r="BO53" i="129"/>
  <c r="S56" i="129"/>
  <c r="AY58" i="129"/>
  <c r="BO61" i="129"/>
  <c r="BG67" i="129"/>
  <c r="S69" i="129"/>
  <c r="AA80" i="129"/>
  <c r="Q6" i="129"/>
  <c r="AO6" i="129"/>
  <c r="BN6" i="129"/>
  <c r="BO6" i="129" s="1"/>
  <c r="BG8" i="129"/>
  <c r="AQ9" i="129"/>
  <c r="BO14" i="129"/>
  <c r="BG15" i="129"/>
  <c r="BO20" i="129"/>
  <c r="BG22" i="129"/>
  <c r="BG23" i="129"/>
  <c r="BG24" i="129"/>
  <c r="BO27" i="129"/>
  <c r="BO28" i="129"/>
  <c r="BG29" i="129"/>
  <c r="BG35" i="129"/>
  <c r="BG36" i="129"/>
  <c r="BG37" i="129"/>
  <c r="BG40" i="129"/>
  <c r="BO41" i="129"/>
  <c r="BW42" i="129"/>
  <c r="AA47" i="129"/>
  <c r="AI48" i="129"/>
  <c r="BG52" i="129"/>
  <c r="BW53" i="129"/>
  <c r="AI57" i="129"/>
  <c r="BW64" i="129"/>
  <c r="AI66" i="129"/>
  <c r="BW67" i="129"/>
  <c r="BO73" i="129"/>
  <c r="AI74" i="129"/>
  <c r="AI62" i="129"/>
  <c r="AI50" i="129"/>
  <c r="AI38" i="129"/>
  <c r="AI26" i="129"/>
  <c r="AI71" i="129"/>
  <c r="AI59" i="129"/>
  <c r="AI47" i="129"/>
  <c r="AI75" i="129"/>
  <c r="AI63" i="129"/>
  <c r="AI51" i="129"/>
  <c r="AI39" i="129"/>
  <c r="AI27" i="129"/>
  <c r="AI79" i="129"/>
  <c r="AI78" i="129"/>
  <c r="AI77" i="129"/>
  <c r="AI76" i="129"/>
  <c r="AI64" i="129"/>
  <c r="AI52" i="129"/>
  <c r="AI40" i="129"/>
  <c r="AI34" i="129"/>
  <c r="AI24" i="129"/>
  <c r="AI17" i="129"/>
  <c r="AI73" i="129"/>
  <c r="AI61" i="129"/>
  <c r="AI72" i="129"/>
  <c r="AI60" i="129"/>
  <c r="AI82" i="129"/>
  <c r="AI81" i="129"/>
  <c r="AI37" i="129"/>
  <c r="AI32" i="129"/>
  <c r="AI21" i="129"/>
  <c r="BG80" i="129"/>
  <c r="BG68" i="129"/>
  <c r="BG56" i="129"/>
  <c r="BG44" i="129"/>
  <c r="BG32" i="129"/>
  <c r="BG20" i="129"/>
  <c r="BG77" i="129"/>
  <c r="BG65" i="129"/>
  <c r="BG53" i="129"/>
  <c r="BG41" i="129"/>
  <c r="BG81" i="129"/>
  <c r="BG69" i="129"/>
  <c r="BG57" i="129"/>
  <c r="BG45" i="129"/>
  <c r="BG33" i="129"/>
  <c r="BG21" i="129"/>
  <c r="BG73" i="129"/>
  <c r="BG72" i="129"/>
  <c r="BG71" i="129"/>
  <c r="BG59" i="129"/>
  <c r="BG82" i="129"/>
  <c r="BG70" i="129"/>
  <c r="BG58" i="129"/>
  <c r="BG46" i="129"/>
  <c r="BG27" i="129"/>
  <c r="BG11" i="129"/>
  <c r="BG79" i="129"/>
  <c r="BG78" i="129"/>
  <c r="BG30" i="129"/>
  <c r="BG17" i="129"/>
  <c r="P5" i="129"/>
  <c r="S5" i="129" s="1"/>
  <c r="AN5" i="129"/>
  <c r="AQ5" i="129" s="1"/>
  <c r="BL5" i="129"/>
  <c r="BO5" i="129" s="1"/>
  <c r="R6" i="129"/>
  <c r="S6" i="129" s="1"/>
  <c r="AP6" i="129"/>
  <c r="AQ6" i="129" s="1"/>
  <c r="AI10" i="129"/>
  <c r="BO11" i="129"/>
  <c r="AI13" i="129"/>
  <c r="S14" i="129"/>
  <c r="BO24" i="129"/>
  <c r="BO25" i="129"/>
  <c r="BO26" i="129"/>
  <c r="BO30" i="129"/>
  <c r="BO31" i="129"/>
  <c r="BO32" i="129"/>
  <c r="BG34" i="129"/>
  <c r="BO37" i="129"/>
  <c r="BO38" i="129"/>
  <c r="BG39" i="129"/>
  <c r="BW41" i="129"/>
  <c r="AY49" i="129"/>
  <c r="AY50" i="129"/>
  <c r="BG51" i="129"/>
  <c r="AA55" i="129"/>
  <c r="AA56" i="129"/>
  <c r="AQ57" i="129"/>
  <c r="BW58" i="129"/>
  <c r="AQ60" i="129"/>
  <c r="AQ66" i="129"/>
  <c r="AI69" i="129"/>
  <c r="AA71" i="129"/>
  <c r="BO8" i="129"/>
  <c r="S11" i="129"/>
  <c r="BO15" i="129"/>
  <c r="BG16" i="129"/>
  <c r="AQ17" i="129"/>
  <c r="BO33" i="129"/>
  <c r="BO36" i="129"/>
  <c r="BO39" i="129"/>
  <c r="S44" i="129"/>
  <c r="S45" i="129"/>
  <c r="AQ48" i="129"/>
  <c r="BG49" i="129"/>
  <c r="BG50" i="129"/>
  <c r="BO51" i="129"/>
  <c r="BW52" i="129"/>
  <c r="AI55" i="129"/>
  <c r="AI56" i="129"/>
  <c r="BG60" i="129"/>
  <c r="BG63" i="129"/>
  <c r="S65" i="129"/>
  <c r="S68" i="129"/>
  <c r="AQ69" i="129"/>
  <c r="AY71" i="129"/>
  <c r="S81" i="129"/>
  <c r="AQ13" i="129"/>
  <c r="AI18" i="129"/>
  <c r="S20" i="129"/>
  <c r="BW38" i="129"/>
  <c r="BW39" i="129"/>
  <c r="AA43" i="129"/>
  <c r="AI46" i="129"/>
  <c r="AQ47" i="129"/>
  <c r="BW51" i="129"/>
  <c r="AA54" i="129"/>
  <c r="AQ56" i="129"/>
  <c r="BO60" i="129"/>
  <c r="S62" i="129"/>
  <c r="BO63" i="129"/>
  <c r="AI65" i="129"/>
  <c r="BG66" i="129"/>
  <c r="BG74" i="129"/>
  <c r="AY77" i="129"/>
  <c r="S15" i="129"/>
  <c r="BO16" i="129"/>
  <c r="AQ18" i="129"/>
  <c r="AI19" i="129"/>
  <c r="S26" i="129"/>
  <c r="S27" i="129"/>
  <c r="S28" i="129"/>
  <c r="AA42" i="129"/>
  <c r="AI43" i="129"/>
  <c r="AA44" i="129"/>
  <c r="AI45" i="129"/>
  <c r="AQ46" i="129"/>
  <c r="AY47" i="129"/>
  <c r="BG48" i="129"/>
  <c r="BO49" i="129"/>
  <c r="BO50" i="129"/>
  <c r="AY56" i="129"/>
  <c r="AA59" i="129"/>
  <c r="BW63" i="129"/>
  <c r="AA68" i="129"/>
  <c r="BW71" i="129"/>
  <c r="S82" i="129"/>
  <c r="S70" i="129"/>
  <c r="S58" i="129"/>
  <c r="S46" i="129"/>
  <c r="S34" i="129"/>
  <c r="S22" i="129"/>
  <c r="S79" i="129"/>
  <c r="S67" i="129"/>
  <c r="S55" i="129"/>
  <c r="S43" i="129"/>
  <c r="S71" i="129"/>
  <c r="S59" i="129"/>
  <c r="S47" i="129"/>
  <c r="S35" i="129"/>
  <c r="S23" i="129"/>
  <c r="S80" i="129"/>
  <c r="S78" i="129"/>
  <c r="S66" i="129"/>
  <c r="S54" i="129"/>
  <c r="S42" i="129"/>
  <c r="S31" i="129"/>
  <c r="S13" i="129"/>
  <c r="S77" i="129"/>
  <c r="S76" i="129"/>
  <c r="S64" i="129"/>
  <c r="S75" i="129"/>
  <c r="S74" i="129"/>
  <c r="S72" i="129"/>
  <c r="S60" i="129"/>
  <c r="S48" i="129"/>
  <c r="S33" i="129"/>
  <c r="S19" i="129"/>
  <c r="AQ76" i="129"/>
  <c r="AQ64" i="129"/>
  <c r="AQ52" i="129"/>
  <c r="AQ40" i="129"/>
  <c r="AQ28" i="129"/>
  <c r="AQ73" i="129"/>
  <c r="AQ61" i="129"/>
  <c r="AQ49" i="129"/>
  <c r="AQ77" i="129"/>
  <c r="AQ65" i="129"/>
  <c r="AQ53" i="129"/>
  <c r="AQ41" i="129"/>
  <c r="AQ29" i="129"/>
  <c r="AQ75" i="129"/>
  <c r="AQ63" i="129"/>
  <c r="AQ74" i="129"/>
  <c r="AQ62" i="129"/>
  <c r="AQ50" i="129"/>
  <c r="AQ39" i="129"/>
  <c r="AQ23" i="129"/>
  <c r="AQ7" i="129"/>
  <c r="AQ72" i="129"/>
  <c r="AQ71" i="129"/>
  <c r="AQ59" i="129"/>
  <c r="AQ82" i="129"/>
  <c r="AQ70" i="129"/>
  <c r="AQ58" i="129"/>
  <c r="AQ81" i="129"/>
  <c r="AQ80" i="129"/>
  <c r="AQ36" i="129"/>
  <c r="AQ26" i="129"/>
  <c r="BO82" i="129"/>
  <c r="BO70" i="129"/>
  <c r="BO58" i="129"/>
  <c r="BO46" i="129"/>
  <c r="BO34" i="129"/>
  <c r="BO22" i="129"/>
  <c r="BO79" i="129"/>
  <c r="BO67" i="129"/>
  <c r="BO55" i="129"/>
  <c r="BO43" i="129"/>
  <c r="BO71" i="129"/>
  <c r="BO59" i="129"/>
  <c r="BO47" i="129"/>
  <c r="BO35" i="129"/>
  <c r="BO23" i="129"/>
  <c r="BO81" i="129"/>
  <c r="BO69" i="129"/>
  <c r="BO21" i="129"/>
  <c r="BO13" i="129"/>
  <c r="BO80" i="129"/>
  <c r="BO78" i="129"/>
  <c r="BO66" i="129"/>
  <c r="BO77" i="129"/>
  <c r="BO76" i="129"/>
  <c r="BO64" i="129"/>
  <c r="BO52" i="129"/>
  <c r="BO40" i="129"/>
  <c r="BO29" i="129"/>
  <c r="AH6" i="129"/>
  <c r="AI6" i="129" s="1"/>
  <c r="BF6" i="129"/>
  <c r="BG6" i="129" s="1"/>
  <c r="BO9" i="129"/>
  <c r="BO12" i="129"/>
  <c r="AI14" i="129"/>
  <c r="S21" i="129"/>
  <c r="S24" i="129"/>
  <c r="S25" i="129"/>
  <c r="S29" i="129"/>
  <c r="S30" i="129"/>
  <c r="S32" i="129"/>
  <c r="S36" i="129"/>
  <c r="S37" i="129"/>
  <c r="S38" i="129"/>
  <c r="S39" i="129"/>
  <c r="S40" i="129"/>
  <c r="S41" i="129"/>
  <c r="AI44" i="129"/>
  <c r="AQ45" i="129"/>
  <c r="BG47" i="129"/>
  <c r="BO48" i="129"/>
  <c r="S52" i="129"/>
  <c r="AI54" i="129"/>
  <c r="AY62" i="129"/>
  <c r="AI68" i="129"/>
  <c r="BO74" i="129"/>
  <c r="AQ78" i="129"/>
  <c r="AI8" i="129"/>
  <c r="S9" i="129"/>
  <c r="AI11" i="129"/>
  <c r="S12" i="129"/>
  <c r="S16" i="129"/>
  <c r="AQ19" i="129"/>
  <c r="AI20" i="129"/>
  <c r="AA29" i="129"/>
  <c r="AA30" i="129"/>
  <c r="AA31" i="129"/>
  <c r="AA38" i="129"/>
  <c r="AI42" i="129"/>
  <c r="AQ43" i="129"/>
  <c r="AQ44" i="129"/>
  <c r="AY46" i="129"/>
  <c r="S51" i="129"/>
  <c r="AI53" i="129"/>
  <c r="AQ54" i="129"/>
  <c r="BG55" i="129"/>
  <c r="BO56" i="129"/>
  <c r="AY59" i="129"/>
  <c r="S61" i="129"/>
  <c r="BG62" i="129"/>
  <c r="AA64" i="129"/>
  <c r="AY65" i="129"/>
  <c r="AA67" i="129"/>
  <c r="AQ68" i="129"/>
  <c r="AA77" i="128"/>
  <c r="AA65" i="128"/>
  <c r="AA53" i="128"/>
  <c r="AA41" i="128"/>
  <c r="AA72" i="128"/>
  <c r="AA60" i="128"/>
  <c r="AA48" i="128"/>
  <c r="AA36" i="128"/>
  <c r="AA24" i="128"/>
  <c r="AA74" i="128"/>
  <c r="AA62" i="128"/>
  <c r="AA50" i="128"/>
  <c r="AA81" i="128"/>
  <c r="AA69" i="128"/>
  <c r="AA57" i="128"/>
  <c r="AA45" i="128"/>
  <c r="AA76" i="128"/>
  <c r="AA64" i="128"/>
  <c r="AA52" i="128"/>
  <c r="AA40" i="128"/>
  <c r="AA71" i="128"/>
  <c r="AA59" i="128"/>
  <c r="AA47" i="128"/>
  <c r="AA35" i="128"/>
  <c r="AA23" i="128"/>
  <c r="AA78" i="128"/>
  <c r="AA66" i="128"/>
  <c r="AA54" i="128"/>
  <c r="AA42" i="128"/>
  <c r="AA73" i="128"/>
  <c r="AA61" i="128"/>
  <c r="AA49" i="128"/>
  <c r="AA37" i="128"/>
  <c r="AA80" i="128"/>
  <c r="AA68" i="128"/>
  <c r="AA56" i="128"/>
  <c r="AA44" i="128"/>
  <c r="AA75" i="128"/>
  <c r="AA63" i="128"/>
  <c r="AA51" i="128"/>
  <c r="AA39" i="128"/>
  <c r="AA27" i="128"/>
  <c r="AY71" i="128"/>
  <c r="AY59" i="128"/>
  <c r="AY47" i="128"/>
  <c r="AY35" i="128"/>
  <c r="AY78" i="128"/>
  <c r="AY66" i="128"/>
  <c r="AY54" i="128"/>
  <c r="AY42" i="128"/>
  <c r="AY30" i="128"/>
  <c r="AY80" i="128"/>
  <c r="AY68" i="128"/>
  <c r="AY56" i="128"/>
  <c r="AY44" i="128"/>
  <c r="AY75" i="128"/>
  <c r="AY63" i="128"/>
  <c r="AY51" i="128"/>
  <c r="AY82" i="128"/>
  <c r="AY70" i="128"/>
  <c r="AY58" i="128"/>
  <c r="AY46" i="128"/>
  <c r="AY77" i="128"/>
  <c r="AY65" i="128"/>
  <c r="AY53" i="128"/>
  <c r="AY41" i="128"/>
  <c r="AY29" i="128"/>
  <c r="AY72" i="128"/>
  <c r="AY60" i="128"/>
  <c r="AY48" i="128"/>
  <c r="AY36" i="128"/>
  <c r="AY79" i="128"/>
  <c r="AY67" i="128"/>
  <c r="AY55" i="128"/>
  <c r="AY43" i="128"/>
  <c r="AY74" i="128"/>
  <c r="AY62" i="128"/>
  <c r="AY50" i="128"/>
  <c r="AY38" i="128"/>
  <c r="AY81" i="128"/>
  <c r="AY69" i="128"/>
  <c r="AY57" i="128"/>
  <c r="AY45" i="128"/>
  <c r="AY33" i="128"/>
  <c r="AY21" i="128"/>
  <c r="BW82" i="128"/>
  <c r="BW77" i="128"/>
  <c r="BW65" i="128"/>
  <c r="BW53" i="128"/>
  <c r="BW41" i="128"/>
  <c r="BW72" i="128"/>
  <c r="BW60" i="128"/>
  <c r="BW48" i="128"/>
  <c r="BW36" i="128"/>
  <c r="BW24" i="128"/>
  <c r="BW74" i="128"/>
  <c r="BW62" i="128"/>
  <c r="BW50" i="128"/>
  <c r="BW81" i="128"/>
  <c r="BW69" i="128"/>
  <c r="BW57" i="128"/>
  <c r="BW45" i="128"/>
  <c r="BW76" i="128"/>
  <c r="BW64" i="128"/>
  <c r="BW52" i="128"/>
  <c r="BW40" i="128"/>
  <c r="BW71" i="128"/>
  <c r="BW59" i="128"/>
  <c r="BW47" i="128"/>
  <c r="BW35" i="128"/>
  <c r="BW23" i="128"/>
  <c r="BW78" i="128"/>
  <c r="BW66" i="128"/>
  <c r="BW54" i="128"/>
  <c r="BW42" i="128"/>
  <c r="BW73" i="128"/>
  <c r="BW61" i="128"/>
  <c r="BW49" i="128"/>
  <c r="BW37" i="128"/>
  <c r="BW80" i="128"/>
  <c r="BW68" i="128"/>
  <c r="BW56" i="128"/>
  <c r="BW44" i="128"/>
  <c r="BW75" i="128"/>
  <c r="BW63" i="128"/>
  <c r="BW51" i="128"/>
  <c r="BW39" i="128"/>
  <c r="BW27" i="128"/>
  <c r="Z6" i="128"/>
  <c r="AA6" i="128" s="1"/>
  <c r="AX6" i="128"/>
  <c r="AY6" i="128" s="1"/>
  <c r="BV6" i="128"/>
  <c r="BW6" i="128" s="1"/>
  <c r="AY7" i="128"/>
  <c r="AE8" i="128"/>
  <c r="AU12" i="128"/>
  <c r="AA13" i="128"/>
  <c r="BW13" i="128"/>
  <c r="BC14" i="128"/>
  <c r="AI15" i="128"/>
  <c r="O16" i="128"/>
  <c r="BK16" i="128"/>
  <c r="W18" i="128"/>
  <c r="BS18" i="128"/>
  <c r="BC19" i="128"/>
  <c r="AU20" i="128"/>
  <c r="AI21" i="128"/>
  <c r="AA22" i="128"/>
  <c r="O24" i="128"/>
  <c r="BW25" i="128"/>
  <c r="BS26" i="128"/>
  <c r="BK28" i="128"/>
  <c r="BG29" i="128"/>
  <c r="BC30" i="128"/>
  <c r="AU31" i="128"/>
  <c r="AI32" i="128"/>
  <c r="AE33" i="128"/>
  <c r="AM34" i="128"/>
  <c r="AI35" i="128"/>
  <c r="AU36" i="128"/>
  <c r="AA38" i="128"/>
  <c r="AE40" i="128"/>
  <c r="AM43" i="128"/>
  <c r="BK46" i="128"/>
  <c r="BK49" i="128"/>
  <c r="S53" i="128"/>
  <c r="BC56" i="128"/>
  <c r="BC59" i="128"/>
  <c r="AU66" i="128"/>
  <c r="AU69" i="128"/>
  <c r="BS72" i="128"/>
  <c r="AM79" i="128"/>
  <c r="AY17" i="128"/>
  <c r="BC20" i="128"/>
  <c r="AY34" i="128"/>
  <c r="AY40" i="128"/>
  <c r="AB4" i="128"/>
  <c r="AC6" i="128"/>
  <c r="BA6" i="128"/>
  <c r="O7" i="128"/>
  <c r="BK7" i="128"/>
  <c r="W9" i="128"/>
  <c r="BS9" i="128"/>
  <c r="AY10" i="128"/>
  <c r="AE11" i="128"/>
  <c r="BG12" i="128"/>
  <c r="AM13" i="128"/>
  <c r="AU15" i="128"/>
  <c r="AA16" i="128"/>
  <c r="BW16" i="128"/>
  <c r="BC17" i="128"/>
  <c r="AI18" i="128"/>
  <c r="O19" i="128"/>
  <c r="BS19" i="128"/>
  <c r="BG20" i="128"/>
  <c r="AU21" i="128"/>
  <c r="AQ22" i="128"/>
  <c r="AI23" i="128"/>
  <c r="AA25" i="128"/>
  <c r="W26" i="128"/>
  <c r="S27" i="128"/>
  <c r="O28" i="128"/>
  <c r="BW29" i="128"/>
  <c r="BS30" i="128"/>
  <c r="BK31" i="128"/>
  <c r="AY32" i="128"/>
  <c r="BC33" i="128"/>
  <c r="BC34" i="128"/>
  <c r="BC35" i="128"/>
  <c r="BS36" i="128"/>
  <c r="BS38" i="128"/>
  <c r="S44" i="128"/>
  <c r="AQ47" i="128"/>
  <c r="AQ50" i="128"/>
  <c r="AI57" i="128"/>
  <c r="AI60" i="128"/>
  <c r="BS63" i="128"/>
  <c r="AA67" i="128"/>
  <c r="AA70" i="128"/>
  <c r="AY73" i="128"/>
  <c r="S80" i="128"/>
  <c r="AE72" i="128"/>
  <c r="AE60" i="128"/>
  <c r="AE48" i="128"/>
  <c r="AE36" i="128"/>
  <c r="AE79" i="128"/>
  <c r="AE67" i="128"/>
  <c r="AE55" i="128"/>
  <c r="AE43" i="128"/>
  <c r="AE31" i="128"/>
  <c r="AE81" i="128"/>
  <c r="AE69" i="128"/>
  <c r="AE57" i="128"/>
  <c r="AE45" i="128"/>
  <c r="AE76" i="128"/>
  <c r="AE64" i="128"/>
  <c r="AE52" i="128"/>
  <c r="AE71" i="128"/>
  <c r="AE59" i="128"/>
  <c r="AE47" i="128"/>
  <c r="AE78" i="128"/>
  <c r="AE66" i="128"/>
  <c r="AE54" i="128"/>
  <c r="AE42" i="128"/>
  <c r="AE30" i="128"/>
  <c r="AE73" i="128"/>
  <c r="AE61" i="128"/>
  <c r="AE49" i="128"/>
  <c r="AE37" i="128"/>
  <c r="AE80" i="128"/>
  <c r="AE68" i="128"/>
  <c r="AE56" i="128"/>
  <c r="AE44" i="128"/>
  <c r="AE75" i="128"/>
  <c r="AE63" i="128"/>
  <c r="AE51" i="128"/>
  <c r="AE39" i="128"/>
  <c r="AE82" i="128"/>
  <c r="AE70" i="128"/>
  <c r="AE58" i="128"/>
  <c r="AE46" i="128"/>
  <c r="AE34" i="128"/>
  <c r="AE22" i="128"/>
  <c r="AE18" i="128"/>
  <c r="AE23" i="128"/>
  <c r="BB6" i="128"/>
  <c r="BC6" i="128" s="1"/>
  <c r="AU8" i="128"/>
  <c r="AA9" i="128"/>
  <c r="BW9" i="128"/>
  <c r="BC10" i="128"/>
  <c r="AI11" i="128"/>
  <c r="O12" i="128"/>
  <c r="BK12" i="128"/>
  <c r="W14" i="128"/>
  <c r="BS14" i="128"/>
  <c r="AY15" i="128"/>
  <c r="AE16" i="128"/>
  <c r="BG17" i="128"/>
  <c r="AM18" i="128"/>
  <c r="S19" i="128"/>
  <c r="BW19" i="128"/>
  <c r="BK20" i="128"/>
  <c r="BC21" i="128"/>
  <c r="AY22" i="128"/>
  <c r="AM23" i="128"/>
  <c r="AI24" i="128"/>
  <c r="AE25" i="128"/>
  <c r="AA26" i="128"/>
  <c r="W27" i="128"/>
  <c r="S28" i="128"/>
  <c r="O29" i="128"/>
  <c r="BW30" i="128"/>
  <c r="BO31" i="128"/>
  <c r="BC32" i="128"/>
  <c r="BG33" i="128"/>
  <c r="BG34" i="128"/>
  <c r="BK35" i="128"/>
  <c r="BW38" i="128"/>
  <c r="S41" i="128"/>
  <c r="BC44" i="128"/>
  <c r="BC47" i="128"/>
  <c r="AU54" i="128"/>
  <c r="AU57" i="128"/>
  <c r="BS60" i="128"/>
  <c r="AM67" i="128"/>
  <c r="BK70" i="128"/>
  <c r="BK73" i="128"/>
  <c r="S77" i="128"/>
  <c r="BC80" i="128"/>
  <c r="AD6" i="128"/>
  <c r="AE6" i="128" s="1"/>
  <c r="AF4" i="128"/>
  <c r="BD4" i="128"/>
  <c r="W7" i="128"/>
  <c r="BS7" i="128"/>
  <c r="AY8" i="128"/>
  <c r="AE9" i="128"/>
  <c r="BG10" i="128"/>
  <c r="AM11" i="128"/>
  <c r="S12" i="128"/>
  <c r="BO12" i="128"/>
  <c r="AU13" i="128"/>
  <c r="AA14" i="128"/>
  <c r="BW14" i="128"/>
  <c r="BC15" i="128"/>
  <c r="AI16" i="128"/>
  <c r="O17" i="128"/>
  <c r="BK17" i="128"/>
  <c r="AQ18" i="128"/>
  <c r="W19" i="128"/>
  <c r="BO20" i="128"/>
  <c r="BG21" i="128"/>
  <c r="BC22" i="128"/>
  <c r="AQ23" i="128"/>
  <c r="AQ24" i="128"/>
  <c r="AM25" i="128"/>
  <c r="AE26" i="128"/>
  <c r="AE27" i="128"/>
  <c r="AA28" i="128"/>
  <c r="S29" i="128"/>
  <c r="S30" i="128"/>
  <c r="BS31" i="128"/>
  <c r="BK32" i="128"/>
  <c r="BK33" i="128"/>
  <c r="BO35" i="128"/>
  <c r="O37" i="128"/>
  <c r="AE41" i="128"/>
  <c r="BO44" i="128"/>
  <c r="W51" i="128"/>
  <c r="BG54" i="128"/>
  <c r="AM64" i="128"/>
  <c r="BW67" i="128"/>
  <c r="BW70" i="128"/>
  <c r="AE77" i="128"/>
  <c r="BO80" i="128"/>
  <c r="BW28" i="128"/>
  <c r="BK80" i="128"/>
  <c r="BK68" i="128"/>
  <c r="BK56" i="128"/>
  <c r="BK44" i="128"/>
  <c r="BK75" i="128"/>
  <c r="BK63" i="128"/>
  <c r="BK51" i="128"/>
  <c r="BK39" i="128"/>
  <c r="BK27" i="128"/>
  <c r="BK82" i="128"/>
  <c r="BK77" i="128"/>
  <c r="BK65" i="128"/>
  <c r="BK53" i="128"/>
  <c r="BK41" i="128"/>
  <c r="BK72" i="128"/>
  <c r="BK60" i="128"/>
  <c r="BK48" i="128"/>
  <c r="BK79" i="128"/>
  <c r="BK67" i="128"/>
  <c r="BK55" i="128"/>
  <c r="BK43" i="128"/>
  <c r="BK74" i="128"/>
  <c r="BK62" i="128"/>
  <c r="BK50" i="128"/>
  <c r="BK38" i="128"/>
  <c r="BK26" i="128"/>
  <c r="BK81" i="128"/>
  <c r="BK69" i="128"/>
  <c r="BK57" i="128"/>
  <c r="BK45" i="128"/>
  <c r="BK76" i="128"/>
  <c r="BK64" i="128"/>
  <c r="BK52" i="128"/>
  <c r="BK40" i="128"/>
  <c r="BK71" i="128"/>
  <c r="BK59" i="128"/>
  <c r="BK47" i="128"/>
  <c r="BK78" i="128"/>
  <c r="BK66" i="128"/>
  <c r="BK54" i="128"/>
  <c r="BK42" i="128"/>
  <c r="BK30" i="128"/>
  <c r="T5" i="128"/>
  <c r="W5" i="128" s="1"/>
  <c r="T6" i="128"/>
  <c r="AF6" i="128"/>
  <c r="AR6" i="128"/>
  <c r="BD6" i="128"/>
  <c r="BW7" i="128"/>
  <c r="BC8" i="128"/>
  <c r="AI9" i="128"/>
  <c r="O10" i="128"/>
  <c r="BK10" i="128"/>
  <c r="W12" i="128"/>
  <c r="BS12" i="128"/>
  <c r="AY13" i="128"/>
  <c r="AE14" i="128"/>
  <c r="BG15" i="128"/>
  <c r="AM16" i="128"/>
  <c r="AU18" i="128"/>
  <c r="AA19" i="128"/>
  <c r="O20" i="128"/>
  <c r="BW20" i="128"/>
  <c r="BK21" i="128"/>
  <c r="BG22" i="128"/>
  <c r="AY23" i="128"/>
  <c r="AU24" i="128"/>
  <c r="AQ25" i="128"/>
  <c r="AM26" i="128"/>
  <c r="AI27" i="128"/>
  <c r="AE28" i="128"/>
  <c r="AA29" i="128"/>
  <c r="W30" i="128"/>
  <c r="O31" i="128"/>
  <c r="BW31" i="128"/>
  <c r="BO32" i="128"/>
  <c r="BS33" i="128"/>
  <c r="BW34" i="128"/>
  <c r="BS35" i="128"/>
  <c r="AQ37" i="128"/>
  <c r="W39" i="128"/>
  <c r="BO41" i="128"/>
  <c r="W48" i="128"/>
  <c r="BG51" i="128"/>
  <c r="O58" i="128"/>
  <c r="AY64" i="128"/>
  <c r="AE74" i="128"/>
  <c r="BO77" i="128"/>
  <c r="BC12" i="128"/>
  <c r="BC31" i="128"/>
  <c r="AE50" i="128"/>
  <c r="O80" i="128"/>
  <c r="O68" i="128"/>
  <c r="O56" i="128"/>
  <c r="O44" i="128"/>
  <c r="O75" i="128"/>
  <c r="O63" i="128"/>
  <c r="O51" i="128"/>
  <c r="O39" i="128"/>
  <c r="O27" i="128"/>
  <c r="O77" i="128"/>
  <c r="O65" i="128"/>
  <c r="O53" i="128"/>
  <c r="O41" i="128"/>
  <c r="O72" i="128"/>
  <c r="O60" i="128"/>
  <c r="O48" i="128"/>
  <c r="O79" i="128"/>
  <c r="O67" i="128"/>
  <c r="O55" i="128"/>
  <c r="O43" i="128"/>
  <c r="O74" i="128"/>
  <c r="O62" i="128"/>
  <c r="O50" i="128"/>
  <c r="O38" i="128"/>
  <c r="O26" i="128"/>
  <c r="O81" i="128"/>
  <c r="O69" i="128"/>
  <c r="O57" i="128"/>
  <c r="O45" i="128"/>
  <c r="O76" i="128"/>
  <c r="O64" i="128"/>
  <c r="O52" i="128"/>
  <c r="O40" i="128"/>
  <c r="O71" i="128"/>
  <c r="O59" i="128"/>
  <c r="O47" i="128"/>
  <c r="O78" i="128"/>
  <c r="O66" i="128"/>
  <c r="O54" i="128"/>
  <c r="O42" i="128"/>
  <c r="O30" i="128"/>
  <c r="AR5" i="128"/>
  <c r="AU5" i="128" s="1"/>
  <c r="AA7" i="128"/>
  <c r="L4" i="128"/>
  <c r="AJ4" i="128"/>
  <c r="BH4" i="128"/>
  <c r="U6" i="128"/>
  <c r="AG6" i="128"/>
  <c r="AS6" i="128"/>
  <c r="BE6" i="128"/>
  <c r="BQ6" i="128"/>
  <c r="AE7" i="128"/>
  <c r="AM9" i="128"/>
  <c r="S10" i="128"/>
  <c r="AU11" i="128"/>
  <c r="AA12" i="128"/>
  <c r="BW12" i="128"/>
  <c r="BC13" i="128"/>
  <c r="AI14" i="128"/>
  <c r="O15" i="128"/>
  <c r="BK15" i="128"/>
  <c r="AQ16" i="128"/>
  <c r="W17" i="128"/>
  <c r="BS17" i="128"/>
  <c r="AY18" i="128"/>
  <c r="AE19" i="128"/>
  <c r="S20" i="128"/>
  <c r="BS21" i="128"/>
  <c r="BK22" i="128"/>
  <c r="BC23" i="128"/>
  <c r="AY24" i="128"/>
  <c r="AU25" i="128"/>
  <c r="AQ26" i="128"/>
  <c r="AI28" i="128"/>
  <c r="AE29" i="128"/>
  <c r="AA30" i="128"/>
  <c r="S31" i="128"/>
  <c r="BW32" i="128"/>
  <c r="BW33" i="128"/>
  <c r="AU37" i="128"/>
  <c r="AY39" i="128"/>
  <c r="AI45" i="128"/>
  <c r="AI48" i="128"/>
  <c r="BS51" i="128"/>
  <c r="AA55" i="128"/>
  <c r="AA58" i="128"/>
  <c r="AY61" i="128"/>
  <c r="AQ71" i="128"/>
  <c r="AB6" i="128"/>
  <c r="AZ4" i="128"/>
  <c r="AI79" i="128"/>
  <c r="AI67" i="128"/>
  <c r="AI55" i="128"/>
  <c r="AI43" i="128"/>
  <c r="AI74" i="128"/>
  <c r="AI62" i="128"/>
  <c r="AI50" i="128"/>
  <c r="AI38" i="128"/>
  <c r="AI26" i="128"/>
  <c r="AI76" i="128"/>
  <c r="AI64" i="128"/>
  <c r="AI52" i="128"/>
  <c r="AI40" i="128"/>
  <c r="AI71" i="128"/>
  <c r="AI59" i="128"/>
  <c r="AI47" i="128"/>
  <c r="AI78" i="128"/>
  <c r="AI66" i="128"/>
  <c r="AI54" i="128"/>
  <c r="AI42" i="128"/>
  <c r="AI73" i="128"/>
  <c r="AI61" i="128"/>
  <c r="AI49" i="128"/>
  <c r="AI37" i="128"/>
  <c r="AI25" i="128"/>
  <c r="AI80" i="128"/>
  <c r="AI68" i="128"/>
  <c r="AI56" i="128"/>
  <c r="AI44" i="128"/>
  <c r="AI75" i="128"/>
  <c r="AI63" i="128"/>
  <c r="AI51" i="128"/>
  <c r="AI39" i="128"/>
  <c r="AI82" i="128"/>
  <c r="AI70" i="128"/>
  <c r="AI58" i="128"/>
  <c r="AI46" i="128"/>
  <c r="AI77" i="128"/>
  <c r="AI65" i="128"/>
  <c r="AI53" i="128"/>
  <c r="AI41" i="128"/>
  <c r="AI29" i="128"/>
  <c r="BG73" i="128"/>
  <c r="BG61" i="128"/>
  <c r="BG49" i="128"/>
  <c r="BG37" i="128"/>
  <c r="BG80" i="128"/>
  <c r="BG68" i="128"/>
  <c r="BG56" i="128"/>
  <c r="BG44" i="128"/>
  <c r="BG32" i="128"/>
  <c r="BG82" i="128"/>
  <c r="BG70" i="128"/>
  <c r="BG58" i="128"/>
  <c r="BG46" i="128"/>
  <c r="BG77" i="128"/>
  <c r="BG65" i="128"/>
  <c r="BG53" i="128"/>
  <c r="BG41" i="128"/>
  <c r="BG72" i="128"/>
  <c r="BG60" i="128"/>
  <c r="BG48" i="128"/>
  <c r="BG36" i="128"/>
  <c r="BG79" i="128"/>
  <c r="BG67" i="128"/>
  <c r="BG55" i="128"/>
  <c r="BG43" i="128"/>
  <c r="BG31" i="128"/>
  <c r="BG19" i="128"/>
  <c r="BG74" i="128"/>
  <c r="BG62" i="128"/>
  <c r="BG50" i="128"/>
  <c r="BG38" i="128"/>
  <c r="BG81" i="128"/>
  <c r="BG69" i="128"/>
  <c r="BG57" i="128"/>
  <c r="BG45" i="128"/>
  <c r="BG76" i="128"/>
  <c r="BG64" i="128"/>
  <c r="BG52" i="128"/>
  <c r="BG40" i="128"/>
  <c r="BG71" i="128"/>
  <c r="BG59" i="128"/>
  <c r="BG47" i="128"/>
  <c r="BG35" i="128"/>
  <c r="BG23" i="128"/>
  <c r="AM74" i="128"/>
  <c r="AM62" i="128"/>
  <c r="AM50" i="128"/>
  <c r="AM38" i="128"/>
  <c r="AM81" i="128"/>
  <c r="AM69" i="128"/>
  <c r="AM57" i="128"/>
  <c r="AM45" i="128"/>
  <c r="AM33" i="128"/>
  <c r="AM71" i="128"/>
  <c r="AM59" i="128"/>
  <c r="AM47" i="128"/>
  <c r="AM78" i="128"/>
  <c r="AM66" i="128"/>
  <c r="AM54" i="128"/>
  <c r="AM42" i="128"/>
  <c r="AM73" i="128"/>
  <c r="AM61" i="128"/>
  <c r="AM49" i="128"/>
  <c r="AM37" i="128"/>
  <c r="AM80" i="128"/>
  <c r="AM68" i="128"/>
  <c r="AM56" i="128"/>
  <c r="AM44" i="128"/>
  <c r="AM32" i="128"/>
  <c r="AM20" i="128"/>
  <c r="AM75" i="128"/>
  <c r="AM63" i="128"/>
  <c r="AM51" i="128"/>
  <c r="AM39" i="128"/>
  <c r="AM82" i="128"/>
  <c r="AM70" i="128"/>
  <c r="AM58" i="128"/>
  <c r="AM46" i="128"/>
  <c r="AM77" i="128"/>
  <c r="AM65" i="128"/>
  <c r="AM53" i="128"/>
  <c r="AM41" i="128"/>
  <c r="AM72" i="128"/>
  <c r="AM60" i="128"/>
  <c r="AM48" i="128"/>
  <c r="AM36" i="128"/>
  <c r="AM24" i="128"/>
  <c r="BP5" i="128"/>
  <c r="BS5" i="128" s="1"/>
  <c r="BP6" i="128"/>
  <c r="S75" i="128"/>
  <c r="S63" i="128"/>
  <c r="S51" i="128"/>
  <c r="S39" i="128"/>
  <c r="S82" i="128"/>
  <c r="S70" i="128"/>
  <c r="S58" i="128"/>
  <c r="S46" i="128"/>
  <c r="S34" i="128"/>
  <c r="S22" i="128"/>
  <c r="S72" i="128"/>
  <c r="S60" i="128"/>
  <c r="S48" i="128"/>
  <c r="S79" i="128"/>
  <c r="S67" i="128"/>
  <c r="S55" i="128"/>
  <c r="S43" i="128"/>
  <c r="S74" i="128"/>
  <c r="S62" i="128"/>
  <c r="S50" i="128"/>
  <c r="S38" i="128"/>
  <c r="S81" i="128"/>
  <c r="S69" i="128"/>
  <c r="S57" i="128"/>
  <c r="S45" i="128"/>
  <c r="S33" i="128"/>
  <c r="S21" i="128"/>
  <c r="S76" i="128"/>
  <c r="S64" i="128"/>
  <c r="S52" i="128"/>
  <c r="S40" i="128"/>
  <c r="S71" i="128"/>
  <c r="S59" i="128"/>
  <c r="S47" i="128"/>
  <c r="S78" i="128"/>
  <c r="S66" i="128"/>
  <c r="S54" i="128"/>
  <c r="S42" i="128"/>
  <c r="S73" i="128"/>
  <c r="S61" i="128"/>
  <c r="S49" i="128"/>
  <c r="S37" i="128"/>
  <c r="S25" i="128"/>
  <c r="AQ81" i="128"/>
  <c r="AQ69" i="128"/>
  <c r="AQ57" i="128"/>
  <c r="AQ45" i="128"/>
  <c r="AQ33" i="128"/>
  <c r="AQ76" i="128"/>
  <c r="AQ64" i="128"/>
  <c r="AQ52" i="128"/>
  <c r="AQ40" i="128"/>
  <c r="AQ28" i="128"/>
  <c r="AQ78" i="128"/>
  <c r="AQ66" i="128"/>
  <c r="AQ54" i="128"/>
  <c r="AQ42" i="128"/>
  <c r="AQ73" i="128"/>
  <c r="AQ61" i="128"/>
  <c r="AQ49" i="128"/>
  <c r="AQ80" i="128"/>
  <c r="AQ68" i="128"/>
  <c r="AQ56" i="128"/>
  <c r="AQ44" i="128"/>
  <c r="AQ75" i="128"/>
  <c r="AQ63" i="128"/>
  <c r="AQ51" i="128"/>
  <c r="AQ39" i="128"/>
  <c r="AQ27" i="128"/>
  <c r="AQ82" i="128"/>
  <c r="AQ70" i="128"/>
  <c r="AQ58" i="128"/>
  <c r="AQ46" i="128"/>
  <c r="AQ77" i="128"/>
  <c r="AQ65" i="128"/>
  <c r="AQ53" i="128"/>
  <c r="AQ41" i="128"/>
  <c r="AQ72" i="128"/>
  <c r="AQ60" i="128"/>
  <c r="AQ48" i="128"/>
  <c r="AQ36" i="128"/>
  <c r="AQ79" i="128"/>
  <c r="AQ67" i="128"/>
  <c r="AQ55" i="128"/>
  <c r="AQ43" i="128"/>
  <c r="AQ31" i="128"/>
  <c r="AQ19" i="128"/>
  <c r="BO75" i="128"/>
  <c r="BO63" i="128"/>
  <c r="BO51" i="128"/>
  <c r="BO39" i="128"/>
  <c r="BO82" i="128"/>
  <c r="BO70" i="128"/>
  <c r="BO58" i="128"/>
  <c r="BO46" i="128"/>
  <c r="BO34" i="128"/>
  <c r="BO22" i="128"/>
  <c r="BO72" i="128"/>
  <c r="BO60" i="128"/>
  <c r="BO48" i="128"/>
  <c r="BO79" i="128"/>
  <c r="BO67" i="128"/>
  <c r="BO55" i="128"/>
  <c r="BO43" i="128"/>
  <c r="BO74" i="128"/>
  <c r="BO62" i="128"/>
  <c r="BO50" i="128"/>
  <c r="BO38" i="128"/>
  <c r="BO81" i="128"/>
  <c r="BO69" i="128"/>
  <c r="BO57" i="128"/>
  <c r="BO45" i="128"/>
  <c r="BO33" i="128"/>
  <c r="BO21" i="128"/>
  <c r="BO76" i="128"/>
  <c r="BO64" i="128"/>
  <c r="BO52" i="128"/>
  <c r="BO40" i="128"/>
  <c r="BO71" i="128"/>
  <c r="BO59" i="128"/>
  <c r="BO47" i="128"/>
  <c r="BO78" i="128"/>
  <c r="BO66" i="128"/>
  <c r="BO54" i="128"/>
  <c r="BO42" i="128"/>
  <c r="BO73" i="128"/>
  <c r="BO61" i="128"/>
  <c r="BO49" i="128"/>
  <c r="BO37" i="128"/>
  <c r="BO25" i="128"/>
  <c r="X5" i="128"/>
  <c r="AA5" i="128" s="1"/>
  <c r="AV5" i="128"/>
  <c r="AY5" i="128" s="1"/>
  <c r="BT5" i="128"/>
  <c r="BW5" i="128" s="1"/>
  <c r="V6" i="128"/>
  <c r="W6" i="128" s="1"/>
  <c r="AH6" i="128"/>
  <c r="AI6" i="128" s="1"/>
  <c r="AT6" i="128"/>
  <c r="AU6" i="128" s="1"/>
  <c r="BF6" i="128"/>
  <c r="BG6" i="128" s="1"/>
  <c r="BR6" i="128"/>
  <c r="BS6" i="128" s="1"/>
  <c r="AI7" i="128"/>
  <c r="O8" i="128"/>
  <c r="BK8" i="128"/>
  <c r="AQ9" i="128"/>
  <c r="W10" i="128"/>
  <c r="BS10" i="128"/>
  <c r="AY11" i="128"/>
  <c r="AE12" i="128"/>
  <c r="BG13" i="128"/>
  <c r="AM14" i="128"/>
  <c r="S15" i="128"/>
  <c r="BO15" i="128"/>
  <c r="AU16" i="128"/>
  <c r="AA17" i="128"/>
  <c r="BW17" i="128"/>
  <c r="BC18" i="128"/>
  <c r="AI19" i="128"/>
  <c r="AA20" i="128"/>
  <c r="O21" i="128"/>
  <c r="BW21" i="128"/>
  <c r="BS22" i="128"/>
  <c r="BK23" i="128"/>
  <c r="BG24" i="128"/>
  <c r="AY25" i="128"/>
  <c r="AY26" i="128"/>
  <c r="AU27" i="128"/>
  <c r="AM28" i="128"/>
  <c r="AM29" i="128"/>
  <c r="AI30" i="128"/>
  <c r="W31" i="128"/>
  <c r="O32" i="128"/>
  <c r="O35" i="128"/>
  <c r="O36" i="128"/>
  <c r="AY37" i="128"/>
  <c r="BC39" i="128"/>
  <c r="AU42" i="128"/>
  <c r="AU45" i="128"/>
  <c r="BS48" i="128"/>
  <c r="AM55" i="128"/>
  <c r="BK58" i="128"/>
  <c r="BK61" i="128"/>
  <c r="S65" i="128"/>
  <c r="BC68" i="128"/>
  <c r="BC71" i="128"/>
  <c r="AU78" i="128"/>
  <c r="AU81" i="128"/>
  <c r="AM7" i="128"/>
  <c r="AU9" i="128"/>
  <c r="AA10" i="128"/>
  <c r="BW10" i="128"/>
  <c r="BC11" i="128"/>
  <c r="AI12" i="128"/>
  <c r="O13" i="128"/>
  <c r="BK13" i="128"/>
  <c r="W15" i="128"/>
  <c r="AY16" i="128"/>
  <c r="AE17" i="128"/>
  <c r="BG18" i="128"/>
  <c r="AM19" i="128"/>
  <c r="AE20" i="128"/>
  <c r="W21" i="128"/>
  <c r="BW22" i="128"/>
  <c r="BO23" i="128"/>
  <c r="BK24" i="128"/>
  <c r="BG25" i="128"/>
  <c r="AY27" i="128"/>
  <c r="AU28" i="128"/>
  <c r="AQ29" i="128"/>
  <c r="AM30" i="128"/>
  <c r="AA31" i="128"/>
  <c r="S32" i="128"/>
  <c r="O33" i="128"/>
  <c r="O34" i="128"/>
  <c r="S35" i="128"/>
  <c r="S36" i="128"/>
  <c r="BK37" i="128"/>
  <c r="BG39" i="128"/>
  <c r="BG42" i="128"/>
  <c r="AM52" i="128"/>
  <c r="BW55" i="128"/>
  <c r="BW58" i="128"/>
  <c r="AE65" i="128"/>
  <c r="BO68" i="128"/>
  <c r="BG78" i="128"/>
  <c r="BC78" i="128"/>
  <c r="BC66" i="128"/>
  <c r="BC54" i="128"/>
  <c r="BC42" i="128"/>
  <c r="BC73" i="128"/>
  <c r="BC61" i="128"/>
  <c r="BC49" i="128"/>
  <c r="BC37" i="128"/>
  <c r="BC25" i="128"/>
  <c r="BC75" i="128"/>
  <c r="BC63" i="128"/>
  <c r="BC51" i="128"/>
  <c r="BC82" i="128"/>
  <c r="BC70" i="128"/>
  <c r="BC58" i="128"/>
  <c r="BC46" i="128"/>
  <c r="BC77" i="128"/>
  <c r="BC65" i="128"/>
  <c r="BC53" i="128"/>
  <c r="BC41" i="128"/>
  <c r="BC72" i="128"/>
  <c r="BC60" i="128"/>
  <c r="BC48" i="128"/>
  <c r="BC36" i="128"/>
  <c r="BC24" i="128"/>
  <c r="BC79" i="128"/>
  <c r="BC67" i="128"/>
  <c r="BC55" i="128"/>
  <c r="BC43" i="128"/>
  <c r="BC74" i="128"/>
  <c r="BC62" i="128"/>
  <c r="BC50" i="128"/>
  <c r="BC38" i="128"/>
  <c r="BC81" i="128"/>
  <c r="BC69" i="128"/>
  <c r="BC57" i="128"/>
  <c r="BC45" i="128"/>
  <c r="BC76" i="128"/>
  <c r="BC64" i="128"/>
  <c r="BC52" i="128"/>
  <c r="BC40" i="128"/>
  <c r="BC28" i="128"/>
  <c r="AA11" i="128"/>
  <c r="AY76" i="128"/>
  <c r="W82" i="128"/>
  <c r="W70" i="128"/>
  <c r="W58" i="128"/>
  <c r="W46" i="128"/>
  <c r="W34" i="128"/>
  <c r="W77" i="128"/>
  <c r="W65" i="128"/>
  <c r="W53" i="128"/>
  <c r="W41" i="128"/>
  <c r="W29" i="128"/>
  <c r="W79" i="128"/>
  <c r="W67" i="128"/>
  <c r="W55" i="128"/>
  <c r="W43" i="128"/>
  <c r="W74" i="128"/>
  <c r="W62" i="128"/>
  <c r="W50" i="128"/>
  <c r="W81" i="128"/>
  <c r="W69" i="128"/>
  <c r="W57" i="128"/>
  <c r="W45" i="128"/>
  <c r="W76" i="128"/>
  <c r="W64" i="128"/>
  <c r="W52" i="128"/>
  <c r="W40" i="128"/>
  <c r="W28" i="128"/>
  <c r="W71" i="128"/>
  <c r="W59" i="128"/>
  <c r="W47" i="128"/>
  <c r="W78" i="128"/>
  <c r="W66" i="128"/>
  <c r="W54" i="128"/>
  <c r="W42" i="128"/>
  <c r="W73" i="128"/>
  <c r="W61" i="128"/>
  <c r="W49" i="128"/>
  <c r="W37" i="128"/>
  <c r="W80" i="128"/>
  <c r="W68" i="128"/>
  <c r="W56" i="128"/>
  <c r="W44" i="128"/>
  <c r="W32" i="128"/>
  <c r="W20" i="128"/>
  <c r="BS82" i="128"/>
  <c r="BS70" i="128"/>
  <c r="BS58" i="128"/>
  <c r="BS46" i="128"/>
  <c r="BS34" i="128"/>
  <c r="BS77" i="128"/>
  <c r="BS65" i="128"/>
  <c r="BS53" i="128"/>
  <c r="BS41" i="128"/>
  <c r="BS29" i="128"/>
  <c r="BS79" i="128"/>
  <c r="BS67" i="128"/>
  <c r="BS55" i="128"/>
  <c r="BS43" i="128"/>
  <c r="BS74" i="128"/>
  <c r="BS62" i="128"/>
  <c r="BS50" i="128"/>
  <c r="BS81" i="128"/>
  <c r="BS69" i="128"/>
  <c r="BS57" i="128"/>
  <c r="BS45" i="128"/>
  <c r="BS76" i="128"/>
  <c r="BS64" i="128"/>
  <c r="BS52" i="128"/>
  <c r="BS40" i="128"/>
  <c r="BS28" i="128"/>
  <c r="BS71" i="128"/>
  <c r="BS59" i="128"/>
  <c r="BS47" i="128"/>
  <c r="BS78" i="128"/>
  <c r="BS66" i="128"/>
  <c r="BS54" i="128"/>
  <c r="BS42" i="128"/>
  <c r="BS73" i="128"/>
  <c r="BS61" i="128"/>
  <c r="BS49" i="128"/>
  <c r="BS37" i="128"/>
  <c r="BS80" i="128"/>
  <c r="BS68" i="128"/>
  <c r="BS56" i="128"/>
  <c r="BS44" i="128"/>
  <c r="BS32" i="128"/>
  <c r="BS20" i="128"/>
  <c r="AB5" i="128"/>
  <c r="AE5" i="128" s="1"/>
  <c r="L6" i="128"/>
  <c r="X6" i="128"/>
  <c r="AV6" i="128"/>
  <c r="BH6" i="128"/>
  <c r="W8" i="128"/>
  <c r="BS8" i="128"/>
  <c r="AY9" i="128"/>
  <c r="AE10" i="128"/>
  <c r="BG11" i="128"/>
  <c r="AM12" i="128"/>
  <c r="AU14" i="128"/>
  <c r="AA15" i="128"/>
  <c r="BW15" i="128"/>
  <c r="BC16" i="128"/>
  <c r="AI17" i="128"/>
  <c r="O18" i="128"/>
  <c r="BK18" i="128"/>
  <c r="AU19" i="128"/>
  <c r="AI20" i="128"/>
  <c r="AA21" i="128"/>
  <c r="O22" i="128"/>
  <c r="BS23" i="128"/>
  <c r="BO24" i="128"/>
  <c r="BK25" i="128"/>
  <c r="BG26" i="128"/>
  <c r="BC27" i="128"/>
  <c r="AY28" i="128"/>
  <c r="AQ30" i="128"/>
  <c r="AI31" i="128"/>
  <c r="AA32" i="128"/>
  <c r="W33" i="128"/>
  <c r="AA34" i="128"/>
  <c r="W35" i="128"/>
  <c r="W36" i="128"/>
  <c r="BS39" i="128"/>
  <c r="O46" i="128"/>
  <c r="O49" i="128"/>
  <c r="AY52" i="128"/>
  <c r="AE62" i="128"/>
  <c r="BO65" i="128"/>
  <c r="W72" i="128"/>
  <c r="BG75" i="128"/>
  <c r="O82" i="128"/>
  <c r="AZ6" i="128"/>
  <c r="AU76" i="128"/>
  <c r="AU64" i="128"/>
  <c r="AU52" i="128"/>
  <c r="AU40" i="128"/>
  <c r="AU71" i="128"/>
  <c r="AU59" i="128"/>
  <c r="AU47" i="128"/>
  <c r="AU35" i="128"/>
  <c r="AU23" i="128"/>
  <c r="AU73" i="128"/>
  <c r="AU61" i="128"/>
  <c r="AU49" i="128"/>
  <c r="AU80" i="128"/>
  <c r="AU68" i="128"/>
  <c r="AU56" i="128"/>
  <c r="AU44" i="128"/>
  <c r="AU75" i="128"/>
  <c r="AU63" i="128"/>
  <c r="AU51" i="128"/>
  <c r="AU39" i="128"/>
  <c r="AU82" i="128"/>
  <c r="AU70" i="128"/>
  <c r="AU58" i="128"/>
  <c r="AU46" i="128"/>
  <c r="AU34" i="128"/>
  <c r="AU22" i="128"/>
  <c r="AU77" i="128"/>
  <c r="AU65" i="128"/>
  <c r="AU53" i="128"/>
  <c r="AU41" i="128"/>
  <c r="AU72" i="128"/>
  <c r="AU60" i="128"/>
  <c r="AU48" i="128"/>
  <c r="AU79" i="128"/>
  <c r="AU67" i="128"/>
  <c r="AU55" i="128"/>
  <c r="AU43" i="128"/>
  <c r="AU74" i="128"/>
  <c r="AU62" i="128"/>
  <c r="AU50" i="128"/>
  <c r="AU38" i="128"/>
  <c r="AU26" i="128"/>
  <c r="AZ5" i="128"/>
  <c r="BC5" i="128" s="1"/>
  <c r="AJ6" i="128"/>
  <c r="BT6" i="128"/>
  <c r="T4" i="128"/>
  <c r="AR4" i="128"/>
  <c r="BP4" i="128"/>
  <c r="M6" i="128"/>
  <c r="Y6" i="128"/>
  <c r="AK6" i="128"/>
  <c r="AW6" i="128"/>
  <c r="BI6" i="128"/>
  <c r="BU6" i="128"/>
  <c r="AU7" i="128"/>
  <c r="AA8" i="128"/>
  <c r="BW8" i="128"/>
  <c r="BC9" i="128"/>
  <c r="AI10" i="128"/>
  <c r="O11" i="128"/>
  <c r="BK11" i="128"/>
  <c r="AQ12" i="128"/>
  <c r="W13" i="128"/>
  <c r="BS13" i="128"/>
  <c r="AY14" i="128"/>
  <c r="AE15" i="128"/>
  <c r="BG16" i="128"/>
  <c r="AM17" i="128"/>
  <c r="S18" i="128"/>
  <c r="BO18" i="128"/>
  <c r="AY19" i="128"/>
  <c r="AQ20" i="128"/>
  <c r="AE21" i="128"/>
  <c r="W22" i="128"/>
  <c r="O23" i="128"/>
  <c r="BS24" i="128"/>
  <c r="BS25" i="128"/>
  <c r="BO26" i="128"/>
  <c r="BG27" i="128"/>
  <c r="BG28" i="128"/>
  <c r="BC29" i="128"/>
  <c r="AU30" i="128"/>
  <c r="AM31" i="128"/>
  <c r="AE32" i="128"/>
  <c r="AA33" i="128"/>
  <c r="AI34" i="128"/>
  <c r="AE35" i="128"/>
  <c r="AI36" i="128"/>
  <c r="W38" i="128"/>
  <c r="AA43" i="128"/>
  <c r="AA46" i="128"/>
  <c r="AY49" i="128"/>
  <c r="S56" i="128"/>
  <c r="AQ59" i="128"/>
  <c r="AQ62" i="128"/>
  <c r="AI69" i="128"/>
  <c r="AI72" i="128"/>
  <c r="BS75" i="128"/>
  <c r="AA79" i="128"/>
  <c r="AA82" i="128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<sst xmlns="http://schemas.openxmlformats.org/spreadsheetml/2006/main" count="1270" uniqueCount="772">
  <si>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</si>
  <si>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</si>
  <si>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</si>
  <si>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</si>
  <si>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</si>
  <si>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</si>
  <si>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</si>
  <si>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</si>
  <si>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</si>
  <si>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</si>
  <si>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</si>
  <si>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</si>
  <si>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</si>
  <si>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</si>
  <si>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</si>
  <si>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</si>
  <si>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</si>
  <si>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</si>
  <si>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</si>
  <si>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</si>
  <si>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</si>
  <si>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</si>
  <si>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</si>
  <si>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</si>
  <si>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</si>
  <si>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</si>
  <si>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</si>
  <si>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</si>
  <si>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</si>
  <si>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</si>
  <si>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</si>
  <si>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</si>
  <si>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</si>
  <si>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</si>
  <si>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</si>
  <si>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</si>
  <si>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</si>
  <si>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</si>
  <si>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</si>
  <si>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</si>
  <si>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</si>
  <si>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</si>
  <si>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</si>
  <si>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</si>
  <si>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</si>
  <si>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</si>
  <si>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</si>
  <si>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</si>
  <si>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</si>
  <si>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</si>
  <si>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</si>
  <si>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</si>
  <si>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</si>
  <si>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</si>
  <si>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</si>
  <si>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</si>
  <si>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</si>
  <si>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</si>
  <si>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</si>
  <si>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</si>
  <si>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</si>
  <si>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</si>
  <si>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</si>
  <si>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</si>
  <si>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</si>
  <si>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</si>
  <si>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</si>
  <si>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</si>
  <si>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</si>
  <si>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</si>
  <si>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</si>
  <si>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</si>
  <si>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</si>
  <si>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</si>
  <si>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</si>
  <si>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</si>
  <si>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</si>
  <si>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</si>
  <si>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</si>
  <si>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</si>
  <si>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</si>
  <si>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</si>
  <si>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</si>
  <si>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</si>
  <si>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</si>
  <si>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</si>
  <si>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</si>
  <si>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</si>
  <si>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</si>
  <si>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</si>
  <si>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</si>
  <si>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</si>
  <si>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</si>
  <si>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</si>
  <si>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</si>
  <si>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</si>
  <si>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</si>
  <si>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</si>
  <si>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</si>
  <si>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</si>
  <si>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</si>
  <si>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</si>
  <si>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</si>
  <si>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</si>
  <si>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</si>
  <si>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</si>
  <si>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</si>
  <si>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</si>
  <si>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</si>
  <si>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</si>
  <si>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</si>
  <si>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</si>
  <si>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</si>
  <si>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</si>
  <si>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</si>
  <si>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</si>
  <si>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</si>
  <si>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</si>
  <si>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</si>
  <si>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</si>
  <si>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</si>
  <si>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</si>
  <si>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</si>
  <si>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</si>
  <si>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</si>
  <si>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</si>
  <si>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</si>
  <si>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</si>
  <si>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</si>
  <si>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</si>
  <si>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</si>
  <si>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</si>
  <si>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</si>
  <si>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</si>
  <si>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</si>
  <si>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</si>
  <si>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</si>
  <si>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</si>
  <si>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</si>
  <si>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</si>
  <si>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</si>
  <si>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</si>
  <si>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</si>
  <si>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</si>
  <si>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</si>
  <si>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</si>
  <si>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</si>
  <si>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</si>
  <si>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</si>
  <si>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</si>
  <si>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</si>
  <si>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</si>
  <si>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</si>
  <si>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</si>
  <si>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</si>
  <si>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</si>
  <si>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</si>
  <si>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</si>
  <si>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</si>
  <si>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</si>
  <si>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</si>
  <si>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</si>
  <si>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</si>
  <si>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</si>
  <si>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</si>
  <si>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</si>
  <si>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</si>
  <si>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</si>
  <si>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</si>
  <si>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</si>
  <si>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</si>
  <si>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</si>
  <si>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</si>
  <si>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</si>
  <si>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</si>
  <si>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</si>
  <si>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</si>
  <si>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</si>
  <si>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</si>
  <si>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</si>
  <si>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</si>
  <si>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</si>
  <si>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</si>
  <si>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</si>
  <si>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</si>
  <si>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</si>
  <si>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</si>
  <si>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</si>
  <si>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</si>
  <si>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</si>
  <si>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</si>
  <si>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</si>
  <si>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</si>
  <si>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</si>
  <si>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</si>
  <si>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</si>
  <si>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</si>
  <si>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</si>
  <si>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</si>
  <si>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</si>
  <si>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</si>
  <si>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</si>
  <si>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</si>
  <si>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</si>
  <si>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</si>
  <si>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</si>
  <si>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</si>
  <si>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</si>
  <si>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</si>
  <si>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</si>
  <si>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</si>
  <si>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</si>
  <si>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</si>
  <si>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</si>
  <si>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</si>
  <si>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</si>
  <si>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</si>
  <si>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</si>
  <si>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</si>
  <si>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</si>
  <si>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</si>
  <si>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</si>
  <si>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</si>
  <si>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</si>
  <si>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</si>
  <si>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</si>
  <si>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</si>
  <si>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</si>
  <si>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</si>
  <si>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</si>
  <si>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</si>
  <si>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</si>
  <si>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</si>
  <si>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</si>
  <si>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</si>
  <si>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</si>
  <si>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</si>
  <si>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</si>
  <si>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</si>
  <si>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</si>
  <si>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</si>
  <si>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</si>
  <si>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</si>
  <si>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</si>
  <si>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</si>
  <si>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</si>
  <si>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</si>
  <si>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</si>
  <si>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</si>
  <si>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</si>
  <si>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</si>
  <si>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</si>
  <si>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</si>
  <si>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</si>
  <si>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</si>
  <si>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</si>
  <si>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</si>
  <si>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</si>
  <si>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</si>
  <si>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</si>
  <si>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</si>
  <si>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</si>
  <si>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</si>
  <si>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</si>
  <si>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</si>
  <si>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</si>
  <si>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</si>
  <si>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</si>
  <si>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</si>
  <si>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</si>
  <si>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</si>
  <si>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</si>
  <si>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</si>
  <si>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</si>
  <si>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</si>
  <si>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</si>
  <si>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</si>
  <si>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</si>
  <si>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</si>
  <si>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</si>
  <si>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</si>
  <si>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</si>
  <si>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</si>
  <si>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</si>
  <si>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</si>
  <si>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</si>
  <si>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</si>
  <si>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</si>
  <si>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</si>
  <si>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</si>
  <si>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</si>
  <si>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</si>
  <si>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</si>
  <si>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</si>
  <si>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</si>
  <si>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</si>
  <si>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</si>
  <si>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</si>
  <si>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</si>
  <si>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</si>
  <si>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</si>
  <si>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</si>
  <si>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</si>
  <si>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</si>
  <si>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</si>
  <si>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</si>
  <si>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</si>
  <si>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</si>
  <si>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</si>
  <si>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</si>
  <si>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</si>
  <si>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</si>
  <si>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</si>
  <si>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</si>
  <si>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</si>
  <si>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</si>
  <si>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</si>
  <si>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</si>
  <si>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</si>
  <si>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</si>
  <si>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</si>
  <si>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</si>
  <si>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</si>
  <si>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</si>
  <si>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</si>
  <si>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</si>
  <si>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</si>
  <si>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</si>
  <si>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</si>
  <si>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</si>
  <si>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</si>
  <si>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</si>
  <si>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</si>
  <si>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</si>
  <si>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</si>
  <si>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</si>
  <si>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</si>
  <si>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</si>
  <si>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</si>
  <si>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</si>
  <si>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</si>
  <si>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</si>
  <si>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</si>
  <si>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</si>
  <si>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</si>
  <si>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</si>
  <si>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</si>
  <si>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</si>
  <si>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</si>
  <si>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</si>
  <si>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</si>
  <si>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</si>
  <si>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</si>
  <si>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</si>
  <si>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</si>
  <si>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</si>
  <si>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</si>
  <si>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</si>
  <si>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</si>
  <si>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</si>
  <si>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</si>
  <si>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</si>
  <si>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</si>
  <si>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</si>
  <si>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</si>
  <si>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</si>
  <si>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</si>
  <si>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</si>
  <si>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</si>
  <si>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</si>
  <si>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</si>
  <si>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</si>
  <si>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</si>
  <si>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</si>
  <si>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</si>
  <si>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</si>
  <si>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</si>
  <si>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</si>
  <si>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</si>
  <si>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</si>
  <si>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</si>
  <si>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</si>
  <si>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</si>
  <si>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</si>
  <si>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</si>
  <si>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</si>
  <si>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</si>
  <si>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</si>
  <si>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</si>
  <si>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</si>
  <si>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</si>
  <si>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</si>
  <si>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</si>
  <si>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</si>
  <si>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</si>
  <si>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</si>
  <si>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</si>
  <si>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</si>
  <si>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</si>
  <si>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</si>
  <si>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</si>
  <si>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</si>
  <si>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</si>
  <si>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</si>
  <si>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</si>
  <si>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</si>
  <si>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</si>
  <si>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</si>
  <si>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</si>
  <si>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</si>
  <si>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</si>
  <si>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</si>
  <si>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</si>
  <si>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</si>
  <si>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</si>
  <si>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</si>
  <si>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</si>
  <si>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</si>
  <si>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</si>
  <si>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</si>
  <si>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</si>
  <si>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</si>
  <si>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</si>
  <si>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</si>
  <si>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</si>
  <si>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</si>
  <si>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</si>
  <si>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</si>
  <si>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</si>
  <si>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</si>
  <si>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</si>
  <si>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</si>
  <si>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</si>
  <si>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</si>
  <si>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</si>
  <si>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</si>
  <si>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</si>
  <si>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</si>
  <si>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</si>
  <si>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</si>
  <si>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</si>
  <si>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</si>
  <si>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</si>
  <si>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</si>
  <si>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</si>
  <si>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</si>
  <si>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</si>
  <si>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</si>
  <si>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</si>
  <si>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</si>
  <si>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</si>
  <si>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</si>
  <si>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</si>
  <si>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</si>
  <si>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</si>
  <si>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</si>
  <si>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</si>
  <si>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</si>
  <si>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</si>
  <si>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</si>
  <si>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</si>
  <si>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</si>
  <si>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</si>
  <si>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</si>
  <si>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</si>
  <si>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</si>
  <si>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</si>
  <si>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</si>
  <si>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</si>
  <si>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</si>
  <si>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</si>
  <si>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</si>
  <si>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</si>
  <si>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</si>
  <si>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</si>
  <si>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</si>
  <si>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</si>
  <si>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</si>
  <si>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</si>
  <si>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</si>
  <si>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</si>
  <si>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</si>
  <si>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</si>
  <si>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</si>
  <si>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</si>
  <si>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</si>
  <si>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</si>
  <si>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</si>
  <si>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</si>
  <si>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</si>
  <si>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</si>
  <si>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</si>
  <si>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</si>
  <si>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</si>
  <si>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</si>
  <si>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</si>
  <si>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</si>
  <si>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</si>
  <si>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</si>
  <si>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</si>
  <si>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</si>
  <si>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</si>
  <si>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</si>
  <si>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</si>
  <si>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</si>
  <si>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</si>
  <si>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</si>
  <si>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</si>
  <si>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</si>
  <si>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</si>
  <si>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</si>
  <si>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</si>
  <si>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</si>
  <si>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</si>
  <si>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</si>
  <si>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</si>
  <si>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</si>
  <si>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</si>
  <si>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</si>
  <si>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</si>
  <si>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</si>
  <si>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</si>
  <si>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</si>
  <si>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</si>
  <si>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</si>
  <si>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</si>
  <si>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</si>
  <si>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</si>
  <si>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</si>
  <si>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</si>
  <si>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</si>
  <si>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</si>
  <si>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</si>
  <si>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</si>
  <si>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</si>
  <si>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</si>
  <si>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</si>
  <si>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</si>
  <si>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</si>
  <si>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</si>
  <si>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</si>
  <si>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</si>
  <si>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</si>
  <si>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</si>
  <si>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</si>
  <si>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</si>
  <si>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</si>
  <si>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</si>
  <si>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</si>
  <si>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</si>
  <si>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</si>
  <si>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</si>
  <si>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</si>
  <si>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</si>
  <si>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</si>
  <si>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</si>
  <si>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</si>
  <si>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</si>
  <si>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</si>
  <si>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</si>
  <si>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</si>
  <si>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</si>
  <si>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</si>
  <si>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</si>
  <si>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</si>
  <si>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</si>
  <si>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</si>
  <si>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</si>
  <si>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</si>
  <si>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</si>
  <si>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</si>
  <si>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</si>
  <si>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</si>
  <si>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</si>
  <si>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</si>
  <si>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</si>
  <si>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</si>
  <si>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</si>
  <si>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</si>
  <si>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</si>
  <si>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</si>
  <si>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</si>
  <si>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</si>
  <si>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</si>
  <si>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</si>
  <si>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</si>
  <si>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</si>
  <si>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</si>
  <si>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</si>
  <si>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</si>
  <si>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</si>
  <si>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</si>
  <si>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</si>
  <si>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</si>
  <si>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</si>
  <si>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</si>
  <si>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</si>
  <si>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</si>
  <si>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</si>
  <si>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</si>
  <si>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</si>
  <si>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</si>
  <si>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</si>
  <si>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</si>
  <si>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</si>
  <si>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</si>
  <si>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</si>
  <si>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</si>
  <si>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</si>
  <si>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</si>
  <si>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</si>
  <si>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</si>
  <si>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</si>
  <si>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</si>
  <si>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</si>
  <si>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</si>
  <si>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</si>
  <si>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</si>
  <si>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</si>
  <si>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</si>
  <si>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</si>
  <si>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</si>
  <si>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</si>
  <si>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</si>
  <si>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</si>
  <si>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</si>
  <si>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</si>
  <si>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</si>
  <si>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</si>
  <si>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</si>
  <si>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</si>
  <si>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</si>
  <si>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</si>
  <si>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</si>
  <si>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</si>
  <si>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</si>
  <si>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</si>
  <si>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</si>
  <si>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</si>
  <si>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</si>
  <si>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</si>
  <si>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</si>
  <si>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</si>
  <si>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</si>
  <si>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</si>
  <si>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</si>
  <si>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</si>
  <si>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</si>
  <si>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</si>
  <si>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</si>
  <si>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</si>
  <si>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</si>
  <si>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</si>
  <si>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</si>
  <si>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</si>
  <si>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</si>
  <si>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</si>
  <si>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</si>
  <si>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</si>
  <si>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</si>
  <si>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</si>
  <si>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</si>
  <si>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</si>
  <si>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</si>
  <si>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</si>
  <si>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</si>
  <si>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</si>
  <si>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</si>
  <si>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</si>
  <si>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</si>
  <si>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</si>
  <si>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</si>
  <si>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</si>
  <si>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</si>
  <si>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</si>
  <si>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</si>
  <si>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</si>
  <si>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</si>
  <si>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</si>
  <si>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</si>
  <si>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</si>
  <si>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</si>
  <si>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</si>
  <si>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</si>
  <si>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</si>
  <si>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</si>
  <si>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</si>
  <si>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</si>
  <si>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</si>
  <si>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</si>
  <si>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</si>
  <si>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</si>
  <si>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</si>
  <si>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</si>
  <si>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</si>
  <si>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</si>
  <si>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</si>
  <si>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</si>
  <si>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</si>
  <si>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23C766118-01</t>
  </si>
  <si>
    <t>ESTEEM ENDEAVOR</t>
  </si>
  <si>
    <t>Gasoil 0.001%S</t>
  </si>
  <si>
    <t>Anchor Down</t>
  </si>
  <si>
    <t>Anchor Up</t>
  </si>
  <si>
    <t>Berthed, Allfast</t>
  </si>
  <si>
    <t>Commence Preliminary Inspection</t>
  </si>
  <si>
    <t>Commence Loading</t>
  </si>
  <si>
    <t>Commence Ballasting</t>
  </si>
  <si>
    <t>Commence Final Inspection</t>
  </si>
  <si>
    <t>Load Gasoil 0.001%S - 145500 Barrels</t>
  </si>
  <si>
    <t>Load JET A-1 - 49500 Barrels</t>
  </si>
  <si>
    <t>Load Unleaded Gasoline 95 Ron - 77500 Barrels</t>
  </si>
  <si>
    <t>*</t>
  </si>
  <si>
    <t>Acid and Base Numbers (Color-Indicator Titration, Colorimetric)</t>
  </si>
  <si>
    <t>Appearance Procedure 2</t>
  </si>
  <si>
    <t>Haze Rating</t>
  </si>
  <si>
    <t>Aromatic Hydrocarbon Types in Diesel or Middle Distillates</t>
  </si>
  <si>
    <t>Ash Content</t>
  </si>
  <si>
    <t>Carbon Residue</t>
  </si>
  <si>
    <t>Cetane Index by Four Variable Equation (Calculation)</t>
  </si>
  <si>
    <t>Cold Filter Plugging Point (CFPP) of Diesel and Domestic Heating Fuels</t>
  </si>
  <si>
    <t>Cloud Point</t>
  </si>
  <si>
    <t>Color of Petroleum Products (ASTM Scale)</t>
  </si>
  <si>
    <t>Copper Corrosion, 3hr @ 50C</t>
  </si>
  <si>
    <t>Density @ 15C</t>
  </si>
  <si>
    <t>Distillation 95% Recovered</t>
  </si>
  <si>
    <t>Electrical Conductivity of Aviation and Distillate Fuels</t>
  </si>
  <si>
    <t>Fatty Acid Methyl Esters (FAME) in Middle Distillates - IR Spectroscopy Method (Biodiesel Content)</t>
  </si>
  <si>
    <t>Filter Blocking Tendancy - Final Pressure</t>
  </si>
  <si>
    <t>Flash Point</t>
  </si>
  <si>
    <t>Hydrogen Sulfide - Rapid Liquid Phase Extraction Method</t>
  </si>
  <si>
    <t>Lubricity of Diesel Fuel (HFRR Method)</t>
  </si>
  <si>
    <t>Oxidation Stability of Distillate Fuels</t>
  </si>
  <si>
    <t>Sulfur Content</t>
  </si>
  <si>
    <t>Viscosity - Kinematic at 40ºC (104ºF)</t>
  </si>
  <si>
    <t>Water and Sediment in Middle Distillate Fuels (Centrifuge Method)</t>
  </si>
  <si>
    <t>Additives (declaration)</t>
  </si>
  <si>
    <t>max = 0 (buy)</t>
  </si>
  <si>
    <t>max = 0.5 (buy)</t>
  </si>
  <si>
    <t>n/a</t>
  </si>
  <si>
    <t>min = 8 (buy)</t>
  </si>
  <si>
    <t>max = 11 (buy)</t>
  </si>
  <si>
    <t>max = 0.01 (buy)</t>
  </si>
  <si>
    <t>max = 0.20 (buy)</t>
  </si>
  <si>
    <t>min = 46 (buy)</t>
  </si>
  <si>
    <t>Report only</t>
  </si>
  <si>
    <t>max = 9 (buy)</t>
  </si>
  <si>
    <t>max = 1 (buy)</t>
  </si>
  <si>
    <t>min = 0.820 / max = 0.850 (buy)</t>
  </si>
  <si>
    <t>max = 360 (buy)</t>
  </si>
  <si>
    <t>min = 150 / max = 500 (buy)</t>
  </si>
  <si>
    <t>max = 0.05 (buy)</t>
  </si>
  <si>
    <t>max = 1.41 (buy)</t>
  </si>
  <si>
    <t>min = 64 (buy)</t>
  </si>
  <si>
    <t>max = 2.0 (buy)</t>
  </si>
  <si>
    <t>max = 460 (buy)</t>
  </si>
  <si>
    <t>max = 2.5 (buy)</t>
  </si>
  <si>
    <t>max = 10 (buy)</t>
  </si>
  <si>
    <t>min = 2.0 / max = 4.5 (buy)</t>
  </si>
  <si>
    <t>mg KOH/g</t>
  </si>
  <si>
    <t>pass/fail</t>
  </si>
  <si>
    <t>rating</t>
  </si>
  <si>
    <t>%m/m</t>
  </si>
  <si>
    <t>calc</t>
  </si>
  <si>
    <t>°C</t>
  </si>
  <si>
    <t>kg/l</t>
  </si>
  <si>
    <t>pS/m</t>
  </si>
  <si>
    <t>%vol</t>
  </si>
  <si>
    <t>mg/kg</t>
  </si>
  <si>
    <t>μm</t>
  </si>
  <si>
    <t>mg/100ml</t>
  </si>
  <si>
    <t>cSt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</si>
</sst>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3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checked="Checked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G27" sqref="G27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Yes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1</v>
      </c>
      <c r="C48" s="211">
        <f t="shared" ref="C48:C49" si="0">IF(LEFT(B48,1)="T",1,2)</f>
        <v>1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 t="s">
        <v>458</v>
      </c>
      <c r="D5" s="57"/>
      <c r="E5" s="94"/>
      <c r="F5" s="59"/>
      <c r="G5" s="60"/>
      <c r="H5" s="203" t="str">
        <f t="shared" ref="H5:H36" si="0">IF(OR(B5="*",C5=""),"",IF(OR(E5="",F5=""),"-",""))</f>
        <v>-</v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 t="s">
        <v>712</v>
      </c>
      <c r="C6" s="123" t="s">
        <v>526</v>
      </c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1</v>
      </c>
    </row>
    <row r="7" spans="1:36" ht="13.9" customHeight="1">
      <c r="A7" s="80">
        <v>3</v>
      </c>
      <c r="B7" s="122"/>
      <c r="C7" s="123" t="s">
        <v>702</v>
      </c>
      <c r="D7" s="57"/>
      <c r="E7" s="94"/>
      <c r="F7" s="59"/>
      <c r="G7" s="60"/>
      <c r="H7" s="203" t="str">
        <f t="shared" si="0"/>
        <v>-</v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 t="s">
        <v>530</v>
      </c>
      <c r="D8" s="57"/>
      <c r="E8" s="94"/>
      <c r="F8" s="59"/>
      <c r="G8" s="60"/>
      <c r="H8" s="203" t="str">
        <f t="shared" si="0"/>
        <v>-</v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 t="s">
        <v>703</v>
      </c>
      <c r="D9" s="57"/>
      <c r="E9" s="94"/>
      <c r="F9" s="59"/>
      <c r="G9" s="60"/>
      <c r="H9" s="203" t="str">
        <f t="shared" si="0"/>
        <v>-</v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 t="s">
        <v>497</v>
      </c>
      <c r="D10" s="57"/>
      <c r="E10" s="94"/>
      <c r="F10" s="59"/>
      <c r="G10" s="60"/>
      <c r="H10" s="203" t="str">
        <f t="shared" si="0"/>
        <v>-</v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 t="s">
        <v>712</v>
      </c>
      <c r="C11" s="123" t="s">
        <v>704</v>
      </c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1</v>
      </c>
    </row>
    <row r="12" spans="1:36" ht="13.9" customHeight="1">
      <c r="A12" s="80">
        <v>8</v>
      </c>
      <c r="B12" s="122"/>
      <c r="C12" s="123" t="s">
        <v>500</v>
      </c>
      <c r="D12" s="57"/>
      <c r="E12" s="94"/>
      <c r="F12" s="59"/>
      <c r="G12" s="60"/>
      <c r="H12" s="203" t="str">
        <f t="shared" si="0"/>
        <v>-</v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 t="s">
        <v>511</v>
      </c>
      <c r="D13" s="57"/>
      <c r="E13" s="94"/>
      <c r="F13" s="59"/>
      <c r="G13" s="60"/>
      <c r="H13" s="203" t="str">
        <f t="shared" si="0"/>
        <v>-</v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 t="s">
        <v>705</v>
      </c>
      <c r="D14" s="57"/>
      <c r="E14" s="94"/>
      <c r="F14" s="59"/>
      <c r="G14" s="60"/>
      <c r="H14" s="203" t="str">
        <f t="shared" si="0"/>
        <v>-</v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 t="s">
        <v>481</v>
      </c>
      <c r="D15" s="57"/>
      <c r="E15" s="94"/>
      <c r="F15" s="59"/>
      <c r="G15" s="60"/>
      <c r="H15" s="203" t="str">
        <f t="shared" si="0"/>
        <v>-</v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 t="s">
        <v>712</v>
      </c>
      <c r="C16" s="123" t="s">
        <v>503</v>
      </c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1</v>
      </c>
    </row>
    <row r="17" spans="1:27" ht="13.9" customHeight="1">
      <c r="A17" s="80">
        <v>13</v>
      </c>
      <c r="B17" s="122" t="s">
        <v>712</v>
      </c>
      <c r="C17" s="123" t="s">
        <v>706</v>
      </c>
      <c r="D17" s="57" t="s">
        <v>709</v>
      </c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1</v>
      </c>
    </row>
    <row r="18" spans="1:27" ht="13.9" customHeight="1">
      <c r="A18" s="80">
        <v>14</v>
      </c>
      <c r="B18" s="122" t="s">
        <v>712</v>
      </c>
      <c r="C18" s="123" t="s">
        <v>706</v>
      </c>
      <c r="D18" s="57" t="s">
        <v>710</v>
      </c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1</v>
      </c>
    </row>
    <row r="19" spans="1:27" ht="13.9" customHeight="1">
      <c r="A19" s="80">
        <v>15</v>
      </c>
      <c r="B19" s="122" t="s">
        <v>712</v>
      </c>
      <c r="C19" s="123" t="s">
        <v>706</v>
      </c>
      <c r="D19" s="57" t="s">
        <v>711</v>
      </c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1</v>
      </c>
    </row>
    <row r="20" spans="1:27" ht="13.9" customHeight="1">
      <c r="A20" s="80">
        <v>16</v>
      </c>
      <c r="B20" s="122"/>
      <c r="C20" s="123" t="s">
        <v>707</v>
      </c>
      <c r="D20" s="57"/>
      <c r="E20" s="94"/>
      <c r="F20" s="59"/>
      <c r="G20" s="60"/>
      <c r="H20" s="203" t="str">
        <f t="shared" si="0"/>
        <v>-</v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 t="s">
        <v>468</v>
      </c>
      <c r="D21" s="57"/>
      <c r="E21" s="94"/>
      <c r="F21" s="59"/>
      <c r="G21" s="60"/>
      <c r="H21" s="203" t="str">
        <f t="shared" si="0"/>
        <v>-</v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 t="s">
        <v>712</v>
      </c>
      <c r="C22" s="123" t="s">
        <v>480</v>
      </c>
      <c r="D22" s="58" t="s">
        <v>709</v>
      </c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1</v>
      </c>
    </row>
    <row r="23" spans="1:27" ht="13.9" customHeight="1">
      <c r="A23" s="80">
        <v>19</v>
      </c>
      <c r="B23" s="122" t="s">
        <v>712</v>
      </c>
      <c r="C23" s="123" t="s">
        <v>480</v>
      </c>
      <c r="D23" s="57" t="s">
        <v>710</v>
      </c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1</v>
      </c>
    </row>
    <row r="24" spans="1:27" ht="13.9" customHeight="1">
      <c r="A24" s="80">
        <v>20</v>
      </c>
      <c r="B24" s="122" t="s">
        <v>712</v>
      </c>
      <c r="C24" s="123" t="s">
        <v>480</v>
      </c>
      <c r="D24" s="57" t="s">
        <v>711</v>
      </c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1</v>
      </c>
    </row>
    <row r="25" spans="1:27" ht="13.9" customHeight="1">
      <c r="A25" s="80">
        <v>21</v>
      </c>
      <c r="B25" s="122"/>
      <c r="C25" s="123" t="s">
        <v>708</v>
      </c>
      <c r="D25" s="57"/>
      <c r="E25" s="94"/>
      <c r="F25" s="59"/>
      <c r="G25" s="60"/>
      <c r="H25" s="203" t="str">
        <f t="shared" si="0"/>
        <v>-</v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 t="s">
        <v>712</v>
      </c>
      <c r="C26" s="123" t="s">
        <v>504</v>
      </c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1</v>
      </c>
    </row>
    <row r="27" spans="1:27" ht="13.9" customHeight="1">
      <c r="A27" s="80">
        <v>23</v>
      </c>
      <c r="B27" s="122"/>
      <c r="C27" s="123" t="s">
        <v>476</v>
      </c>
      <c r="D27" s="57"/>
      <c r="E27" s="94"/>
      <c r="F27" s="59"/>
      <c r="G27" s="60"/>
      <c r="H27" s="203" t="str">
        <f t="shared" si="0"/>
        <v>-</v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 t="s">
        <v>467</v>
      </c>
      <c r="D28" s="57"/>
      <c r="E28" s="94"/>
      <c r="F28" s="59"/>
      <c r="G28" s="60"/>
      <c r="H28" s="203" t="str">
        <f t="shared" si="0"/>
        <v>-</v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 t="s">
        <v>528</v>
      </c>
      <c r="D29" s="57"/>
      <c r="E29" s="94"/>
      <c r="F29" s="59"/>
      <c r="G29" s="60"/>
      <c r="H29" s="203" t="str">
        <f t="shared" si="0"/>
        <v>-</v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 t="s">
        <v>712</v>
      </c>
      <c r="C30" s="123" t="s">
        <v>563</v>
      </c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1</v>
      </c>
    </row>
    <row r="31" spans="1:27" ht="13.9" customHeight="1">
      <c r="A31" s="80">
        <v>27</v>
      </c>
      <c r="B31" s="122"/>
      <c r="C31" s="123" t="s">
        <v>498</v>
      </c>
      <c r="D31" s="57"/>
      <c r="E31" s="94"/>
      <c r="F31" s="59"/>
      <c r="G31" s="60"/>
      <c r="H31" s="203" t="str">
        <f t="shared" si="0"/>
        <v>-</v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sheetProtection sheet="1" objects="1" scenarios="1"/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3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4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Gasoil 0.001%S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workbookViewId="0">
      <pane xSplit="3" ySplit="6" topLeftCell="D21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229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315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713</v>
      </c>
      <c r="D7" s="260"/>
      <c r="E7" s="126" t="s">
        <v>737</v>
      </c>
      <c r="F7" s="261"/>
      <c r="G7" s="20"/>
      <c r="H7" s="20"/>
      <c r="I7" s="262" t="s">
        <v>759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713</v>
      </c>
      <c r="D8" s="260"/>
      <c r="E8" s="126" t="s">
        <v>738</v>
      </c>
      <c r="F8" s="261"/>
      <c r="G8" s="20"/>
      <c r="H8" s="20"/>
      <c r="I8" s="262" t="s">
        <v>759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714</v>
      </c>
      <c r="D9" s="260"/>
      <c r="E9" s="126" t="s">
        <v>739</v>
      </c>
      <c r="F9" s="263"/>
      <c r="G9" s="20"/>
      <c r="H9" s="20"/>
      <c r="I9" s="262" t="s">
        <v>760</v>
      </c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715</v>
      </c>
      <c r="D10" s="260"/>
      <c r="E10" s="126" t="s">
        <v>739</v>
      </c>
      <c r="F10" s="263"/>
      <c r="G10" s="20"/>
      <c r="H10" s="20"/>
      <c r="I10" s="19" t="s">
        <v>761</v>
      </c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716</v>
      </c>
      <c r="D11" s="260"/>
      <c r="E11" s="126" t="s">
        <v>740</v>
      </c>
      <c r="F11" s="261"/>
      <c r="G11" s="20"/>
      <c r="H11" s="20"/>
      <c r="I11" s="262" t="s">
        <v>762</v>
      </c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716</v>
      </c>
      <c r="D12" s="260"/>
      <c r="E12" s="126" t="s">
        <v>741</v>
      </c>
      <c r="F12" s="261"/>
      <c r="G12" s="20"/>
      <c r="H12" s="20"/>
      <c r="I12" s="262" t="s">
        <v>762</v>
      </c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 t="s">
        <v>717</v>
      </c>
      <c r="D13" s="260"/>
      <c r="E13" s="126" t="s">
        <v>742</v>
      </c>
      <c r="F13" s="261"/>
      <c r="G13" s="20"/>
      <c r="H13" s="20"/>
      <c r="I13" s="262" t="s">
        <v>762</v>
      </c>
      <c r="J13" s="246" t="str">
        <f t="shared" si="16"/>
        <v>*</v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 t="s">
        <v>718</v>
      </c>
      <c r="D14" s="260"/>
      <c r="E14" s="126" t="s">
        <v>743</v>
      </c>
      <c r="F14" s="261"/>
      <c r="G14" s="20"/>
      <c r="H14" s="20"/>
      <c r="I14" s="262" t="s">
        <v>762</v>
      </c>
      <c r="J14" s="246" t="str">
        <f t="shared" si="16"/>
        <v>*</v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 t="s">
        <v>719</v>
      </c>
      <c r="D15" s="260"/>
      <c r="E15" s="126" t="s">
        <v>744</v>
      </c>
      <c r="F15" s="261"/>
      <c r="G15" s="20"/>
      <c r="H15" s="20"/>
      <c r="I15" s="262" t="s">
        <v>763</v>
      </c>
      <c r="J15" s="246" t="str">
        <f t="shared" si="16"/>
        <v>*</v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 t="s">
        <v>720</v>
      </c>
      <c r="D16" s="260"/>
      <c r="E16" s="126" t="s">
        <v>745</v>
      </c>
      <c r="F16" s="261"/>
      <c r="G16" s="20"/>
      <c r="H16" s="20"/>
      <c r="I16" s="262" t="s">
        <v>764</v>
      </c>
      <c r="J16" s="246" t="str">
        <f t="shared" si="16"/>
        <v>*</v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 t="s">
        <v>721</v>
      </c>
      <c r="D17" s="260"/>
      <c r="E17" s="126" t="s">
        <v>746</v>
      </c>
      <c r="F17" s="261"/>
      <c r="G17" s="20"/>
      <c r="H17" s="20"/>
      <c r="I17" s="262" t="s">
        <v>764</v>
      </c>
      <c r="J17" s="246" t="str">
        <f t="shared" si="16"/>
        <v>*</v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 t="s">
        <v>722</v>
      </c>
      <c r="D18" s="260"/>
      <c r="E18" s="126" t="s">
        <v>745</v>
      </c>
      <c r="F18" s="261"/>
      <c r="G18" s="20"/>
      <c r="H18" s="20"/>
      <c r="I18" s="262" t="s">
        <v>761</v>
      </c>
      <c r="J18" s="246" t="str">
        <f t="shared" si="16"/>
        <v>*</v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 t="s">
        <v>723</v>
      </c>
      <c r="D19" s="260"/>
      <c r="E19" s="126" t="s">
        <v>747</v>
      </c>
      <c r="F19" s="261"/>
      <c r="G19" s="20"/>
      <c r="H19" s="20"/>
      <c r="I19" s="19" t="s">
        <v>761</v>
      </c>
      <c r="J19" s="246" t="str">
        <f t="shared" si="16"/>
        <v>*</v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 t="s">
        <v>724</v>
      </c>
      <c r="D20" s="260"/>
      <c r="E20" s="126" t="s">
        <v>748</v>
      </c>
      <c r="F20" s="261"/>
      <c r="G20" s="20"/>
      <c r="H20" s="20"/>
      <c r="I20" s="262" t="s">
        <v>765</v>
      </c>
      <c r="J20" s="246" t="str">
        <f t="shared" si="16"/>
        <v>*</v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 t="s">
        <v>725</v>
      </c>
      <c r="D21" s="260"/>
      <c r="E21" s="126" t="s">
        <v>749</v>
      </c>
      <c r="F21" s="261"/>
      <c r="G21" s="20"/>
      <c r="H21" s="20"/>
      <c r="I21" s="262" t="s">
        <v>764</v>
      </c>
      <c r="J21" s="246" t="str">
        <f t="shared" si="16"/>
        <v>*</v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 t="s">
        <v>726</v>
      </c>
      <c r="D22" s="260"/>
      <c r="E22" s="126" t="s">
        <v>750</v>
      </c>
      <c r="F22" s="261"/>
      <c r="G22" s="20"/>
      <c r="H22" s="20"/>
      <c r="I22" s="19" t="s">
        <v>766</v>
      </c>
      <c r="J22" s="246" t="str">
        <f t="shared" si="16"/>
        <v>*</v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 t="s">
        <v>727</v>
      </c>
      <c r="D23" s="260"/>
      <c r="E23" s="126" t="s">
        <v>751</v>
      </c>
      <c r="F23" s="261"/>
      <c r="G23" s="20"/>
      <c r="H23" s="20"/>
      <c r="I23" s="19" t="s">
        <v>767</v>
      </c>
      <c r="J23" s="246" t="str">
        <f t="shared" si="16"/>
        <v>*</v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 t="s">
        <v>728</v>
      </c>
      <c r="D24" s="260"/>
      <c r="E24" s="126" t="s">
        <v>752</v>
      </c>
      <c r="F24" s="261"/>
      <c r="G24" s="20"/>
      <c r="H24" s="20"/>
      <c r="I24" s="262" t="s">
        <v>739</v>
      </c>
      <c r="J24" s="246" t="str">
        <f t="shared" si="16"/>
        <v>*</v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 t="s">
        <v>729</v>
      </c>
      <c r="D25" s="260"/>
      <c r="E25" s="126" t="s">
        <v>753</v>
      </c>
      <c r="F25" s="261"/>
      <c r="G25" s="20"/>
      <c r="H25" s="20"/>
      <c r="I25" s="262" t="s">
        <v>764</v>
      </c>
      <c r="J25" s="246" t="str">
        <f t="shared" si="16"/>
        <v>*</v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 t="s">
        <v>730</v>
      </c>
      <c r="D26" s="260"/>
      <c r="E26" s="126" t="s">
        <v>754</v>
      </c>
      <c r="F26" s="261"/>
      <c r="G26" s="20"/>
      <c r="H26" s="20"/>
      <c r="I26" s="19" t="s">
        <v>768</v>
      </c>
      <c r="J26" s="246" t="str">
        <f t="shared" si="16"/>
        <v>*</v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 t="s">
        <v>731</v>
      </c>
      <c r="D27" s="260"/>
      <c r="E27" s="126" t="s">
        <v>755</v>
      </c>
      <c r="F27" s="261"/>
      <c r="G27" s="20"/>
      <c r="H27" s="20"/>
      <c r="I27" s="262" t="s">
        <v>769</v>
      </c>
      <c r="J27" s="246" t="str">
        <f t="shared" si="16"/>
        <v>*</v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 t="s">
        <v>732</v>
      </c>
      <c r="D28" s="260"/>
      <c r="E28" s="126" t="s">
        <v>756</v>
      </c>
      <c r="F28" s="261"/>
      <c r="G28" s="20"/>
      <c r="H28" s="20"/>
      <c r="I28" s="262" t="s">
        <v>770</v>
      </c>
      <c r="J28" s="246" t="str">
        <f t="shared" si="16"/>
        <v>*</v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 t="s">
        <v>733</v>
      </c>
      <c r="D29" s="260"/>
      <c r="E29" s="126" t="s">
        <v>757</v>
      </c>
      <c r="F29" s="261"/>
      <c r="G29" s="20"/>
      <c r="H29" s="20"/>
      <c r="I29" s="262" t="s">
        <v>768</v>
      </c>
      <c r="J29" s="246" t="str">
        <f t="shared" si="16"/>
        <v>*</v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 t="s">
        <v>734</v>
      </c>
      <c r="D30" s="260"/>
      <c r="E30" s="126" t="s">
        <v>758</v>
      </c>
      <c r="F30" s="261"/>
      <c r="G30" s="20"/>
      <c r="H30" s="20"/>
      <c r="I30" s="262" t="s">
        <v>771</v>
      </c>
      <c r="J30" s="246" t="str">
        <f t="shared" si="16"/>
        <v>*</v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 t="s">
        <v>735</v>
      </c>
      <c r="D31" s="260"/>
      <c r="E31" s="126" t="s">
        <v>751</v>
      </c>
      <c r="F31" s="261"/>
      <c r="G31" s="20"/>
      <c r="H31" s="20"/>
      <c r="I31" s="262" t="s">
        <v>767</v>
      </c>
      <c r="J31" s="246" t="str">
        <f t="shared" si="16"/>
        <v>*</v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 t="s">
        <v>736</v>
      </c>
      <c r="D32" s="260"/>
      <c r="E32" s="126" t="s">
        <v>745</v>
      </c>
      <c r="F32" s="261"/>
      <c r="G32" s="20"/>
      <c r="H32" s="20"/>
      <c r="I32" s="262" t="s">
        <v>768</v>
      </c>
      <c r="J32" s="246" t="str">
        <f t="shared" si="16"/>
        <v>*</v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 t="s">
        <v>736</v>
      </c>
      <c r="D33" s="260"/>
      <c r="E33" s="126" t="s">
        <v>745</v>
      </c>
      <c r="F33" s="261"/>
      <c r="G33" s="20"/>
      <c r="H33" s="20"/>
      <c r="I33" s="262" t="s">
        <v>768</v>
      </c>
      <c r="J33" s="246" t="str">
        <f t="shared" si="16"/>
        <v>*</v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 t="s">
        <v>736</v>
      </c>
      <c r="D34" s="260"/>
      <c r="E34" s="126" t="s">
        <v>745</v>
      </c>
      <c r="F34" s="261"/>
      <c r="G34" s="20"/>
      <c r="H34" s="20"/>
      <c r="I34" s="262" t="s">
        <v>768</v>
      </c>
      <c r="J34" s="246" t="str">
        <f t="shared" si="16"/>
        <v>*</v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 t="s">
        <v>736</v>
      </c>
      <c r="D35" s="260"/>
      <c r="E35" s="126" t="s">
        <v>745</v>
      </c>
      <c r="F35" s="261"/>
      <c r="G35" s="20"/>
      <c r="H35" s="20"/>
      <c r="I35" s="262" t="s">
        <v>768</v>
      </c>
      <c r="J35" s="246" t="str">
        <f t="shared" si="16"/>
        <v>*</v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 t="s">
        <v>736</v>
      </c>
      <c r="D36" s="260"/>
      <c r="E36" s="126" t="s">
        <v>739</v>
      </c>
      <c r="F36" s="261"/>
      <c r="G36" s="20"/>
      <c r="H36" s="20"/>
      <c r="I36" s="262" t="s">
        <v>768</v>
      </c>
      <c r="J36" s="246" t="str">
        <f t="shared" si="16"/>
        <v>*</v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2"/>
      <c r="G85" s="29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185">
      <formula>$B7="v"</formula>
    </cfRule>
  </conditionalFormatting>
  <conditionalFormatting sqref="P7:Q82">
    <cfRule type="expression" dxfId="2262" priority="184">
      <formula>$B7="v"</formula>
    </cfRule>
  </conditionalFormatting>
  <conditionalFormatting sqref="R7:R82">
    <cfRule type="expression" dxfId="2261" priority="183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182">
      <formula>$B7="v"</formula>
    </cfRule>
  </conditionalFormatting>
  <conditionalFormatting sqref="X7:Y82 T7:U82 AJ7:AK82 AF7:AG82 AB7:AC82 AR7:AS82 AN7:AO82 BH7:BI82 BD7:BE82 AZ7:BA82 BT7:BU82 BP7:BQ82 BL7:BM82">
    <cfRule type="expression" dxfId="2259" priority="181">
      <formula>$B7="v"</formula>
    </cfRule>
  </conditionalFormatting>
  <conditionalFormatting sqref="AV7:AW82">
    <cfRule type="expression" dxfId="2258" priority="180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3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32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7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329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31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333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35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337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39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4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3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45">
      <formula>$AE$4=""</formula>
    </cfRule>
  </conditionalFormatting>
  <conditionalFormatting sqref="AJ7:AL82">
    <cfRule type="expression" dxfId="2081" priority="346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49">
      <formula>$AI$4=""</formula>
    </cfRule>
  </conditionalFormatting>
  <conditionalFormatting sqref="AN7:AP82">
    <cfRule type="expression" dxfId="2077" priority="350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53">
      <formula>$AM$4=""</formula>
    </cfRule>
  </conditionalFormatting>
  <conditionalFormatting sqref="AR7:AT82">
    <cfRule type="expression" dxfId="2073" priority="354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57">
      <formula>$AQ$4=""</formula>
    </cfRule>
  </conditionalFormatting>
  <conditionalFormatting sqref="AV7:AX82">
    <cfRule type="expression" dxfId="2070" priority="358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361">
      <formula>$AU$4=""</formula>
    </cfRule>
  </conditionalFormatting>
  <conditionalFormatting sqref="AZ7:BB82">
    <cfRule type="expression" dxfId="2067" priority="362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65">
      <formula>$AY$4=""</formula>
    </cfRule>
  </conditionalFormatting>
  <conditionalFormatting sqref="BD7:BF82">
    <cfRule type="expression" dxfId="2064" priority="366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69">
      <formula>$BC$4=""</formula>
    </cfRule>
  </conditionalFormatting>
  <conditionalFormatting sqref="BH7:BJ82">
    <cfRule type="expression" dxfId="2061" priority="370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73">
      <formula>$BG$4=""</formula>
    </cfRule>
  </conditionalFormatting>
  <conditionalFormatting sqref="BL7:BN82">
    <cfRule type="expression" dxfId="2058" priority="374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77">
      <formula>$BK$4=""</formula>
    </cfRule>
  </conditionalFormatting>
  <conditionalFormatting sqref="BP7:BR82">
    <cfRule type="expression" dxfId="2055" priority="378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81">
      <formula>$BO$4=""</formula>
    </cfRule>
  </conditionalFormatting>
  <conditionalFormatting sqref="BT7:BV82">
    <cfRule type="expression" dxfId="2052" priority="382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85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49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417CAE61-0E6A-43CF-9F7D-DAD95F6E3024}">
      <formula1>"* ,[IP] IP 139,[ASTM] D974,[ASTM] D664"</formula1>
    </dataValidation>
    <dataValidation type="list" allowBlank="1" showInputMessage="1" showErrorMessage="1" sqref="D8" xr:uid="{8A30104E-2A0A-4342-B35D-031550D79B78}">
      <formula1>"* ,[IP] IP 139,[ASTM] D664,[ASTM] D974"</formula1>
    </dataValidation>
    <dataValidation type="list" allowBlank="1" showInputMessage="1" showErrorMessage="1" sqref="D9 D10" xr:uid="{66341CDA-04A1-476B-B08F-023B33F66E7A}">
      <formula1>"* ,[ASTM] D4176 Procedure 2"</formula1>
    </dataValidation>
    <dataValidation type="list" allowBlank="1" showInputMessage="1" showErrorMessage="1" sqref="D11 D12" xr:uid="{9922F3F3-8B75-4979-8B02-40A28C7078A6}">
      <formula1>"* ,[IP] IP 391"</formula1>
    </dataValidation>
    <dataValidation type="list" allowBlank="1" showInputMessage="1" showErrorMessage="1" sqref="D13" xr:uid="{FE887C42-0B47-4BD0-B939-B68D8AAFB9A5}">
      <formula1>"* ,[IP] IP 4,[ASTM] D482"</formula1>
    </dataValidation>
    <dataValidation type="list" allowBlank="1" showInputMessage="1" showErrorMessage="1" sqref="D14" xr:uid="{EAC7F3AB-C374-45FF-A08D-FEE774B4685E}">
      <formula1>"* ,[ASTM] D4530,[ASTM] D189"</formula1>
    </dataValidation>
    <dataValidation type="list" allowBlank="1" showInputMessage="1" showErrorMessage="1" sqref="D15" xr:uid="{55C3DC83-5C49-4BD6-AC5E-BE597167A643}">
      <formula1>"* ,[ASTM] D4737"</formula1>
    </dataValidation>
    <dataValidation type="list" allowBlank="1" showInputMessage="1" showErrorMessage="1" sqref="D16" xr:uid="{A14F1E9A-F692-41F8-9905-A839DB611EE0}">
      <formula1>"* ,[IP] IP 309"</formula1>
    </dataValidation>
    <dataValidation type="list" allowBlank="1" showInputMessage="1" showErrorMessage="1" sqref="D17" xr:uid="{BD8BCE2A-7E09-411F-B610-7F819288D4DB}">
      <formula1>"* ,[ASTM] D5771,[ASTM] D2500,[ASTM] D5773,[IP] IP 219"</formula1>
    </dataValidation>
    <dataValidation type="list" allowBlank="1" showInputMessage="1" showErrorMessage="1" sqref="D18" xr:uid="{71A01B80-9DA2-4C64-B4F3-81A1AD3B6FB6}">
      <formula1>"* ,[IP] IP 196,[ASTM] D6045,[ASTM] D1500"</formula1>
    </dataValidation>
    <dataValidation type="list" allowBlank="1" showInputMessage="1" showErrorMessage="1" sqref="D19" xr:uid="{FEF02517-55B9-42EF-83CE-507D6CBB2F4C}">
      <formula1>"* ,[IP] IP 154,[ASTM] D130"</formula1>
    </dataValidation>
    <dataValidation type="list" allowBlank="1" showInputMessage="1" showErrorMessage="1" sqref="D20" xr:uid="{8DB1E6CE-7A64-4CCD-8B3A-5C6BD5525CA4}">
      <formula1>"* ,[ASTM] D1298,[ASTM] D4052"</formula1>
    </dataValidation>
    <dataValidation type="list" allowBlank="1" showInputMessage="1" showErrorMessage="1" sqref="D21" xr:uid="{3DD180DE-F3C0-4DE3-83F4-D5CA42CE14D8}">
      <formula1>"* ,[IP] IP 123,[ASTM] D86"</formula1>
    </dataValidation>
    <dataValidation type="list" allowBlank="1" showInputMessage="1" showErrorMessage="1" sqref="D22" xr:uid="{2960CF69-5BFF-4993-A965-D3B07C3FBB13}">
      <formula1>"* ,[ASTM] D2624"</formula1>
    </dataValidation>
    <dataValidation type="list" allowBlank="1" showInputMessage="1" showErrorMessage="1" sqref="D23" xr:uid="{BEBF1AAC-D4A0-45B0-8F1C-0EE33B861026}">
      <formula1>"* ,[EN] EN 14078"</formula1>
    </dataValidation>
    <dataValidation type="list" allowBlank="1" showInputMessage="1" showErrorMessage="1" sqref="D24" xr:uid="{F5716522-6B7A-4621-AC9B-7BFA7523E494}">
      <formula1>"* ,[IP] IP 387,[ASTM] D2068"</formula1>
    </dataValidation>
    <dataValidation type="list" allowBlank="1" showInputMessage="1" showErrorMessage="1" sqref="D25" xr:uid="{0F8826AA-F1AD-4373-8984-12901D9BA251}">
      <formula1>"* ,[ASTM] D93"</formula1>
    </dataValidation>
    <dataValidation type="list" allowBlank="1" showInputMessage="1" showErrorMessage="1" sqref="D26" xr:uid="{2D91D0BA-D2CA-40A1-A70F-C1EDCD5CDAB2}">
      <formula1>"* ,[IP] IP 570 - Procedure A"</formula1>
    </dataValidation>
    <dataValidation type="list" allowBlank="1" showInputMessage="1" showErrorMessage="1" sqref="D27" xr:uid="{7905C5C8-3485-4B4E-B4A7-F1A974CB461F}">
      <formula1>"* ,[IP] IP 450"</formula1>
    </dataValidation>
    <dataValidation type="list" allowBlank="1" showInputMessage="1" showErrorMessage="1" sqref="D28" xr:uid="{7191354F-A32F-445E-9EE6-216230A3A73B}">
      <formula1>"* ,[ASTM] D2274"</formula1>
    </dataValidation>
    <dataValidation type="list" allowBlank="1" showInputMessage="1" showErrorMessage="1" sqref="D29" xr:uid="{A41CB3F6-40D7-4D08-A8D2-FAE03D857590}">
      <formula1>"* ,[ASTM] D5453,[ASTM] D2622"</formula1>
    </dataValidation>
    <dataValidation type="list" allowBlank="1" showInputMessage="1" showErrorMessage="1" sqref="D30" xr:uid="{E44319D7-B398-45D2-9C90-F484BD79C6BD}">
      <formula1>"* ,[IP] IP 71 Section 1,[ASTM] D445"</formula1>
    </dataValidation>
    <dataValidation type="list" allowBlank="1" showInputMessage="1" showErrorMessage="1" sqref="D31" xr:uid="{E34389C9-C872-479C-A9FC-4CBE82A31810}">
      <formula1>"* ,[ASTM] D2709"</formula1>
    </dataValidation>
    <dataValidation type="list" allowBlank="1" showInputMessage="1" showErrorMessage="1" sqref="D32 D33 D34 D35 D36" xr:uid="{0DAA84E6-24CA-41D2-9722-F51DE3A8DBEF}">
      <formula1>"* ,[OTHER] Additives (declaration)"</formula1>
    </dataValidation>
    <dataValidation type="list" allowBlank="1" showInputMessage="1" showErrorMessage="1" sqref="I7 I8" xr:uid="{B6BE7DE7-9FAE-4FED-939F-64B9D63A4981}">
      <formula1>"mg KOH/g,mg NaOH/100ml,mg NaOH/g,mg/kg,mg/l"</formula1>
    </dataValidation>
    <dataValidation type="list" allowBlank="1" showInputMessage="1" showErrorMessage="1" sqref="I9" xr:uid="{93795D5B-9477-4730-A03D-46C63B955F9F}">
      <formula1>"haze no,n/a,pass/fail,rating,visual"</formula1>
    </dataValidation>
    <dataValidation type="list" allowBlank="1" showInputMessage="1" showErrorMessage="1" sqref="I10 I19" xr:uid="{8BDE6285-3DB5-4696-B266-A1402C152B08}">
      <formula1>"rating"</formula1>
    </dataValidation>
    <dataValidation type="list" allowBlank="1" showInputMessage="1" showErrorMessage="1" sqref="I11 I12" xr:uid="{FDFD8E75-ED41-4C76-95F7-FC86210EEA78}">
      <formula1>"ppm,%liq vol,%m/m,%mole,%wt,%vol"</formula1>
    </dataValidation>
    <dataValidation type="list" allowBlank="1" showInputMessage="1" showErrorMessage="1" sqref="I13" xr:uid="{AAC3171B-348F-414E-B5E1-6CF931BB56D1}">
      <formula1>"ppm w/w,%m,%m/m,%wt"</formula1>
    </dataValidation>
    <dataValidation type="list" allowBlank="1" showInputMessage="1" showErrorMessage="1" sqref="I14" xr:uid="{D5EF0BF5-F964-4226-BCB0-5F8E217C230D}">
      <formula1>"LT,MT (Vac),%m/m,%wt"</formula1>
    </dataValidation>
    <dataValidation type="list" allowBlank="1" showInputMessage="1" showErrorMessage="1" sqref="I15" xr:uid="{E356DEFB-3FB0-4B10-8AD8-E23B89E47E63}">
      <formula1>"calc,rating"</formula1>
    </dataValidation>
    <dataValidation type="list" allowBlank="1" showInputMessage="1" showErrorMessage="1" sqref="I16 I17 I25" xr:uid="{1C2C7EB9-A594-4E34-833E-1541C86CA538}">
      <formula1>"°C,°F"</formula1>
    </dataValidation>
    <dataValidation type="list" allowBlank="1" showInputMessage="1" showErrorMessage="1" sqref="I18" xr:uid="{4857B413-6D40-4158-A541-1E91A9BA436F}">
      <formula1>"haze no,pass/fail,rating,visual"</formula1>
    </dataValidation>
    <dataValidation type="list" allowBlank="1" showInputMessage="1" showErrorMessage="1" sqref="I20" xr:uid="{B38C0271-9187-47F6-8FC4-EBCC27017D1D}">
      <formula1>"g/ cc,g/l,g/cm³,g/ml,kg/m³,kg/l,n/a,tonne/m³"</formula1>
    </dataValidation>
    <dataValidation type="list" allowBlank="1" showInputMessage="1" showErrorMessage="1" sqref="I21" xr:uid="{4E90221E-4D59-4960-B64A-FE2B38687A46}">
      <formula1>"°C,°F,%,%vol"</formula1>
    </dataValidation>
    <dataValidation type="list" allowBlank="1" showInputMessage="1" showErrorMessage="1" sqref="I22" xr:uid="{F41122E3-1F78-4C09-8A92-E051B9700355}">
      <formula1>"pS/m"</formula1>
    </dataValidation>
    <dataValidation type="list" allowBlank="1" showInputMessage="1" showErrorMessage="1" sqref="I23" xr:uid="{396B13E9-82A8-4CAC-BF42-8322FE75A093}">
      <formula1>"%vol"</formula1>
    </dataValidation>
    <dataValidation type="list" allowBlank="1" showInputMessage="1" showErrorMessage="1" sqref="I24" xr:uid="{B3723950-E78F-4F57-8B2A-453BE302BF75}">
      <formula1>"°C,°F,kPa,ml,n/a"</formula1>
    </dataValidation>
    <dataValidation type="list" allowBlank="1" showInputMessage="1" showErrorMessage="1" sqref="I26" xr:uid="{B44AC9FF-BEE6-4EC4-B32D-9534ECABEC54}">
      <formula1>"mg/kg"</formula1>
    </dataValidation>
    <dataValidation type="list" allowBlank="1" showInputMessage="1" showErrorMessage="1" sqref="I27" xr:uid="{EFDB532B-0063-484C-BF0E-D61DDC393E06}">
      <formula1>"°C,μm,mm"</formula1>
    </dataValidation>
    <dataValidation type="list" allowBlank="1" showInputMessage="1" showErrorMessage="1" sqref="I28" xr:uid="{282F0540-CE29-4643-BFD2-E5C911AB7B27}">
      <formula1>"g/cm³,g/m³,hrs,kg/m³,mg/100ml,mg/l,mins,rating"</formula1>
    </dataValidation>
    <dataValidation type="list" allowBlank="1" showInputMessage="1" showErrorMessage="1" sqref="I29" xr:uid="{7E850244-337E-47C7-AC0E-F207B959BD74}">
      <formula1>"μg/g,mg/kg,mg/l,ppm,%m,%m/m,%wt"</formula1>
    </dataValidation>
    <dataValidation type="list" allowBlank="1" showInputMessage="1" showErrorMessage="1" sqref="I30" xr:uid="{45038B83-0C7E-4595-BD54-DBD7BF7AAD7C}">
      <formula1>"cSt,Engler,mm²/s,Pa·s,SUS"</formula1>
    </dataValidation>
    <dataValidation type="list" allowBlank="1" showInputMessage="1" showErrorMessage="1" sqref="I31" xr:uid="{6129EF08-3234-4A5F-9045-679E9D1B3964}">
      <formula1>"%wt,%vol"</formula1>
    </dataValidation>
    <dataValidation type="list" allowBlank="1" showInputMessage="1" showErrorMessage="1" sqref="I32 I33 I34 I35 I36" xr:uid="{9A2963B5-426F-4DC9-BA5C-145847A43CEA}">
      <formula1>"mg/kg,mg/l,ppm"</formula1>
    </dataValidation>
    <dataValidation type="list" allowBlank="1" showInputMessage="1" showErrorMessage="1" sqref="F7 F8 F11 F12 F13 F14 F15 F16 F17 F18 F19 F20 F21 F22 F23 F24 F25 F26 F27 F28 F29 F30 F31 F32 F33 F34 F35 F36" xr:uid="{2BC7C55B-A40A-4DAE-9385-E776E8895A09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2F6C-582B-474E-B697-908716E9A1AA}">
  <sheetPr codeName="Sheet5">
    <tabColor rgb="FFFFCCFF"/>
  </sheetPr>
  <dimension ref="A1:BW167"/>
  <sheetViews>
    <sheetView tabSelected="1" workbookViewId="0">
      <pane xSplit="3" ySplit="6" topLeftCell="D7" activePane="bottomRight" state="frozen"/>
      <selection activeCell="BJ14" sqref="BJ14"/>
      <selection pane="topRight" activeCell="BJ14" sqref="BJ14"/>
      <selection pane="bottomLeft" activeCell="BJ14" sqref="BJ14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230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 t="s">
        <v>311</v>
      </c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 t="s">
        <v>714</v>
      </c>
      <c r="D7" s="260"/>
      <c r="E7" s="126" t="s">
        <v>739</v>
      </c>
      <c r="F7" s="263"/>
      <c r="G7" s="20"/>
      <c r="H7" s="20"/>
      <c r="I7" s="262" t="s">
        <v>760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715</v>
      </c>
      <c r="D8" s="260"/>
      <c r="E8" s="126" t="s">
        <v>739</v>
      </c>
      <c r="F8" s="263"/>
      <c r="G8" s="20"/>
      <c r="H8" s="20"/>
      <c r="I8" s="19" t="s">
        <v>761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 t="s">
        <v>722</v>
      </c>
      <c r="D9" s="260"/>
      <c r="E9" s="126" t="s">
        <v>745</v>
      </c>
      <c r="F9" s="261"/>
      <c r="G9" s="20"/>
      <c r="H9" s="20"/>
      <c r="I9" s="262" t="s">
        <v>761</v>
      </c>
      <c r="J9" s="246" t="str">
        <f t="shared" si="16"/>
        <v>*</v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 t="s">
        <v>724</v>
      </c>
      <c r="D10" s="260"/>
      <c r="E10" s="126" t="s">
        <v>748</v>
      </c>
      <c r="F10" s="261"/>
      <c r="G10" s="20"/>
      <c r="H10" s="20"/>
      <c r="I10" s="262" t="s">
        <v>765</v>
      </c>
      <c r="J10" s="246" t="str">
        <f t="shared" si="16"/>
        <v>*</v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 t="s">
        <v>729</v>
      </c>
      <c r="D11" s="260"/>
      <c r="E11" s="126" t="s">
        <v>753</v>
      </c>
      <c r="F11" s="261"/>
      <c r="G11" s="20"/>
      <c r="H11" s="20"/>
      <c r="I11" s="262" t="s">
        <v>764</v>
      </c>
      <c r="J11" s="246" t="str">
        <f t="shared" si="16"/>
        <v>*</v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 t="s">
        <v>728</v>
      </c>
      <c r="D12" s="260"/>
      <c r="E12" s="126" t="s">
        <v>752</v>
      </c>
      <c r="F12" s="261"/>
      <c r="G12" s="20"/>
      <c r="H12" s="20"/>
      <c r="I12" s="262" t="s">
        <v>739</v>
      </c>
      <c r="J12" s="246" t="str">
        <f t="shared" si="16"/>
        <v>*</v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65">
      <formula>$B7="v"</formula>
    </cfRule>
  </conditionalFormatting>
  <conditionalFormatting sqref="P7:Q82">
    <cfRule type="expression" dxfId="2035" priority="164">
      <formula>$B7="v"</formula>
    </cfRule>
  </conditionalFormatting>
  <conditionalFormatting sqref="R7:R82">
    <cfRule type="expression" dxfId="2034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62">
      <formula>$B7="v"</formula>
    </cfRule>
  </conditionalFormatting>
  <conditionalFormatting sqref="X7:Y82 T7:U82 AJ7:AK82 AF7:AG82 AB7:AC82 AR7:AS82 AN7:AO82 BH7:BI82 BD7:BE82 AZ7:BA82 BT7:BU82 BP7:BQ82 BL7:BM82">
    <cfRule type="expression" dxfId="2032" priority="161">
      <formula>$B7="v"</formula>
    </cfRule>
  </conditionalFormatting>
  <conditionalFormatting sqref="AV7:AW82">
    <cfRule type="expression" dxfId="2031" priority="160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4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76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78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80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182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84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186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88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0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9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4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96">
      <formula>$AE$4=""</formula>
    </cfRule>
  </conditionalFormatting>
  <conditionalFormatting sqref="AJ7:AL82">
    <cfRule type="expression" dxfId="1854" priority="197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200">
      <formula>$AI$4=""</formula>
    </cfRule>
  </conditionalFormatting>
  <conditionalFormatting sqref="AN7:AP82">
    <cfRule type="expression" dxfId="1850" priority="201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204">
      <formula>$AM$4=""</formula>
    </cfRule>
  </conditionalFormatting>
  <conditionalFormatting sqref="AR7:AT82">
    <cfRule type="expression" dxfId="1846" priority="205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207">
      <formula>$AQ$4=""</formula>
    </cfRule>
  </conditionalFormatting>
  <conditionalFormatting sqref="AV7:AX82">
    <cfRule type="expression" dxfId="1843" priority="208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210">
      <formula>$AU$4=""</formula>
    </cfRule>
  </conditionalFormatting>
  <conditionalFormatting sqref="AZ7:BB82">
    <cfRule type="expression" dxfId="1840" priority="211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13">
      <formula>$AY$4=""</formula>
    </cfRule>
  </conditionalFormatting>
  <conditionalFormatting sqref="BD7:BF82">
    <cfRule type="expression" dxfId="1837" priority="214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16">
      <formula>$BC$4=""</formula>
    </cfRule>
  </conditionalFormatting>
  <conditionalFormatting sqref="BH7:BJ82">
    <cfRule type="expression" dxfId="1834" priority="217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9">
      <formula>$BG$4=""</formula>
    </cfRule>
  </conditionalFormatting>
  <conditionalFormatting sqref="BL7:BN82">
    <cfRule type="expression" dxfId="1831" priority="220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22">
      <formula>$BK$4=""</formula>
    </cfRule>
  </conditionalFormatting>
  <conditionalFormatting sqref="BP7:BR82">
    <cfRule type="expression" dxfId="1828" priority="223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25">
      <formula>$BO$4=""</formula>
    </cfRule>
  </conditionalFormatting>
  <conditionalFormatting sqref="BT7:BV82">
    <cfRule type="expression" dxfId="1825" priority="226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8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15">
    <dataValidation type="list" allowBlank="1" showInputMessage="1" showErrorMessage="1" sqref="F2" xr:uid="{CA71D105-1509-4439-A178-0B40F98615FB}">
      <formula1>"1, 2, 3, 4, 5, 6, 7, 8, 9, 10, 11, 12, 13, 14, 15, 16, 17"</formula1>
    </dataValidation>
    <dataValidation type="list" allowBlank="1" showInputMessage="1" showErrorMessage="1" sqref="B7:B82" xr:uid="{18657968-5301-4409-AD81-C64E5AA42521}">
      <formula1>"v"</formula1>
    </dataValidation>
    <dataValidation type="list" allowBlank="1" showInputMessage="1" showErrorMessage="1" sqref="BP7:BP82 AV7:AV82 BL7:BL82 BT7:BT82 BH7:BH82 BD7:BD82 AZ7:AZ82" xr:uid="{6E99656B-5D8E-4AF5-8D78-01FA848DECD4}">
      <formula1>"&lt;, &lt;=, &gt;, &gt;=, ="</formula1>
    </dataValidation>
    <dataValidation type="list" allowBlank="1" showInputMessage="1" showErrorMessage="1" sqref="D7 D8" xr:uid="{4EA46EA4-0E1C-4BFE-B5F9-34846BEFAFF8}">
      <formula1>"* ,[ASTM] D4176 Procedure 2"</formula1>
    </dataValidation>
    <dataValidation type="list" allowBlank="1" showInputMessage="1" showErrorMessage="1" sqref="D9" xr:uid="{04160827-7B1A-41A6-B8ED-E3174A62AF6E}">
      <formula1>"* ,[ASTM] D1500,[ASTM] D6045,[IP] IP 196"</formula1>
    </dataValidation>
    <dataValidation type="list" allowBlank="1" showInputMessage="1" showErrorMessage="1" sqref="D10" xr:uid="{C581D756-E709-4DA3-912E-19D5969906D9}">
      <formula1>"* ,[ASTM] D4052,[ASTM] D1298"</formula1>
    </dataValidation>
    <dataValidation type="list" allowBlank="1" showInputMessage="1" showErrorMessage="1" sqref="D11" xr:uid="{D3E9EB1A-07D3-4EC8-B7AE-A131C4203527}">
      <formula1>"* ,[ASTM] D93"</formula1>
    </dataValidation>
    <dataValidation type="list" allowBlank="1" showInputMessage="1" showErrorMessage="1" sqref="D12" xr:uid="{B2FA8FC5-5ADE-4E34-8223-6D0A2300106D}">
      <formula1>"* ,[IP] IP 387,[ASTM] D2068"</formula1>
    </dataValidation>
    <dataValidation type="list" allowBlank="1" showInputMessage="1" showErrorMessage="1" sqref="I7" xr:uid="{99FCE075-D3D6-41BD-8D8C-97E761BF8394}">
      <formula1>"haze no,n/a,pass/fail,rating,visual"</formula1>
    </dataValidation>
    <dataValidation type="list" allowBlank="1" showInputMessage="1" showErrorMessage="1" sqref="I8" xr:uid="{4522C1D8-4F19-4609-B0D9-DB01D8C2AF55}">
      <formula1>"rating"</formula1>
    </dataValidation>
    <dataValidation type="list" allowBlank="1" showInputMessage="1" showErrorMessage="1" sqref="I9" xr:uid="{582D003C-313A-450E-AB90-72C3ABDC9AD6}">
      <formula1>"haze no,pass/fail,rating,visual"</formula1>
    </dataValidation>
    <dataValidation type="list" allowBlank="1" showInputMessage="1" showErrorMessage="1" sqref="I10" xr:uid="{18C392E4-5EE4-49FF-99DF-0A67706CD175}">
      <formula1>"g/cm³,g/ml,kg/m³,kg/l,n/a,tonne/m³,g/l,g/ cc"</formula1>
    </dataValidation>
    <dataValidation type="list" allowBlank="1" showInputMessage="1" showErrorMessage="1" sqref="I11" xr:uid="{82DA5135-0146-4680-82F8-4DF8055E2F68}">
      <formula1>"°C,°F"</formula1>
    </dataValidation>
    <dataValidation type="list" allowBlank="1" showInputMessage="1" showErrorMessage="1" sqref="I12" xr:uid="{94D3E3A7-2E08-4E5B-A2F9-AC88E6CEAB3F}">
      <formula1>"°C,°F,kPa,ml,n/a"</formula1>
    </dataValidation>
    <dataValidation type="list" allowBlank="1" showInputMessage="1" showErrorMessage="1" sqref="F9 F10 F11 F12" xr:uid="{C167BDB3-BB67-46D7-B498-8E20CEA073B4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1A0DEBD-B939-426D-9298-5E5C899F7E69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434155C-D424-4638-ABC5-31FE59403C8F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C78AD-8A8C-46C0-A1F4-F836C0C19CE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232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65">
      <formula>$B7="v"</formula>
    </cfRule>
  </conditionalFormatting>
  <conditionalFormatting sqref="P7:Q82">
    <cfRule type="expression" dxfId="1808" priority="164">
      <formula>$B7="v"</formula>
    </cfRule>
  </conditionalFormatting>
  <conditionalFormatting sqref="R7:R82">
    <cfRule type="expression" dxfId="1807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62">
      <formula>$B7="v"</formula>
    </cfRule>
  </conditionalFormatting>
  <conditionalFormatting sqref="X7:Y82 T7:U82 AJ7:AK82 AF7:AG82 AB7:AC82 AR7:AS82 AN7:AO82 BH7:BI82 BD7:BE82 AZ7:BA82 BT7:BU82 BP7:BQ82 BL7:BM82">
    <cfRule type="expression" dxfId="1805" priority="161">
      <formula>$B7="v"</formula>
    </cfRule>
  </conditionalFormatting>
  <conditionalFormatting sqref="AV7:AW82">
    <cfRule type="expression" dxfId="1804" priority="160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4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76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78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80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182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84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186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88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0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9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4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96">
      <formula>$AE$4=""</formula>
    </cfRule>
  </conditionalFormatting>
  <conditionalFormatting sqref="AJ7:AL82">
    <cfRule type="expression" dxfId="1627" priority="197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200">
      <formula>$AI$4=""</formula>
    </cfRule>
  </conditionalFormatting>
  <conditionalFormatting sqref="AN7:AP82">
    <cfRule type="expression" dxfId="1623" priority="201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204">
      <formula>$AM$4=""</formula>
    </cfRule>
  </conditionalFormatting>
  <conditionalFormatting sqref="AR7:AT82">
    <cfRule type="expression" dxfId="1619" priority="205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207">
      <formula>$AQ$4=""</formula>
    </cfRule>
  </conditionalFormatting>
  <conditionalFormatting sqref="AV7:AX82">
    <cfRule type="expression" dxfId="1616" priority="208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210">
      <formula>$AU$4=""</formula>
    </cfRule>
  </conditionalFormatting>
  <conditionalFormatting sqref="AZ7:BB82">
    <cfRule type="expression" dxfId="1613" priority="211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13">
      <formula>$AY$4=""</formula>
    </cfRule>
  </conditionalFormatting>
  <conditionalFormatting sqref="BD7:BF82">
    <cfRule type="expression" dxfId="1610" priority="214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16">
      <formula>$BC$4=""</formula>
    </cfRule>
  </conditionalFormatting>
  <conditionalFormatting sqref="BH7:BJ82">
    <cfRule type="expression" dxfId="1607" priority="217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9">
      <formula>$BG$4=""</formula>
    </cfRule>
  </conditionalFormatting>
  <conditionalFormatting sqref="BL7:BN82">
    <cfRule type="expression" dxfId="1604" priority="220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22">
      <formula>$BK$4=""</formula>
    </cfRule>
  </conditionalFormatting>
  <conditionalFormatting sqref="BP7:BR82">
    <cfRule type="expression" dxfId="1601" priority="223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25">
      <formula>$BO$4=""</formula>
    </cfRule>
  </conditionalFormatting>
  <conditionalFormatting sqref="BT7:BV82">
    <cfRule type="expression" dxfId="1598" priority="226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8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F1A2EFC-6DC4-4D4D-BB5A-B1B2F0D8A613}">
      <formula1>"&lt;, &lt;=, &gt;, &gt;=, ="</formula1>
    </dataValidation>
    <dataValidation type="list" allowBlank="1" showInputMessage="1" showErrorMessage="1" sqref="B7:B82" xr:uid="{C128A359-20EE-42E7-B863-3DEA225EFE67}">
      <formula1>"v"</formula1>
    </dataValidation>
    <dataValidation type="list" allowBlank="1" showInputMessage="1" showErrorMessage="1" sqref="F2" xr:uid="{5B4BBD39-FFFB-4485-9905-92B8D932760A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DDF5A1-5219-4DB3-8A23-A5C524ACD499}">
          <x14:formula1>
            <xm:f>Sheet3!$A$2:$A$49</xm:f>
          </x14:formula1>
          <xm:sqref>F3</xm:sqref>
        </x14:dataValidation>
        <x14:dataValidation type="list" allowBlank="1" showInputMessage="1" xr:uid="{76F0F365-AA0A-4932-B164-5428ABCD67C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D05BD-8C0B-416D-8789-1284A7932BDE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233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65">
      <formula>$B7="v"</formula>
    </cfRule>
  </conditionalFormatting>
  <conditionalFormatting sqref="P7:Q82">
    <cfRule type="expression" dxfId="1581" priority="164">
      <formula>$B7="v"</formula>
    </cfRule>
  </conditionalFormatting>
  <conditionalFormatting sqref="R7:R82">
    <cfRule type="expression" dxfId="1580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62">
      <formula>$B7="v"</formula>
    </cfRule>
  </conditionalFormatting>
  <conditionalFormatting sqref="X7:Y82 T7:U82 AJ7:AK82 AF7:AG82 AB7:AC82 AR7:AS82 AN7:AO82 BH7:BI82 BD7:BE82 AZ7:BA82 BT7:BU82 BP7:BQ82 BL7:BM82">
    <cfRule type="expression" dxfId="1578" priority="161">
      <formula>$B7="v"</formula>
    </cfRule>
  </conditionalFormatting>
  <conditionalFormatting sqref="AV7:AW82">
    <cfRule type="expression" dxfId="1577" priority="160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4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76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78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80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182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84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186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88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0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9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4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96">
      <formula>$AE$4=""</formula>
    </cfRule>
  </conditionalFormatting>
  <conditionalFormatting sqref="AJ7:AL82">
    <cfRule type="expression" dxfId="1400" priority="197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200">
      <formula>$AI$4=""</formula>
    </cfRule>
  </conditionalFormatting>
  <conditionalFormatting sqref="AN7:AP82">
    <cfRule type="expression" dxfId="1396" priority="201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204">
      <formula>$AM$4=""</formula>
    </cfRule>
  </conditionalFormatting>
  <conditionalFormatting sqref="AR7:AT82">
    <cfRule type="expression" dxfId="1392" priority="205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207">
      <formula>$AQ$4=""</formula>
    </cfRule>
  </conditionalFormatting>
  <conditionalFormatting sqref="AV7:AX82">
    <cfRule type="expression" dxfId="1389" priority="208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210">
      <formula>$AU$4=""</formula>
    </cfRule>
  </conditionalFormatting>
  <conditionalFormatting sqref="AZ7:BB82">
    <cfRule type="expression" dxfId="1386" priority="211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13">
      <formula>$AY$4=""</formula>
    </cfRule>
  </conditionalFormatting>
  <conditionalFormatting sqref="BD7:BF82">
    <cfRule type="expression" dxfId="1383" priority="214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16">
      <formula>$BC$4=""</formula>
    </cfRule>
  </conditionalFormatting>
  <conditionalFormatting sqref="BH7:BJ82">
    <cfRule type="expression" dxfId="1380" priority="217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9">
      <formula>$BG$4=""</formula>
    </cfRule>
  </conditionalFormatting>
  <conditionalFormatting sqref="BL7:BN82">
    <cfRule type="expression" dxfId="1377" priority="220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22">
      <formula>$BK$4=""</formula>
    </cfRule>
  </conditionalFormatting>
  <conditionalFormatting sqref="BP7:BR82">
    <cfRule type="expression" dxfId="1374" priority="223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25">
      <formula>$BO$4=""</formula>
    </cfRule>
  </conditionalFormatting>
  <conditionalFormatting sqref="BT7:BV82">
    <cfRule type="expression" dxfId="1371" priority="226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8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DC24BF3A-69F8-4D51-B8B4-8CA8A9924792}">
      <formula1>"1, 2, 3, 4, 5, 6, 7, 8, 9, 10, 11, 12, 13, 14, 15, 16, 17"</formula1>
    </dataValidation>
    <dataValidation type="list" allowBlank="1" showInputMessage="1" showErrorMessage="1" sqref="B7:B82" xr:uid="{743291D3-145E-45C4-A047-EE615E5BC20B}">
      <formula1>"v"</formula1>
    </dataValidation>
    <dataValidation type="list" allowBlank="1" showInputMessage="1" showErrorMessage="1" sqref="BP7:BP82 AV7:AV82 BL7:BL82 BT7:BT82 BH7:BH82 BD7:BD82 AZ7:AZ82" xr:uid="{E77EC442-4F90-4ED7-8A7C-8C11CC0096C0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0B872A0-97CA-49CA-95A7-E71F6619765B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F405EDB9-1A05-4583-A390-DE28EF69F115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E47E0-FB30-491B-AB2A-237CCD6B56FD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234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65">
      <formula>$B7="v"</formula>
    </cfRule>
  </conditionalFormatting>
  <conditionalFormatting sqref="P7:Q82">
    <cfRule type="expression" dxfId="1354" priority="164">
      <formula>$B7="v"</formula>
    </cfRule>
  </conditionalFormatting>
  <conditionalFormatting sqref="R7:R82">
    <cfRule type="expression" dxfId="1353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62">
      <formula>$B7="v"</formula>
    </cfRule>
  </conditionalFormatting>
  <conditionalFormatting sqref="X7:Y82 T7:U82 AJ7:AK82 AF7:AG82 AB7:AC82 AR7:AS82 AN7:AO82 BH7:BI82 BD7:BE82 AZ7:BA82 BT7:BU82 BP7:BQ82 BL7:BM82">
    <cfRule type="expression" dxfId="1351" priority="161">
      <formula>$B7="v"</formula>
    </cfRule>
  </conditionalFormatting>
  <conditionalFormatting sqref="AV7:AW82">
    <cfRule type="expression" dxfId="1350" priority="160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4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76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78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80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182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84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186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88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0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9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4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96">
      <formula>$AE$4=""</formula>
    </cfRule>
  </conditionalFormatting>
  <conditionalFormatting sqref="AJ7:AL82">
    <cfRule type="expression" dxfId="1173" priority="197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200">
      <formula>$AI$4=""</formula>
    </cfRule>
  </conditionalFormatting>
  <conditionalFormatting sqref="AN7:AP82">
    <cfRule type="expression" dxfId="1169" priority="201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204">
      <formula>$AM$4=""</formula>
    </cfRule>
  </conditionalFormatting>
  <conditionalFormatting sqref="AR7:AT82">
    <cfRule type="expression" dxfId="1165" priority="205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207">
      <formula>$AQ$4=""</formula>
    </cfRule>
  </conditionalFormatting>
  <conditionalFormatting sqref="AV7:AX82">
    <cfRule type="expression" dxfId="1162" priority="208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210">
      <formula>$AU$4=""</formula>
    </cfRule>
  </conditionalFormatting>
  <conditionalFormatting sqref="AZ7:BB82">
    <cfRule type="expression" dxfId="1159" priority="211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13">
      <formula>$AY$4=""</formula>
    </cfRule>
  </conditionalFormatting>
  <conditionalFormatting sqref="BD7:BF82">
    <cfRule type="expression" dxfId="1156" priority="214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16">
      <formula>$BC$4=""</formula>
    </cfRule>
  </conditionalFormatting>
  <conditionalFormatting sqref="BH7:BJ82">
    <cfRule type="expression" dxfId="1153" priority="217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9">
      <formula>$BG$4=""</formula>
    </cfRule>
  </conditionalFormatting>
  <conditionalFormatting sqref="BL7:BN82">
    <cfRule type="expression" dxfId="1150" priority="220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22">
      <formula>$BK$4=""</formula>
    </cfRule>
  </conditionalFormatting>
  <conditionalFormatting sqref="BP7:BR82">
    <cfRule type="expression" dxfId="1147" priority="223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25">
      <formula>$BO$4=""</formula>
    </cfRule>
  </conditionalFormatting>
  <conditionalFormatting sqref="BT7:BV82">
    <cfRule type="expression" dxfId="1144" priority="226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8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8D1AE02-5923-4BB8-9326-C27E849E1C55}">
      <formula1>"&lt;, &lt;=, &gt;, &gt;=, ="</formula1>
    </dataValidation>
    <dataValidation type="list" allowBlank="1" showInputMessage="1" showErrorMessage="1" sqref="B7:B82" xr:uid="{69B5CAC0-83A8-4C87-9A94-B777A88FA22C}">
      <formula1>"v"</formula1>
    </dataValidation>
    <dataValidation type="list" allowBlank="1" showInputMessage="1" showErrorMessage="1" sqref="F2" xr:uid="{7B23C1DF-1778-4AF0-A895-985ADD42AB81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4EB6E9-CCA6-4B00-8CED-A580F4025A6A}">
          <x14:formula1>
            <xm:f>Sheet3!$A$2:$A$49</xm:f>
          </x14:formula1>
          <xm:sqref>F3</xm:sqref>
        </x14:dataValidation>
        <x14:dataValidation type="list" allowBlank="1" showInputMessage="1" xr:uid="{6856A4A8-DAA0-49E7-8E8E-41C75C76A8C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448DC-5B66-4100-B5E0-BEDBB85BD97C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235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65">
      <formula>$B7="v"</formula>
    </cfRule>
  </conditionalFormatting>
  <conditionalFormatting sqref="P7:Q82">
    <cfRule type="expression" dxfId="1127" priority="164">
      <formula>$B7="v"</formula>
    </cfRule>
  </conditionalFormatting>
  <conditionalFormatting sqref="R7:R82">
    <cfRule type="expression" dxfId="1126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62">
      <formula>$B7="v"</formula>
    </cfRule>
  </conditionalFormatting>
  <conditionalFormatting sqref="X7:Y82 T7:U82 AJ7:AK82 AF7:AG82 AB7:AC82 AR7:AS82 AN7:AO82 BH7:BI82 BD7:BE82 AZ7:BA82 BT7:BU82 BP7:BQ82 BL7:BM82">
    <cfRule type="expression" dxfId="1124" priority="161">
      <formula>$B7="v"</formula>
    </cfRule>
  </conditionalFormatting>
  <conditionalFormatting sqref="AV7:AW82">
    <cfRule type="expression" dxfId="1123" priority="160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4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76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78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80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182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84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186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88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0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9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4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96">
      <formula>$AE$4=""</formula>
    </cfRule>
  </conditionalFormatting>
  <conditionalFormatting sqref="AJ7:AL82">
    <cfRule type="expression" dxfId="946" priority="197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200">
      <formula>$AI$4=""</formula>
    </cfRule>
  </conditionalFormatting>
  <conditionalFormatting sqref="AN7:AP82">
    <cfRule type="expression" dxfId="942" priority="201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204">
      <formula>$AM$4=""</formula>
    </cfRule>
  </conditionalFormatting>
  <conditionalFormatting sqref="AR7:AT82">
    <cfRule type="expression" dxfId="938" priority="205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207">
      <formula>$AQ$4=""</formula>
    </cfRule>
  </conditionalFormatting>
  <conditionalFormatting sqref="AV7:AX82">
    <cfRule type="expression" dxfId="935" priority="208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210">
      <formula>$AU$4=""</formula>
    </cfRule>
  </conditionalFormatting>
  <conditionalFormatting sqref="AZ7:BB82">
    <cfRule type="expression" dxfId="932" priority="211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13">
      <formula>$AY$4=""</formula>
    </cfRule>
  </conditionalFormatting>
  <conditionalFormatting sqref="BD7:BF82">
    <cfRule type="expression" dxfId="929" priority="214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16">
      <formula>$BC$4=""</formula>
    </cfRule>
  </conditionalFormatting>
  <conditionalFormatting sqref="BH7:BJ82">
    <cfRule type="expression" dxfId="926" priority="217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9">
      <formula>$BG$4=""</formula>
    </cfRule>
  </conditionalFormatting>
  <conditionalFormatting sqref="BL7:BN82">
    <cfRule type="expression" dxfId="923" priority="220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22">
      <formula>$BK$4=""</formula>
    </cfRule>
  </conditionalFormatting>
  <conditionalFormatting sqref="BP7:BR82">
    <cfRule type="expression" dxfId="920" priority="223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25">
      <formula>$BO$4=""</formula>
    </cfRule>
  </conditionalFormatting>
  <conditionalFormatting sqref="BT7:BV82">
    <cfRule type="expression" dxfId="917" priority="226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8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9073E6D5-D1EE-4BC1-A951-44E906C57226}">
      <formula1>"1, 2, 3, 4, 5, 6, 7, 8, 9, 10, 11, 12, 13, 14, 15, 16, 17"</formula1>
    </dataValidation>
    <dataValidation type="list" allowBlank="1" showInputMessage="1" showErrorMessage="1" sqref="B7:B82" xr:uid="{3F33D96B-66B1-4681-B68D-D2FA17249F26}">
      <formula1>"v"</formula1>
    </dataValidation>
    <dataValidation type="list" allowBlank="1" showInputMessage="1" showErrorMessage="1" sqref="BP7:BP82 AV7:AV82 BL7:BL82 BT7:BT82 BH7:BH82 BD7:BD82 AZ7:AZ82" xr:uid="{A6860FD1-9E19-4BB4-8F27-2BE95E8FE7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7EB21236-F368-45EF-8E44-95EDB567FBC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903614AC-C839-49CE-AC1A-39D8A222CD7F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5FB39-47F8-4080-83A2-259C7A5F9C0E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236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65">
      <formula>$B7="v"</formula>
    </cfRule>
  </conditionalFormatting>
  <conditionalFormatting sqref="P7:Q82">
    <cfRule type="expression" dxfId="900" priority="164">
      <formula>$B7="v"</formula>
    </cfRule>
  </conditionalFormatting>
  <conditionalFormatting sqref="R7:R82">
    <cfRule type="expression" dxfId="899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62">
      <formula>$B7="v"</formula>
    </cfRule>
  </conditionalFormatting>
  <conditionalFormatting sqref="X7:Y82 T7:U82 AJ7:AK82 AF7:AG82 AB7:AC82 AR7:AS82 AN7:AO82 BH7:BI82 BD7:BE82 AZ7:BA82 BT7:BU82 BP7:BQ82 BL7:BM82">
    <cfRule type="expression" dxfId="897" priority="161">
      <formula>$B7="v"</formula>
    </cfRule>
  </conditionalFormatting>
  <conditionalFormatting sqref="AV7:AW82">
    <cfRule type="expression" dxfId="896" priority="160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4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76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78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80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182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84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186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88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0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9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4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96">
      <formula>$AE$4=""</formula>
    </cfRule>
  </conditionalFormatting>
  <conditionalFormatting sqref="AJ7:AL82">
    <cfRule type="expression" dxfId="719" priority="197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200">
      <formula>$AI$4=""</formula>
    </cfRule>
  </conditionalFormatting>
  <conditionalFormatting sqref="AN7:AP82">
    <cfRule type="expression" dxfId="715" priority="201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204">
      <formula>$AM$4=""</formula>
    </cfRule>
  </conditionalFormatting>
  <conditionalFormatting sqref="AR7:AT82">
    <cfRule type="expression" dxfId="711" priority="205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207">
      <formula>$AQ$4=""</formula>
    </cfRule>
  </conditionalFormatting>
  <conditionalFormatting sqref="AV7:AX82">
    <cfRule type="expression" dxfId="708" priority="208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210">
      <formula>$AU$4=""</formula>
    </cfRule>
  </conditionalFormatting>
  <conditionalFormatting sqref="AZ7:BB82">
    <cfRule type="expression" dxfId="705" priority="211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13">
      <formula>$AY$4=""</formula>
    </cfRule>
  </conditionalFormatting>
  <conditionalFormatting sqref="BD7:BF82">
    <cfRule type="expression" dxfId="702" priority="214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16">
      <formula>$BC$4=""</formula>
    </cfRule>
  </conditionalFormatting>
  <conditionalFormatting sqref="BH7:BJ82">
    <cfRule type="expression" dxfId="699" priority="217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9">
      <formula>$BG$4=""</formula>
    </cfRule>
  </conditionalFormatting>
  <conditionalFormatting sqref="BL7:BN82">
    <cfRule type="expression" dxfId="696" priority="220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22">
      <formula>$BK$4=""</formula>
    </cfRule>
  </conditionalFormatting>
  <conditionalFormatting sqref="BP7:BR82">
    <cfRule type="expression" dxfId="693" priority="223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25">
      <formula>$BO$4=""</formula>
    </cfRule>
  </conditionalFormatting>
  <conditionalFormatting sqref="BT7:BV82">
    <cfRule type="expression" dxfId="690" priority="226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8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132A382-FEA0-4812-A054-0886207A9626}">
      <formula1>"&lt;, &lt;=, &gt;, &gt;=, ="</formula1>
    </dataValidation>
    <dataValidation type="list" allowBlank="1" showInputMessage="1" showErrorMessage="1" sqref="B7:B82" xr:uid="{174751C5-70AE-4683-AC86-49C37796E628}">
      <formula1>"v"</formula1>
    </dataValidation>
    <dataValidation type="list" allowBlank="1" showInputMessage="1" showErrorMessage="1" sqref="F2" xr:uid="{D723FBD1-1B62-4CFD-9A53-94A96DE8A487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56FB32-6F73-47F5-9EDB-E391418A935B}">
          <x14:formula1>
            <xm:f>Sheet3!$A$2:$A$49</xm:f>
          </x14:formula1>
          <xm:sqref>F3</xm:sqref>
        </x14:dataValidation>
        <x14:dataValidation type="list" allowBlank="1" showInputMessage="1" xr:uid="{D5544482-1FC5-4E07-90B8-9DBF3A6DD10C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4D0EA-40A6-413F-9698-AB83553AC67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237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65">
      <formula>$B7="v"</formula>
    </cfRule>
  </conditionalFormatting>
  <conditionalFormatting sqref="P7:Q82">
    <cfRule type="expression" dxfId="673" priority="164">
      <formula>$B7="v"</formula>
    </cfRule>
  </conditionalFormatting>
  <conditionalFormatting sqref="R7:R82">
    <cfRule type="expression" dxfId="672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62">
      <formula>$B7="v"</formula>
    </cfRule>
  </conditionalFormatting>
  <conditionalFormatting sqref="X7:Y82 T7:U82 AJ7:AK82 AF7:AG82 AB7:AC82 AR7:AS82 AN7:AO82 BH7:BI82 BD7:BE82 AZ7:BA82 BT7:BU82 BP7:BQ82 BL7:BM82">
    <cfRule type="expression" dxfId="670" priority="161">
      <formula>$B7="v"</formula>
    </cfRule>
  </conditionalFormatting>
  <conditionalFormatting sqref="AV7:AW82">
    <cfRule type="expression" dxfId="669" priority="160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4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76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78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80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182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84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186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88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0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9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4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96">
      <formula>$AE$4=""</formula>
    </cfRule>
  </conditionalFormatting>
  <conditionalFormatting sqref="AJ7:AL82">
    <cfRule type="expression" dxfId="492" priority="197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200">
      <formula>$AI$4=""</formula>
    </cfRule>
  </conditionalFormatting>
  <conditionalFormatting sqref="AN7:AP82">
    <cfRule type="expression" dxfId="488" priority="201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204">
      <formula>$AM$4=""</formula>
    </cfRule>
  </conditionalFormatting>
  <conditionalFormatting sqref="AR7:AT82">
    <cfRule type="expression" dxfId="484" priority="205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207">
      <formula>$AQ$4=""</formula>
    </cfRule>
  </conditionalFormatting>
  <conditionalFormatting sqref="AV7:AX82">
    <cfRule type="expression" dxfId="481" priority="208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210">
      <formula>$AU$4=""</formula>
    </cfRule>
  </conditionalFormatting>
  <conditionalFormatting sqref="AZ7:BB82">
    <cfRule type="expression" dxfId="478" priority="211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13">
      <formula>$AY$4=""</formula>
    </cfRule>
  </conditionalFormatting>
  <conditionalFormatting sqref="BD7:BF82">
    <cfRule type="expression" dxfId="475" priority="214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16">
      <formula>$BC$4=""</formula>
    </cfRule>
  </conditionalFormatting>
  <conditionalFormatting sqref="BH7:BJ82">
    <cfRule type="expression" dxfId="472" priority="217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9">
      <formula>$BG$4=""</formula>
    </cfRule>
  </conditionalFormatting>
  <conditionalFormatting sqref="BL7:BN82">
    <cfRule type="expression" dxfId="469" priority="220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22">
      <formula>$BK$4=""</formula>
    </cfRule>
  </conditionalFormatting>
  <conditionalFormatting sqref="BP7:BR82">
    <cfRule type="expression" dxfId="466" priority="223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25">
      <formula>$BO$4=""</formula>
    </cfRule>
  </conditionalFormatting>
  <conditionalFormatting sqref="BT7:BV82">
    <cfRule type="expression" dxfId="463" priority="226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8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92A824A3-7152-4B5F-BF1A-445A42803A46}">
      <formula1>"1, 2, 3, 4, 5, 6, 7, 8, 9, 10, 11, 12, 13, 14, 15, 16, 17"</formula1>
    </dataValidation>
    <dataValidation type="list" allowBlank="1" showInputMessage="1" showErrorMessage="1" sqref="B7:B82" xr:uid="{D517B9B7-1392-4DDB-8414-CE871410EDAB}">
      <formula1>"v"</formula1>
    </dataValidation>
    <dataValidation type="list" allowBlank="1" showInputMessage="1" showErrorMessage="1" sqref="BP7:BP82 AV7:AV82 BL7:BL82 BT7:BT82 BH7:BH82 BD7:BD82 AZ7:AZ82" xr:uid="{8D93091B-FFD2-4D79-B5FF-C33AFA2AD06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F4069EB-462B-47F7-9310-D93C991EA8D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48E6D98-AF6E-42AB-A338-B2DC7F18C45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38806-F61F-4348-8D06-B60B665C4DA8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238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65">
      <formula>$B7="v"</formula>
    </cfRule>
  </conditionalFormatting>
  <conditionalFormatting sqref="P7:Q82">
    <cfRule type="expression" dxfId="446" priority="164">
      <formula>$B7="v"</formula>
    </cfRule>
  </conditionalFormatting>
  <conditionalFormatting sqref="R7:R82">
    <cfRule type="expression" dxfId="445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62">
      <formula>$B7="v"</formula>
    </cfRule>
  </conditionalFormatting>
  <conditionalFormatting sqref="X7:Y82 T7:U82 AJ7:AK82 AF7:AG82 AB7:AC82 AR7:AS82 AN7:AO82 BH7:BI82 BD7:BE82 AZ7:BA82 BT7:BU82 BP7:BQ82 BL7:BM82">
    <cfRule type="expression" dxfId="443" priority="161">
      <formula>$B7="v"</formula>
    </cfRule>
  </conditionalFormatting>
  <conditionalFormatting sqref="AV7:AW82">
    <cfRule type="expression" dxfId="442" priority="160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4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76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78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80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182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84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186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88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0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9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4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96">
      <formula>$AE$4=""</formula>
    </cfRule>
  </conditionalFormatting>
  <conditionalFormatting sqref="AJ7:AL82">
    <cfRule type="expression" dxfId="265" priority="197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200">
      <formula>$AI$4=""</formula>
    </cfRule>
  </conditionalFormatting>
  <conditionalFormatting sqref="AN7:AP82">
    <cfRule type="expression" dxfId="261" priority="201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204">
      <formula>$AM$4=""</formula>
    </cfRule>
  </conditionalFormatting>
  <conditionalFormatting sqref="AR7:AT82">
    <cfRule type="expression" dxfId="257" priority="205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207">
      <formula>$AQ$4=""</formula>
    </cfRule>
  </conditionalFormatting>
  <conditionalFormatting sqref="AV7:AX82">
    <cfRule type="expression" dxfId="254" priority="208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210">
      <formula>$AU$4=""</formula>
    </cfRule>
  </conditionalFormatting>
  <conditionalFormatting sqref="AZ7:BB82">
    <cfRule type="expression" dxfId="251" priority="211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13">
      <formula>$AY$4=""</formula>
    </cfRule>
  </conditionalFormatting>
  <conditionalFormatting sqref="BD7:BF82">
    <cfRule type="expression" dxfId="248" priority="214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16">
      <formula>$BC$4=""</formula>
    </cfRule>
  </conditionalFormatting>
  <conditionalFormatting sqref="BH7:BJ82">
    <cfRule type="expression" dxfId="245" priority="217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9">
      <formula>$BG$4=""</formula>
    </cfRule>
  </conditionalFormatting>
  <conditionalFormatting sqref="BL7:BN82">
    <cfRule type="expression" dxfId="242" priority="220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22">
      <formula>$BK$4=""</formula>
    </cfRule>
  </conditionalFormatting>
  <conditionalFormatting sqref="BP7:BR82">
    <cfRule type="expression" dxfId="239" priority="223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25">
      <formula>$BO$4=""</formula>
    </cfRule>
  </conditionalFormatting>
  <conditionalFormatting sqref="BT7:BV82">
    <cfRule type="expression" dxfId="236" priority="226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8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A894F277-BB29-4A01-A1CC-77F23693A1AF}">
      <formula1>"&lt;, &lt;=, &gt;, &gt;=, ="</formula1>
    </dataValidation>
    <dataValidation type="list" allowBlank="1" showInputMessage="1" showErrorMessage="1" sqref="B7:B82" xr:uid="{C4CE07D2-229A-46ED-BCE5-763D5E2469DD}">
      <formula1>"v"</formula1>
    </dataValidation>
    <dataValidation type="list" allowBlank="1" showInputMessage="1" showErrorMessage="1" sqref="F2" xr:uid="{A2880C64-718E-4C12-B3DD-8F56CD4E13C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386D804-C61D-4074-ADAC-AD235990640E}">
          <x14:formula1>
            <xm:f>Sheet3!$A$2:$A$49</xm:f>
          </x14:formula1>
          <xm:sqref>F3</xm:sqref>
        </x14:dataValidation>
        <x14:dataValidation type="list" allowBlank="1" showInputMessage="1" xr:uid="{27D2A04E-5E99-44FE-B75A-B2C83B408E7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24F8-2F3D-48B2-878B-E67A72832ACE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2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7" t="s">
        <v>239</v>
      </c>
      <c r="C1" s="297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9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7"/>
      <c r="C2" s="297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9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301"/>
      <c r="G3" s="302"/>
      <c r="H3" s="302"/>
      <c r="I3" s="303"/>
      <c r="J3" s="25" t="str">
        <f>IF(F2=1,"","결과 입력 (셀 범위 Q1 ~ AD82)")</f>
        <v/>
      </c>
      <c r="K3" s="7"/>
      <c r="L3" s="293" t="str">
        <f>IF(F2&gt;=2,"Add New Sample (2)","")</f>
        <v/>
      </c>
      <c r="M3" s="293"/>
      <c r="N3" s="293"/>
      <c r="O3" s="250"/>
      <c r="P3" s="293" t="str">
        <f>IF(F2&gt;=3,"Add New Sample (3)","")</f>
        <v/>
      </c>
      <c r="Q3" s="293"/>
      <c r="R3" s="293"/>
      <c r="S3" s="36"/>
      <c r="T3" s="293" t="str">
        <f>IF(F2&gt;=4,"Add New Sample (4)","")</f>
        <v/>
      </c>
      <c r="U3" s="293"/>
      <c r="V3" s="293"/>
      <c r="W3" s="36"/>
      <c r="X3" s="293" t="str">
        <f>IF(F2&gt;=5,"Add New Sample (5)","")</f>
        <v/>
      </c>
      <c r="Y3" s="293"/>
      <c r="Z3" s="293"/>
      <c r="AA3" s="36"/>
      <c r="AB3" s="293" t="str">
        <f>IF(F2&gt;=6,"Add New Sample (6)","")</f>
        <v/>
      </c>
      <c r="AC3" s="293"/>
      <c r="AD3" s="293"/>
      <c r="AE3" s="36"/>
      <c r="AF3" s="293" t="str">
        <f>IF(F2&gt;=7,"Add New Sample (7)","")</f>
        <v/>
      </c>
      <c r="AG3" s="293"/>
      <c r="AH3" s="293"/>
      <c r="AI3" s="36"/>
      <c r="AJ3" s="293" t="str">
        <f>IF(F2&gt;=8,"Add New Sample (8)","")</f>
        <v/>
      </c>
      <c r="AK3" s="293"/>
      <c r="AL3" s="293"/>
      <c r="AM3" s="36"/>
      <c r="AN3" s="293" t="str">
        <f>IF(F2&gt;=9,"Add New Sample (9)","")</f>
        <v/>
      </c>
      <c r="AO3" s="293"/>
      <c r="AP3" s="293"/>
      <c r="AQ3" s="36"/>
      <c r="AR3" s="293" t="str">
        <f>IF(F2&gt;=10,"Add New Sample (10)","")</f>
        <v/>
      </c>
      <c r="AS3" s="293"/>
      <c r="AT3" s="293"/>
      <c r="AU3" s="36"/>
      <c r="AV3" s="293" t="str">
        <f>IF(F2&gt;=11,"Add New Sample (11)","")</f>
        <v/>
      </c>
      <c r="AW3" s="293"/>
      <c r="AX3" s="293"/>
      <c r="AY3" s="36"/>
      <c r="AZ3" s="293" t="str">
        <f>IF(F2&gt;=12,"Add New Sample (12)","")</f>
        <v/>
      </c>
      <c r="BA3" s="293"/>
      <c r="BB3" s="293"/>
      <c r="BC3" s="36"/>
      <c r="BD3" s="293" t="str">
        <f>IF(F2&gt;=13,"Add New Sample (13)","")</f>
        <v/>
      </c>
      <c r="BE3" s="293"/>
      <c r="BF3" s="293"/>
      <c r="BG3" s="36"/>
      <c r="BH3" s="293" t="str">
        <f>IF(F2&gt;=14,"Add New Sample (14)","")</f>
        <v/>
      </c>
      <c r="BI3" s="293"/>
      <c r="BJ3" s="293"/>
      <c r="BK3" s="36"/>
      <c r="BL3" s="293" t="str">
        <f>IF(F2&gt;=15,"Add New Sample (15)","")</f>
        <v/>
      </c>
      <c r="BM3" s="293"/>
      <c r="BN3" s="293"/>
      <c r="BO3" s="36"/>
      <c r="BP3" s="293" t="str">
        <f>IF(F2&gt;=16,"Add New Sample (16)","")</f>
        <v/>
      </c>
      <c r="BQ3" s="293"/>
      <c r="BR3" s="293"/>
      <c r="BS3" s="36"/>
      <c r="BT3" s="293" t="str">
        <f>IF(F2&gt;=17,"Add New Sample (17)","")</f>
        <v/>
      </c>
      <c r="BU3" s="293"/>
      <c r="BV3" s="293"/>
      <c r="BW3" s="7"/>
    </row>
    <row r="4" spans="1:75">
      <c r="A4" s="87"/>
      <c r="B4" s="42"/>
      <c r="C4" s="42"/>
      <c r="D4" s="114"/>
      <c r="E4" s="124" t="s">
        <v>5</v>
      </c>
      <c r="F4" s="298"/>
      <c r="G4" s="299"/>
      <c r="H4" s="299"/>
      <c r="I4" s="300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6"/>
      <c r="N4" s="296"/>
      <c r="O4" s="251" t="str">
        <f>IF(F2&gt;=3,1,"")</f>
        <v/>
      </c>
      <c r="P4" s="63" t="str">
        <f>IF(O4=1,"Tk No.:","")</f>
        <v/>
      </c>
      <c r="Q4" s="296"/>
      <c r="R4" s="296"/>
      <c r="S4" s="55" t="str">
        <f>IF(F2&gt;=4,1,"")</f>
        <v/>
      </c>
      <c r="T4" s="63" t="str">
        <f>IF(S4=1,"Tk No.:","")</f>
        <v/>
      </c>
      <c r="U4" s="296"/>
      <c r="V4" s="296"/>
      <c r="W4" s="55" t="str">
        <f>IF(F2&gt;=5,1,"")</f>
        <v/>
      </c>
      <c r="X4" s="63" t="str">
        <f>IF(W4=1,"Tk No.:","")</f>
        <v/>
      </c>
      <c r="Y4" s="296"/>
      <c r="Z4" s="296"/>
      <c r="AA4" s="55" t="str">
        <f>IF(F2&gt;=6,1,"")</f>
        <v/>
      </c>
      <c r="AB4" s="63" t="str">
        <f>IF(AA4=1,"Tk No.:","")</f>
        <v/>
      </c>
      <c r="AC4" s="296"/>
      <c r="AD4" s="296"/>
      <c r="AE4" s="55" t="str">
        <f>IF($F$2&gt;=7,1,"")</f>
        <v/>
      </c>
      <c r="AF4" s="63" t="str">
        <f>IF(AE4=1,"Tk No.:","")</f>
        <v/>
      </c>
      <c r="AG4" s="296"/>
      <c r="AH4" s="296"/>
      <c r="AI4" s="55" t="str">
        <f>IF($F$2&gt;=8,1,"")</f>
        <v/>
      </c>
      <c r="AJ4" s="63" t="str">
        <f>IF(AI4=1,"Tk No.:","")</f>
        <v/>
      </c>
      <c r="AK4" s="296"/>
      <c r="AL4" s="296"/>
      <c r="AM4" s="55" t="str">
        <f>IF($F$2&gt;=9,1,"")</f>
        <v/>
      </c>
      <c r="AN4" s="63" t="str">
        <f>IF(AM4=1,"Tk No.:","")</f>
        <v/>
      </c>
      <c r="AO4" s="296"/>
      <c r="AP4" s="296"/>
      <c r="AQ4" s="55" t="str">
        <f>IF($F$2&gt;=10,1,"")</f>
        <v/>
      </c>
      <c r="AR4" s="63" t="str">
        <f>IF(AQ4=1,"Tk No.:","")</f>
        <v/>
      </c>
      <c r="AS4" s="296"/>
      <c r="AT4" s="296"/>
      <c r="AU4" s="55" t="str">
        <f>IF($F$2&gt;=11,1,"")</f>
        <v/>
      </c>
      <c r="AV4" s="63" t="str">
        <f>IF(AU4=1,"Tk No.:","")</f>
        <v/>
      </c>
      <c r="AW4" s="296"/>
      <c r="AX4" s="296"/>
      <c r="AY4" s="55" t="str">
        <f>IF($F$2&gt;=12,1,"")</f>
        <v/>
      </c>
      <c r="AZ4" s="63" t="str">
        <f>IF(AY4=1,"Tk No.:","")</f>
        <v/>
      </c>
      <c r="BA4" s="296"/>
      <c r="BB4" s="296"/>
      <c r="BC4" s="55" t="str">
        <f>IF($F$2&gt;=13,1,"")</f>
        <v/>
      </c>
      <c r="BD4" s="63" t="str">
        <f>IF(BC4=1,"Tk No.:","")</f>
        <v/>
      </c>
      <c r="BE4" s="296"/>
      <c r="BF4" s="296"/>
      <c r="BG4" s="55" t="str">
        <f>IF($F$2&gt;=14,1,"")</f>
        <v/>
      </c>
      <c r="BH4" s="63" t="str">
        <f>IF(BG4=1,"Tk No.:","")</f>
        <v/>
      </c>
      <c r="BI4" s="296"/>
      <c r="BJ4" s="296"/>
      <c r="BK4" s="55" t="str">
        <f>IF($F$2&gt;=15,1,"")</f>
        <v/>
      </c>
      <c r="BL4" s="63" t="str">
        <f>IF(BK4=1,"Tk No.:","")</f>
        <v/>
      </c>
      <c r="BM4" s="296"/>
      <c r="BN4" s="296"/>
      <c r="BO4" s="55" t="str">
        <f>IF($F$2&gt;=16,1,"")</f>
        <v/>
      </c>
      <c r="BP4" s="63" t="str">
        <f>IF(BO4=1,"Tk No.:","")</f>
        <v/>
      </c>
      <c r="BQ4" s="296"/>
      <c r="BR4" s="296"/>
      <c r="BS4" s="55" t="str">
        <f>IF($F$2&gt;=17,1,"")</f>
        <v/>
      </c>
      <c r="BT4" s="63" t="str">
        <f>IF(BS4=1,"Tk No.:","")</f>
        <v/>
      </c>
      <c r="BU4" s="296"/>
      <c r="BV4" s="296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295" t="s">
        <v>268</v>
      </c>
      <c r="G5" s="295"/>
      <c r="H5" s="84" t="s">
        <v>18</v>
      </c>
      <c r="I5" s="244" t="s">
        <v>642</v>
      </c>
      <c r="J5" s="257" t="s">
        <v>696</v>
      </c>
      <c r="K5" s="7"/>
      <c r="L5" s="294" t="str">
        <f>IF(K4=1,"Results (검사원)","")</f>
        <v/>
      </c>
      <c r="M5" s="294"/>
      <c r="N5" s="294"/>
      <c r="O5" s="256" t="str">
        <f>IF(L5="","","Final")</f>
        <v/>
      </c>
      <c r="P5" s="294" t="str">
        <f>IF(O4=1,"Results (검사원)","")</f>
        <v/>
      </c>
      <c r="Q5" s="294"/>
      <c r="R5" s="294"/>
      <c r="S5" s="256" t="str">
        <f>IF(P5="","","Final")</f>
        <v/>
      </c>
      <c r="T5" s="294" t="str">
        <f>IF(S4=1,"Results (검사원)","")</f>
        <v/>
      </c>
      <c r="U5" s="294"/>
      <c r="V5" s="294"/>
      <c r="W5" s="256" t="str">
        <f>IF(T5="","","Final")</f>
        <v/>
      </c>
      <c r="X5" s="294" t="str">
        <f>IF(W4=1,"Results (검사원)","")</f>
        <v/>
      </c>
      <c r="Y5" s="294"/>
      <c r="Z5" s="294"/>
      <c r="AA5" s="256" t="str">
        <f>IF(X5="","","Final")</f>
        <v/>
      </c>
      <c r="AB5" s="294" t="str">
        <f>IF(AA4=1,"Results (검사원)","")</f>
        <v/>
      </c>
      <c r="AC5" s="294"/>
      <c r="AD5" s="294"/>
      <c r="AE5" s="256" t="str">
        <f>IF(AB5="","","Final")</f>
        <v/>
      </c>
      <c r="AF5" s="294" t="str">
        <f>IF(AE4=1,"Results (검사원)","")</f>
        <v/>
      </c>
      <c r="AG5" s="294"/>
      <c r="AH5" s="294"/>
      <c r="AI5" s="256" t="str">
        <f>IF(AF5="","","Final")</f>
        <v/>
      </c>
      <c r="AJ5" s="294" t="str">
        <f>IF(AI4=1,"Results (검사원)","")</f>
        <v/>
      </c>
      <c r="AK5" s="294"/>
      <c r="AL5" s="294"/>
      <c r="AM5" s="256" t="str">
        <f>IF(AJ5="","","Final")</f>
        <v/>
      </c>
      <c r="AN5" s="294" t="str">
        <f>IF(AM4=1,"Results (검사원)","")</f>
        <v/>
      </c>
      <c r="AO5" s="294"/>
      <c r="AP5" s="294"/>
      <c r="AQ5" s="256" t="str">
        <f>IF(AN5="","","Final")</f>
        <v/>
      </c>
      <c r="AR5" s="294" t="str">
        <f>IF(AQ4=1,"Results (검사원)","")</f>
        <v/>
      </c>
      <c r="AS5" s="294"/>
      <c r="AT5" s="294"/>
      <c r="AU5" s="256" t="str">
        <f>IF(AR5="","","Final")</f>
        <v/>
      </c>
      <c r="AV5" s="294" t="str">
        <f>IF(AU4=1,"Results (검사원)","")</f>
        <v/>
      </c>
      <c r="AW5" s="294"/>
      <c r="AX5" s="294"/>
      <c r="AY5" s="256" t="str">
        <f>IF(AV5="","","Final")</f>
        <v/>
      </c>
      <c r="AZ5" s="294" t="str">
        <f>IF(AY4=1,"Results (검사원)","")</f>
        <v/>
      </c>
      <c r="BA5" s="294"/>
      <c r="BB5" s="294"/>
      <c r="BC5" s="256" t="str">
        <f>IF(AZ5="","","Final")</f>
        <v/>
      </c>
      <c r="BD5" s="294" t="str">
        <f>IF(BC4=1,"Results (검사원)","")</f>
        <v/>
      </c>
      <c r="BE5" s="294"/>
      <c r="BF5" s="294"/>
      <c r="BG5" s="256" t="str">
        <f>IF(BD5="","","Final")</f>
        <v/>
      </c>
      <c r="BH5" s="294" t="str">
        <f>IF(BG4=1,"Results (검사원)","")</f>
        <v/>
      </c>
      <c r="BI5" s="294"/>
      <c r="BJ5" s="294"/>
      <c r="BK5" s="256" t="str">
        <f>IF(BH5="","","Final")</f>
        <v/>
      </c>
      <c r="BL5" s="294" t="str">
        <f>IF(BK4=1,"Results (검사원)","")</f>
        <v/>
      </c>
      <c r="BM5" s="294"/>
      <c r="BN5" s="294"/>
      <c r="BO5" s="256" t="str">
        <f>IF(BL5="","","Final")</f>
        <v/>
      </c>
      <c r="BP5" s="294" t="str">
        <f>IF(BO4=1,"Results (검사원)","")</f>
        <v/>
      </c>
      <c r="BQ5" s="294"/>
      <c r="BR5" s="294"/>
      <c r="BS5" s="256" t="str">
        <f>IF(BP5="","","Final")</f>
        <v/>
      </c>
      <c r="BT5" s="294" t="str">
        <f>IF(BS4=1,"Results (검사원)","")</f>
        <v/>
      </c>
      <c r="BU5" s="294"/>
      <c r="BV5" s="294"/>
      <c r="BW5" s="256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8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6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6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6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6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6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6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6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6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6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6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6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6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6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6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6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6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5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5"/>
      <c r="R7" s="255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5"/>
      <c r="V7" s="255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47"/>
      <c r="Z7" s="247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5"/>
      <c r="AD7" s="255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5"/>
      <c r="AH7" s="255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5"/>
      <c r="AL7" s="255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5"/>
      <c r="AP7" s="255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5"/>
      <c r="AT7" s="255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5"/>
      <c r="AX7" s="255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5"/>
      <c r="BB7" s="255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5"/>
      <c r="BF7" s="255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5"/>
      <c r="BJ7" s="255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5"/>
      <c r="BN7" s="255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5"/>
      <c r="BR7" s="255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5"/>
      <c r="BV7" s="255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5"/>
      <c r="O8" s="246" t="str">
        <f t="shared" si="0"/>
        <v/>
      </c>
      <c r="P8" s="97"/>
      <c r="Q8" s="255"/>
      <c r="R8" s="255"/>
      <c r="S8" s="246" t="str">
        <f t="shared" si="1"/>
        <v/>
      </c>
      <c r="T8" s="97"/>
      <c r="U8" s="255"/>
      <c r="V8" s="255"/>
      <c r="W8" s="246" t="str">
        <f t="shared" si="2"/>
        <v/>
      </c>
      <c r="X8" s="97"/>
      <c r="Y8" s="247"/>
      <c r="Z8" s="247"/>
      <c r="AA8" s="246" t="str">
        <f t="shared" si="3"/>
        <v/>
      </c>
      <c r="AB8" s="97"/>
      <c r="AC8" s="255"/>
      <c r="AD8" s="255"/>
      <c r="AE8" s="246" t="str">
        <f t="shared" si="4"/>
        <v/>
      </c>
      <c r="AF8" s="97"/>
      <c r="AG8" s="255"/>
      <c r="AH8" s="255"/>
      <c r="AI8" s="246" t="str">
        <f t="shared" si="5"/>
        <v/>
      </c>
      <c r="AJ8" s="97"/>
      <c r="AK8" s="255"/>
      <c r="AL8" s="255"/>
      <c r="AM8" s="246" t="str">
        <f t="shared" si="6"/>
        <v/>
      </c>
      <c r="AN8" s="97"/>
      <c r="AO8" s="255"/>
      <c r="AP8" s="255"/>
      <c r="AQ8" s="246" t="str">
        <f t="shared" si="7"/>
        <v/>
      </c>
      <c r="AR8" s="97"/>
      <c r="AS8" s="255"/>
      <c r="AT8" s="255"/>
      <c r="AU8" s="246" t="str">
        <f t="shared" si="8"/>
        <v/>
      </c>
      <c r="AV8" s="97"/>
      <c r="AW8" s="255"/>
      <c r="AX8" s="255"/>
      <c r="AY8" s="246" t="str">
        <f t="shared" si="9"/>
        <v/>
      </c>
      <c r="AZ8" s="97"/>
      <c r="BA8" s="255"/>
      <c r="BB8" s="255"/>
      <c r="BC8" s="246" t="str">
        <f t="shared" si="10"/>
        <v/>
      </c>
      <c r="BD8" s="97"/>
      <c r="BE8" s="255"/>
      <c r="BF8" s="255"/>
      <c r="BG8" s="246" t="str">
        <f t="shared" si="11"/>
        <v/>
      </c>
      <c r="BH8" s="97"/>
      <c r="BI8" s="255"/>
      <c r="BJ8" s="255"/>
      <c r="BK8" s="246" t="str">
        <f t="shared" si="12"/>
        <v/>
      </c>
      <c r="BL8" s="97"/>
      <c r="BM8" s="255"/>
      <c r="BN8" s="255"/>
      <c r="BO8" s="246" t="str">
        <f t="shared" si="13"/>
        <v/>
      </c>
      <c r="BP8" s="97"/>
      <c r="BQ8" s="255"/>
      <c r="BR8" s="255"/>
      <c r="BS8" s="246" t="str">
        <f t="shared" si="14"/>
        <v/>
      </c>
      <c r="BT8" s="97"/>
      <c r="BU8" s="255"/>
      <c r="BV8" s="255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5"/>
      <c r="O9" s="246" t="str">
        <f t="shared" si="0"/>
        <v/>
      </c>
      <c r="P9" s="97"/>
      <c r="Q9" s="255"/>
      <c r="R9" s="255"/>
      <c r="S9" s="246" t="str">
        <f t="shared" si="1"/>
        <v/>
      </c>
      <c r="T9" s="97"/>
      <c r="U9" s="255"/>
      <c r="V9" s="255"/>
      <c r="W9" s="246" t="str">
        <f t="shared" si="2"/>
        <v/>
      </c>
      <c r="X9" s="97"/>
      <c r="Y9" s="247"/>
      <c r="Z9" s="247"/>
      <c r="AA9" s="246" t="str">
        <f t="shared" si="3"/>
        <v/>
      </c>
      <c r="AB9" s="97"/>
      <c r="AC9" s="255"/>
      <c r="AD9" s="255"/>
      <c r="AE9" s="246" t="str">
        <f t="shared" si="4"/>
        <v/>
      </c>
      <c r="AF9" s="97"/>
      <c r="AG9" s="255"/>
      <c r="AH9" s="255"/>
      <c r="AI9" s="246" t="str">
        <f t="shared" si="5"/>
        <v/>
      </c>
      <c r="AJ9" s="97"/>
      <c r="AK9" s="255"/>
      <c r="AL9" s="255"/>
      <c r="AM9" s="246" t="str">
        <f t="shared" si="6"/>
        <v/>
      </c>
      <c r="AN9" s="97"/>
      <c r="AO9" s="255"/>
      <c r="AP9" s="255"/>
      <c r="AQ9" s="246" t="str">
        <f t="shared" si="7"/>
        <v/>
      </c>
      <c r="AR9" s="97"/>
      <c r="AS9" s="255"/>
      <c r="AT9" s="255"/>
      <c r="AU9" s="246" t="str">
        <f t="shared" si="8"/>
        <v/>
      </c>
      <c r="AV9" s="97"/>
      <c r="AW9" s="255"/>
      <c r="AX9" s="255"/>
      <c r="AY9" s="246" t="str">
        <f t="shared" si="9"/>
        <v/>
      </c>
      <c r="AZ9" s="97"/>
      <c r="BA9" s="255"/>
      <c r="BB9" s="255"/>
      <c r="BC9" s="246" t="str">
        <f t="shared" si="10"/>
        <v/>
      </c>
      <c r="BD9" s="97"/>
      <c r="BE9" s="255"/>
      <c r="BF9" s="255"/>
      <c r="BG9" s="246" t="str">
        <f t="shared" si="11"/>
        <v/>
      </c>
      <c r="BH9" s="97"/>
      <c r="BI9" s="255"/>
      <c r="BJ9" s="255"/>
      <c r="BK9" s="246" t="str">
        <f t="shared" si="12"/>
        <v/>
      </c>
      <c r="BL9" s="97"/>
      <c r="BM9" s="255"/>
      <c r="BN9" s="255"/>
      <c r="BO9" s="246" t="str">
        <f t="shared" si="13"/>
        <v/>
      </c>
      <c r="BP9" s="97"/>
      <c r="BQ9" s="255"/>
      <c r="BR9" s="255"/>
      <c r="BS9" s="246" t="str">
        <f t="shared" si="14"/>
        <v/>
      </c>
      <c r="BT9" s="97"/>
      <c r="BU9" s="255"/>
      <c r="BV9" s="255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5"/>
      <c r="O10" s="246" t="str">
        <f t="shared" si="0"/>
        <v/>
      </c>
      <c r="P10" s="97"/>
      <c r="Q10" s="255"/>
      <c r="R10" s="255"/>
      <c r="S10" s="246" t="str">
        <f t="shared" si="1"/>
        <v/>
      </c>
      <c r="T10" s="97"/>
      <c r="U10" s="255"/>
      <c r="V10" s="255"/>
      <c r="W10" s="246" t="str">
        <f t="shared" si="2"/>
        <v/>
      </c>
      <c r="X10" s="97"/>
      <c r="Y10" s="247"/>
      <c r="Z10" s="247"/>
      <c r="AA10" s="246" t="str">
        <f t="shared" si="3"/>
        <v/>
      </c>
      <c r="AB10" s="97"/>
      <c r="AC10" s="255"/>
      <c r="AD10" s="255"/>
      <c r="AE10" s="246" t="str">
        <f t="shared" si="4"/>
        <v/>
      </c>
      <c r="AF10" s="97"/>
      <c r="AG10" s="255"/>
      <c r="AH10" s="255"/>
      <c r="AI10" s="246" t="str">
        <f t="shared" si="5"/>
        <v/>
      </c>
      <c r="AJ10" s="97"/>
      <c r="AK10" s="255"/>
      <c r="AL10" s="255"/>
      <c r="AM10" s="246" t="str">
        <f t="shared" si="6"/>
        <v/>
      </c>
      <c r="AN10" s="97"/>
      <c r="AO10" s="255"/>
      <c r="AP10" s="255"/>
      <c r="AQ10" s="246" t="str">
        <f t="shared" si="7"/>
        <v/>
      </c>
      <c r="AR10" s="97"/>
      <c r="AS10" s="255"/>
      <c r="AT10" s="255"/>
      <c r="AU10" s="246" t="str">
        <f t="shared" si="8"/>
        <v/>
      </c>
      <c r="AV10" s="97"/>
      <c r="AW10" s="255"/>
      <c r="AX10" s="255"/>
      <c r="AY10" s="246" t="str">
        <f t="shared" si="9"/>
        <v/>
      </c>
      <c r="AZ10" s="97"/>
      <c r="BA10" s="255"/>
      <c r="BB10" s="255"/>
      <c r="BC10" s="246" t="str">
        <f t="shared" si="10"/>
        <v/>
      </c>
      <c r="BD10" s="97"/>
      <c r="BE10" s="255"/>
      <c r="BF10" s="255"/>
      <c r="BG10" s="246" t="str">
        <f t="shared" si="11"/>
        <v/>
      </c>
      <c r="BH10" s="97"/>
      <c r="BI10" s="255"/>
      <c r="BJ10" s="255"/>
      <c r="BK10" s="246" t="str">
        <f t="shared" si="12"/>
        <v/>
      </c>
      <c r="BL10" s="97"/>
      <c r="BM10" s="255"/>
      <c r="BN10" s="255"/>
      <c r="BO10" s="246" t="str">
        <f t="shared" si="13"/>
        <v/>
      </c>
      <c r="BP10" s="97"/>
      <c r="BQ10" s="255"/>
      <c r="BR10" s="255"/>
      <c r="BS10" s="246" t="str">
        <f t="shared" si="14"/>
        <v/>
      </c>
      <c r="BT10" s="97"/>
      <c r="BU10" s="255"/>
      <c r="BV10" s="255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5"/>
      <c r="O11" s="246" t="str">
        <f t="shared" si="0"/>
        <v/>
      </c>
      <c r="P11" s="97"/>
      <c r="Q11" s="255"/>
      <c r="R11" s="255"/>
      <c r="S11" s="246" t="str">
        <f t="shared" si="1"/>
        <v/>
      </c>
      <c r="T11" s="97"/>
      <c r="U11" s="255"/>
      <c r="V11" s="255"/>
      <c r="W11" s="246" t="str">
        <f t="shared" si="2"/>
        <v/>
      </c>
      <c r="X11" s="97"/>
      <c r="Y11" s="247"/>
      <c r="Z11" s="247"/>
      <c r="AA11" s="246" t="str">
        <f t="shared" si="3"/>
        <v/>
      </c>
      <c r="AB11" s="97"/>
      <c r="AC11" s="255"/>
      <c r="AD11" s="255"/>
      <c r="AE11" s="246" t="str">
        <f t="shared" si="4"/>
        <v/>
      </c>
      <c r="AF11" s="97"/>
      <c r="AG11" s="255"/>
      <c r="AH11" s="255"/>
      <c r="AI11" s="246" t="str">
        <f t="shared" si="5"/>
        <v/>
      </c>
      <c r="AJ11" s="97"/>
      <c r="AK11" s="255"/>
      <c r="AL11" s="255"/>
      <c r="AM11" s="246" t="str">
        <f t="shared" si="6"/>
        <v/>
      </c>
      <c r="AN11" s="97"/>
      <c r="AO11" s="255"/>
      <c r="AP11" s="255"/>
      <c r="AQ11" s="246" t="str">
        <f t="shared" si="7"/>
        <v/>
      </c>
      <c r="AR11" s="97"/>
      <c r="AS11" s="255"/>
      <c r="AT11" s="255"/>
      <c r="AU11" s="246" t="str">
        <f t="shared" si="8"/>
        <v/>
      </c>
      <c r="AV11" s="97"/>
      <c r="AW11" s="255"/>
      <c r="AX11" s="255"/>
      <c r="AY11" s="246" t="str">
        <f t="shared" si="9"/>
        <v/>
      </c>
      <c r="AZ11" s="97"/>
      <c r="BA11" s="255"/>
      <c r="BB11" s="255"/>
      <c r="BC11" s="246" t="str">
        <f t="shared" si="10"/>
        <v/>
      </c>
      <c r="BD11" s="97"/>
      <c r="BE11" s="255"/>
      <c r="BF11" s="255"/>
      <c r="BG11" s="246" t="str">
        <f t="shared" si="11"/>
        <v/>
      </c>
      <c r="BH11" s="97"/>
      <c r="BI11" s="255"/>
      <c r="BJ11" s="255"/>
      <c r="BK11" s="246" t="str">
        <f t="shared" si="12"/>
        <v/>
      </c>
      <c r="BL11" s="97"/>
      <c r="BM11" s="255"/>
      <c r="BN11" s="255"/>
      <c r="BO11" s="246" t="str">
        <f t="shared" si="13"/>
        <v/>
      </c>
      <c r="BP11" s="97"/>
      <c r="BQ11" s="255"/>
      <c r="BR11" s="255"/>
      <c r="BS11" s="246" t="str">
        <f t="shared" si="14"/>
        <v/>
      </c>
      <c r="BT11" s="97"/>
      <c r="BU11" s="255"/>
      <c r="BV11" s="255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5"/>
      <c r="O12" s="246" t="str">
        <f t="shared" si="0"/>
        <v/>
      </c>
      <c r="P12" s="97"/>
      <c r="Q12" s="255"/>
      <c r="R12" s="255"/>
      <c r="S12" s="246" t="str">
        <f t="shared" si="1"/>
        <v/>
      </c>
      <c r="T12" s="97"/>
      <c r="U12" s="255"/>
      <c r="V12" s="255"/>
      <c r="W12" s="246" t="str">
        <f t="shared" si="2"/>
        <v/>
      </c>
      <c r="X12" s="97"/>
      <c r="Y12" s="247"/>
      <c r="Z12" s="247"/>
      <c r="AA12" s="246" t="str">
        <f t="shared" si="3"/>
        <v/>
      </c>
      <c r="AB12" s="97"/>
      <c r="AC12" s="255"/>
      <c r="AD12" s="255"/>
      <c r="AE12" s="246" t="str">
        <f t="shared" si="4"/>
        <v/>
      </c>
      <c r="AF12" s="97"/>
      <c r="AG12" s="255"/>
      <c r="AH12" s="255"/>
      <c r="AI12" s="246" t="str">
        <f t="shared" si="5"/>
        <v/>
      </c>
      <c r="AJ12" s="97"/>
      <c r="AK12" s="255"/>
      <c r="AL12" s="255"/>
      <c r="AM12" s="246" t="str">
        <f t="shared" si="6"/>
        <v/>
      </c>
      <c r="AN12" s="97"/>
      <c r="AO12" s="255"/>
      <c r="AP12" s="255"/>
      <c r="AQ12" s="246" t="str">
        <f t="shared" si="7"/>
        <v/>
      </c>
      <c r="AR12" s="97"/>
      <c r="AS12" s="255"/>
      <c r="AT12" s="255"/>
      <c r="AU12" s="246" t="str">
        <f t="shared" si="8"/>
        <v/>
      </c>
      <c r="AV12" s="97"/>
      <c r="AW12" s="255"/>
      <c r="AX12" s="255"/>
      <c r="AY12" s="246" t="str">
        <f t="shared" si="9"/>
        <v/>
      </c>
      <c r="AZ12" s="97"/>
      <c r="BA12" s="255"/>
      <c r="BB12" s="255"/>
      <c r="BC12" s="246" t="str">
        <f t="shared" si="10"/>
        <v/>
      </c>
      <c r="BD12" s="97"/>
      <c r="BE12" s="255"/>
      <c r="BF12" s="255"/>
      <c r="BG12" s="246" t="str">
        <f t="shared" si="11"/>
        <v/>
      </c>
      <c r="BH12" s="97"/>
      <c r="BI12" s="255"/>
      <c r="BJ12" s="255"/>
      <c r="BK12" s="246" t="str">
        <f t="shared" si="12"/>
        <v/>
      </c>
      <c r="BL12" s="97"/>
      <c r="BM12" s="255"/>
      <c r="BN12" s="255"/>
      <c r="BO12" s="246" t="str">
        <f t="shared" si="13"/>
        <v/>
      </c>
      <c r="BP12" s="97"/>
      <c r="BQ12" s="255"/>
      <c r="BR12" s="255"/>
      <c r="BS12" s="246" t="str">
        <f t="shared" si="14"/>
        <v/>
      </c>
      <c r="BT12" s="97"/>
      <c r="BU12" s="255"/>
      <c r="BV12" s="255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5"/>
      <c r="O13" s="246" t="str">
        <f t="shared" si="0"/>
        <v/>
      </c>
      <c r="P13" s="97"/>
      <c r="Q13" s="255"/>
      <c r="R13" s="255"/>
      <c r="S13" s="246" t="str">
        <f t="shared" si="1"/>
        <v/>
      </c>
      <c r="T13" s="97"/>
      <c r="U13" s="255"/>
      <c r="V13" s="255"/>
      <c r="W13" s="246" t="str">
        <f t="shared" si="2"/>
        <v/>
      </c>
      <c r="X13" s="97"/>
      <c r="Y13" s="247"/>
      <c r="Z13" s="247"/>
      <c r="AA13" s="246" t="str">
        <f t="shared" si="3"/>
        <v/>
      </c>
      <c r="AB13" s="97"/>
      <c r="AC13" s="255"/>
      <c r="AD13" s="255"/>
      <c r="AE13" s="246" t="str">
        <f t="shared" si="4"/>
        <v/>
      </c>
      <c r="AF13" s="97"/>
      <c r="AG13" s="255"/>
      <c r="AH13" s="255"/>
      <c r="AI13" s="246" t="str">
        <f t="shared" si="5"/>
        <v/>
      </c>
      <c r="AJ13" s="97"/>
      <c r="AK13" s="255"/>
      <c r="AL13" s="255"/>
      <c r="AM13" s="246" t="str">
        <f t="shared" si="6"/>
        <v/>
      </c>
      <c r="AN13" s="97"/>
      <c r="AO13" s="255"/>
      <c r="AP13" s="255"/>
      <c r="AQ13" s="246" t="str">
        <f t="shared" si="7"/>
        <v/>
      </c>
      <c r="AR13" s="97"/>
      <c r="AS13" s="255"/>
      <c r="AT13" s="255"/>
      <c r="AU13" s="246" t="str">
        <f t="shared" si="8"/>
        <v/>
      </c>
      <c r="AV13" s="97"/>
      <c r="AW13" s="255"/>
      <c r="AX13" s="255"/>
      <c r="AY13" s="246" t="str">
        <f t="shared" si="9"/>
        <v/>
      </c>
      <c r="AZ13" s="97"/>
      <c r="BA13" s="255"/>
      <c r="BB13" s="255"/>
      <c r="BC13" s="246" t="str">
        <f t="shared" si="10"/>
        <v/>
      </c>
      <c r="BD13" s="97"/>
      <c r="BE13" s="255"/>
      <c r="BF13" s="255"/>
      <c r="BG13" s="246" t="str">
        <f t="shared" si="11"/>
        <v/>
      </c>
      <c r="BH13" s="97"/>
      <c r="BI13" s="255"/>
      <c r="BJ13" s="255"/>
      <c r="BK13" s="246" t="str">
        <f t="shared" si="12"/>
        <v/>
      </c>
      <c r="BL13" s="97"/>
      <c r="BM13" s="255"/>
      <c r="BN13" s="255"/>
      <c r="BO13" s="246" t="str">
        <f t="shared" si="13"/>
        <v/>
      </c>
      <c r="BP13" s="97"/>
      <c r="BQ13" s="255"/>
      <c r="BR13" s="255"/>
      <c r="BS13" s="246" t="str">
        <f t="shared" si="14"/>
        <v/>
      </c>
      <c r="BT13" s="97"/>
      <c r="BU13" s="255"/>
      <c r="BV13" s="255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5"/>
      <c r="O14" s="246" t="str">
        <f t="shared" si="0"/>
        <v/>
      </c>
      <c r="P14" s="97"/>
      <c r="Q14" s="255"/>
      <c r="R14" s="255"/>
      <c r="S14" s="246" t="str">
        <f t="shared" si="1"/>
        <v/>
      </c>
      <c r="T14" s="97"/>
      <c r="U14" s="255"/>
      <c r="V14" s="255"/>
      <c r="W14" s="246" t="str">
        <f t="shared" si="2"/>
        <v/>
      </c>
      <c r="X14" s="97"/>
      <c r="Y14" s="247"/>
      <c r="Z14" s="247"/>
      <c r="AA14" s="246" t="str">
        <f t="shared" si="3"/>
        <v/>
      </c>
      <c r="AB14" s="97"/>
      <c r="AC14" s="255"/>
      <c r="AD14" s="255"/>
      <c r="AE14" s="246" t="str">
        <f t="shared" si="4"/>
        <v/>
      </c>
      <c r="AF14" s="97"/>
      <c r="AG14" s="255"/>
      <c r="AH14" s="255"/>
      <c r="AI14" s="246" t="str">
        <f t="shared" si="5"/>
        <v/>
      </c>
      <c r="AJ14" s="97"/>
      <c r="AK14" s="255"/>
      <c r="AL14" s="255"/>
      <c r="AM14" s="246" t="str">
        <f t="shared" si="6"/>
        <v/>
      </c>
      <c r="AN14" s="97"/>
      <c r="AO14" s="255"/>
      <c r="AP14" s="255"/>
      <c r="AQ14" s="246" t="str">
        <f t="shared" si="7"/>
        <v/>
      </c>
      <c r="AR14" s="97"/>
      <c r="AS14" s="255"/>
      <c r="AT14" s="255"/>
      <c r="AU14" s="246" t="str">
        <f t="shared" si="8"/>
        <v/>
      </c>
      <c r="AV14" s="97"/>
      <c r="AW14" s="255"/>
      <c r="AX14" s="255"/>
      <c r="AY14" s="246" t="str">
        <f t="shared" si="9"/>
        <v/>
      </c>
      <c r="AZ14" s="97"/>
      <c r="BA14" s="255"/>
      <c r="BB14" s="255"/>
      <c r="BC14" s="246" t="str">
        <f t="shared" si="10"/>
        <v/>
      </c>
      <c r="BD14" s="97"/>
      <c r="BE14" s="255"/>
      <c r="BF14" s="255"/>
      <c r="BG14" s="246" t="str">
        <f t="shared" si="11"/>
        <v/>
      </c>
      <c r="BH14" s="97"/>
      <c r="BI14" s="255"/>
      <c r="BJ14" s="255"/>
      <c r="BK14" s="246" t="str">
        <f t="shared" si="12"/>
        <v/>
      </c>
      <c r="BL14" s="97"/>
      <c r="BM14" s="255"/>
      <c r="BN14" s="255"/>
      <c r="BO14" s="246" t="str">
        <f t="shared" si="13"/>
        <v/>
      </c>
      <c r="BP14" s="97"/>
      <c r="BQ14" s="255"/>
      <c r="BR14" s="255"/>
      <c r="BS14" s="246" t="str">
        <f t="shared" si="14"/>
        <v/>
      </c>
      <c r="BT14" s="97"/>
      <c r="BU14" s="255"/>
      <c r="BV14" s="255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5"/>
      <c r="O15" s="246" t="str">
        <f t="shared" si="0"/>
        <v/>
      </c>
      <c r="P15" s="97"/>
      <c r="Q15" s="255"/>
      <c r="R15" s="255"/>
      <c r="S15" s="246" t="str">
        <f t="shared" si="1"/>
        <v/>
      </c>
      <c r="T15" s="97"/>
      <c r="U15" s="255"/>
      <c r="V15" s="255"/>
      <c r="W15" s="246" t="str">
        <f t="shared" si="2"/>
        <v/>
      </c>
      <c r="X15" s="97"/>
      <c r="Y15" s="247"/>
      <c r="Z15" s="247"/>
      <c r="AA15" s="246" t="str">
        <f t="shared" si="3"/>
        <v/>
      </c>
      <c r="AB15" s="97"/>
      <c r="AC15" s="255"/>
      <c r="AD15" s="255"/>
      <c r="AE15" s="246" t="str">
        <f t="shared" si="4"/>
        <v/>
      </c>
      <c r="AF15" s="97"/>
      <c r="AG15" s="255"/>
      <c r="AH15" s="255"/>
      <c r="AI15" s="246" t="str">
        <f t="shared" si="5"/>
        <v/>
      </c>
      <c r="AJ15" s="97"/>
      <c r="AK15" s="255"/>
      <c r="AL15" s="255"/>
      <c r="AM15" s="246" t="str">
        <f t="shared" si="6"/>
        <v/>
      </c>
      <c r="AN15" s="97"/>
      <c r="AO15" s="255"/>
      <c r="AP15" s="255"/>
      <c r="AQ15" s="246" t="str">
        <f t="shared" si="7"/>
        <v/>
      </c>
      <c r="AR15" s="97"/>
      <c r="AS15" s="255"/>
      <c r="AT15" s="255"/>
      <c r="AU15" s="246" t="str">
        <f t="shared" si="8"/>
        <v/>
      </c>
      <c r="AV15" s="97"/>
      <c r="AW15" s="255"/>
      <c r="AX15" s="255"/>
      <c r="AY15" s="246" t="str">
        <f t="shared" si="9"/>
        <v/>
      </c>
      <c r="AZ15" s="97"/>
      <c r="BA15" s="255"/>
      <c r="BB15" s="255"/>
      <c r="BC15" s="246" t="str">
        <f t="shared" si="10"/>
        <v/>
      </c>
      <c r="BD15" s="97"/>
      <c r="BE15" s="255"/>
      <c r="BF15" s="255"/>
      <c r="BG15" s="246" t="str">
        <f t="shared" si="11"/>
        <v/>
      </c>
      <c r="BH15" s="97"/>
      <c r="BI15" s="255"/>
      <c r="BJ15" s="255"/>
      <c r="BK15" s="246" t="str">
        <f t="shared" si="12"/>
        <v/>
      </c>
      <c r="BL15" s="97"/>
      <c r="BM15" s="255"/>
      <c r="BN15" s="255"/>
      <c r="BO15" s="246" t="str">
        <f t="shared" si="13"/>
        <v/>
      </c>
      <c r="BP15" s="97"/>
      <c r="BQ15" s="255"/>
      <c r="BR15" s="255"/>
      <c r="BS15" s="246" t="str">
        <f t="shared" si="14"/>
        <v/>
      </c>
      <c r="BT15" s="97"/>
      <c r="BU15" s="255"/>
      <c r="BV15" s="255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5"/>
      <c r="O16" s="246" t="str">
        <f t="shared" si="0"/>
        <v/>
      </c>
      <c r="P16" s="97"/>
      <c r="Q16" s="255"/>
      <c r="R16" s="255"/>
      <c r="S16" s="246" t="str">
        <f t="shared" si="1"/>
        <v/>
      </c>
      <c r="T16" s="97"/>
      <c r="U16" s="255"/>
      <c r="V16" s="255"/>
      <c r="W16" s="246" t="str">
        <f t="shared" si="2"/>
        <v/>
      </c>
      <c r="X16" s="97"/>
      <c r="Y16" s="247"/>
      <c r="Z16" s="247"/>
      <c r="AA16" s="246" t="str">
        <f t="shared" si="3"/>
        <v/>
      </c>
      <c r="AB16" s="97"/>
      <c r="AC16" s="255"/>
      <c r="AD16" s="255"/>
      <c r="AE16" s="246" t="str">
        <f t="shared" si="4"/>
        <v/>
      </c>
      <c r="AF16" s="97"/>
      <c r="AG16" s="255"/>
      <c r="AH16" s="255"/>
      <c r="AI16" s="246" t="str">
        <f t="shared" si="5"/>
        <v/>
      </c>
      <c r="AJ16" s="97"/>
      <c r="AK16" s="255"/>
      <c r="AL16" s="255"/>
      <c r="AM16" s="246" t="str">
        <f t="shared" si="6"/>
        <v/>
      </c>
      <c r="AN16" s="97"/>
      <c r="AO16" s="255"/>
      <c r="AP16" s="255"/>
      <c r="AQ16" s="246" t="str">
        <f t="shared" si="7"/>
        <v/>
      </c>
      <c r="AR16" s="97"/>
      <c r="AS16" s="255"/>
      <c r="AT16" s="255"/>
      <c r="AU16" s="246" t="str">
        <f t="shared" si="8"/>
        <v/>
      </c>
      <c r="AV16" s="97"/>
      <c r="AW16" s="255"/>
      <c r="AX16" s="255"/>
      <c r="AY16" s="246" t="str">
        <f t="shared" si="9"/>
        <v/>
      </c>
      <c r="AZ16" s="97"/>
      <c r="BA16" s="255"/>
      <c r="BB16" s="255"/>
      <c r="BC16" s="246" t="str">
        <f t="shared" si="10"/>
        <v/>
      </c>
      <c r="BD16" s="97"/>
      <c r="BE16" s="255"/>
      <c r="BF16" s="255"/>
      <c r="BG16" s="246" t="str">
        <f t="shared" si="11"/>
        <v/>
      </c>
      <c r="BH16" s="97"/>
      <c r="BI16" s="255"/>
      <c r="BJ16" s="255"/>
      <c r="BK16" s="246" t="str">
        <f t="shared" si="12"/>
        <v/>
      </c>
      <c r="BL16" s="97"/>
      <c r="BM16" s="255"/>
      <c r="BN16" s="255"/>
      <c r="BO16" s="246" t="str">
        <f t="shared" si="13"/>
        <v/>
      </c>
      <c r="BP16" s="97"/>
      <c r="BQ16" s="255"/>
      <c r="BR16" s="255"/>
      <c r="BS16" s="246" t="str">
        <f t="shared" si="14"/>
        <v/>
      </c>
      <c r="BT16" s="97"/>
      <c r="BU16" s="255"/>
      <c r="BV16" s="255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5"/>
      <c r="O17" s="246" t="str">
        <f t="shared" si="0"/>
        <v/>
      </c>
      <c r="P17" s="97"/>
      <c r="Q17" s="255"/>
      <c r="R17" s="255"/>
      <c r="S17" s="246" t="str">
        <f t="shared" si="1"/>
        <v/>
      </c>
      <c r="T17" s="97"/>
      <c r="U17" s="255"/>
      <c r="V17" s="255"/>
      <c r="W17" s="246" t="str">
        <f t="shared" si="2"/>
        <v/>
      </c>
      <c r="X17" s="97"/>
      <c r="Y17" s="247"/>
      <c r="Z17" s="247"/>
      <c r="AA17" s="246" t="str">
        <f t="shared" si="3"/>
        <v/>
      </c>
      <c r="AB17" s="97"/>
      <c r="AC17" s="255"/>
      <c r="AD17" s="255"/>
      <c r="AE17" s="246" t="str">
        <f t="shared" si="4"/>
        <v/>
      </c>
      <c r="AF17" s="97"/>
      <c r="AG17" s="255"/>
      <c r="AH17" s="255"/>
      <c r="AI17" s="246" t="str">
        <f t="shared" si="5"/>
        <v/>
      </c>
      <c r="AJ17" s="97"/>
      <c r="AK17" s="255"/>
      <c r="AL17" s="255"/>
      <c r="AM17" s="246" t="str">
        <f t="shared" si="6"/>
        <v/>
      </c>
      <c r="AN17" s="97"/>
      <c r="AO17" s="255"/>
      <c r="AP17" s="255"/>
      <c r="AQ17" s="246" t="str">
        <f t="shared" si="7"/>
        <v/>
      </c>
      <c r="AR17" s="97"/>
      <c r="AS17" s="255"/>
      <c r="AT17" s="255"/>
      <c r="AU17" s="246" t="str">
        <f t="shared" si="8"/>
        <v/>
      </c>
      <c r="AV17" s="97"/>
      <c r="AW17" s="255"/>
      <c r="AX17" s="255"/>
      <c r="AY17" s="246" t="str">
        <f t="shared" si="9"/>
        <v/>
      </c>
      <c r="AZ17" s="97"/>
      <c r="BA17" s="255"/>
      <c r="BB17" s="255"/>
      <c r="BC17" s="246" t="str">
        <f t="shared" si="10"/>
        <v/>
      </c>
      <c r="BD17" s="97"/>
      <c r="BE17" s="255"/>
      <c r="BF17" s="255"/>
      <c r="BG17" s="246" t="str">
        <f t="shared" si="11"/>
        <v/>
      </c>
      <c r="BH17" s="97"/>
      <c r="BI17" s="255"/>
      <c r="BJ17" s="255"/>
      <c r="BK17" s="246" t="str">
        <f t="shared" si="12"/>
        <v/>
      </c>
      <c r="BL17" s="97"/>
      <c r="BM17" s="255"/>
      <c r="BN17" s="255"/>
      <c r="BO17" s="246" t="str">
        <f t="shared" si="13"/>
        <v/>
      </c>
      <c r="BP17" s="97"/>
      <c r="BQ17" s="255"/>
      <c r="BR17" s="255"/>
      <c r="BS17" s="246" t="str">
        <f t="shared" si="14"/>
        <v/>
      </c>
      <c r="BT17" s="97"/>
      <c r="BU17" s="255"/>
      <c r="BV17" s="255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5"/>
      <c r="O18" s="246" t="str">
        <f t="shared" si="0"/>
        <v/>
      </c>
      <c r="P18" s="97"/>
      <c r="Q18" s="255"/>
      <c r="R18" s="255"/>
      <c r="S18" s="246" t="str">
        <f t="shared" si="1"/>
        <v/>
      </c>
      <c r="T18" s="97"/>
      <c r="U18" s="255"/>
      <c r="V18" s="255"/>
      <c r="W18" s="246" t="str">
        <f t="shared" si="2"/>
        <v/>
      </c>
      <c r="X18" s="97"/>
      <c r="Y18" s="247"/>
      <c r="Z18" s="247"/>
      <c r="AA18" s="246" t="str">
        <f t="shared" si="3"/>
        <v/>
      </c>
      <c r="AB18" s="97"/>
      <c r="AC18" s="255"/>
      <c r="AD18" s="255"/>
      <c r="AE18" s="246" t="str">
        <f t="shared" si="4"/>
        <v/>
      </c>
      <c r="AF18" s="97"/>
      <c r="AG18" s="255"/>
      <c r="AH18" s="255"/>
      <c r="AI18" s="246" t="str">
        <f t="shared" si="5"/>
        <v/>
      </c>
      <c r="AJ18" s="97"/>
      <c r="AK18" s="255"/>
      <c r="AL18" s="255"/>
      <c r="AM18" s="246" t="str">
        <f t="shared" si="6"/>
        <v/>
      </c>
      <c r="AN18" s="97"/>
      <c r="AO18" s="255"/>
      <c r="AP18" s="255"/>
      <c r="AQ18" s="246" t="str">
        <f t="shared" si="7"/>
        <v/>
      </c>
      <c r="AR18" s="97"/>
      <c r="AS18" s="255"/>
      <c r="AT18" s="255"/>
      <c r="AU18" s="246" t="str">
        <f t="shared" si="8"/>
        <v/>
      </c>
      <c r="AV18" s="97"/>
      <c r="AW18" s="255"/>
      <c r="AX18" s="255"/>
      <c r="AY18" s="246" t="str">
        <f t="shared" si="9"/>
        <v/>
      </c>
      <c r="AZ18" s="97"/>
      <c r="BA18" s="255"/>
      <c r="BB18" s="255"/>
      <c r="BC18" s="246" t="str">
        <f t="shared" si="10"/>
        <v/>
      </c>
      <c r="BD18" s="97"/>
      <c r="BE18" s="255"/>
      <c r="BF18" s="255"/>
      <c r="BG18" s="246" t="str">
        <f t="shared" si="11"/>
        <v/>
      </c>
      <c r="BH18" s="97"/>
      <c r="BI18" s="255"/>
      <c r="BJ18" s="255"/>
      <c r="BK18" s="246" t="str">
        <f t="shared" si="12"/>
        <v/>
      </c>
      <c r="BL18" s="97"/>
      <c r="BM18" s="255"/>
      <c r="BN18" s="255"/>
      <c r="BO18" s="246" t="str">
        <f t="shared" si="13"/>
        <v/>
      </c>
      <c r="BP18" s="97"/>
      <c r="BQ18" s="255"/>
      <c r="BR18" s="255"/>
      <c r="BS18" s="246" t="str">
        <f t="shared" si="14"/>
        <v/>
      </c>
      <c r="BT18" s="97"/>
      <c r="BU18" s="255"/>
      <c r="BV18" s="255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5"/>
      <c r="O19" s="246" t="str">
        <f t="shared" si="0"/>
        <v/>
      </c>
      <c r="P19" s="97"/>
      <c r="Q19" s="255"/>
      <c r="R19" s="255"/>
      <c r="S19" s="246" t="str">
        <f t="shared" si="1"/>
        <v/>
      </c>
      <c r="T19" s="97"/>
      <c r="U19" s="255"/>
      <c r="V19" s="255"/>
      <c r="W19" s="246" t="str">
        <f t="shared" si="2"/>
        <v/>
      </c>
      <c r="X19" s="97"/>
      <c r="Y19" s="247"/>
      <c r="Z19" s="247"/>
      <c r="AA19" s="246" t="str">
        <f t="shared" si="3"/>
        <v/>
      </c>
      <c r="AB19" s="97"/>
      <c r="AC19" s="255"/>
      <c r="AD19" s="255"/>
      <c r="AE19" s="246" t="str">
        <f t="shared" si="4"/>
        <v/>
      </c>
      <c r="AF19" s="97"/>
      <c r="AG19" s="255"/>
      <c r="AH19" s="255"/>
      <c r="AI19" s="246" t="str">
        <f t="shared" si="5"/>
        <v/>
      </c>
      <c r="AJ19" s="97"/>
      <c r="AK19" s="255"/>
      <c r="AL19" s="255"/>
      <c r="AM19" s="246" t="str">
        <f t="shared" si="6"/>
        <v/>
      </c>
      <c r="AN19" s="97"/>
      <c r="AO19" s="255"/>
      <c r="AP19" s="255"/>
      <c r="AQ19" s="246" t="str">
        <f t="shared" si="7"/>
        <v/>
      </c>
      <c r="AR19" s="97"/>
      <c r="AS19" s="255"/>
      <c r="AT19" s="255"/>
      <c r="AU19" s="246" t="str">
        <f t="shared" si="8"/>
        <v/>
      </c>
      <c r="AV19" s="97"/>
      <c r="AW19" s="255"/>
      <c r="AX19" s="255"/>
      <c r="AY19" s="246" t="str">
        <f t="shared" si="9"/>
        <v/>
      </c>
      <c r="AZ19" s="97"/>
      <c r="BA19" s="255"/>
      <c r="BB19" s="255"/>
      <c r="BC19" s="246" t="str">
        <f t="shared" si="10"/>
        <v/>
      </c>
      <c r="BD19" s="97"/>
      <c r="BE19" s="255"/>
      <c r="BF19" s="255"/>
      <c r="BG19" s="246" t="str">
        <f t="shared" si="11"/>
        <v/>
      </c>
      <c r="BH19" s="97"/>
      <c r="BI19" s="255"/>
      <c r="BJ19" s="255"/>
      <c r="BK19" s="246" t="str">
        <f t="shared" si="12"/>
        <v/>
      </c>
      <c r="BL19" s="97"/>
      <c r="BM19" s="255"/>
      <c r="BN19" s="255"/>
      <c r="BO19" s="246" t="str">
        <f t="shared" si="13"/>
        <v/>
      </c>
      <c r="BP19" s="97"/>
      <c r="BQ19" s="255"/>
      <c r="BR19" s="255"/>
      <c r="BS19" s="246" t="str">
        <f t="shared" si="14"/>
        <v/>
      </c>
      <c r="BT19" s="97"/>
      <c r="BU19" s="255"/>
      <c r="BV19" s="255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5"/>
      <c r="O20" s="246" t="str">
        <f t="shared" si="0"/>
        <v/>
      </c>
      <c r="P20" s="97"/>
      <c r="Q20" s="255"/>
      <c r="R20" s="255"/>
      <c r="S20" s="246" t="str">
        <f t="shared" si="1"/>
        <v/>
      </c>
      <c r="T20" s="97"/>
      <c r="U20" s="255"/>
      <c r="V20" s="255"/>
      <c r="W20" s="246" t="str">
        <f t="shared" si="2"/>
        <v/>
      </c>
      <c r="X20" s="97"/>
      <c r="Y20" s="247"/>
      <c r="Z20" s="247"/>
      <c r="AA20" s="246" t="str">
        <f t="shared" si="3"/>
        <v/>
      </c>
      <c r="AB20" s="97"/>
      <c r="AC20" s="255"/>
      <c r="AD20" s="255"/>
      <c r="AE20" s="246" t="str">
        <f t="shared" si="4"/>
        <v/>
      </c>
      <c r="AF20" s="97"/>
      <c r="AG20" s="255"/>
      <c r="AH20" s="255"/>
      <c r="AI20" s="246" t="str">
        <f t="shared" si="5"/>
        <v/>
      </c>
      <c r="AJ20" s="97"/>
      <c r="AK20" s="255"/>
      <c r="AL20" s="255"/>
      <c r="AM20" s="246" t="str">
        <f t="shared" si="6"/>
        <v/>
      </c>
      <c r="AN20" s="97"/>
      <c r="AO20" s="255"/>
      <c r="AP20" s="255"/>
      <c r="AQ20" s="246" t="str">
        <f t="shared" si="7"/>
        <v/>
      </c>
      <c r="AR20" s="97"/>
      <c r="AS20" s="255"/>
      <c r="AT20" s="255"/>
      <c r="AU20" s="246" t="str">
        <f t="shared" si="8"/>
        <v/>
      </c>
      <c r="AV20" s="97"/>
      <c r="AW20" s="255"/>
      <c r="AX20" s="255"/>
      <c r="AY20" s="246" t="str">
        <f t="shared" si="9"/>
        <v/>
      </c>
      <c r="AZ20" s="97"/>
      <c r="BA20" s="255"/>
      <c r="BB20" s="255"/>
      <c r="BC20" s="246" t="str">
        <f t="shared" si="10"/>
        <v/>
      </c>
      <c r="BD20" s="97"/>
      <c r="BE20" s="255"/>
      <c r="BF20" s="255"/>
      <c r="BG20" s="246" t="str">
        <f t="shared" si="11"/>
        <v/>
      </c>
      <c r="BH20" s="97"/>
      <c r="BI20" s="255"/>
      <c r="BJ20" s="255"/>
      <c r="BK20" s="246" t="str">
        <f t="shared" si="12"/>
        <v/>
      </c>
      <c r="BL20" s="97"/>
      <c r="BM20" s="255"/>
      <c r="BN20" s="255"/>
      <c r="BO20" s="246" t="str">
        <f t="shared" si="13"/>
        <v/>
      </c>
      <c r="BP20" s="97"/>
      <c r="BQ20" s="255"/>
      <c r="BR20" s="255"/>
      <c r="BS20" s="246" t="str">
        <f t="shared" si="14"/>
        <v/>
      </c>
      <c r="BT20" s="97"/>
      <c r="BU20" s="255"/>
      <c r="BV20" s="255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5"/>
      <c r="O21" s="246" t="str">
        <f t="shared" si="0"/>
        <v/>
      </c>
      <c r="P21" s="97"/>
      <c r="Q21" s="255"/>
      <c r="R21" s="255"/>
      <c r="S21" s="246" t="str">
        <f t="shared" si="1"/>
        <v/>
      </c>
      <c r="T21" s="97"/>
      <c r="U21" s="255"/>
      <c r="V21" s="255"/>
      <c r="W21" s="246" t="str">
        <f t="shared" si="2"/>
        <v/>
      </c>
      <c r="X21" s="97"/>
      <c r="Y21" s="247"/>
      <c r="Z21" s="247"/>
      <c r="AA21" s="246" t="str">
        <f t="shared" si="3"/>
        <v/>
      </c>
      <c r="AB21" s="97"/>
      <c r="AC21" s="255"/>
      <c r="AD21" s="255"/>
      <c r="AE21" s="246" t="str">
        <f t="shared" si="4"/>
        <v/>
      </c>
      <c r="AF21" s="97"/>
      <c r="AG21" s="255"/>
      <c r="AH21" s="255"/>
      <c r="AI21" s="246" t="str">
        <f t="shared" si="5"/>
        <v/>
      </c>
      <c r="AJ21" s="97"/>
      <c r="AK21" s="255"/>
      <c r="AL21" s="255"/>
      <c r="AM21" s="246" t="str">
        <f t="shared" si="6"/>
        <v/>
      </c>
      <c r="AN21" s="97"/>
      <c r="AO21" s="255"/>
      <c r="AP21" s="255"/>
      <c r="AQ21" s="246" t="str">
        <f t="shared" si="7"/>
        <v/>
      </c>
      <c r="AR21" s="97"/>
      <c r="AS21" s="255"/>
      <c r="AT21" s="255"/>
      <c r="AU21" s="246" t="str">
        <f t="shared" si="8"/>
        <v/>
      </c>
      <c r="AV21" s="97"/>
      <c r="AW21" s="255"/>
      <c r="AX21" s="255"/>
      <c r="AY21" s="246" t="str">
        <f t="shared" si="9"/>
        <v/>
      </c>
      <c r="AZ21" s="97"/>
      <c r="BA21" s="255"/>
      <c r="BB21" s="255"/>
      <c r="BC21" s="246" t="str">
        <f t="shared" si="10"/>
        <v/>
      </c>
      <c r="BD21" s="97"/>
      <c r="BE21" s="255"/>
      <c r="BF21" s="255"/>
      <c r="BG21" s="246" t="str">
        <f t="shared" si="11"/>
        <v/>
      </c>
      <c r="BH21" s="97"/>
      <c r="BI21" s="255"/>
      <c r="BJ21" s="255"/>
      <c r="BK21" s="246" t="str">
        <f t="shared" si="12"/>
        <v/>
      </c>
      <c r="BL21" s="97"/>
      <c r="BM21" s="255"/>
      <c r="BN21" s="255"/>
      <c r="BO21" s="246" t="str">
        <f t="shared" si="13"/>
        <v/>
      </c>
      <c r="BP21" s="97"/>
      <c r="BQ21" s="255"/>
      <c r="BR21" s="255"/>
      <c r="BS21" s="246" t="str">
        <f t="shared" si="14"/>
        <v/>
      </c>
      <c r="BT21" s="97"/>
      <c r="BU21" s="255"/>
      <c r="BV21" s="255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5"/>
      <c r="O22" s="246" t="str">
        <f t="shared" si="0"/>
        <v/>
      </c>
      <c r="P22" s="97"/>
      <c r="Q22" s="255"/>
      <c r="R22" s="255"/>
      <c r="S22" s="246" t="str">
        <f t="shared" si="1"/>
        <v/>
      </c>
      <c r="T22" s="97"/>
      <c r="U22" s="255"/>
      <c r="V22" s="255"/>
      <c r="W22" s="246" t="str">
        <f t="shared" si="2"/>
        <v/>
      </c>
      <c r="X22" s="97"/>
      <c r="Y22" s="247"/>
      <c r="Z22" s="247"/>
      <c r="AA22" s="246" t="str">
        <f t="shared" si="3"/>
        <v/>
      </c>
      <c r="AB22" s="97"/>
      <c r="AC22" s="255"/>
      <c r="AD22" s="255"/>
      <c r="AE22" s="246" t="str">
        <f t="shared" si="4"/>
        <v/>
      </c>
      <c r="AF22" s="97"/>
      <c r="AG22" s="255"/>
      <c r="AH22" s="255"/>
      <c r="AI22" s="246" t="str">
        <f t="shared" si="5"/>
        <v/>
      </c>
      <c r="AJ22" s="97"/>
      <c r="AK22" s="255"/>
      <c r="AL22" s="255"/>
      <c r="AM22" s="246" t="str">
        <f t="shared" si="6"/>
        <v/>
      </c>
      <c r="AN22" s="97"/>
      <c r="AO22" s="255"/>
      <c r="AP22" s="255"/>
      <c r="AQ22" s="246" t="str">
        <f t="shared" si="7"/>
        <v/>
      </c>
      <c r="AR22" s="97"/>
      <c r="AS22" s="255"/>
      <c r="AT22" s="255"/>
      <c r="AU22" s="246" t="str">
        <f t="shared" si="8"/>
        <v/>
      </c>
      <c r="AV22" s="97"/>
      <c r="AW22" s="255"/>
      <c r="AX22" s="255"/>
      <c r="AY22" s="246" t="str">
        <f t="shared" si="9"/>
        <v/>
      </c>
      <c r="AZ22" s="97"/>
      <c r="BA22" s="255"/>
      <c r="BB22" s="255"/>
      <c r="BC22" s="246" t="str">
        <f t="shared" si="10"/>
        <v/>
      </c>
      <c r="BD22" s="97"/>
      <c r="BE22" s="255"/>
      <c r="BF22" s="255"/>
      <c r="BG22" s="246" t="str">
        <f t="shared" si="11"/>
        <v/>
      </c>
      <c r="BH22" s="97"/>
      <c r="BI22" s="255"/>
      <c r="BJ22" s="255"/>
      <c r="BK22" s="246" t="str">
        <f t="shared" si="12"/>
        <v/>
      </c>
      <c r="BL22" s="97"/>
      <c r="BM22" s="255"/>
      <c r="BN22" s="255"/>
      <c r="BO22" s="246" t="str">
        <f t="shared" si="13"/>
        <v/>
      </c>
      <c r="BP22" s="97"/>
      <c r="BQ22" s="255"/>
      <c r="BR22" s="255"/>
      <c r="BS22" s="246" t="str">
        <f t="shared" si="14"/>
        <v/>
      </c>
      <c r="BT22" s="97"/>
      <c r="BU22" s="255"/>
      <c r="BV22" s="255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5"/>
      <c r="O23" s="246" t="str">
        <f t="shared" si="0"/>
        <v/>
      </c>
      <c r="P23" s="97"/>
      <c r="Q23" s="255"/>
      <c r="R23" s="255"/>
      <c r="S23" s="246" t="str">
        <f t="shared" si="1"/>
        <v/>
      </c>
      <c r="T23" s="97"/>
      <c r="U23" s="255"/>
      <c r="V23" s="255"/>
      <c r="W23" s="246" t="str">
        <f t="shared" si="2"/>
        <v/>
      </c>
      <c r="X23" s="97"/>
      <c r="Y23" s="247"/>
      <c r="Z23" s="247"/>
      <c r="AA23" s="246" t="str">
        <f t="shared" si="3"/>
        <v/>
      </c>
      <c r="AB23" s="97"/>
      <c r="AC23" s="255"/>
      <c r="AD23" s="255"/>
      <c r="AE23" s="246" t="str">
        <f t="shared" si="4"/>
        <v/>
      </c>
      <c r="AF23" s="97"/>
      <c r="AG23" s="255"/>
      <c r="AH23" s="255"/>
      <c r="AI23" s="246" t="str">
        <f t="shared" si="5"/>
        <v/>
      </c>
      <c r="AJ23" s="97"/>
      <c r="AK23" s="255"/>
      <c r="AL23" s="255"/>
      <c r="AM23" s="246" t="str">
        <f t="shared" si="6"/>
        <v/>
      </c>
      <c r="AN23" s="97"/>
      <c r="AO23" s="255"/>
      <c r="AP23" s="255"/>
      <c r="AQ23" s="246" t="str">
        <f t="shared" si="7"/>
        <v/>
      </c>
      <c r="AR23" s="97"/>
      <c r="AS23" s="255"/>
      <c r="AT23" s="255"/>
      <c r="AU23" s="246" t="str">
        <f t="shared" si="8"/>
        <v/>
      </c>
      <c r="AV23" s="97"/>
      <c r="AW23" s="255"/>
      <c r="AX23" s="255"/>
      <c r="AY23" s="246" t="str">
        <f t="shared" si="9"/>
        <v/>
      </c>
      <c r="AZ23" s="97"/>
      <c r="BA23" s="255"/>
      <c r="BB23" s="255"/>
      <c r="BC23" s="246" t="str">
        <f t="shared" si="10"/>
        <v/>
      </c>
      <c r="BD23" s="97"/>
      <c r="BE23" s="255"/>
      <c r="BF23" s="255"/>
      <c r="BG23" s="246" t="str">
        <f t="shared" si="11"/>
        <v/>
      </c>
      <c r="BH23" s="97"/>
      <c r="BI23" s="255"/>
      <c r="BJ23" s="255"/>
      <c r="BK23" s="246" t="str">
        <f t="shared" si="12"/>
        <v/>
      </c>
      <c r="BL23" s="97"/>
      <c r="BM23" s="255"/>
      <c r="BN23" s="255"/>
      <c r="BO23" s="246" t="str">
        <f t="shared" si="13"/>
        <v/>
      </c>
      <c r="BP23" s="97"/>
      <c r="BQ23" s="255"/>
      <c r="BR23" s="255"/>
      <c r="BS23" s="246" t="str">
        <f t="shared" si="14"/>
        <v/>
      </c>
      <c r="BT23" s="97"/>
      <c r="BU23" s="255"/>
      <c r="BV23" s="255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5"/>
      <c r="O24" s="246" t="str">
        <f t="shared" si="0"/>
        <v/>
      </c>
      <c r="P24" s="97"/>
      <c r="Q24" s="255"/>
      <c r="R24" s="255"/>
      <c r="S24" s="246" t="str">
        <f t="shared" si="1"/>
        <v/>
      </c>
      <c r="T24" s="97"/>
      <c r="U24" s="255"/>
      <c r="V24" s="255"/>
      <c r="W24" s="246" t="str">
        <f t="shared" si="2"/>
        <v/>
      </c>
      <c r="X24" s="97"/>
      <c r="Y24" s="247"/>
      <c r="Z24" s="247"/>
      <c r="AA24" s="246" t="str">
        <f t="shared" si="3"/>
        <v/>
      </c>
      <c r="AB24" s="97"/>
      <c r="AC24" s="255"/>
      <c r="AD24" s="255"/>
      <c r="AE24" s="246" t="str">
        <f t="shared" si="4"/>
        <v/>
      </c>
      <c r="AF24" s="97"/>
      <c r="AG24" s="255"/>
      <c r="AH24" s="255"/>
      <c r="AI24" s="246" t="str">
        <f t="shared" si="5"/>
        <v/>
      </c>
      <c r="AJ24" s="97"/>
      <c r="AK24" s="255"/>
      <c r="AL24" s="255"/>
      <c r="AM24" s="246" t="str">
        <f t="shared" si="6"/>
        <v/>
      </c>
      <c r="AN24" s="97"/>
      <c r="AO24" s="255"/>
      <c r="AP24" s="255"/>
      <c r="AQ24" s="246" t="str">
        <f t="shared" si="7"/>
        <v/>
      </c>
      <c r="AR24" s="97"/>
      <c r="AS24" s="255"/>
      <c r="AT24" s="255"/>
      <c r="AU24" s="246" t="str">
        <f t="shared" si="8"/>
        <v/>
      </c>
      <c r="AV24" s="97"/>
      <c r="AW24" s="255"/>
      <c r="AX24" s="255"/>
      <c r="AY24" s="246" t="str">
        <f t="shared" si="9"/>
        <v/>
      </c>
      <c r="AZ24" s="97"/>
      <c r="BA24" s="255"/>
      <c r="BB24" s="255"/>
      <c r="BC24" s="246" t="str">
        <f t="shared" si="10"/>
        <v/>
      </c>
      <c r="BD24" s="97"/>
      <c r="BE24" s="255"/>
      <c r="BF24" s="255"/>
      <c r="BG24" s="246" t="str">
        <f t="shared" si="11"/>
        <v/>
      </c>
      <c r="BH24" s="97"/>
      <c r="BI24" s="255"/>
      <c r="BJ24" s="255"/>
      <c r="BK24" s="246" t="str">
        <f t="shared" si="12"/>
        <v/>
      </c>
      <c r="BL24" s="97"/>
      <c r="BM24" s="255"/>
      <c r="BN24" s="255"/>
      <c r="BO24" s="246" t="str">
        <f t="shared" si="13"/>
        <v/>
      </c>
      <c r="BP24" s="97"/>
      <c r="BQ24" s="255"/>
      <c r="BR24" s="255"/>
      <c r="BS24" s="246" t="str">
        <f t="shared" si="14"/>
        <v/>
      </c>
      <c r="BT24" s="97"/>
      <c r="BU24" s="255"/>
      <c r="BV24" s="255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5"/>
      <c r="O25" s="246" t="str">
        <f t="shared" si="0"/>
        <v/>
      </c>
      <c r="P25" s="97"/>
      <c r="Q25" s="255"/>
      <c r="R25" s="255"/>
      <c r="S25" s="246" t="str">
        <f t="shared" si="1"/>
        <v/>
      </c>
      <c r="T25" s="97"/>
      <c r="U25" s="255"/>
      <c r="V25" s="255"/>
      <c r="W25" s="246" t="str">
        <f t="shared" si="2"/>
        <v/>
      </c>
      <c r="X25" s="97"/>
      <c r="Y25" s="247"/>
      <c r="Z25" s="247"/>
      <c r="AA25" s="246" t="str">
        <f t="shared" si="3"/>
        <v/>
      </c>
      <c r="AB25" s="97"/>
      <c r="AC25" s="255"/>
      <c r="AD25" s="255"/>
      <c r="AE25" s="246" t="str">
        <f t="shared" si="4"/>
        <v/>
      </c>
      <c r="AF25" s="97"/>
      <c r="AG25" s="255"/>
      <c r="AH25" s="255"/>
      <c r="AI25" s="246" t="str">
        <f t="shared" si="5"/>
        <v/>
      </c>
      <c r="AJ25" s="97"/>
      <c r="AK25" s="255"/>
      <c r="AL25" s="255"/>
      <c r="AM25" s="246" t="str">
        <f t="shared" si="6"/>
        <v/>
      </c>
      <c r="AN25" s="97"/>
      <c r="AO25" s="255"/>
      <c r="AP25" s="255"/>
      <c r="AQ25" s="246" t="str">
        <f t="shared" si="7"/>
        <v/>
      </c>
      <c r="AR25" s="97"/>
      <c r="AS25" s="255"/>
      <c r="AT25" s="255"/>
      <c r="AU25" s="246" t="str">
        <f t="shared" si="8"/>
        <v/>
      </c>
      <c r="AV25" s="97"/>
      <c r="AW25" s="255"/>
      <c r="AX25" s="255"/>
      <c r="AY25" s="246" t="str">
        <f t="shared" si="9"/>
        <v/>
      </c>
      <c r="AZ25" s="97"/>
      <c r="BA25" s="255"/>
      <c r="BB25" s="255"/>
      <c r="BC25" s="246" t="str">
        <f t="shared" si="10"/>
        <v/>
      </c>
      <c r="BD25" s="97"/>
      <c r="BE25" s="255"/>
      <c r="BF25" s="255"/>
      <c r="BG25" s="246" t="str">
        <f t="shared" si="11"/>
        <v/>
      </c>
      <c r="BH25" s="97"/>
      <c r="BI25" s="255"/>
      <c r="BJ25" s="255"/>
      <c r="BK25" s="246" t="str">
        <f t="shared" si="12"/>
        <v/>
      </c>
      <c r="BL25" s="97"/>
      <c r="BM25" s="255"/>
      <c r="BN25" s="255"/>
      <c r="BO25" s="246" t="str">
        <f t="shared" si="13"/>
        <v/>
      </c>
      <c r="BP25" s="97"/>
      <c r="BQ25" s="255"/>
      <c r="BR25" s="255"/>
      <c r="BS25" s="246" t="str">
        <f t="shared" si="14"/>
        <v/>
      </c>
      <c r="BT25" s="97"/>
      <c r="BU25" s="255"/>
      <c r="BV25" s="255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5"/>
      <c r="O26" s="246" t="str">
        <f t="shared" si="0"/>
        <v/>
      </c>
      <c r="P26" s="97"/>
      <c r="Q26" s="255"/>
      <c r="R26" s="255"/>
      <c r="S26" s="246" t="str">
        <f t="shared" si="1"/>
        <v/>
      </c>
      <c r="T26" s="97"/>
      <c r="U26" s="255"/>
      <c r="V26" s="255"/>
      <c r="W26" s="246" t="str">
        <f t="shared" si="2"/>
        <v/>
      </c>
      <c r="X26" s="97"/>
      <c r="Y26" s="247"/>
      <c r="Z26" s="247"/>
      <c r="AA26" s="246" t="str">
        <f t="shared" si="3"/>
        <v/>
      </c>
      <c r="AB26" s="97"/>
      <c r="AC26" s="255"/>
      <c r="AD26" s="255"/>
      <c r="AE26" s="246" t="str">
        <f t="shared" si="4"/>
        <v/>
      </c>
      <c r="AF26" s="97"/>
      <c r="AG26" s="255"/>
      <c r="AH26" s="255"/>
      <c r="AI26" s="246" t="str">
        <f t="shared" si="5"/>
        <v/>
      </c>
      <c r="AJ26" s="97"/>
      <c r="AK26" s="255"/>
      <c r="AL26" s="255"/>
      <c r="AM26" s="246" t="str">
        <f t="shared" si="6"/>
        <v/>
      </c>
      <c r="AN26" s="97"/>
      <c r="AO26" s="255"/>
      <c r="AP26" s="255"/>
      <c r="AQ26" s="246" t="str">
        <f t="shared" si="7"/>
        <v/>
      </c>
      <c r="AR26" s="97"/>
      <c r="AS26" s="255"/>
      <c r="AT26" s="255"/>
      <c r="AU26" s="246" t="str">
        <f t="shared" si="8"/>
        <v/>
      </c>
      <c r="AV26" s="97"/>
      <c r="AW26" s="255"/>
      <c r="AX26" s="255"/>
      <c r="AY26" s="246" t="str">
        <f t="shared" si="9"/>
        <v/>
      </c>
      <c r="AZ26" s="97"/>
      <c r="BA26" s="255"/>
      <c r="BB26" s="255"/>
      <c r="BC26" s="246" t="str">
        <f t="shared" si="10"/>
        <v/>
      </c>
      <c r="BD26" s="97"/>
      <c r="BE26" s="255"/>
      <c r="BF26" s="255"/>
      <c r="BG26" s="246" t="str">
        <f t="shared" si="11"/>
        <v/>
      </c>
      <c r="BH26" s="97"/>
      <c r="BI26" s="255"/>
      <c r="BJ26" s="255"/>
      <c r="BK26" s="246" t="str">
        <f t="shared" si="12"/>
        <v/>
      </c>
      <c r="BL26" s="97"/>
      <c r="BM26" s="255"/>
      <c r="BN26" s="255"/>
      <c r="BO26" s="246" t="str">
        <f t="shared" si="13"/>
        <v/>
      </c>
      <c r="BP26" s="97"/>
      <c r="BQ26" s="255"/>
      <c r="BR26" s="255"/>
      <c r="BS26" s="246" t="str">
        <f t="shared" si="14"/>
        <v/>
      </c>
      <c r="BT26" s="97"/>
      <c r="BU26" s="255"/>
      <c r="BV26" s="255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5"/>
      <c r="O27" s="246" t="str">
        <f t="shared" si="0"/>
        <v/>
      </c>
      <c r="P27" s="97"/>
      <c r="Q27" s="255"/>
      <c r="R27" s="255"/>
      <c r="S27" s="246" t="str">
        <f t="shared" si="1"/>
        <v/>
      </c>
      <c r="T27" s="97"/>
      <c r="U27" s="255"/>
      <c r="V27" s="255"/>
      <c r="W27" s="246" t="str">
        <f t="shared" si="2"/>
        <v/>
      </c>
      <c r="X27" s="97"/>
      <c r="Y27" s="247"/>
      <c r="Z27" s="247"/>
      <c r="AA27" s="246" t="str">
        <f t="shared" si="3"/>
        <v/>
      </c>
      <c r="AB27" s="97"/>
      <c r="AC27" s="255"/>
      <c r="AD27" s="255"/>
      <c r="AE27" s="246" t="str">
        <f t="shared" si="4"/>
        <v/>
      </c>
      <c r="AF27" s="97"/>
      <c r="AG27" s="255"/>
      <c r="AH27" s="255"/>
      <c r="AI27" s="246" t="str">
        <f t="shared" si="5"/>
        <v/>
      </c>
      <c r="AJ27" s="97"/>
      <c r="AK27" s="255"/>
      <c r="AL27" s="255"/>
      <c r="AM27" s="246" t="str">
        <f t="shared" si="6"/>
        <v/>
      </c>
      <c r="AN27" s="97"/>
      <c r="AO27" s="255"/>
      <c r="AP27" s="255"/>
      <c r="AQ27" s="246" t="str">
        <f t="shared" si="7"/>
        <v/>
      </c>
      <c r="AR27" s="97"/>
      <c r="AS27" s="255"/>
      <c r="AT27" s="255"/>
      <c r="AU27" s="246" t="str">
        <f t="shared" si="8"/>
        <v/>
      </c>
      <c r="AV27" s="97"/>
      <c r="AW27" s="255"/>
      <c r="AX27" s="255"/>
      <c r="AY27" s="246" t="str">
        <f t="shared" si="9"/>
        <v/>
      </c>
      <c r="AZ27" s="97"/>
      <c r="BA27" s="255"/>
      <c r="BB27" s="255"/>
      <c r="BC27" s="246" t="str">
        <f t="shared" si="10"/>
        <v/>
      </c>
      <c r="BD27" s="97"/>
      <c r="BE27" s="255"/>
      <c r="BF27" s="255"/>
      <c r="BG27" s="246" t="str">
        <f t="shared" si="11"/>
        <v/>
      </c>
      <c r="BH27" s="97"/>
      <c r="BI27" s="255"/>
      <c r="BJ27" s="255"/>
      <c r="BK27" s="246" t="str">
        <f t="shared" si="12"/>
        <v/>
      </c>
      <c r="BL27" s="97"/>
      <c r="BM27" s="255"/>
      <c r="BN27" s="255"/>
      <c r="BO27" s="246" t="str">
        <f t="shared" si="13"/>
        <v/>
      </c>
      <c r="BP27" s="97"/>
      <c r="BQ27" s="255"/>
      <c r="BR27" s="255"/>
      <c r="BS27" s="246" t="str">
        <f t="shared" si="14"/>
        <v/>
      </c>
      <c r="BT27" s="97"/>
      <c r="BU27" s="255"/>
      <c r="BV27" s="255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5"/>
      <c r="O28" s="246" t="str">
        <f t="shared" si="0"/>
        <v/>
      </c>
      <c r="P28" s="97"/>
      <c r="Q28" s="255"/>
      <c r="R28" s="255"/>
      <c r="S28" s="246" t="str">
        <f t="shared" si="1"/>
        <v/>
      </c>
      <c r="T28" s="97"/>
      <c r="U28" s="255"/>
      <c r="V28" s="255"/>
      <c r="W28" s="246" t="str">
        <f t="shared" si="2"/>
        <v/>
      </c>
      <c r="X28" s="97"/>
      <c r="Y28" s="247"/>
      <c r="Z28" s="247"/>
      <c r="AA28" s="246" t="str">
        <f t="shared" si="3"/>
        <v/>
      </c>
      <c r="AB28" s="97"/>
      <c r="AC28" s="255"/>
      <c r="AD28" s="255"/>
      <c r="AE28" s="246" t="str">
        <f t="shared" si="4"/>
        <v/>
      </c>
      <c r="AF28" s="97"/>
      <c r="AG28" s="255"/>
      <c r="AH28" s="255"/>
      <c r="AI28" s="246" t="str">
        <f t="shared" si="5"/>
        <v/>
      </c>
      <c r="AJ28" s="97"/>
      <c r="AK28" s="255"/>
      <c r="AL28" s="255"/>
      <c r="AM28" s="246" t="str">
        <f t="shared" si="6"/>
        <v/>
      </c>
      <c r="AN28" s="97"/>
      <c r="AO28" s="255"/>
      <c r="AP28" s="255"/>
      <c r="AQ28" s="246" t="str">
        <f t="shared" si="7"/>
        <v/>
      </c>
      <c r="AR28" s="97"/>
      <c r="AS28" s="255"/>
      <c r="AT28" s="255"/>
      <c r="AU28" s="246" t="str">
        <f t="shared" si="8"/>
        <v/>
      </c>
      <c r="AV28" s="97"/>
      <c r="AW28" s="255"/>
      <c r="AX28" s="255"/>
      <c r="AY28" s="246" t="str">
        <f t="shared" si="9"/>
        <v/>
      </c>
      <c r="AZ28" s="97"/>
      <c r="BA28" s="255"/>
      <c r="BB28" s="255"/>
      <c r="BC28" s="246" t="str">
        <f t="shared" si="10"/>
        <v/>
      </c>
      <c r="BD28" s="97"/>
      <c r="BE28" s="255"/>
      <c r="BF28" s="255"/>
      <c r="BG28" s="246" t="str">
        <f t="shared" si="11"/>
        <v/>
      </c>
      <c r="BH28" s="97"/>
      <c r="BI28" s="255"/>
      <c r="BJ28" s="255"/>
      <c r="BK28" s="246" t="str">
        <f t="shared" si="12"/>
        <v/>
      </c>
      <c r="BL28" s="97"/>
      <c r="BM28" s="255"/>
      <c r="BN28" s="255"/>
      <c r="BO28" s="246" t="str">
        <f t="shared" si="13"/>
        <v/>
      </c>
      <c r="BP28" s="97"/>
      <c r="BQ28" s="255"/>
      <c r="BR28" s="255"/>
      <c r="BS28" s="246" t="str">
        <f t="shared" si="14"/>
        <v/>
      </c>
      <c r="BT28" s="97"/>
      <c r="BU28" s="255"/>
      <c r="BV28" s="255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5"/>
      <c r="O29" s="246" t="str">
        <f t="shared" si="0"/>
        <v/>
      </c>
      <c r="P29" s="97"/>
      <c r="Q29" s="255"/>
      <c r="R29" s="255"/>
      <c r="S29" s="246" t="str">
        <f t="shared" si="1"/>
        <v/>
      </c>
      <c r="T29" s="97"/>
      <c r="U29" s="255"/>
      <c r="V29" s="255"/>
      <c r="W29" s="246" t="str">
        <f t="shared" si="2"/>
        <v/>
      </c>
      <c r="X29" s="97"/>
      <c r="Y29" s="247"/>
      <c r="Z29" s="247"/>
      <c r="AA29" s="246" t="str">
        <f t="shared" si="3"/>
        <v/>
      </c>
      <c r="AB29" s="97"/>
      <c r="AC29" s="255"/>
      <c r="AD29" s="255"/>
      <c r="AE29" s="246" t="str">
        <f t="shared" si="4"/>
        <v/>
      </c>
      <c r="AF29" s="97"/>
      <c r="AG29" s="255"/>
      <c r="AH29" s="255"/>
      <c r="AI29" s="246" t="str">
        <f t="shared" si="5"/>
        <v/>
      </c>
      <c r="AJ29" s="97"/>
      <c r="AK29" s="255"/>
      <c r="AL29" s="255"/>
      <c r="AM29" s="246" t="str">
        <f t="shared" si="6"/>
        <v/>
      </c>
      <c r="AN29" s="97"/>
      <c r="AO29" s="255"/>
      <c r="AP29" s="255"/>
      <c r="AQ29" s="246" t="str">
        <f t="shared" si="7"/>
        <v/>
      </c>
      <c r="AR29" s="97"/>
      <c r="AS29" s="255"/>
      <c r="AT29" s="255"/>
      <c r="AU29" s="246" t="str">
        <f t="shared" si="8"/>
        <v/>
      </c>
      <c r="AV29" s="97"/>
      <c r="AW29" s="255"/>
      <c r="AX29" s="255"/>
      <c r="AY29" s="246" t="str">
        <f t="shared" si="9"/>
        <v/>
      </c>
      <c r="AZ29" s="97"/>
      <c r="BA29" s="255"/>
      <c r="BB29" s="255"/>
      <c r="BC29" s="246" t="str">
        <f t="shared" si="10"/>
        <v/>
      </c>
      <c r="BD29" s="97"/>
      <c r="BE29" s="255"/>
      <c r="BF29" s="255"/>
      <c r="BG29" s="246" t="str">
        <f t="shared" si="11"/>
        <v/>
      </c>
      <c r="BH29" s="97"/>
      <c r="BI29" s="255"/>
      <c r="BJ29" s="255"/>
      <c r="BK29" s="246" t="str">
        <f t="shared" si="12"/>
        <v/>
      </c>
      <c r="BL29" s="97"/>
      <c r="BM29" s="255"/>
      <c r="BN29" s="255"/>
      <c r="BO29" s="246" t="str">
        <f t="shared" si="13"/>
        <v/>
      </c>
      <c r="BP29" s="97"/>
      <c r="BQ29" s="255"/>
      <c r="BR29" s="255"/>
      <c r="BS29" s="246" t="str">
        <f t="shared" si="14"/>
        <v/>
      </c>
      <c r="BT29" s="97"/>
      <c r="BU29" s="255"/>
      <c r="BV29" s="255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5"/>
      <c r="O30" s="246" t="str">
        <f t="shared" si="0"/>
        <v/>
      </c>
      <c r="P30" s="97"/>
      <c r="Q30" s="255"/>
      <c r="R30" s="255"/>
      <c r="S30" s="246" t="str">
        <f t="shared" si="1"/>
        <v/>
      </c>
      <c r="T30" s="97"/>
      <c r="U30" s="255"/>
      <c r="V30" s="255"/>
      <c r="W30" s="246" t="str">
        <f t="shared" si="2"/>
        <v/>
      </c>
      <c r="X30" s="97"/>
      <c r="Y30" s="247"/>
      <c r="Z30" s="247"/>
      <c r="AA30" s="246" t="str">
        <f t="shared" si="3"/>
        <v/>
      </c>
      <c r="AB30" s="97"/>
      <c r="AC30" s="255"/>
      <c r="AD30" s="255"/>
      <c r="AE30" s="246" t="str">
        <f t="shared" si="4"/>
        <v/>
      </c>
      <c r="AF30" s="97"/>
      <c r="AG30" s="255"/>
      <c r="AH30" s="255"/>
      <c r="AI30" s="246" t="str">
        <f t="shared" si="5"/>
        <v/>
      </c>
      <c r="AJ30" s="97"/>
      <c r="AK30" s="255"/>
      <c r="AL30" s="255"/>
      <c r="AM30" s="246" t="str">
        <f t="shared" si="6"/>
        <v/>
      </c>
      <c r="AN30" s="97"/>
      <c r="AO30" s="255"/>
      <c r="AP30" s="255"/>
      <c r="AQ30" s="246" t="str">
        <f t="shared" si="7"/>
        <v/>
      </c>
      <c r="AR30" s="97"/>
      <c r="AS30" s="255"/>
      <c r="AT30" s="255"/>
      <c r="AU30" s="246" t="str">
        <f t="shared" si="8"/>
        <v/>
      </c>
      <c r="AV30" s="97"/>
      <c r="AW30" s="255"/>
      <c r="AX30" s="255"/>
      <c r="AY30" s="246" t="str">
        <f t="shared" si="9"/>
        <v/>
      </c>
      <c r="AZ30" s="97"/>
      <c r="BA30" s="255"/>
      <c r="BB30" s="255"/>
      <c r="BC30" s="246" t="str">
        <f t="shared" si="10"/>
        <v/>
      </c>
      <c r="BD30" s="97"/>
      <c r="BE30" s="255"/>
      <c r="BF30" s="255"/>
      <c r="BG30" s="246" t="str">
        <f t="shared" si="11"/>
        <v/>
      </c>
      <c r="BH30" s="97"/>
      <c r="BI30" s="255"/>
      <c r="BJ30" s="255"/>
      <c r="BK30" s="246" t="str">
        <f t="shared" si="12"/>
        <v/>
      </c>
      <c r="BL30" s="97"/>
      <c r="BM30" s="255"/>
      <c r="BN30" s="255"/>
      <c r="BO30" s="246" t="str">
        <f t="shared" si="13"/>
        <v/>
      </c>
      <c r="BP30" s="97"/>
      <c r="BQ30" s="255"/>
      <c r="BR30" s="255"/>
      <c r="BS30" s="246" t="str">
        <f t="shared" si="14"/>
        <v/>
      </c>
      <c r="BT30" s="97"/>
      <c r="BU30" s="255"/>
      <c r="BV30" s="255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5"/>
      <c r="O31" s="246" t="str">
        <f t="shared" si="0"/>
        <v/>
      </c>
      <c r="P31" s="97"/>
      <c r="Q31" s="255"/>
      <c r="R31" s="255"/>
      <c r="S31" s="246" t="str">
        <f t="shared" si="1"/>
        <v/>
      </c>
      <c r="T31" s="97"/>
      <c r="U31" s="255"/>
      <c r="V31" s="255"/>
      <c r="W31" s="246" t="str">
        <f t="shared" si="2"/>
        <v/>
      </c>
      <c r="X31" s="97"/>
      <c r="Y31" s="247"/>
      <c r="Z31" s="247"/>
      <c r="AA31" s="246" t="str">
        <f t="shared" si="3"/>
        <v/>
      </c>
      <c r="AB31" s="97"/>
      <c r="AC31" s="255"/>
      <c r="AD31" s="255"/>
      <c r="AE31" s="246" t="str">
        <f t="shared" si="4"/>
        <v/>
      </c>
      <c r="AF31" s="97"/>
      <c r="AG31" s="255"/>
      <c r="AH31" s="255"/>
      <c r="AI31" s="246" t="str">
        <f t="shared" si="5"/>
        <v/>
      </c>
      <c r="AJ31" s="97"/>
      <c r="AK31" s="255"/>
      <c r="AL31" s="255"/>
      <c r="AM31" s="246" t="str">
        <f t="shared" si="6"/>
        <v/>
      </c>
      <c r="AN31" s="97"/>
      <c r="AO31" s="255"/>
      <c r="AP31" s="255"/>
      <c r="AQ31" s="246" t="str">
        <f t="shared" si="7"/>
        <v/>
      </c>
      <c r="AR31" s="97"/>
      <c r="AS31" s="255"/>
      <c r="AT31" s="255"/>
      <c r="AU31" s="246" t="str">
        <f t="shared" si="8"/>
        <v/>
      </c>
      <c r="AV31" s="97"/>
      <c r="AW31" s="255"/>
      <c r="AX31" s="255"/>
      <c r="AY31" s="246" t="str">
        <f t="shared" si="9"/>
        <v/>
      </c>
      <c r="AZ31" s="97"/>
      <c r="BA31" s="255"/>
      <c r="BB31" s="255"/>
      <c r="BC31" s="246" t="str">
        <f t="shared" si="10"/>
        <v/>
      </c>
      <c r="BD31" s="97"/>
      <c r="BE31" s="255"/>
      <c r="BF31" s="255"/>
      <c r="BG31" s="246" t="str">
        <f t="shared" si="11"/>
        <v/>
      </c>
      <c r="BH31" s="97"/>
      <c r="BI31" s="255"/>
      <c r="BJ31" s="255"/>
      <c r="BK31" s="246" t="str">
        <f t="shared" si="12"/>
        <v/>
      </c>
      <c r="BL31" s="97"/>
      <c r="BM31" s="255"/>
      <c r="BN31" s="255"/>
      <c r="BO31" s="246" t="str">
        <f t="shared" si="13"/>
        <v/>
      </c>
      <c r="BP31" s="97"/>
      <c r="BQ31" s="255"/>
      <c r="BR31" s="255"/>
      <c r="BS31" s="246" t="str">
        <f t="shared" si="14"/>
        <v/>
      </c>
      <c r="BT31" s="97"/>
      <c r="BU31" s="255"/>
      <c r="BV31" s="255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5"/>
      <c r="O32" s="246" t="str">
        <f t="shared" si="0"/>
        <v/>
      </c>
      <c r="P32" s="97"/>
      <c r="Q32" s="255"/>
      <c r="R32" s="255"/>
      <c r="S32" s="246" t="str">
        <f t="shared" si="1"/>
        <v/>
      </c>
      <c r="T32" s="97"/>
      <c r="U32" s="255"/>
      <c r="V32" s="255"/>
      <c r="W32" s="246" t="str">
        <f t="shared" si="2"/>
        <v/>
      </c>
      <c r="X32" s="97"/>
      <c r="Y32" s="247"/>
      <c r="Z32" s="247"/>
      <c r="AA32" s="246" t="str">
        <f t="shared" si="3"/>
        <v/>
      </c>
      <c r="AB32" s="97"/>
      <c r="AC32" s="255"/>
      <c r="AD32" s="255"/>
      <c r="AE32" s="246" t="str">
        <f t="shared" si="4"/>
        <v/>
      </c>
      <c r="AF32" s="97"/>
      <c r="AG32" s="255"/>
      <c r="AH32" s="255"/>
      <c r="AI32" s="246" t="str">
        <f t="shared" si="5"/>
        <v/>
      </c>
      <c r="AJ32" s="97"/>
      <c r="AK32" s="255"/>
      <c r="AL32" s="255"/>
      <c r="AM32" s="246" t="str">
        <f t="shared" si="6"/>
        <v/>
      </c>
      <c r="AN32" s="97"/>
      <c r="AO32" s="255"/>
      <c r="AP32" s="255"/>
      <c r="AQ32" s="246" t="str">
        <f t="shared" si="7"/>
        <v/>
      </c>
      <c r="AR32" s="97"/>
      <c r="AS32" s="255"/>
      <c r="AT32" s="255"/>
      <c r="AU32" s="246" t="str">
        <f t="shared" si="8"/>
        <v/>
      </c>
      <c r="AV32" s="97"/>
      <c r="AW32" s="255"/>
      <c r="AX32" s="255"/>
      <c r="AY32" s="246" t="str">
        <f t="shared" si="9"/>
        <v/>
      </c>
      <c r="AZ32" s="97"/>
      <c r="BA32" s="255"/>
      <c r="BB32" s="255"/>
      <c r="BC32" s="246" t="str">
        <f t="shared" si="10"/>
        <v/>
      </c>
      <c r="BD32" s="97"/>
      <c r="BE32" s="255"/>
      <c r="BF32" s="255"/>
      <c r="BG32" s="246" t="str">
        <f t="shared" si="11"/>
        <v/>
      </c>
      <c r="BH32" s="97"/>
      <c r="BI32" s="255"/>
      <c r="BJ32" s="255"/>
      <c r="BK32" s="246" t="str">
        <f t="shared" si="12"/>
        <v/>
      </c>
      <c r="BL32" s="97"/>
      <c r="BM32" s="255"/>
      <c r="BN32" s="255"/>
      <c r="BO32" s="246" t="str">
        <f t="shared" si="13"/>
        <v/>
      </c>
      <c r="BP32" s="97"/>
      <c r="BQ32" s="255"/>
      <c r="BR32" s="255"/>
      <c r="BS32" s="246" t="str">
        <f t="shared" si="14"/>
        <v/>
      </c>
      <c r="BT32" s="97"/>
      <c r="BU32" s="255"/>
      <c r="BV32" s="255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5"/>
      <c r="O33" s="246" t="str">
        <f t="shared" si="0"/>
        <v/>
      </c>
      <c r="P33" s="97"/>
      <c r="Q33" s="255"/>
      <c r="R33" s="255"/>
      <c r="S33" s="246" t="str">
        <f t="shared" si="1"/>
        <v/>
      </c>
      <c r="T33" s="97"/>
      <c r="U33" s="255"/>
      <c r="V33" s="255"/>
      <c r="W33" s="246" t="str">
        <f t="shared" si="2"/>
        <v/>
      </c>
      <c r="X33" s="97"/>
      <c r="Y33" s="247"/>
      <c r="Z33" s="247"/>
      <c r="AA33" s="246" t="str">
        <f t="shared" si="3"/>
        <v/>
      </c>
      <c r="AB33" s="97"/>
      <c r="AC33" s="255"/>
      <c r="AD33" s="255"/>
      <c r="AE33" s="246" t="str">
        <f t="shared" si="4"/>
        <v/>
      </c>
      <c r="AF33" s="97"/>
      <c r="AG33" s="255"/>
      <c r="AH33" s="255"/>
      <c r="AI33" s="246" t="str">
        <f t="shared" si="5"/>
        <v/>
      </c>
      <c r="AJ33" s="97"/>
      <c r="AK33" s="255"/>
      <c r="AL33" s="255"/>
      <c r="AM33" s="246" t="str">
        <f t="shared" si="6"/>
        <v/>
      </c>
      <c r="AN33" s="97"/>
      <c r="AO33" s="255"/>
      <c r="AP33" s="255"/>
      <c r="AQ33" s="246" t="str">
        <f t="shared" si="7"/>
        <v/>
      </c>
      <c r="AR33" s="97"/>
      <c r="AS33" s="255"/>
      <c r="AT33" s="255"/>
      <c r="AU33" s="246" t="str">
        <f t="shared" si="8"/>
        <v/>
      </c>
      <c r="AV33" s="97"/>
      <c r="AW33" s="255"/>
      <c r="AX33" s="255"/>
      <c r="AY33" s="246" t="str">
        <f t="shared" si="9"/>
        <v/>
      </c>
      <c r="AZ33" s="97"/>
      <c r="BA33" s="255"/>
      <c r="BB33" s="255"/>
      <c r="BC33" s="246" t="str">
        <f t="shared" si="10"/>
        <v/>
      </c>
      <c r="BD33" s="97"/>
      <c r="BE33" s="255"/>
      <c r="BF33" s="255"/>
      <c r="BG33" s="246" t="str">
        <f t="shared" si="11"/>
        <v/>
      </c>
      <c r="BH33" s="97"/>
      <c r="BI33" s="255"/>
      <c r="BJ33" s="255"/>
      <c r="BK33" s="246" t="str">
        <f t="shared" si="12"/>
        <v/>
      </c>
      <c r="BL33" s="97"/>
      <c r="BM33" s="255"/>
      <c r="BN33" s="255"/>
      <c r="BO33" s="246" t="str">
        <f t="shared" si="13"/>
        <v/>
      </c>
      <c r="BP33" s="97"/>
      <c r="BQ33" s="255"/>
      <c r="BR33" s="255"/>
      <c r="BS33" s="246" t="str">
        <f t="shared" si="14"/>
        <v/>
      </c>
      <c r="BT33" s="97"/>
      <c r="BU33" s="255"/>
      <c r="BV33" s="255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5"/>
      <c r="O34" s="246" t="str">
        <f t="shared" si="0"/>
        <v/>
      </c>
      <c r="P34" s="97"/>
      <c r="Q34" s="255"/>
      <c r="R34" s="255"/>
      <c r="S34" s="246" t="str">
        <f t="shared" si="1"/>
        <v/>
      </c>
      <c r="T34" s="97"/>
      <c r="U34" s="255"/>
      <c r="V34" s="255"/>
      <c r="W34" s="246" t="str">
        <f t="shared" si="2"/>
        <v/>
      </c>
      <c r="X34" s="97"/>
      <c r="Y34" s="247"/>
      <c r="Z34" s="247"/>
      <c r="AA34" s="246" t="str">
        <f t="shared" si="3"/>
        <v/>
      </c>
      <c r="AB34" s="97"/>
      <c r="AC34" s="255"/>
      <c r="AD34" s="255"/>
      <c r="AE34" s="246" t="str">
        <f t="shared" si="4"/>
        <v/>
      </c>
      <c r="AF34" s="97"/>
      <c r="AG34" s="255"/>
      <c r="AH34" s="255"/>
      <c r="AI34" s="246" t="str">
        <f t="shared" si="5"/>
        <v/>
      </c>
      <c r="AJ34" s="97"/>
      <c r="AK34" s="255"/>
      <c r="AL34" s="255"/>
      <c r="AM34" s="246" t="str">
        <f t="shared" si="6"/>
        <v/>
      </c>
      <c r="AN34" s="97"/>
      <c r="AO34" s="255"/>
      <c r="AP34" s="255"/>
      <c r="AQ34" s="246" t="str">
        <f t="shared" si="7"/>
        <v/>
      </c>
      <c r="AR34" s="97"/>
      <c r="AS34" s="255"/>
      <c r="AT34" s="255"/>
      <c r="AU34" s="246" t="str">
        <f t="shared" si="8"/>
        <v/>
      </c>
      <c r="AV34" s="97"/>
      <c r="AW34" s="255"/>
      <c r="AX34" s="255"/>
      <c r="AY34" s="246" t="str">
        <f t="shared" si="9"/>
        <v/>
      </c>
      <c r="AZ34" s="97"/>
      <c r="BA34" s="255"/>
      <c r="BB34" s="255"/>
      <c r="BC34" s="246" t="str">
        <f t="shared" si="10"/>
        <v/>
      </c>
      <c r="BD34" s="97"/>
      <c r="BE34" s="255"/>
      <c r="BF34" s="255"/>
      <c r="BG34" s="246" t="str">
        <f t="shared" si="11"/>
        <v/>
      </c>
      <c r="BH34" s="97"/>
      <c r="BI34" s="255"/>
      <c r="BJ34" s="255"/>
      <c r="BK34" s="246" t="str">
        <f t="shared" si="12"/>
        <v/>
      </c>
      <c r="BL34" s="97"/>
      <c r="BM34" s="255"/>
      <c r="BN34" s="255"/>
      <c r="BO34" s="246" t="str">
        <f t="shared" si="13"/>
        <v/>
      </c>
      <c r="BP34" s="97"/>
      <c r="BQ34" s="255"/>
      <c r="BR34" s="255"/>
      <c r="BS34" s="246" t="str">
        <f t="shared" si="14"/>
        <v/>
      </c>
      <c r="BT34" s="97"/>
      <c r="BU34" s="255"/>
      <c r="BV34" s="255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5"/>
      <c r="O35" s="246" t="str">
        <f t="shared" si="0"/>
        <v/>
      </c>
      <c r="P35" s="97"/>
      <c r="Q35" s="255"/>
      <c r="R35" s="255"/>
      <c r="S35" s="246" t="str">
        <f t="shared" si="1"/>
        <v/>
      </c>
      <c r="T35" s="97"/>
      <c r="U35" s="255"/>
      <c r="V35" s="255"/>
      <c r="W35" s="246" t="str">
        <f t="shared" si="2"/>
        <v/>
      </c>
      <c r="X35" s="97"/>
      <c r="Y35" s="247"/>
      <c r="Z35" s="247"/>
      <c r="AA35" s="246" t="str">
        <f t="shared" si="3"/>
        <v/>
      </c>
      <c r="AB35" s="97"/>
      <c r="AC35" s="255"/>
      <c r="AD35" s="255"/>
      <c r="AE35" s="246" t="str">
        <f t="shared" si="4"/>
        <v/>
      </c>
      <c r="AF35" s="97"/>
      <c r="AG35" s="255"/>
      <c r="AH35" s="255"/>
      <c r="AI35" s="246" t="str">
        <f t="shared" si="5"/>
        <v/>
      </c>
      <c r="AJ35" s="97"/>
      <c r="AK35" s="255"/>
      <c r="AL35" s="255"/>
      <c r="AM35" s="246" t="str">
        <f t="shared" si="6"/>
        <v/>
      </c>
      <c r="AN35" s="97"/>
      <c r="AO35" s="255"/>
      <c r="AP35" s="255"/>
      <c r="AQ35" s="246" t="str">
        <f t="shared" si="7"/>
        <v/>
      </c>
      <c r="AR35" s="97"/>
      <c r="AS35" s="255"/>
      <c r="AT35" s="255"/>
      <c r="AU35" s="246" t="str">
        <f t="shared" si="8"/>
        <v/>
      </c>
      <c r="AV35" s="97"/>
      <c r="AW35" s="255"/>
      <c r="AX35" s="255"/>
      <c r="AY35" s="246" t="str">
        <f t="shared" si="9"/>
        <v/>
      </c>
      <c r="AZ35" s="97"/>
      <c r="BA35" s="255"/>
      <c r="BB35" s="255"/>
      <c r="BC35" s="246" t="str">
        <f t="shared" si="10"/>
        <v/>
      </c>
      <c r="BD35" s="97"/>
      <c r="BE35" s="255"/>
      <c r="BF35" s="255"/>
      <c r="BG35" s="246" t="str">
        <f t="shared" si="11"/>
        <v/>
      </c>
      <c r="BH35" s="97"/>
      <c r="BI35" s="255"/>
      <c r="BJ35" s="255"/>
      <c r="BK35" s="246" t="str">
        <f t="shared" si="12"/>
        <v/>
      </c>
      <c r="BL35" s="97"/>
      <c r="BM35" s="255"/>
      <c r="BN35" s="255"/>
      <c r="BO35" s="246" t="str">
        <f t="shared" si="13"/>
        <v/>
      </c>
      <c r="BP35" s="97"/>
      <c r="BQ35" s="255"/>
      <c r="BR35" s="255"/>
      <c r="BS35" s="246" t="str">
        <f t="shared" si="14"/>
        <v/>
      </c>
      <c r="BT35" s="97"/>
      <c r="BU35" s="255"/>
      <c r="BV35" s="255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5"/>
      <c r="O36" s="246" t="str">
        <f t="shared" si="0"/>
        <v/>
      </c>
      <c r="P36" s="97"/>
      <c r="Q36" s="255"/>
      <c r="R36" s="255"/>
      <c r="S36" s="246" t="str">
        <f t="shared" si="1"/>
        <v/>
      </c>
      <c r="T36" s="97"/>
      <c r="U36" s="255"/>
      <c r="V36" s="255"/>
      <c r="W36" s="246" t="str">
        <f t="shared" si="2"/>
        <v/>
      </c>
      <c r="X36" s="97"/>
      <c r="Y36" s="247"/>
      <c r="Z36" s="247"/>
      <c r="AA36" s="246" t="str">
        <f t="shared" si="3"/>
        <v/>
      </c>
      <c r="AB36" s="97"/>
      <c r="AC36" s="255"/>
      <c r="AD36" s="255"/>
      <c r="AE36" s="246" t="str">
        <f t="shared" si="4"/>
        <v/>
      </c>
      <c r="AF36" s="97"/>
      <c r="AG36" s="255"/>
      <c r="AH36" s="255"/>
      <c r="AI36" s="246" t="str">
        <f t="shared" si="5"/>
        <v/>
      </c>
      <c r="AJ36" s="97"/>
      <c r="AK36" s="255"/>
      <c r="AL36" s="255"/>
      <c r="AM36" s="246" t="str">
        <f t="shared" si="6"/>
        <v/>
      </c>
      <c r="AN36" s="97"/>
      <c r="AO36" s="255"/>
      <c r="AP36" s="255"/>
      <c r="AQ36" s="246" t="str">
        <f t="shared" si="7"/>
        <v/>
      </c>
      <c r="AR36" s="97"/>
      <c r="AS36" s="255"/>
      <c r="AT36" s="255"/>
      <c r="AU36" s="246" t="str">
        <f t="shared" si="8"/>
        <v/>
      </c>
      <c r="AV36" s="97"/>
      <c r="AW36" s="255"/>
      <c r="AX36" s="255"/>
      <c r="AY36" s="246" t="str">
        <f t="shared" si="9"/>
        <v/>
      </c>
      <c r="AZ36" s="97"/>
      <c r="BA36" s="255"/>
      <c r="BB36" s="255"/>
      <c r="BC36" s="246" t="str">
        <f t="shared" si="10"/>
        <v/>
      </c>
      <c r="BD36" s="97"/>
      <c r="BE36" s="255"/>
      <c r="BF36" s="255"/>
      <c r="BG36" s="246" t="str">
        <f t="shared" si="11"/>
        <v/>
      </c>
      <c r="BH36" s="97"/>
      <c r="BI36" s="255"/>
      <c r="BJ36" s="255"/>
      <c r="BK36" s="246" t="str">
        <f t="shared" si="12"/>
        <v/>
      </c>
      <c r="BL36" s="97"/>
      <c r="BM36" s="255"/>
      <c r="BN36" s="255"/>
      <c r="BO36" s="246" t="str">
        <f t="shared" si="13"/>
        <v/>
      </c>
      <c r="BP36" s="97"/>
      <c r="BQ36" s="255"/>
      <c r="BR36" s="255"/>
      <c r="BS36" s="246" t="str">
        <f t="shared" si="14"/>
        <v/>
      </c>
      <c r="BT36" s="97"/>
      <c r="BU36" s="255"/>
      <c r="BV36" s="255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5"/>
      <c r="O37" s="246" t="str">
        <f t="shared" si="0"/>
        <v/>
      </c>
      <c r="P37" s="97"/>
      <c r="Q37" s="255"/>
      <c r="R37" s="255"/>
      <c r="S37" s="246" t="str">
        <f t="shared" si="1"/>
        <v/>
      </c>
      <c r="T37" s="97"/>
      <c r="U37" s="255"/>
      <c r="V37" s="255"/>
      <c r="W37" s="246" t="str">
        <f t="shared" si="2"/>
        <v/>
      </c>
      <c r="X37" s="97"/>
      <c r="Y37" s="247"/>
      <c r="Z37" s="247"/>
      <c r="AA37" s="246" t="str">
        <f t="shared" si="3"/>
        <v/>
      </c>
      <c r="AB37" s="97"/>
      <c r="AC37" s="255"/>
      <c r="AD37" s="255"/>
      <c r="AE37" s="246" t="str">
        <f t="shared" si="4"/>
        <v/>
      </c>
      <c r="AF37" s="97"/>
      <c r="AG37" s="255"/>
      <c r="AH37" s="255"/>
      <c r="AI37" s="246" t="str">
        <f t="shared" si="5"/>
        <v/>
      </c>
      <c r="AJ37" s="97"/>
      <c r="AK37" s="255"/>
      <c r="AL37" s="255"/>
      <c r="AM37" s="246" t="str">
        <f t="shared" si="6"/>
        <v/>
      </c>
      <c r="AN37" s="97"/>
      <c r="AO37" s="255"/>
      <c r="AP37" s="255"/>
      <c r="AQ37" s="246" t="str">
        <f t="shared" si="7"/>
        <v/>
      </c>
      <c r="AR37" s="97"/>
      <c r="AS37" s="255"/>
      <c r="AT37" s="255"/>
      <c r="AU37" s="246" t="str">
        <f t="shared" si="8"/>
        <v/>
      </c>
      <c r="AV37" s="97"/>
      <c r="AW37" s="255"/>
      <c r="AX37" s="255"/>
      <c r="AY37" s="246" t="str">
        <f t="shared" si="9"/>
        <v/>
      </c>
      <c r="AZ37" s="97"/>
      <c r="BA37" s="255"/>
      <c r="BB37" s="255"/>
      <c r="BC37" s="246" t="str">
        <f t="shared" si="10"/>
        <v/>
      </c>
      <c r="BD37" s="97"/>
      <c r="BE37" s="255"/>
      <c r="BF37" s="255"/>
      <c r="BG37" s="246" t="str">
        <f t="shared" si="11"/>
        <v/>
      </c>
      <c r="BH37" s="97"/>
      <c r="BI37" s="255"/>
      <c r="BJ37" s="255"/>
      <c r="BK37" s="246" t="str">
        <f t="shared" si="12"/>
        <v/>
      </c>
      <c r="BL37" s="97"/>
      <c r="BM37" s="255"/>
      <c r="BN37" s="255"/>
      <c r="BO37" s="246" t="str">
        <f t="shared" si="13"/>
        <v/>
      </c>
      <c r="BP37" s="97"/>
      <c r="BQ37" s="255"/>
      <c r="BR37" s="255"/>
      <c r="BS37" s="246" t="str">
        <f t="shared" si="14"/>
        <v/>
      </c>
      <c r="BT37" s="97"/>
      <c r="BU37" s="255"/>
      <c r="BV37" s="255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5"/>
      <c r="O38" s="246" t="str">
        <f t="shared" si="0"/>
        <v/>
      </c>
      <c r="P38" s="97"/>
      <c r="Q38" s="255"/>
      <c r="R38" s="255"/>
      <c r="S38" s="246" t="str">
        <f t="shared" si="1"/>
        <v/>
      </c>
      <c r="T38" s="97"/>
      <c r="U38" s="255"/>
      <c r="V38" s="255"/>
      <c r="W38" s="246" t="str">
        <f t="shared" si="2"/>
        <v/>
      </c>
      <c r="X38" s="97"/>
      <c r="Y38" s="247"/>
      <c r="Z38" s="247"/>
      <c r="AA38" s="246" t="str">
        <f t="shared" si="3"/>
        <v/>
      </c>
      <c r="AB38" s="97"/>
      <c r="AC38" s="255"/>
      <c r="AD38" s="255"/>
      <c r="AE38" s="246" t="str">
        <f t="shared" si="4"/>
        <v/>
      </c>
      <c r="AF38" s="97"/>
      <c r="AG38" s="255"/>
      <c r="AH38" s="255"/>
      <c r="AI38" s="246" t="str">
        <f t="shared" si="5"/>
        <v/>
      </c>
      <c r="AJ38" s="97"/>
      <c r="AK38" s="255"/>
      <c r="AL38" s="255"/>
      <c r="AM38" s="246" t="str">
        <f t="shared" si="6"/>
        <v/>
      </c>
      <c r="AN38" s="97"/>
      <c r="AO38" s="255"/>
      <c r="AP38" s="255"/>
      <c r="AQ38" s="246" t="str">
        <f t="shared" si="7"/>
        <v/>
      </c>
      <c r="AR38" s="97"/>
      <c r="AS38" s="255"/>
      <c r="AT38" s="255"/>
      <c r="AU38" s="246" t="str">
        <f t="shared" si="8"/>
        <v/>
      </c>
      <c r="AV38" s="97"/>
      <c r="AW38" s="255"/>
      <c r="AX38" s="255"/>
      <c r="AY38" s="246" t="str">
        <f t="shared" si="9"/>
        <v/>
      </c>
      <c r="AZ38" s="97"/>
      <c r="BA38" s="255"/>
      <c r="BB38" s="255"/>
      <c r="BC38" s="246" t="str">
        <f t="shared" si="10"/>
        <v/>
      </c>
      <c r="BD38" s="97"/>
      <c r="BE38" s="255"/>
      <c r="BF38" s="255"/>
      <c r="BG38" s="246" t="str">
        <f t="shared" si="11"/>
        <v/>
      </c>
      <c r="BH38" s="97"/>
      <c r="BI38" s="255"/>
      <c r="BJ38" s="255"/>
      <c r="BK38" s="246" t="str">
        <f t="shared" si="12"/>
        <v/>
      </c>
      <c r="BL38" s="97"/>
      <c r="BM38" s="255"/>
      <c r="BN38" s="255"/>
      <c r="BO38" s="246" t="str">
        <f t="shared" si="13"/>
        <v/>
      </c>
      <c r="BP38" s="97"/>
      <c r="BQ38" s="255"/>
      <c r="BR38" s="255"/>
      <c r="BS38" s="246" t="str">
        <f t="shared" si="14"/>
        <v/>
      </c>
      <c r="BT38" s="97"/>
      <c r="BU38" s="255"/>
      <c r="BV38" s="255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5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5"/>
      <c r="R39" s="255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5"/>
      <c r="V39" s="255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47"/>
      <c r="Z39" s="247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5"/>
      <c r="AD39" s="255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5"/>
      <c r="AH39" s="255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5"/>
      <c r="AL39" s="255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5"/>
      <c r="AP39" s="255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5"/>
      <c r="AT39" s="255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5"/>
      <c r="AX39" s="255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5"/>
      <c r="BB39" s="255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5"/>
      <c r="BF39" s="255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5"/>
      <c r="BJ39" s="255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5"/>
      <c r="BN39" s="255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5"/>
      <c r="BR39" s="255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5"/>
      <c r="BV39" s="255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5"/>
      <c r="O40" s="246" t="str">
        <f t="shared" si="17"/>
        <v/>
      </c>
      <c r="P40" s="97"/>
      <c r="Q40" s="255"/>
      <c r="R40" s="255"/>
      <c r="S40" s="246" t="str">
        <f t="shared" si="18"/>
        <v/>
      </c>
      <c r="T40" s="97"/>
      <c r="U40" s="255"/>
      <c r="V40" s="255"/>
      <c r="W40" s="246" t="str">
        <f t="shared" si="19"/>
        <v/>
      </c>
      <c r="X40" s="97"/>
      <c r="Y40" s="247"/>
      <c r="Z40" s="247"/>
      <c r="AA40" s="246" t="str">
        <f t="shared" si="20"/>
        <v/>
      </c>
      <c r="AB40" s="97"/>
      <c r="AC40" s="255"/>
      <c r="AD40" s="255"/>
      <c r="AE40" s="246" t="str">
        <f t="shared" si="21"/>
        <v/>
      </c>
      <c r="AF40" s="97"/>
      <c r="AG40" s="255"/>
      <c r="AH40" s="255"/>
      <c r="AI40" s="246" t="str">
        <f t="shared" si="22"/>
        <v/>
      </c>
      <c r="AJ40" s="97"/>
      <c r="AK40" s="255"/>
      <c r="AL40" s="255"/>
      <c r="AM40" s="246" t="str">
        <f t="shared" si="23"/>
        <v/>
      </c>
      <c r="AN40" s="97"/>
      <c r="AO40" s="255"/>
      <c r="AP40" s="255"/>
      <c r="AQ40" s="246" t="str">
        <f t="shared" si="24"/>
        <v/>
      </c>
      <c r="AR40" s="97"/>
      <c r="AS40" s="255"/>
      <c r="AT40" s="255"/>
      <c r="AU40" s="246" t="str">
        <f t="shared" si="25"/>
        <v/>
      </c>
      <c r="AV40" s="97"/>
      <c r="AW40" s="255"/>
      <c r="AX40" s="255"/>
      <c r="AY40" s="246" t="str">
        <f t="shared" si="26"/>
        <v/>
      </c>
      <c r="AZ40" s="97"/>
      <c r="BA40" s="255"/>
      <c r="BB40" s="255"/>
      <c r="BC40" s="246" t="str">
        <f t="shared" si="27"/>
        <v/>
      </c>
      <c r="BD40" s="97"/>
      <c r="BE40" s="255"/>
      <c r="BF40" s="255"/>
      <c r="BG40" s="246" t="str">
        <f t="shared" si="28"/>
        <v/>
      </c>
      <c r="BH40" s="97"/>
      <c r="BI40" s="255"/>
      <c r="BJ40" s="255"/>
      <c r="BK40" s="246" t="str">
        <f t="shared" si="29"/>
        <v/>
      </c>
      <c r="BL40" s="97"/>
      <c r="BM40" s="255"/>
      <c r="BN40" s="255"/>
      <c r="BO40" s="246" t="str">
        <f t="shared" si="30"/>
        <v/>
      </c>
      <c r="BP40" s="97"/>
      <c r="BQ40" s="255"/>
      <c r="BR40" s="255"/>
      <c r="BS40" s="246" t="str">
        <f t="shared" si="31"/>
        <v/>
      </c>
      <c r="BT40" s="97"/>
      <c r="BU40" s="255"/>
      <c r="BV40" s="255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5"/>
      <c r="O41" s="246" t="str">
        <f t="shared" si="17"/>
        <v/>
      </c>
      <c r="P41" s="97"/>
      <c r="Q41" s="255"/>
      <c r="R41" s="255"/>
      <c r="S41" s="246" t="str">
        <f t="shared" si="18"/>
        <v/>
      </c>
      <c r="T41" s="97"/>
      <c r="U41" s="255"/>
      <c r="V41" s="255"/>
      <c r="W41" s="246" t="str">
        <f t="shared" si="19"/>
        <v/>
      </c>
      <c r="X41" s="97"/>
      <c r="Y41" s="247"/>
      <c r="Z41" s="247"/>
      <c r="AA41" s="246" t="str">
        <f t="shared" si="20"/>
        <v/>
      </c>
      <c r="AB41" s="97"/>
      <c r="AC41" s="255"/>
      <c r="AD41" s="255"/>
      <c r="AE41" s="246" t="str">
        <f t="shared" si="21"/>
        <v/>
      </c>
      <c r="AF41" s="97"/>
      <c r="AG41" s="255"/>
      <c r="AH41" s="255"/>
      <c r="AI41" s="246" t="str">
        <f t="shared" si="22"/>
        <v/>
      </c>
      <c r="AJ41" s="97"/>
      <c r="AK41" s="255"/>
      <c r="AL41" s="255"/>
      <c r="AM41" s="246" t="str">
        <f t="shared" si="23"/>
        <v/>
      </c>
      <c r="AN41" s="97"/>
      <c r="AO41" s="255"/>
      <c r="AP41" s="255"/>
      <c r="AQ41" s="246" t="str">
        <f t="shared" si="24"/>
        <v/>
      </c>
      <c r="AR41" s="97"/>
      <c r="AS41" s="255"/>
      <c r="AT41" s="255"/>
      <c r="AU41" s="246" t="str">
        <f t="shared" si="25"/>
        <v/>
      </c>
      <c r="AV41" s="97"/>
      <c r="AW41" s="255"/>
      <c r="AX41" s="255"/>
      <c r="AY41" s="246" t="str">
        <f t="shared" si="26"/>
        <v/>
      </c>
      <c r="AZ41" s="97"/>
      <c r="BA41" s="255"/>
      <c r="BB41" s="255"/>
      <c r="BC41" s="246" t="str">
        <f t="shared" si="27"/>
        <v/>
      </c>
      <c r="BD41" s="97"/>
      <c r="BE41" s="255"/>
      <c r="BF41" s="255"/>
      <c r="BG41" s="246" t="str">
        <f t="shared" si="28"/>
        <v/>
      </c>
      <c r="BH41" s="97"/>
      <c r="BI41" s="255"/>
      <c r="BJ41" s="255"/>
      <c r="BK41" s="246" t="str">
        <f t="shared" si="29"/>
        <v/>
      </c>
      <c r="BL41" s="97"/>
      <c r="BM41" s="255"/>
      <c r="BN41" s="255"/>
      <c r="BO41" s="246" t="str">
        <f t="shared" si="30"/>
        <v/>
      </c>
      <c r="BP41" s="97"/>
      <c r="BQ41" s="255"/>
      <c r="BR41" s="255"/>
      <c r="BS41" s="246" t="str">
        <f t="shared" si="31"/>
        <v/>
      </c>
      <c r="BT41" s="97"/>
      <c r="BU41" s="255"/>
      <c r="BV41" s="255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5"/>
      <c r="O42" s="246" t="str">
        <f t="shared" si="17"/>
        <v/>
      </c>
      <c r="P42" s="97"/>
      <c r="Q42" s="255"/>
      <c r="R42" s="255"/>
      <c r="S42" s="246" t="str">
        <f t="shared" si="18"/>
        <v/>
      </c>
      <c r="T42" s="97"/>
      <c r="U42" s="255"/>
      <c r="V42" s="255"/>
      <c r="W42" s="246" t="str">
        <f t="shared" si="19"/>
        <v/>
      </c>
      <c r="X42" s="97"/>
      <c r="Y42" s="247"/>
      <c r="Z42" s="247"/>
      <c r="AA42" s="246" t="str">
        <f t="shared" si="20"/>
        <v/>
      </c>
      <c r="AB42" s="97"/>
      <c r="AC42" s="255"/>
      <c r="AD42" s="255"/>
      <c r="AE42" s="246" t="str">
        <f t="shared" si="21"/>
        <v/>
      </c>
      <c r="AF42" s="97"/>
      <c r="AG42" s="255"/>
      <c r="AH42" s="255"/>
      <c r="AI42" s="246" t="str">
        <f t="shared" si="22"/>
        <v/>
      </c>
      <c r="AJ42" s="97"/>
      <c r="AK42" s="255"/>
      <c r="AL42" s="255"/>
      <c r="AM42" s="246" t="str">
        <f t="shared" si="23"/>
        <v/>
      </c>
      <c r="AN42" s="97"/>
      <c r="AO42" s="255"/>
      <c r="AP42" s="255"/>
      <c r="AQ42" s="246" t="str">
        <f t="shared" si="24"/>
        <v/>
      </c>
      <c r="AR42" s="97"/>
      <c r="AS42" s="255"/>
      <c r="AT42" s="255"/>
      <c r="AU42" s="246" t="str">
        <f t="shared" si="25"/>
        <v/>
      </c>
      <c r="AV42" s="97"/>
      <c r="AW42" s="255"/>
      <c r="AX42" s="255"/>
      <c r="AY42" s="246" t="str">
        <f t="shared" si="26"/>
        <v/>
      </c>
      <c r="AZ42" s="97"/>
      <c r="BA42" s="255"/>
      <c r="BB42" s="255"/>
      <c r="BC42" s="246" t="str">
        <f t="shared" si="27"/>
        <v/>
      </c>
      <c r="BD42" s="97"/>
      <c r="BE42" s="255"/>
      <c r="BF42" s="255"/>
      <c r="BG42" s="246" t="str">
        <f t="shared" si="28"/>
        <v/>
      </c>
      <c r="BH42" s="97"/>
      <c r="BI42" s="255"/>
      <c r="BJ42" s="255"/>
      <c r="BK42" s="246" t="str">
        <f t="shared" si="29"/>
        <v/>
      </c>
      <c r="BL42" s="97"/>
      <c r="BM42" s="255"/>
      <c r="BN42" s="255"/>
      <c r="BO42" s="246" t="str">
        <f t="shared" si="30"/>
        <v/>
      </c>
      <c r="BP42" s="97"/>
      <c r="BQ42" s="255"/>
      <c r="BR42" s="255"/>
      <c r="BS42" s="246" t="str">
        <f t="shared" si="31"/>
        <v/>
      </c>
      <c r="BT42" s="97"/>
      <c r="BU42" s="255"/>
      <c r="BV42" s="255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5"/>
      <c r="O43" s="246" t="str">
        <f t="shared" si="17"/>
        <v/>
      </c>
      <c r="P43" s="97"/>
      <c r="Q43" s="255"/>
      <c r="R43" s="255"/>
      <c r="S43" s="246" t="str">
        <f t="shared" si="18"/>
        <v/>
      </c>
      <c r="T43" s="97"/>
      <c r="U43" s="255"/>
      <c r="V43" s="255"/>
      <c r="W43" s="246" t="str">
        <f t="shared" si="19"/>
        <v/>
      </c>
      <c r="X43" s="97"/>
      <c r="Y43" s="247"/>
      <c r="Z43" s="247"/>
      <c r="AA43" s="246" t="str">
        <f t="shared" si="20"/>
        <v/>
      </c>
      <c r="AB43" s="97"/>
      <c r="AC43" s="255"/>
      <c r="AD43" s="255"/>
      <c r="AE43" s="246" t="str">
        <f t="shared" si="21"/>
        <v/>
      </c>
      <c r="AF43" s="97"/>
      <c r="AG43" s="255"/>
      <c r="AH43" s="255"/>
      <c r="AI43" s="246" t="str">
        <f t="shared" si="22"/>
        <v/>
      </c>
      <c r="AJ43" s="97"/>
      <c r="AK43" s="255"/>
      <c r="AL43" s="255"/>
      <c r="AM43" s="246" t="str">
        <f t="shared" si="23"/>
        <v/>
      </c>
      <c r="AN43" s="97"/>
      <c r="AO43" s="255"/>
      <c r="AP43" s="255"/>
      <c r="AQ43" s="246" t="str">
        <f t="shared" si="24"/>
        <v/>
      </c>
      <c r="AR43" s="97"/>
      <c r="AS43" s="255"/>
      <c r="AT43" s="255"/>
      <c r="AU43" s="246" t="str">
        <f t="shared" si="25"/>
        <v/>
      </c>
      <c r="AV43" s="97"/>
      <c r="AW43" s="255"/>
      <c r="AX43" s="255"/>
      <c r="AY43" s="246" t="str">
        <f t="shared" si="26"/>
        <v/>
      </c>
      <c r="AZ43" s="97"/>
      <c r="BA43" s="255"/>
      <c r="BB43" s="255"/>
      <c r="BC43" s="246" t="str">
        <f t="shared" si="27"/>
        <v/>
      </c>
      <c r="BD43" s="97"/>
      <c r="BE43" s="255"/>
      <c r="BF43" s="255"/>
      <c r="BG43" s="246" t="str">
        <f t="shared" si="28"/>
        <v/>
      </c>
      <c r="BH43" s="97"/>
      <c r="BI43" s="255"/>
      <c r="BJ43" s="255"/>
      <c r="BK43" s="246" t="str">
        <f t="shared" si="29"/>
        <v/>
      </c>
      <c r="BL43" s="97"/>
      <c r="BM43" s="255"/>
      <c r="BN43" s="255"/>
      <c r="BO43" s="246" t="str">
        <f t="shared" si="30"/>
        <v/>
      </c>
      <c r="BP43" s="97"/>
      <c r="BQ43" s="255"/>
      <c r="BR43" s="255"/>
      <c r="BS43" s="246" t="str">
        <f t="shared" si="31"/>
        <v/>
      </c>
      <c r="BT43" s="97"/>
      <c r="BU43" s="255"/>
      <c r="BV43" s="255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5"/>
      <c r="O44" s="246" t="str">
        <f t="shared" si="17"/>
        <v/>
      </c>
      <c r="P44" s="97"/>
      <c r="Q44" s="255"/>
      <c r="R44" s="255"/>
      <c r="S44" s="246" t="str">
        <f t="shared" si="18"/>
        <v/>
      </c>
      <c r="T44" s="97"/>
      <c r="U44" s="255"/>
      <c r="V44" s="255"/>
      <c r="W44" s="246" t="str">
        <f t="shared" si="19"/>
        <v/>
      </c>
      <c r="X44" s="97"/>
      <c r="Y44" s="247"/>
      <c r="Z44" s="247"/>
      <c r="AA44" s="246" t="str">
        <f t="shared" si="20"/>
        <v/>
      </c>
      <c r="AB44" s="97"/>
      <c r="AC44" s="255"/>
      <c r="AD44" s="255"/>
      <c r="AE44" s="246" t="str">
        <f t="shared" si="21"/>
        <v/>
      </c>
      <c r="AF44" s="97"/>
      <c r="AG44" s="255"/>
      <c r="AH44" s="255"/>
      <c r="AI44" s="246" t="str">
        <f t="shared" si="22"/>
        <v/>
      </c>
      <c r="AJ44" s="97"/>
      <c r="AK44" s="255"/>
      <c r="AL44" s="255"/>
      <c r="AM44" s="246" t="str">
        <f t="shared" si="23"/>
        <v/>
      </c>
      <c r="AN44" s="97"/>
      <c r="AO44" s="255"/>
      <c r="AP44" s="255"/>
      <c r="AQ44" s="246" t="str">
        <f t="shared" si="24"/>
        <v/>
      </c>
      <c r="AR44" s="97"/>
      <c r="AS44" s="255"/>
      <c r="AT44" s="255"/>
      <c r="AU44" s="246" t="str">
        <f t="shared" si="25"/>
        <v/>
      </c>
      <c r="AV44" s="97"/>
      <c r="AW44" s="255"/>
      <c r="AX44" s="255"/>
      <c r="AY44" s="246" t="str">
        <f t="shared" si="26"/>
        <v/>
      </c>
      <c r="AZ44" s="97"/>
      <c r="BA44" s="255"/>
      <c r="BB44" s="255"/>
      <c r="BC44" s="246" t="str">
        <f t="shared" si="27"/>
        <v/>
      </c>
      <c r="BD44" s="97"/>
      <c r="BE44" s="255"/>
      <c r="BF44" s="255"/>
      <c r="BG44" s="246" t="str">
        <f t="shared" si="28"/>
        <v/>
      </c>
      <c r="BH44" s="97"/>
      <c r="BI44" s="255"/>
      <c r="BJ44" s="255"/>
      <c r="BK44" s="246" t="str">
        <f t="shared" si="29"/>
        <v/>
      </c>
      <c r="BL44" s="97"/>
      <c r="BM44" s="255"/>
      <c r="BN44" s="255"/>
      <c r="BO44" s="246" t="str">
        <f t="shared" si="30"/>
        <v/>
      </c>
      <c r="BP44" s="97"/>
      <c r="BQ44" s="255"/>
      <c r="BR44" s="255"/>
      <c r="BS44" s="246" t="str">
        <f t="shared" si="31"/>
        <v/>
      </c>
      <c r="BT44" s="97"/>
      <c r="BU44" s="255"/>
      <c r="BV44" s="255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5"/>
      <c r="O45" s="246" t="str">
        <f t="shared" si="17"/>
        <v/>
      </c>
      <c r="P45" s="97"/>
      <c r="Q45" s="255"/>
      <c r="R45" s="255"/>
      <c r="S45" s="246" t="str">
        <f t="shared" si="18"/>
        <v/>
      </c>
      <c r="T45" s="97"/>
      <c r="U45" s="255"/>
      <c r="V45" s="255"/>
      <c r="W45" s="246" t="str">
        <f t="shared" si="19"/>
        <v/>
      </c>
      <c r="X45" s="97"/>
      <c r="Y45" s="247"/>
      <c r="Z45" s="247"/>
      <c r="AA45" s="246" t="str">
        <f t="shared" si="20"/>
        <v/>
      </c>
      <c r="AB45" s="97"/>
      <c r="AC45" s="255"/>
      <c r="AD45" s="255"/>
      <c r="AE45" s="246" t="str">
        <f t="shared" si="21"/>
        <v/>
      </c>
      <c r="AF45" s="97"/>
      <c r="AG45" s="255"/>
      <c r="AH45" s="255"/>
      <c r="AI45" s="246" t="str">
        <f t="shared" si="22"/>
        <v/>
      </c>
      <c r="AJ45" s="97"/>
      <c r="AK45" s="255"/>
      <c r="AL45" s="255"/>
      <c r="AM45" s="246" t="str">
        <f t="shared" si="23"/>
        <v/>
      </c>
      <c r="AN45" s="97"/>
      <c r="AO45" s="255"/>
      <c r="AP45" s="255"/>
      <c r="AQ45" s="246" t="str">
        <f t="shared" si="24"/>
        <v/>
      </c>
      <c r="AR45" s="97"/>
      <c r="AS45" s="255"/>
      <c r="AT45" s="255"/>
      <c r="AU45" s="246" t="str">
        <f t="shared" si="25"/>
        <v/>
      </c>
      <c r="AV45" s="97"/>
      <c r="AW45" s="255"/>
      <c r="AX45" s="255"/>
      <c r="AY45" s="246" t="str">
        <f t="shared" si="26"/>
        <v/>
      </c>
      <c r="AZ45" s="97"/>
      <c r="BA45" s="255"/>
      <c r="BB45" s="255"/>
      <c r="BC45" s="246" t="str">
        <f t="shared" si="27"/>
        <v/>
      </c>
      <c r="BD45" s="97"/>
      <c r="BE45" s="255"/>
      <c r="BF45" s="255"/>
      <c r="BG45" s="246" t="str">
        <f t="shared" si="28"/>
        <v/>
      </c>
      <c r="BH45" s="97"/>
      <c r="BI45" s="255"/>
      <c r="BJ45" s="255"/>
      <c r="BK45" s="246" t="str">
        <f t="shared" si="29"/>
        <v/>
      </c>
      <c r="BL45" s="97"/>
      <c r="BM45" s="255"/>
      <c r="BN45" s="255"/>
      <c r="BO45" s="246" t="str">
        <f t="shared" si="30"/>
        <v/>
      </c>
      <c r="BP45" s="97"/>
      <c r="BQ45" s="255"/>
      <c r="BR45" s="255"/>
      <c r="BS45" s="246" t="str">
        <f t="shared" si="31"/>
        <v/>
      </c>
      <c r="BT45" s="97"/>
      <c r="BU45" s="255"/>
      <c r="BV45" s="255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5"/>
      <c r="O46" s="246" t="str">
        <f t="shared" si="17"/>
        <v/>
      </c>
      <c r="P46" s="97"/>
      <c r="Q46" s="255"/>
      <c r="R46" s="255"/>
      <c r="S46" s="246" t="str">
        <f t="shared" si="18"/>
        <v/>
      </c>
      <c r="T46" s="97"/>
      <c r="U46" s="255"/>
      <c r="V46" s="255"/>
      <c r="W46" s="246" t="str">
        <f t="shared" si="19"/>
        <v/>
      </c>
      <c r="X46" s="97"/>
      <c r="Y46" s="247"/>
      <c r="Z46" s="247"/>
      <c r="AA46" s="246" t="str">
        <f t="shared" si="20"/>
        <v/>
      </c>
      <c r="AB46" s="97"/>
      <c r="AC46" s="255"/>
      <c r="AD46" s="255"/>
      <c r="AE46" s="246" t="str">
        <f t="shared" si="21"/>
        <v/>
      </c>
      <c r="AF46" s="97"/>
      <c r="AG46" s="255"/>
      <c r="AH46" s="255"/>
      <c r="AI46" s="246" t="str">
        <f t="shared" si="22"/>
        <v/>
      </c>
      <c r="AJ46" s="97"/>
      <c r="AK46" s="255"/>
      <c r="AL46" s="255"/>
      <c r="AM46" s="246" t="str">
        <f t="shared" si="23"/>
        <v/>
      </c>
      <c r="AN46" s="97"/>
      <c r="AO46" s="255"/>
      <c r="AP46" s="255"/>
      <c r="AQ46" s="246" t="str">
        <f t="shared" si="24"/>
        <v/>
      </c>
      <c r="AR46" s="97"/>
      <c r="AS46" s="255"/>
      <c r="AT46" s="255"/>
      <c r="AU46" s="246" t="str">
        <f t="shared" si="25"/>
        <v/>
      </c>
      <c r="AV46" s="97"/>
      <c r="AW46" s="255"/>
      <c r="AX46" s="255"/>
      <c r="AY46" s="246" t="str">
        <f t="shared" si="26"/>
        <v/>
      </c>
      <c r="AZ46" s="97"/>
      <c r="BA46" s="255"/>
      <c r="BB46" s="255"/>
      <c r="BC46" s="246" t="str">
        <f t="shared" si="27"/>
        <v/>
      </c>
      <c r="BD46" s="97"/>
      <c r="BE46" s="255"/>
      <c r="BF46" s="255"/>
      <c r="BG46" s="246" t="str">
        <f t="shared" si="28"/>
        <v/>
      </c>
      <c r="BH46" s="97"/>
      <c r="BI46" s="255"/>
      <c r="BJ46" s="255"/>
      <c r="BK46" s="246" t="str">
        <f t="shared" si="29"/>
        <v/>
      </c>
      <c r="BL46" s="97"/>
      <c r="BM46" s="255"/>
      <c r="BN46" s="255"/>
      <c r="BO46" s="246" t="str">
        <f t="shared" si="30"/>
        <v/>
      </c>
      <c r="BP46" s="97"/>
      <c r="BQ46" s="255"/>
      <c r="BR46" s="255"/>
      <c r="BS46" s="246" t="str">
        <f t="shared" si="31"/>
        <v/>
      </c>
      <c r="BT46" s="97"/>
      <c r="BU46" s="255"/>
      <c r="BV46" s="255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5"/>
      <c r="O47" s="246" t="str">
        <f t="shared" si="17"/>
        <v/>
      </c>
      <c r="P47" s="97"/>
      <c r="Q47" s="255"/>
      <c r="R47" s="255"/>
      <c r="S47" s="246" t="str">
        <f t="shared" si="18"/>
        <v/>
      </c>
      <c r="T47" s="97"/>
      <c r="U47" s="255"/>
      <c r="V47" s="255"/>
      <c r="W47" s="246" t="str">
        <f t="shared" si="19"/>
        <v/>
      </c>
      <c r="X47" s="97"/>
      <c r="Y47" s="247"/>
      <c r="Z47" s="247"/>
      <c r="AA47" s="246" t="str">
        <f t="shared" si="20"/>
        <v/>
      </c>
      <c r="AB47" s="97"/>
      <c r="AC47" s="255"/>
      <c r="AD47" s="255"/>
      <c r="AE47" s="246" t="str">
        <f t="shared" si="21"/>
        <v/>
      </c>
      <c r="AF47" s="97"/>
      <c r="AG47" s="255"/>
      <c r="AH47" s="255"/>
      <c r="AI47" s="246" t="str">
        <f t="shared" si="22"/>
        <v/>
      </c>
      <c r="AJ47" s="97"/>
      <c r="AK47" s="255"/>
      <c r="AL47" s="255"/>
      <c r="AM47" s="246" t="str">
        <f t="shared" si="23"/>
        <v/>
      </c>
      <c r="AN47" s="97"/>
      <c r="AO47" s="255"/>
      <c r="AP47" s="255"/>
      <c r="AQ47" s="246" t="str">
        <f t="shared" si="24"/>
        <v/>
      </c>
      <c r="AR47" s="97"/>
      <c r="AS47" s="255"/>
      <c r="AT47" s="255"/>
      <c r="AU47" s="246" t="str">
        <f t="shared" si="25"/>
        <v/>
      </c>
      <c r="AV47" s="97"/>
      <c r="AW47" s="255"/>
      <c r="AX47" s="255"/>
      <c r="AY47" s="246" t="str">
        <f t="shared" si="26"/>
        <v/>
      </c>
      <c r="AZ47" s="97"/>
      <c r="BA47" s="255"/>
      <c r="BB47" s="255"/>
      <c r="BC47" s="246" t="str">
        <f t="shared" si="27"/>
        <v/>
      </c>
      <c r="BD47" s="97"/>
      <c r="BE47" s="255"/>
      <c r="BF47" s="255"/>
      <c r="BG47" s="246" t="str">
        <f t="shared" si="28"/>
        <v/>
      </c>
      <c r="BH47" s="97"/>
      <c r="BI47" s="255"/>
      <c r="BJ47" s="255"/>
      <c r="BK47" s="246" t="str">
        <f t="shared" si="29"/>
        <v/>
      </c>
      <c r="BL47" s="97"/>
      <c r="BM47" s="255"/>
      <c r="BN47" s="255"/>
      <c r="BO47" s="246" t="str">
        <f t="shared" si="30"/>
        <v/>
      </c>
      <c r="BP47" s="97"/>
      <c r="BQ47" s="255"/>
      <c r="BR47" s="255"/>
      <c r="BS47" s="246" t="str">
        <f t="shared" si="31"/>
        <v/>
      </c>
      <c r="BT47" s="97"/>
      <c r="BU47" s="255"/>
      <c r="BV47" s="255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5"/>
      <c r="O48" s="246" t="str">
        <f t="shared" si="17"/>
        <v/>
      </c>
      <c r="P48" s="97"/>
      <c r="Q48" s="255"/>
      <c r="R48" s="255"/>
      <c r="S48" s="246" t="str">
        <f t="shared" si="18"/>
        <v/>
      </c>
      <c r="T48" s="97"/>
      <c r="U48" s="255"/>
      <c r="V48" s="255"/>
      <c r="W48" s="246" t="str">
        <f t="shared" si="19"/>
        <v/>
      </c>
      <c r="X48" s="97"/>
      <c r="Y48" s="247"/>
      <c r="Z48" s="247"/>
      <c r="AA48" s="246" t="str">
        <f t="shared" si="20"/>
        <v/>
      </c>
      <c r="AB48" s="97"/>
      <c r="AC48" s="255"/>
      <c r="AD48" s="255"/>
      <c r="AE48" s="246" t="str">
        <f t="shared" si="21"/>
        <v/>
      </c>
      <c r="AF48" s="97"/>
      <c r="AG48" s="255"/>
      <c r="AH48" s="255"/>
      <c r="AI48" s="246" t="str">
        <f t="shared" si="22"/>
        <v/>
      </c>
      <c r="AJ48" s="97"/>
      <c r="AK48" s="255"/>
      <c r="AL48" s="255"/>
      <c r="AM48" s="246" t="str">
        <f t="shared" si="23"/>
        <v/>
      </c>
      <c r="AN48" s="97"/>
      <c r="AO48" s="255"/>
      <c r="AP48" s="255"/>
      <c r="AQ48" s="246" t="str">
        <f t="shared" si="24"/>
        <v/>
      </c>
      <c r="AR48" s="97"/>
      <c r="AS48" s="255"/>
      <c r="AT48" s="255"/>
      <c r="AU48" s="246" t="str">
        <f t="shared" si="25"/>
        <v/>
      </c>
      <c r="AV48" s="97"/>
      <c r="AW48" s="255"/>
      <c r="AX48" s="255"/>
      <c r="AY48" s="246" t="str">
        <f t="shared" si="26"/>
        <v/>
      </c>
      <c r="AZ48" s="97"/>
      <c r="BA48" s="255"/>
      <c r="BB48" s="255"/>
      <c r="BC48" s="246" t="str">
        <f t="shared" si="27"/>
        <v/>
      </c>
      <c r="BD48" s="97"/>
      <c r="BE48" s="255"/>
      <c r="BF48" s="255"/>
      <c r="BG48" s="246" t="str">
        <f t="shared" si="28"/>
        <v/>
      </c>
      <c r="BH48" s="97"/>
      <c r="BI48" s="255"/>
      <c r="BJ48" s="255"/>
      <c r="BK48" s="246" t="str">
        <f t="shared" si="29"/>
        <v/>
      </c>
      <c r="BL48" s="97"/>
      <c r="BM48" s="255"/>
      <c r="BN48" s="255"/>
      <c r="BO48" s="246" t="str">
        <f t="shared" si="30"/>
        <v/>
      </c>
      <c r="BP48" s="97"/>
      <c r="BQ48" s="255"/>
      <c r="BR48" s="255"/>
      <c r="BS48" s="246" t="str">
        <f t="shared" si="31"/>
        <v/>
      </c>
      <c r="BT48" s="97"/>
      <c r="BU48" s="255"/>
      <c r="BV48" s="255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5"/>
      <c r="O49" s="246" t="str">
        <f t="shared" si="17"/>
        <v/>
      </c>
      <c r="P49" s="97"/>
      <c r="Q49" s="255"/>
      <c r="R49" s="255"/>
      <c r="S49" s="246" t="str">
        <f t="shared" si="18"/>
        <v/>
      </c>
      <c r="T49" s="97"/>
      <c r="U49" s="255"/>
      <c r="V49" s="255"/>
      <c r="W49" s="246" t="str">
        <f t="shared" si="19"/>
        <v/>
      </c>
      <c r="X49" s="97"/>
      <c r="Y49" s="247"/>
      <c r="Z49" s="247"/>
      <c r="AA49" s="246" t="str">
        <f t="shared" si="20"/>
        <v/>
      </c>
      <c r="AB49" s="97"/>
      <c r="AC49" s="255"/>
      <c r="AD49" s="255"/>
      <c r="AE49" s="246" t="str">
        <f t="shared" si="21"/>
        <v/>
      </c>
      <c r="AF49" s="97"/>
      <c r="AG49" s="255"/>
      <c r="AH49" s="255"/>
      <c r="AI49" s="246" t="str">
        <f t="shared" si="22"/>
        <v/>
      </c>
      <c r="AJ49" s="97"/>
      <c r="AK49" s="255"/>
      <c r="AL49" s="255"/>
      <c r="AM49" s="246" t="str">
        <f t="shared" si="23"/>
        <v/>
      </c>
      <c r="AN49" s="97"/>
      <c r="AO49" s="255"/>
      <c r="AP49" s="255"/>
      <c r="AQ49" s="246" t="str">
        <f t="shared" si="24"/>
        <v/>
      </c>
      <c r="AR49" s="97"/>
      <c r="AS49" s="255"/>
      <c r="AT49" s="255"/>
      <c r="AU49" s="246" t="str">
        <f t="shared" si="25"/>
        <v/>
      </c>
      <c r="AV49" s="97"/>
      <c r="AW49" s="255"/>
      <c r="AX49" s="255"/>
      <c r="AY49" s="246" t="str">
        <f t="shared" si="26"/>
        <v/>
      </c>
      <c r="AZ49" s="97"/>
      <c r="BA49" s="255"/>
      <c r="BB49" s="255"/>
      <c r="BC49" s="246" t="str">
        <f t="shared" si="27"/>
        <v/>
      </c>
      <c r="BD49" s="97"/>
      <c r="BE49" s="255"/>
      <c r="BF49" s="255"/>
      <c r="BG49" s="246" t="str">
        <f t="shared" si="28"/>
        <v/>
      </c>
      <c r="BH49" s="97"/>
      <c r="BI49" s="255"/>
      <c r="BJ49" s="255"/>
      <c r="BK49" s="246" t="str">
        <f t="shared" si="29"/>
        <v/>
      </c>
      <c r="BL49" s="97"/>
      <c r="BM49" s="255"/>
      <c r="BN49" s="255"/>
      <c r="BO49" s="246" t="str">
        <f t="shared" si="30"/>
        <v/>
      </c>
      <c r="BP49" s="97"/>
      <c r="BQ49" s="255"/>
      <c r="BR49" s="255"/>
      <c r="BS49" s="246" t="str">
        <f t="shared" si="31"/>
        <v/>
      </c>
      <c r="BT49" s="97"/>
      <c r="BU49" s="255"/>
      <c r="BV49" s="255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5"/>
      <c r="O50" s="246" t="str">
        <f t="shared" si="17"/>
        <v/>
      </c>
      <c r="P50" s="97"/>
      <c r="Q50" s="255"/>
      <c r="R50" s="255"/>
      <c r="S50" s="246" t="str">
        <f t="shared" si="18"/>
        <v/>
      </c>
      <c r="T50" s="97"/>
      <c r="U50" s="255"/>
      <c r="V50" s="255"/>
      <c r="W50" s="246" t="str">
        <f t="shared" si="19"/>
        <v/>
      </c>
      <c r="X50" s="97"/>
      <c r="Y50" s="247"/>
      <c r="Z50" s="247"/>
      <c r="AA50" s="246" t="str">
        <f t="shared" si="20"/>
        <v/>
      </c>
      <c r="AB50" s="97"/>
      <c r="AC50" s="255"/>
      <c r="AD50" s="255"/>
      <c r="AE50" s="246" t="str">
        <f t="shared" si="21"/>
        <v/>
      </c>
      <c r="AF50" s="97"/>
      <c r="AG50" s="255"/>
      <c r="AH50" s="255"/>
      <c r="AI50" s="246" t="str">
        <f t="shared" si="22"/>
        <v/>
      </c>
      <c r="AJ50" s="97"/>
      <c r="AK50" s="255"/>
      <c r="AL50" s="255"/>
      <c r="AM50" s="246" t="str">
        <f t="shared" si="23"/>
        <v/>
      </c>
      <c r="AN50" s="97"/>
      <c r="AO50" s="255"/>
      <c r="AP50" s="255"/>
      <c r="AQ50" s="246" t="str">
        <f t="shared" si="24"/>
        <v/>
      </c>
      <c r="AR50" s="97"/>
      <c r="AS50" s="255"/>
      <c r="AT50" s="255"/>
      <c r="AU50" s="246" t="str">
        <f t="shared" si="25"/>
        <v/>
      </c>
      <c r="AV50" s="97"/>
      <c r="AW50" s="255"/>
      <c r="AX50" s="255"/>
      <c r="AY50" s="246" t="str">
        <f t="shared" si="26"/>
        <v/>
      </c>
      <c r="AZ50" s="97"/>
      <c r="BA50" s="255"/>
      <c r="BB50" s="255"/>
      <c r="BC50" s="246" t="str">
        <f t="shared" si="27"/>
        <v/>
      </c>
      <c r="BD50" s="97"/>
      <c r="BE50" s="255"/>
      <c r="BF50" s="255"/>
      <c r="BG50" s="246" t="str">
        <f t="shared" si="28"/>
        <v/>
      </c>
      <c r="BH50" s="97"/>
      <c r="BI50" s="255"/>
      <c r="BJ50" s="255"/>
      <c r="BK50" s="246" t="str">
        <f t="shared" si="29"/>
        <v/>
      </c>
      <c r="BL50" s="97"/>
      <c r="BM50" s="255"/>
      <c r="BN50" s="255"/>
      <c r="BO50" s="246" t="str">
        <f t="shared" si="30"/>
        <v/>
      </c>
      <c r="BP50" s="97"/>
      <c r="BQ50" s="255"/>
      <c r="BR50" s="255"/>
      <c r="BS50" s="246" t="str">
        <f t="shared" si="31"/>
        <v/>
      </c>
      <c r="BT50" s="97"/>
      <c r="BU50" s="255"/>
      <c r="BV50" s="255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5"/>
      <c r="O51" s="246" t="str">
        <f t="shared" si="17"/>
        <v/>
      </c>
      <c r="P51" s="97"/>
      <c r="Q51" s="255"/>
      <c r="R51" s="255"/>
      <c r="S51" s="246" t="str">
        <f t="shared" si="18"/>
        <v/>
      </c>
      <c r="T51" s="97"/>
      <c r="U51" s="255"/>
      <c r="V51" s="255"/>
      <c r="W51" s="246" t="str">
        <f t="shared" si="19"/>
        <v/>
      </c>
      <c r="X51" s="97"/>
      <c r="Y51" s="247"/>
      <c r="Z51" s="247"/>
      <c r="AA51" s="246" t="str">
        <f t="shared" si="20"/>
        <v/>
      </c>
      <c r="AB51" s="97"/>
      <c r="AC51" s="255"/>
      <c r="AD51" s="255"/>
      <c r="AE51" s="246" t="str">
        <f t="shared" si="21"/>
        <v/>
      </c>
      <c r="AF51" s="97"/>
      <c r="AG51" s="255"/>
      <c r="AH51" s="255"/>
      <c r="AI51" s="246" t="str">
        <f t="shared" si="22"/>
        <v/>
      </c>
      <c r="AJ51" s="97"/>
      <c r="AK51" s="255"/>
      <c r="AL51" s="255"/>
      <c r="AM51" s="246" t="str">
        <f t="shared" si="23"/>
        <v/>
      </c>
      <c r="AN51" s="97"/>
      <c r="AO51" s="255"/>
      <c r="AP51" s="255"/>
      <c r="AQ51" s="246" t="str">
        <f t="shared" si="24"/>
        <v/>
      </c>
      <c r="AR51" s="97"/>
      <c r="AS51" s="255"/>
      <c r="AT51" s="255"/>
      <c r="AU51" s="246" t="str">
        <f t="shared" si="25"/>
        <v/>
      </c>
      <c r="AV51" s="97"/>
      <c r="AW51" s="255"/>
      <c r="AX51" s="255"/>
      <c r="AY51" s="246" t="str">
        <f t="shared" si="26"/>
        <v/>
      </c>
      <c r="AZ51" s="97"/>
      <c r="BA51" s="255"/>
      <c r="BB51" s="255"/>
      <c r="BC51" s="246" t="str">
        <f t="shared" si="27"/>
        <v/>
      </c>
      <c r="BD51" s="97"/>
      <c r="BE51" s="255"/>
      <c r="BF51" s="255"/>
      <c r="BG51" s="246" t="str">
        <f t="shared" si="28"/>
        <v/>
      </c>
      <c r="BH51" s="97"/>
      <c r="BI51" s="255"/>
      <c r="BJ51" s="255"/>
      <c r="BK51" s="246" t="str">
        <f t="shared" si="29"/>
        <v/>
      </c>
      <c r="BL51" s="97"/>
      <c r="BM51" s="255"/>
      <c r="BN51" s="255"/>
      <c r="BO51" s="246" t="str">
        <f t="shared" si="30"/>
        <v/>
      </c>
      <c r="BP51" s="97"/>
      <c r="BQ51" s="255"/>
      <c r="BR51" s="255"/>
      <c r="BS51" s="246" t="str">
        <f t="shared" si="31"/>
        <v/>
      </c>
      <c r="BT51" s="97"/>
      <c r="BU51" s="255"/>
      <c r="BV51" s="255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5"/>
      <c r="O52" s="246" t="str">
        <f t="shared" si="17"/>
        <v/>
      </c>
      <c r="P52" s="97"/>
      <c r="Q52" s="255"/>
      <c r="R52" s="255"/>
      <c r="S52" s="246" t="str">
        <f t="shared" si="18"/>
        <v/>
      </c>
      <c r="T52" s="97"/>
      <c r="U52" s="255"/>
      <c r="V52" s="255"/>
      <c r="W52" s="246" t="str">
        <f t="shared" si="19"/>
        <v/>
      </c>
      <c r="X52" s="97"/>
      <c r="Y52" s="247"/>
      <c r="Z52" s="247"/>
      <c r="AA52" s="246" t="str">
        <f t="shared" si="20"/>
        <v/>
      </c>
      <c r="AB52" s="97"/>
      <c r="AC52" s="255"/>
      <c r="AD52" s="255"/>
      <c r="AE52" s="246" t="str">
        <f t="shared" si="21"/>
        <v/>
      </c>
      <c r="AF52" s="97"/>
      <c r="AG52" s="255"/>
      <c r="AH52" s="255"/>
      <c r="AI52" s="246" t="str">
        <f t="shared" si="22"/>
        <v/>
      </c>
      <c r="AJ52" s="97"/>
      <c r="AK52" s="255"/>
      <c r="AL52" s="255"/>
      <c r="AM52" s="246" t="str">
        <f t="shared" si="23"/>
        <v/>
      </c>
      <c r="AN52" s="97"/>
      <c r="AO52" s="255"/>
      <c r="AP52" s="255"/>
      <c r="AQ52" s="246" t="str">
        <f t="shared" si="24"/>
        <v/>
      </c>
      <c r="AR52" s="97"/>
      <c r="AS52" s="255"/>
      <c r="AT52" s="255"/>
      <c r="AU52" s="246" t="str">
        <f t="shared" si="25"/>
        <v/>
      </c>
      <c r="AV52" s="97"/>
      <c r="AW52" s="255"/>
      <c r="AX52" s="255"/>
      <c r="AY52" s="246" t="str">
        <f t="shared" si="26"/>
        <v/>
      </c>
      <c r="AZ52" s="97"/>
      <c r="BA52" s="255"/>
      <c r="BB52" s="255"/>
      <c r="BC52" s="246" t="str">
        <f t="shared" si="27"/>
        <v/>
      </c>
      <c r="BD52" s="97"/>
      <c r="BE52" s="255"/>
      <c r="BF52" s="255"/>
      <c r="BG52" s="246" t="str">
        <f t="shared" si="28"/>
        <v/>
      </c>
      <c r="BH52" s="97"/>
      <c r="BI52" s="255"/>
      <c r="BJ52" s="255"/>
      <c r="BK52" s="246" t="str">
        <f t="shared" si="29"/>
        <v/>
      </c>
      <c r="BL52" s="97"/>
      <c r="BM52" s="255"/>
      <c r="BN52" s="255"/>
      <c r="BO52" s="246" t="str">
        <f t="shared" si="30"/>
        <v/>
      </c>
      <c r="BP52" s="97"/>
      <c r="BQ52" s="255"/>
      <c r="BR52" s="255"/>
      <c r="BS52" s="246" t="str">
        <f t="shared" si="31"/>
        <v/>
      </c>
      <c r="BT52" s="97"/>
      <c r="BU52" s="255"/>
      <c r="BV52" s="255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5"/>
      <c r="O53" s="246" t="str">
        <f t="shared" si="17"/>
        <v/>
      </c>
      <c r="P53" s="97"/>
      <c r="Q53" s="255"/>
      <c r="R53" s="255"/>
      <c r="S53" s="246" t="str">
        <f t="shared" si="18"/>
        <v/>
      </c>
      <c r="T53" s="97"/>
      <c r="U53" s="255"/>
      <c r="V53" s="255"/>
      <c r="W53" s="246" t="str">
        <f t="shared" si="19"/>
        <v/>
      </c>
      <c r="X53" s="97"/>
      <c r="Y53" s="247"/>
      <c r="Z53" s="247"/>
      <c r="AA53" s="246" t="str">
        <f t="shared" si="20"/>
        <v/>
      </c>
      <c r="AB53" s="97"/>
      <c r="AC53" s="255"/>
      <c r="AD53" s="255"/>
      <c r="AE53" s="246" t="str">
        <f t="shared" si="21"/>
        <v/>
      </c>
      <c r="AF53" s="97"/>
      <c r="AG53" s="255"/>
      <c r="AH53" s="255"/>
      <c r="AI53" s="246" t="str">
        <f t="shared" si="22"/>
        <v/>
      </c>
      <c r="AJ53" s="97"/>
      <c r="AK53" s="255"/>
      <c r="AL53" s="255"/>
      <c r="AM53" s="246" t="str">
        <f t="shared" si="23"/>
        <v/>
      </c>
      <c r="AN53" s="97"/>
      <c r="AO53" s="255"/>
      <c r="AP53" s="255"/>
      <c r="AQ53" s="246" t="str">
        <f t="shared" si="24"/>
        <v/>
      </c>
      <c r="AR53" s="97"/>
      <c r="AS53" s="255"/>
      <c r="AT53" s="255"/>
      <c r="AU53" s="246" t="str">
        <f t="shared" si="25"/>
        <v/>
      </c>
      <c r="AV53" s="97"/>
      <c r="AW53" s="255"/>
      <c r="AX53" s="255"/>
      <c r="AY53" s="246" t="str">
        <f t="shared" si="26"/>
        <v/>
      </c>
      <c r="AZ53" s="97"/>
      <c r="BA53" s="255"/>
      <c r="BB53" s="255"/>
      <c r="BC53" s="246" t="str">
        <f t="shared" si="27"/>
        <v/>
      </c>
      <c r="BD53" s="97"/>
      <c r="BE53" s="255"/>
      <c r="BF53" s="255"/>
      <c r="BG53" s="246" t="str">
        <f t="shared" si="28"/>
        <v/>
      </c>
      <c r="BH53" s="97"/>
      <c r="BI53" s="255"/>
      <c r="BJ53" s="255"/>
      <c r="BK53" s="246" t="str">
        <f t="shared" si="29"/>
        <v/>
      </c>
      <c r="BL53" s="97"/>
      <c r="BM53" s="255"/>
      <c r="BN53" s="255"/>
      <c r="BO53" s="246" t="str">
        <f t="shared" si="30"/>
        <v/>
      </c>
      <c r="BP53" s="97"/>
      <c r="BQ53" s="255"/>
      <c r="BR53" s="255"/>
      <c r="BS53" s="246" t="str">
        <f t="shared" si="31"/>
        <v/>
      </c>
      <c r="BT53" s="97"/>
      <c r="BU53" s="255"/>
      <c r="BV53" s="255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5"/>
      <c r="O54" s="246" t="str">
        <f t="shared" si="17"/>
        <v/>
      </c>
      <c r="P54" s="97"/>
      <c r="Q54" s="255"/>
      <c r="R54" s="255"/>
      <c r="S54" s="246" t="str">
        <f t="shared" si="18"/>
        <v/>
      </c>
      <c r="T54" s="97"/>
      <c r="U54" s="255"/>
      <c r="V54" s="255"/>
      <c r="W54" s="246" t="str">
        <f t="shared" si="19"/>
        <v/>
      </c>
      <c r="X54" s="97"/>
      <c r="Y54" s="247"/>
      <c r="Z54" s="247"/>
      <c r="AA54" s="246" t="str">
        <f t="shared" si="20"/>
        <v/>
      </c>
      <c r="AB54" s="97"/>
      <c r="AC54" s="255"/>
      <c r="AD54" s="255"/>
      <c r="AE54" s="246" t="str">
        <f t="shared" si="21"/>
        <v/>
      </c>
      <c r="AF54" s="97"/>
      <c r="AG54" s="255"/>
      <c r="AH54" s="255"/>
      <c r="AI54" s="246" t="str">
        <f t="shared" si="22"/>
        <v/>
      </c>
      <c r="AJ54" s="97"/>
      <c r="AK54" s="255"/>
      <c r="AL54" s="255"/>
      <c r="AM54" s="246" t="str">
        <f t="shared" si="23"/>
        <v/>
      </c>
      <c r="AN54" s="97"/>
      <c r="AO54" s="255"/>
      <c r="AP54" s="255"/>
      <c r="AQ54" s="246" t="str">
        <f t="shared" si="24"/>
        <v/>
      </c>
      <c r="AR54" s="97"/>
      <c r="AS54" s="255"/>
      <c r="AT54" s="255"/>
      <c r="AU54" s="246" t="str">
        <f t="shared" si="25"/>
        <v/>
      </c>
      <c r="AV54" s="97"/>
      <c r="AW54" s="255"/>
      <c r="AX54" s="255"/>
      <c r="AY54" s="246" t="str">
        <f t="shared" si="26"/>
        <v/>
      </c>
      <c r="AZ54" s="97"/>
      <c r="BA54" s="255"/>
      <c r="BB54" s="255"/>
      <c r="BC54" s="246" t="str">
        <f t="shared" si="27"/>
        <v/>
      </c>
      <c r="BD54" s="97"/>
      <c r="BE54" s="255"/>
      <c r="BF54" s="255"/>
      <c r="BG54" s="246" t="str">
        <f t="shared" si="28"/>
        <v/>
      </c>
      <c r="BH54" s="97"/>
      <c r="BI54" s="255"/>
      <c r="BJ54" s="255"/>
      <c r="BK54" s="246" t="str">
        <f t="shared" si="29"/>
        <v/>
      </c>
      <c r="BL54" s="97"/>
      <c r="BM54" s="255"/>
      <c r="BN54" s="255"/>
      <c r="BO54" s="246" t="str">
        <f t="shared" si="30"/>
        <v/>
      </c>
      <c r="BP54" s="97"/>
      <c r="BQ54" s="255"/>
      <c r="BR54" s="255"/>
      <c r="BS54" s="246" t="str">
        <f t="shared" si="31"/>
        <v/>
      </c>
      <c r="BT54" s="97"/>
      <c r="BU54" s="255"/>
      <c r="BV54" s="255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5"/>
      <c r="O55" s="246" t="str">
        <f t="shared" si="17"/>
        <v/>
      </c>
      <c r="P55" s="97"/>
      <c r="Q55" s="255"/>
      <c r="R55" s="255"/>
      <c r="S55" s="246" t="str">
        <f t="shared" si="18"/>
        <v/>
      </c>
      <c r="T55" s="97"/>
      <c r="U55" s="255"/>
      <c r="V55" s="255"/>
      <c r="W55" s="246" t="str">
        <f t="shared" si="19"/>
        <v/>
      </c>
      <c r="X55" s="97"/>
      <c r="Y55" s="247"/>
      <c r="Z55" s="247"/>
      <c r="AA55" s="246" t="str">
        <f t="shared" si="20"/>
        <v/>
      </c>
      <c r="AB55" s="97"/>
      <c r="AC55" s="255"/>
      <c r="AD55" s="255"/>
      <c r="AE55" s="246" t="str">
        <f t="shared" si="21"/>
        <v/>
      </c>
      <c r="AF55" s="97"/>
      <c r="AG55" s="255"/>
      <c r="AH55" s="255"/>
      <c r="AI55" s="246" t="str">
        <f t="shared" si="22"/>
        <v/>
      </c>
      <c r="AJ55" s="97"/>
      <c r="AK55" s="255"/>
      <c r="AL55" s="255"/>
      <c r="AM55" s="246" t="str">
        <f t="shared" si="23"/>
        <v/>
      </c>
      <c r="AN55" s="97"/>
      <c r="AO55" s="255"/>
      <c r="AP55" s="255"/>
      <c r="AQ55" s="246" t="str">
        <f t="shared" si="24"/>
        <v/>
      </c>
      <c r="AR55" s="97"/>
      <c r="AS55" s="255"/>
      <c r="AT55" s="255"/>
      <c r="AU55" s="246" t="str">
        <f t="shared" si="25"/>
        <v/>
      </c>
      <c r="AV55" s="97"/>
      <c r="AW55" s="255"/>
      <c r="AX55" s="255"/>
      <c r="AY55" s="246" t="str">
        <f t="shared" si="26"/>
        <v/>
      </c>
      <c r="AZ55" s="97"/>
      <c r="BA55" s="255"/>
      <c r="BB55" s="255"/>
      <c r="BC55" s="246" t="str">
        <f t="shared" si="27"/>
        <v/>
      </c>
      <c r="BD55" s="97"/>
      <c r="BE55" s="255"/>
      <c r="BF55" s="255"/>
      <c r="BG55" s="246" t="str">
        <f t="shared" si="28"/>
        <v/>
      </c>
      <c r="BH55" s="97"/>
      <c r="BI55" s="255"/>
      <c r="BJ55" s="255"/>
      <c r="BK55" s="246" t="str">
        <f t="shared" si="29"/>
        <v/>
      </c>
      <c r="BL55" s="97"/>
      <c r="BM55" s="255"/>
      <c r="BN55" s="255"/>
      <c r="BO55" s="246" t="str">
        <f t="shared" si="30"/>
        <v/>
      </c>
      <c r="BP55" s="97"/>
      <c r="BQ55" s="255"/>
      <c r="BR55" s="255"/>
      <c r="BS55" s="246" t="str">
        <f t="shared" si="31"/>
        <v/>
      </c>
      <c r="BT55" s="97"/>
      <c r="BU55" s="255"/>
      <c r="BV55" s="255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5"/>
      <c r="O56" s="246" t="str">
        <f t="shared" si="17"/>
        <v/>
      </c>
      <c r="P56" s="97"/>
      <c r="Q56" s="255"/>
      <c r="R56" s="255"/>
      <c r="S56" s="246" t="str">
        <f t="shared" si="18"/>
        <v/>
      </c>
      <c r="T56" s="97"/>
      <c r="U56" s="255"/>
      <c r="V56" s="255"/>
      <c r="W56" s="246" t="str">
        <f t="shared" si="19"/>
        <v/>
      </c>
      <c r="X56" s="97"/>
      <c r="Y56" s="247"/>
      <c r="Z56" s="247"/>
      <c r="AA56" s="246" t="str">
        <f t="shared" si="20"/>
        <v/>
      </c>
      <c r="AB56" s="97"/>
      <c r="AC56" s="255"/>
      <c r="AD56" s="255"/>
      <c r="AE56" s="246" t="str">
        <f t="shared" si="21"/>
        <v/>
      </c>
      <c r="AF56" s="97"/>
      <c r="AG56" s="255"/>
      <c r="AH56" s="255"/>
      <c r="AI56" s="246" t="str">
        <f t="shared" si="22"/>
        <v/>
      </c>
      <c r="AJ56" s="97"/>
      <c r="AK56" s="255"/>
      <c r="AL56" s="255"/>
      <c r="AM56" s="246" t="str">
        <f t="shared" si="23"/>
        <v/>
      </c>
      <c r="AN56" s="97"/>
      <c r="AO56" s="255"/>
      <c r="AP56" s="255"/>
      <c r="AQ56" s="246" t="str">
        <f t="shared" si="24"/>
        <v/>
      </c>
      <c r="AR56" s="97"/>
      <c r="AS56" s="255"/>
      <c r="AT56" s="255"/>
      <c r="AU56" s="246" t="str">
        <f t="shared" si="25"/>
        <v/>
      </c>
      <c r="AV56" s="97"/>
      <c r="AW56" s="255"/>
      <c r="AX56" s="255"/>
      <c r="AY56" s="246" t="str">
        <f t="shared" si="26"/>
        <v/>
      </c>
      <c r="AZ56" s="97"/>
      <c r="BA56" s="255"/>
      <c r="BB56" s="255"/>
      <c r="BC56" s="246" t="str">
        <f t="shared" si="27"/>
        <v/>
      </c>
      <c r="BD56" s="97"/>
      <c r="BE56" s="255"/>
      <c r="BF56" s="255"/>
      <c r="BG56" s="246" t="str">
        <f t="shared" si="28"/>
        <v/>
      </c>
      <c r="BH56" s="97"/>
      <c r="BI56" s="255"/>
      <c r="BJ56" s="255"/>
      <c r="BK56" s="246" t="str">
        <f t="shared" si="29"/>
        <v/>
      </c>
      <c r="BL56" s="97"/>
      <c r="BM56" s="255"/>
      <c r="BN56" s="255"/>
      <c r="BO56" s="246" t="str">
        <f t="shared" si="30"/>
        <v/>
      </c>
      <c r="BP56" s="97"/>
      <c r="BQ56" s="255"/>
      <c r="BR56" s="255"/>
      <c r="BS56" s="246" t="str">
        <f t="shared" si="31"/>
        <v/>
      </c>
      <c r="BT56" s="97"/>
      <c r="BU56" s="255"/>
      <c r="BV56" s="255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5"/>
      <c r="O57" s="246" t="str">
        <f t="shared" si="17"/>
        <v/>
      </c>
      <c r="P57" s="97"/>
      <c r="Q57" s="255"/>
      <c r="R57" s="255"/>
      <c r="S57" s="246" t="str">
        <f t="shared" si="18"/>
        <v/>
      </c>
      <c r="T57" s="97"/>
      <c r="U57" s="255"/>
      <c r="V57" s="255"/>
      <c r="W57" s="246" t="str">
        <f t="shared" si="19"/>
        <v/>
      </c>
      <c r="X57" s="97"/>
      <c r="Y57" s="247"/>
      <c r="Z57" s="247"/>
      <c r="AA57" s="246" t="str">
        <f t="shared" si="20"/>
        <v/>
      </c>
      <c r="AB57" s="97"/>
      <c r="AC57" s="255"/>
      <c r="AD57" s="255"/>
      <c r="AE57" s="246" t="str">
        <f t="shared" si="21"/>
        <v/>
      </c>
      <c r="AF57" s="97"/>
      <c r="AG57" s="255"/>
      <c r="AH57" s="255"/>
      <c r="AI57" s="246" t="str">
        <f t="shared" si="22"/>
        <v/>
      </c>
      <c r="AJ57" s="97"/>
      <c r="AK57" s="255"/>
      <c r="AL57" s="255"/>
      <c r="AM57" s="246" t="str">
        <f t="shared" si="23"/>
        <v/>
      </c>
      <c r="AN57" s="97"/>
      <c r="AO57" s="255"/>
      <c r="AP57" s="255"/>
      <c r="AQ57" s="246" t="str">
        <f t="shared" si="24"/>
        <v/>
      </c>
      <c r="AR57" s="97"/>
      <c r="AS57" s="255"/>
      <c r="AT57" s="255"/>
      <c r="AU57" s="246" t="str">
        <f t="shared" si="25"/>
        <v/>
      </c>
      <c r="AV57" s="97"/>
      <c r="AW57" s="255"/>
      <c r="AX57" s="255"/>
      <c r="AY57" s="246" t="str">
        <f t="shared" si="26"/>
        <v/>
      </c>
      <c r="AZ57" s="97"/>
      <c r="BA57" s="255"/>
      <c r="BB57" s="255"/>
      <c r="BC57" s="246" t="str">
        <f t="shared" si="27"/>
        <v/>
      </c>
      <c r="BD57" s="97"/>
      <c r="BE57" s="255"/>
      <c r="BF57" s="255"/>
      <c r="BG57" s="246" t="str">
        <f t="shared" si="28"/>
        <v/>
      </c>
      <c r="BH57" s="97"/>
      <c r="BI57" s="255"/>
      <c r="BJ57" s="255"/>
      <c r="BK57" s="246" t="str">
        <f t="shared" si="29"/>
        <v/>
      </c>
      <c r="BL57" s="97"/>
      <c r="BM57" s="255"/>
      <c r="BN57" s="255"/>
      <c r="BO57" s="246" t="str">
        <f t="shared" si="30"/>
        <v/>
      </c>
      <c r="BP57" s="97"/>
      <c r="BQ57" s="255"/>
      <c r="BR57" s="255"/>
      <c r="BS57" s="246" t="str">
        <f t="shared" si="31"/>
        <v/>
      </c>
      <c r="BT57" s="97"/>
      <c r="BU57" s="255"/>
      <c r="BV57" s="255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5"/>
      <c r="O58" s="246" t="str">
        <f t="shared" si="17"/>
        <v/>
      </c>
      <c r="P58" s="97"/>
      <c r="Q58" s="255"/>
      <c r="R58" s="255"/>
      <c r="S58" s="246" t="str">
        <f t="shared" si="18"/>
        <v/>
      </c>
      <c r="T58" s="97"/>
      <c r="U58" s="255"/>
      <c r="V58" s="255"/>
      <c r="W58" s="246" t="str">
        <f t="shared" si="19"/>
        <v/>
      </c>
      <c r="X58" s="97"/>
      <c r="Y58" s="247"/>
      <c r="Z58" s="247"/>
      <c r="AA58" s="246" t="str">
        <f t="shared" si="20"/>
        <v/>
      </c>
      <c r="AB58" s="97"/>
      <c r="AC58" s="255"/>
      <c r="AD58" s="255"/>
      <c r="AE58" s="246" t="str">
        <f t="shared" si="21"/>
        <v/>
      </c>
      <c r="AF58" s="97"/>
      <c r="AG58" s="255"/>
      <c r="AH58" s="255"/>
      <c r="AI58" s="246" t="str">
        <f t="shared" si="22"/>
        <v/>
      </c>
      <c r="AJ58" s="97"/>
      <c r="AK58" s="255"/>
      <c r="AL58" s="255"/>
      <c r="AM58" s="246" t="str">
        <f t="shared" si="23"/>
        <v/>
      </c>
      <c r="AN58" s="97"/>
      <c r="AO58" s="255"/>
      <c r="AP58" s="255"/>
      <c r="AQ58" s="246" t="str">
        <f t="shared" si="24"/>
        <v/>
      </c>
      <c r="AR58" s="97"/>
      <c r="AS58" s="255"/>
      <c r="AT58" s="255"/>
      <c r="AU58" s="246" t="str">
        <f t="shared" si="25"/>
        <v/>
      </c>
      <c r="AV58" s="97"/>
      <c r="AW58" s="255"/>
      <c r="AX58" s="255"/>
      <c r="AY58" s="246" t="str">
        <f t="shared" si="26"/>
        <v/>
      </c>
      <c r="AZ58" s="97"/>
      <c r="BA58" s="255"/>
      <c r="BB58" s="255"/>
      <c r="BC58" s="246" t="str">
        <f t="shared" si="27"/>
        <v/>
      </c>
      <c r="BD58" s="97"/>
      <c r="BE58" s="255"/>
      <c r="BF58" s="255"/>
      <c r="BG58" s="246" t="str">
        <f t="shared" si="28"/>
        <v/>
      </c>
      <c r="BH58" s="97"/>
      <c r="BI58" s="255"/>
      <c r="BJ58" s="255"/>
      <c r="BK58" s="246" t="str">
        <f t="shared" si="29"/>
        <v/>
      </c>
      <c r="BL58" s="97"/>
      <c r="BM58" s="255"/>
      <c r="BN58" s="255"/>
      <c r="BO58" s="246" t="str">
        <f t="shared" si="30"/>
        <v/>
      </c>
      <c r="BP58" s="97"/>
      <c r="BQ58" s="255"/>
      <c r="BR58" s="255"/>
      <c r="BS58" s="246" t="str">
        <f t="shared" si="31"/>
        <v/>
      </c>
      <c r="BT58" s="97"/>
      <c r="BU58" s="255"/>
      <c r="BV58" s="255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5"/>
      <c r="O59" s="246" t="str">
        <f t="shared" si="17"/>
        <v/>
      </c>
      <c r="P59" s="97"/>
      <c r="Q59" s="255"/>
      <c r="R59" s="255"/>
      <c r="S59" s="246" t="str">
        <f t="shared" si="18"/>
        <v/>
      </c>
      <c r="T59" s="97"/>
      <c r="U59" s="255"/>
      <c r="V59" s="255"/>
      <c r="W59" s="246" t="str">
        <f t="shared" si="19"/>
        <v/>
      </c>
      <c r="X59" s="97"/>
      <c r="Y59" s="247"/>
      <c r="Z59" s="247"/>
      <c r="AA59" s="246" t="str">
        <f t="shared" si="20"/>
        <v/>
      </c>
      <c r="AB59" s="97"/>
      <c r="AC59" s="255"/>
      <c r="AD59" s="255"/>
      <c r="AE59" s="246" t="str">
        <f t="shared" si="21"/>
        <v/>
      </c>
      <c r="AF59" s="97"/>
      <c r="AG59" s="255"/>
      <c r="AH59" s="255"/>
      <c r="AI59" s="246" t="str">
        <f t="shared" si="22"/>
        <v/>
      </c>
      <c r="AJ59" s="97"/>
      <c r="AK59" s="255"/>
      <c r="AL59" s="255"/>
      <c r="AM59" s="246" t="str">
        <f t="shared" si="23"/>
        <v/>
      </c>
      <c r="AN59" s="97"/>
      <c r="AO59" s="255"/>
      <c r="AP59" s="255"/>
      <c r="AQ59" s="246" t="str">
        <f t="shared" si="24"/>
        <v/>
      </c>
      <c r="AR59" s="97"/>
      <c r="AS59" s="255"/>
      <c r="AT59" s="255"/>
      <c r="AU59" s="246" t="str">
        <f t="shared" si="25"/>
        <v/>
      </c>
      <c r="AV59" s="97"/>
      <c r="AW59" s="255"/>
      <c r="AX59" s="255"/>
      <c r="AY59" s="246" t="str">
        <f t="shared" si="26"/>
        <v/>
      </c>
      <c r="AZ59" s="97"/>
      <c r="BA59" s="255"/>
      <c r="BB59" s="255"/>
      <c r="BC59" s="246" t="str">
        <f t="shared" si="27"/>
        <v/>
      </c>
      <c r="BD59" s="97"/>
      <c r="BE59" s="255"/>
      <c r="BF59" s="255"/>
      <c r="BG59" s="246" t="str">
        <f t="shared" si="28"/>
        <v/>
      </c>
      <c r="BH59" s="97"/>
      <c r="BI59" s="255"/>
      <c r="BJ59" s="255"/>
      <c r="BK59" s="246" t="str">
        <f t="shared" si="29"/>
        <v/>
      </c>
      <c r="BL59" s="97"/>
      <c r="BM59" s="255"/>
      <c r="BN59" s="255"/>
      <c r="BO59" s="246" t="str">
        <f t="shared" si="30"/>
        <v/>
      </c>
      <c r="BP59" s="97"/>
      <c r="BQ59" s="255"/>
      <c r="BR59" s="255"/>
      <c r="BS59" s="246" t="str">
        <f t="shared" si="31"/>
        <v/>
      </c>
      <c r="BT59" s="97"/>
      <c r="BU59" s="255"/>
      <c r="BV59" s="255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5"/>
      <c r="O60" s="246" t="str">
        <f t="shared" si="17"/>
        <v/>
      </c>
      <c r="P60" s="97"/>
      <c r="Q60" s="255"/>
      <c r="R60" s="255"/>
      <c r="S60" s="246" t="str">
        <f t="shared" si="18"/>
        <v/>
      </c>
      <c r="T60" s="97"/>
      <c r="U60" s="255"/>
      <c r="V60" s="255"/>
      <c r="W60" s="246" t="str">
        <f t="shared" si="19"/>
        <v/>
      </c>
      <c r="X60" s="97"/>
      <c r="Y60" s="247"/>
      <c r="Z60" s="247"/>
      <c r="AA60" s="246" t="str">
        <f t="shared" si="20"/>
        <v/>
      </c>
      <c r="AB60" s="97"/>
      <c r="AC60" s="255"/>
      <c r="AD60" s="255"/>
      <c r="AE60" s="246" t="str">
        <f t="shared" si="21"/>
        <v/>
      </c>
      <c r="AF60" s="97"/>
      <c r="AG60" s="255"/>
      <c r="AH60" s="255"/>
      <c r="AI60" s="246" t="str">
        <f t="shared" si="22"/>
        <v/>
      </c>
      <c r="AJ60" s="97"/>
      <c r="AK60" s="255"/>
      <c r="AL60" s="255"/>
      <c r="AM60" s="246" t="str">
        <f t="shared" si="23"/>
        <v/>
      </c>
      <c r="AN60" s="97"/>
      <c r="AO60" s="255"/>
      <c r="AP60" s="255"/>
      <c r="AQ60" s="246" t="str">
        <f t="shared" si="24"/>
        <v/>
      </c>
      <c r="AR60" s="97"/>
      <c r="AS60" s="255"/>
      <c r="AT60" s="255"/>
      <c r="AU60" s="246" t="str">
        <f t="shared" si="25"/>
        <v/>
      </c>
      <c r="AV60" s="97"/>
      <c r="AW60" s="255"/>
      <c r="AX60" s="255"/>
      <c r="AY60" s="246" t="str">
        <f t="shared" si="26"/>
        <v/>
      </c>
      <c r="AZ60" s="97"/>
      <c r="BA60" s="255"/>
      <c r="BB60" s="255"/>
      <c r="BC60" s="246" t="str">
        <f t="shared" si="27"/>
        <v/>
      </c>
      <c r="BD60" s="97"/>
      <c r="BE60" s="255"/>
      <c r="BF60" s="255"/>
      <c r="BG60" s="246" t="str">
        <f t="shared" si="28"/>
        <v/>
      </c>
      <c r="BH60" s="97"/>
      <c r="BI60" s="255"/>
      <c r="BJ60" s="255"/>
      <c r="BK60" s="246" t="str">
        <f t="shared" si="29"/>
        <v/>
      </c>
      <c r="BL60" s="97"/>
      <c r="BM60" s="255"/>
      <c r="BN60" s="255"/>
      <c r="BO60" s="246" t="str">
        <f t="shared" si="30"/>
        <v/>
      </c>
      <c r="BP60" s="97"/>
      <c r="BQ60" s="255"/>
      <c r="BR60" s="255"/>
      <c r="BS60" s="246" t="str">
        <f t="shared" si="31"/>
        <v/>
      </c>
      <c r="BT60" s="97"/>
      <c r="BU60" s="255"/>
      <c r="BV60" s="255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5"/>
      <c r="O61" s="246" t="str">
        <f t="shared" si="17"/>
        <v/>
      </c>
      <c r="P61" s="97"/>
      <c r="Q61" s="255"/>
      <c r="R61" s="255"/>
      <c r="S61" s="246" t="str">
        <f t="shared" si="18"/>
        <v/>
      </c>
      <c r="T61" s="97"/>
      <c r="U61" s="255"/>
      <c r="V61" s="255"/>
      <c r="W61" s="246" t="str">
        <f t="shared" si="19"/>
        <v/>
      </c>
      <c r="X61" s="97"/>
      <c r="Y61" s="247"/>
      <c r="Z61" s="247"/>
      <c r="AA61" s="246" t="str">
        <f t="shared" si="20"/>
        <v/>
      </c>
      <c r="AB61" s="97"/>
      <c r="AC61" s="255"/>
      <c r="AD61" s="255"/>
      <c r="AE61" s="246" t="str">
        <f t="shared" si="21"/>
        <v/>
      </c>
      <c r="AF61" s="97"/>
      <c r="AG61" s="255"/>
      <c r="AH61" s="255"/>
      <c r="AI61" s="246" t="str">
        <f t="shared" si="22"/>
        <v/>
      </c>
      <c r="AJ61" s="97"/>
      <c r="AK61" s="255"/>
      <c r="AL61" s="255"/>
      <c r="AM61" s="246" t="str">
        <f t="shared" si="23"/>
        <v/>
      </c>
      <c r="AN61" s="97"/>
      <c r="AO61" s="255"/>
      <c r="AP61" s="255"/>
      <c r="AQ61" s="246" t="str">
        <f t="shared" si="24"/>
        <v/>
      </c>
      <c r="AR61" s="97"/>
      <c r="AS61" s="255"/>
      <c r="AT61" s="255"/>
      <c r="AU61" s="246" t="str">
        <f t="shared" si="25"/>
        <v/>
      </c>
      <c r="AV61" s="97"/>
      <c r="AW61" s="255"/>
      <c r="AX61" s="255"/>
      <c r="AY61" s="246" t="str">
        <f t="shared" si="26"/>
        <v/>
      </c>
      <c r="AZ61" s="97"/>
      <c r="BA61" s="255"/>
      <c r="BB61" s="255"/>
      <c r="BC61" s="246" t="str">
        <f t="shared" si="27"/>
        <v/>
      </c>
      <c r="BD61" s="97"/>
      <c r="BE61" s="255"/>
      <c r="BF61" s="255"/>
      <c r="BG61" s="246" t="str">
        <f t="shared" si="28"/>
        <v/>
      </c>
      <c r="BH61" s="97"/>
      <c r="BI61" s="255"/>
      <c r="BJ61" s="255"/>
      <c r="BK61" s="246" t="str">
        <f t="shared" si="29"/>
        <v/>
      </c>
      <c r="BL61" s="97"/>
      <c r="BM61" s="255"/>
      <c r="BN61" s="255"/>
      <c r="BO61" s="246" t="str">
        <f t="shared" si="30"/>
        <v/>
      </c>
      <c r="BP61" s="97"/>
      <c r="BQ61" s="255"/>
      <c r="BR61" s="255"/>
      <c r="BS61" s="246" t="str">
        <f t="shared" si="31"/>
        <v/>
      </c>
      <c r="BT61" s="97"/>
      <c r="BU61" s="255"/>
      <c r="BV61" s="255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5"/>
      <c r="O62" s="246" t="str">
        <f t="shared" si="17"/>
        <v/>
      </c>
      <c r="P62" s="97"/>
      <c r="Q62" s="255"/>
      <c r="R62" s="255"/>
      <c r="S62" s="246" t="str">
        <f t="shared" si="18"/>
        <v/>
      </c>
      <c r="T62" s="97"/>
      <c r="U62" s="255"/>
      <c r="V62" s="255"/>
      <c r="W62" s="246" t="str">
        <f t="shared" si="19"/>
        <v/>
      </c>
      <c r="X62" s="97"/>
      <c r="Y62" s="247"/>
      <c r="Z62" s="247"/>
      <c r="AA62" s="246" t="str">
        <f t="shared" si="20"/>
        <v/>
      </c>
      <c r="AB62" s="97"/>
      <c r="AC62" s="255"/>
      <c r="AD62" s="255"/>
      <c r="AE62" s="246" t="str">
        <f t="shared" si="21"/>
        <v/>
      </c>
      <c r="AF62" s="97"/>
      <c r="AG62" s="255"/>
      <c r="AH62" s="255"/>
      <c r="AI62" s="246" t="str">
        <f t="shared" si="22"/>
        <v/>
      </c>
      <c r="AJ62" s="97"/>
      <c r="AK62" s="255"/>
      <c r="AL62" s="255"/>
      <c r="AM62" s="246" t="str">
        <f t="shared" si="23"/>
        <v/>
      </c>
      <c r="AN62" s="97"/>
      <c r="AO62" s="255"/>
      <c r="AP62" s="255"/>
      <c r="AQ62" s="246" t="str">
        <f t="shared" si="24"/>
        <v/>
      </c>
      <c r="AR62" s="97"/>
      <c r="AS62" s="255"/>
      <c r="AT62" s="255"/>
      <c r="AU62" s="246" t="str">
        <f t="shared" si="25"/>
        <v/>
      </c>
      <c r="AV62" s="97"/>
      <c r="AW62" s="255"/>
      <c r="AX62" s="255"/>
      <c r="AY62" s="246" t="str">
        <f t="shared" si="26"/>
        <v/>
      </c>
      <c r="AZ62" s="97"/>
      <c r="BA62" s="255"/>
      <c r="BB62" s="255"/>
      <c r="BC62" s="246" t="str">
        <f t="shared" si="27"/>
        <v/>
      </c>
      <c r="BD62" s="97"/>
      <c r="BE62" s="255"/>
      <c r="BF62" s="255"/>
      <c r="BG62" s="246" t="str">
        <f t="shared" si="28"/>
        <v/>
      </c>
      <c r="BH62" s="97"/>
      <c r="BI62" s="255"/>
      <c r="BJ62" s="255"/>
      <c r="BK62" s="246" t="str">
        <f t="shared" si="29"/>
        <v/>
      </c>
      <c r="BL62" s="97"/>
      <c r="BM62" s="255"/>
      <c r="BN62" s="255"/>
      <c r="BO62" s="246" t="str">
        <f t="shared" si="30"/>
        <v/>
      </c>
      <c r="BP62" s="97"/>
      <c r="BQ62" s="255"/>
      <c r="BR62" s="255"/>
      <c r="BS62" s="246" t="str">
        <f t="shared" si="31"/>
        <v/>
      </c>
      <c r="BT62" s="97"/>
      <c r="BU62" s="255"/>
      <c r="BV62" s="255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5"/>
      <c r="O63" s="246" t="str">
        <f t="shared" si="17"/>
        <v/>
      </c>
      <c r="P63" s="97"/>
      <c r="Q63" s="255"/>
      <c r="R63" s="255"/>
      <c r="S63" s="246" t="str">
        <f t="shared" si="18"/>
        <v/>
      </c>
      <c r="T63" s="97"/>
      <c r="U63" s="255"/>
      <c r="V63" s="255"/>
      <c r="W63" s="246" t="str">
        <f t="shared" si="19"/>
        <v/>
      </c>
      <c r="X63" s="97"/>
      <c r="Y63" s="247"/>
      <c r="Z63" s="247"/>
      <c r="AA63" s="246" t="str">
        <f t="shared" si="20"/>
        <v/>
      </c>
      <c r="AB63" s="97"/>
      <c r="AC63" s="255"/>
      <c r="AD63" s="255"/>
      <c r="AE63" s="246" t="str">
        <f t="shared" si="21"/>
        <v/>
      </c>
      <c r="AF63" s="97"/>
      <c r="AG63" s="255"/>
      <c r="AH63" s="255"/>
      <c r="AI63" s="246" t="str">
        <f t="shared" si="22"/>
        <v/>
      </c>
      <c r="AJ63" s="97"/>
      <c r="AK63" s="255"/>
      <c r="AL63" s="255"/>
      <c r="AM63" s="246" t="str">
        <f t="shared" si="23"/>
        <v/>
      </c>
      <c r="AN63" s="97"/>
      <c r="AO63" s="255"/>
      <c r="AP63" s="255"/>
      <c r="AQ63" s="246" t="str">
        <f t="shared" si="24"/>
        <v/>
      </c>
      <c r="AR63" s="97"/>
      <c r="AS63" s="255"/>
      <c r="AT63" s="255"/>
      <c r="AU63" s="246" t="str">
        <f t="shared" si="25"/>
        <v/>
      </c>
      <c r="AV63" s="97"/>
      <c r="AW63" s="255"/>
      <c r="AX63" s="255"/>
      <c r="AY63" s="246" t="str">
        <f t="shared" si="26"/>
        <v/>
      </c>
      <c r="AZ63" s="97"/>
      <c r="BA63" s="255"/>
      <c r="BB63" s="255"/>
      <c r="BC63" s="246" t="str">
        <f t="shared" si="27"/>
        <v/>
      </c>
      <c r="BD63" s="97"/>
      <c r="BE63" s="255"/>
      <c r="BF63" s="255"/>
      <c r="BG63" s="246" t="str">
        <f t="shared" si="28"/>
        <v/>
      </c>
      <c r="BH63" s="97"/>
      <c r="BI63" s="255"/>
      <c r="BJ63" s="255"/>
      <c r="BK63" s="246" t="str">
        <f t="shared" si="29"/>
        <v/>
      </c>
      <c r="BL63" s="97"/>
      <c r="BM63" s="255"/>
      <c r="BN63" s="255"/>
      <c r="BO63" s="246" t="str">
        <f t="shared" si="30"/>
        <v/>
      </c>
      <c r="BP63" s="97"/>
      <c r="BQ63" s="255"/>
      <c r="BR63" s="255"/>
      <c r="BS63" s="246" t="str">
        <f t="shared" si="31"/>
        <v/>
      </c>
      <c r="BT63" s="97"/>
      <c r="BU63" s="255"/>
      <c r="BV63" s="255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5"/>
      <c r="O64" s="246" t="str">
        <f t="shared" si="17"/>
        <v/>
      </c>
      <c r="P64" s="97"/>
      <c r="Q64" s="255"/>
      <c r="R64" s="255"/>
      <c r="S64" s="246" t="str">
        <f t="shared" si="18"/>
        <v/>
      </c>
      <c r="T64" s="97"/>
      <c r="U64" s="255"/>
      <c r="V64" s="255"/>
      <c r="W64" s="246" t="str">
        <f t="shared" si="19"/>
        <v/>
      </c>
      <c r="X64" s="97"/>
      <c r="Y64" s="247"/>
      <c r="Z64" s="247"/>
      <c r="AA64" s="246" t="str">
        <f t="shared" si="20"/>
        <v/>
      </c>
      <c r="AB64" s="97"/>
      <c r="AC64" s="255"/>
      <c r="AD64" s="255"/>
      <c r="AE64" s="246" t="str">
        <f t="shared" si="21"/>
        <v/>
      </c>
      <c r="AF64" s="97"/>
      <c r="AG64" s="255"/>
      <c r="AH64" s="255"/>
      <c r="AI64" s="246" t="str">
        <f t="shared" si="22"/>
        <v/>
      </c>
      <c r="AJ64" s="97"/>
      <c r="AK64" s="255"/>
      <c r="AL64" s="255"/>
      <c r="AM64" s="246" t="str">
        <f t="shared" si="23"/>
        <v/>
      </c>
      <c r="AN64" s="97"/>
      <c r="AO64" s="255"/>
      <c r="AP64" s="255"/>
      <c r="AQ64" s="246" t="str">
        <f t="shared" si="24"/>
        <v/>
      </c>
      <c r="AR64" s="97"/>
      <c r="AS64" s="255"/>
      <c r="AT64" s="255"/>
      <c r="AU64" s="246" t="str">
        <f t="shared" si="25"/>
        <v/>
      </c>
      <c r="AV64" s="97"/>
      <c r="AW64" s="255"/>
      <c r="AX64" s="255"/>
      <c r="AY64" s="246" t="str">
        <f t="shared" si="26"/>
        <v/>
      </c>
      <c r="AZ64" s="97"/>
      <c r="BA64" s="255"/>
      <c r="BB64" s="255"/>
      <c r="BC64" s="246" t="str">
        <f t="shared" si="27"/>
        <v/>
      </c>
      <c r="BD64" s="97"/>
      <c r="BE64" s="255"/>
      <c r="BF64" s="255"/>
      <c r="BG64" s="246" t="str">
        <f t="shared" si="28"/>
        <v/>
      </c>
      <c r="BH64" s="97"/>
      <c r="BI64" s="255"/>
      <c r="BJ64" s="255"/>
      <c r="BK64" s="246" t="str">
        <f t="shared" si="29"/>
        <v/>
      </c>
      <c r="BL64" s="97"/>
      <c r="BM64" s="255"/>
      <c r="BN64" s="255"/>
      <c r="BO64" s="246" t="str">
        <f t="shared" si="30"/>
        <v/>
      </c>
      <c r="BP64" s="97"/>
      <c r="BQ64" s="255"/>
      <c r="BR64" s="255"/>
      <c r="BS64" s="246" t="str">
        <f t="shared" si="31"/>
        <v/>
      </c>
      <c r="BT64" s="97"/>
      <c r="BU64" s="255"/>
      <c r="BV64" s="255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5"/>
      <c r="O65" s="246" t="str">
        <f t="shared" si="17"/>
        <v/>
      </c>
      <c r="P65" s="97"/>
      <c r="Q65" s="255"/>
      <c r="R65" s="255"/>
      <c r="S65" s="246" t="str">
        <f t="shared" si="18"/>
        <v/>
      </c>
      <c r="T65" s="97"/>
      <c r="U65" s="255"/>
      <c r="V65" s="255"/>
      <c r="W65" s="246" t="str">
        <f t="shared" si="19"/>
        <v/>
      </c>
      <c r="X65" s="97"/>
      <c r="Y65" s="247"/>
      <c r="Z65" s="247"/>
      <c r="AA65" s="246" t="str">
        <f t="shared" si="20"/>
        <v/>
      </c>
      <c r="AB65" s="97"/>
      <c r="AC65" s="255"/>
      <c r="AD65" s="255"/>
      <c r="AE65" s="246" t="str">
        <f t="shared" si="21"/>
        <v/>
      </c>
      <c r="AF65" s="97"/>
      <c r="AG65" s="255"/>
      <c r="AH65" s="255"/>
      <c r="AI65" s="246" t="str">
        <f t="shared" si="22"/>
        <v/>
      </c>
      <c r="AJ65" s="97"/>
      <c r="AK65" s="255"/>
      <c r="AL65" s="255"/>
      <c r="AM65" s="246" t="str">
        <f t="shared" si="23"/>
        <v/>
      </c>
      <c r="AN65" s="97"/>
      <c r="AO65" s="255"/>
      <c r="AP65" s="255"/>
      <c r="AQ65" s="246" t="str">
        <f t="shared" si="24"/>
        <v/>
      </c>
      <c r="AR65" s="97"/>
      <c r="AS65" s="255"/>
      <c r="AT65" s="255"/>
      <c r="AU65" s="246" t="str">
        <f t="shared" si="25"/>
        <v/>
      </c>
      <c r="AV65" s="97"/>
      <c r="AW65" s="255"/>
      <c r="AX65" s="255"/>
      <c r="AY65" s="246" t="str">
        <f t="shared" si="26"/>
        <v/>
      </c>
      <c r="AZ65" s="97"/>
      <c r="BA65" s="255"/>
      <c r="BB65" s="255"/>
      <c r="BC65" s="246" t="str">
        <f t="shared" si="27"/>
        <v/>
      </c>
      <c r="BD65" s="97"/>
      <c r="BE65" s="255"/>
      <c r="BF65" s="255"/>
      <c r="BG65" s="246" t="str">
        <f t="shared" si="28"/>
        <v/>
      </c>
      <c r="BH65" s="97"/>
      <c r="BI65" s="255"/>
      <c r="BJ65" s="255"/>
      <c r="BK65" s="246" t="str">
        <f t="shared" si="29"/>
        <v/>
      </c>
      <c r="BL65" s="97"/>
      <c r="BM65" s="255"/>
      <c r="BN65" s="255"/>
      <c r="BO65" s="246" t="str">
        <f t="shared" si="30"/>
        <v/>
      </c>
      <c r="BP65" s="97"/>
      <c r="BQ65" s="255"/>
      <c r="BR65" s="255"/>
      <c r="BS65" s="246" t="str">
        <f t="shared" si="31"/>
        <v/>
      </c>
      <c r="BT65" s="97"/>
      <c r="BU65" s="255"/>
      <c r="BV65" s="255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5"/>
      <c r="O66" s="246" t="str">
        <f t="shared" si="17"/>
        <v/>
      </c>
      <c r="P66" s="97"/>
      <c r="Q66" s="255"/>
      <c r="R66" s="255"/>
      <c r="S66" s="246" t="str">
        <f t="shared" si="18"/>
        <v/>
      </c>
      <c r="T66" s="97"/>
      <c r="U66" s="255"/>
      <c r="V66" s="255"/>
      <c r="W66" s="246" t="str">
        <f t="shared" si="19"/>
        <v/>
      </c>
      <c r="X66" s="97"/>
      <c r="Y66" s="247"/>
      <c r="Z66" s="247"/>
      <c r="AA66" s="246" t="str">
        <f t="shared" si="20"/>
        <v/>
      </c>
      <c r="AB66" s="97"/>
      <c r="AC66" s="255"/>
      <c r="AD66" s="255"/>
      <c r="AE66" s="246" t="str">
        <f t="shared" si="21"/>
        <v/>
      </c>
      <c r="AF66" s="97"/>
      <c r="AG66" s="255"/>
      <c r="AH66" s="255"/>
      <c r="AI66" s="246" t="str">
        <f t="shared" si="22"/>
        <v/>
      </c>
      <c r="AJ66" s="97"/>
      <c r="AK66" s="255"/>
      <c r="AL66" s="255"/>
      <c r="AM66" s="246" t="str">
        <f t="shared" si="23"/>
        <v/>
      </c>
      <c r="AN66" s="97"/>
      <c r="AO66" s="255"/>
      <c r="AP66" s="255"/>
      <c r="AQ66" s="246" t="str">
        <f t="shared" si="24"/>
        <v/>
      </c>
      <c r="AR66" s="97"/>
      <c r="AS66" s="255"/>
      <c r="AT66" s="255"/>
      <c r="AU66" s="246" t="str">
        <f t="shared" si="25"/>
        <v/>
      </c>
      <c r="AV66" s="97"/>
      <c r="AW66" s="255"/>
      <c r="AX66" s="255"/>
      <c r="AY66" s="246" t="str">
        <f t="shared" si="26"/>
        <v/>
      </c>
      <c r="AZ66" s="97"/>
      <c r="BA66" s="255"/>
      <c r="BB66" s="255"/>
      <c r="BC66" s="246" t="str">
        <f t="shared" si="27"/>
        <v/>
      </c>
      <c r="BD66" s="97"/>
      <c r="BE66" s="255"/>
      <c r="BF66" s="255"/>
      <c r="BG66" s="246" t="str">
        <f t="shared" si="28"/>
        <v/>
      </c>
      <c r="BH66" s="97"/>
      <c r="BI66" s="255"/>
      <c r="BJ66" s="255"/>
      <c r="BK66" s="246" t="str">
        <f t="shared" si="29"/>
        <v/>
      </c>
      <c r="BL66" s="97"/>
      <c r="BM66" s="255"/>
      <c r="BN66" s="255"/>
      <c r="BO66" s="246" t="str">
        <f t="shared" si="30"/>
        <v/>
      </c>
      <c r="BP66" s="97"/>
      <c r="BQ66" s="255"/>
      <c r="BR66" s="255"/>
      <c r="BS66" s="246" t="str">
        <f t="shared" si="31"/>
        <v/>
      </c>
      <c r="BT66" s="97"/>
      <c r="BU66" s="255"/>
      <c r="BV66" s="255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5"/>
      <c r="O67" s="246" t="str">
        <f t="shared" si="17"/>
        <v/>
      </c>
      <c r="P67" s="97"/>
      <c r="Q67" s="255"/>
      <c r="R67" s="255"/>
      <c r="S67" s="246" t="str">
        <f t="shared" si="18"/>
        <v/>
      </c>
      <c r="T67" s="97"/>
      <c r="U67" s="255"/>
      <c r="V67" s="255"/>
      <c r="W67" s="246" t="str">
        <f t="shared" si="19"/>
        <v/>
      </c>
      <c r="X67" s="97"/>
      <c r="Y67" s="247"/>
      <c r="Z67" s="247"/>
      <c r="AA67" s="246" t="str">
        <f t="shared" si="20"/>
        <v/>
      </c>
      <c r="AB67" s="97"/>
      <c r="AC67" s="255"/>
      <c r="AD67" s="255"/>
      <c r="AE67" s="246" t="str">
        <f t="shared" si="21"/>
        <v/>
      </c>
      <c r="AF67" s="97"/>
      <c r="AG67" s="255"/>
      <c r="AH67" s="255"/>
      <c r="AI67" s="246" t="str">
        <f t="shared" si="22"/>
        <v/>
      </c>
      <c r="AJ67" s="97"/>
      <c r="AK67" s="255"/>
      <c r="AL67" s="255"/>
      <c r="AM67" s="246" t="str">
        <f t="shared" si="23"/>
        <v/>
      </c>
      <c r="AN67" s="97"/>
      <c r="AO67" s="255"/>
      <c r="AP67" s="255"/>
      <c r="AQ67" s="246" t="str">
        <f t="shared" si="24"/>
        <v/>
      </c>
      <c r="AR67" s="97"/>
      <c r="AS67" s="255"/>
      <c r="AT67" s="255"/>
      <c r="AU67" s="246" t="str">
        <f t="shared" si="25"/>
        <v/>
      </c>
      <c r="AV67" s="97"/>
      <c r="AW67" s="255"/>
      <c r="AX67" s="255"/>
      <c r="AY67" s="246" t="str">
        <f t="shared" si="26"/>
        <v/>
      </c>
      <c r="AZ67" s="97"/>
      <c r="BA67" s="255"/>
      <c r="BB67" s="255"/>
      <c r="BC67" s="246" t="str">
        <f t="shared" si="27"/>
        <v/>
      </c>
      <c r="BD67" s="97"/>
      <c r="BE67" s="255"/>
      <c r="BF67" s="255"/>
      <c r="BG67" s="246" t="str">
        <f t="shared" si="28"/>
        <v/>
      </c>
      <c r="BH67" s="97"/>
      <c r="BI67" s="255"/>
      <c r="BJ67" s="255"/>
      <c r="BK67" s="246" t="str">
        <f t="shared" si="29"/>
        <v/>
      </c>
      <c r="BL67" s="97"/>
      <c r="BM67" s="255"/>
      <c r="BN67" s="255"/>
      <c r="BO67" s="246" t="str">
        <f t="shared" si="30"/>
        <v/>
      </c>
      <c r="BP67" s="97"/>
      <c r="BQ67" s="255"/>
      <c r="BR67" s="255"/>
      <c r="BS67" s="246" t="str">
        <f t="shared" si="31"/>
        <v/>
      </c>
      <c r="BT67" s="97"/>
      <c r="BU67" s="255"/>
      <c r="BV67" s="255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5"/>
      <c r="O68" s="246" t="str">
        <f t="shared" si="17"/>
        <v/>
      </c>
      <c r="P68" s="97"/>
      <c r="Q68" s="255"/>
      <c r="R68" s="255"/>
      <c r="S68" s="246" t="str">
        <f t="shared" si="18"/>
        <v/>
      </c>
      <c r="T68" s="97"/>
      <c r="U68" s="255"/>
      <c r="V68" s="255"/>
      <c r="W68" s="246" t="str">
        <f t="shared" si="19"/>
        <v/>
      </c>
      <c r="X68" s="97"/>
      <c r="Y68" s="247"/>
      <c r="Z68" s="247"/>
      <c r="AA68" s="246" t="str">
        <f t="shared" si="20"/>
        <v/>
      </c>
      <c r="AB68" s="97"/>
      <c r="AC68" s="255"/>
      <c r="AD68" s="255"/>
      <c r="AE68" s="246" t="str">
        <f t="shared" si="21"/>
        <v/>
      </c>
      <c r="AF68" s="97"/>
      <c r="AG68" s="255"/>
      <c r="AH68" s="255"/>
      <c r="AI68" s="246" t="str">
        <f t="shared" si="22"/>
        <v/>
      </c>
      <c r="AJ68" s="97"/>
      <c r="AK68" s="255"/>
      <c r="AL68" s="255"/>
      <c r="AM68" s="246" t="str">
        <f t="shared" si="23"/>
        <v/>
      </c>
      <c r="AN68" s="97"/>
      <c r="AO68" s="255"/>
      <c r="AP68" s="255"/>
      <c r="AQ68" s="246" t="str">
        <f t="shared" si="24"/>
        <v/>
      </c>
      <c r="AR68" s="97"/>
      <c r="AS68" s="255"/>
      <c r="AT68" s="255"/>
      <c r="AU68" s="246" t="str">
        <f t="shared" si="25"/>
        <v/>
      </c>
      <c r="AV68" s="97"/>
      <c r="AW68" s="255"/>
      <c r="AX68" s="255"/>
      <c r="AY68" s="246" t="str">
        <f t="shared" si="26"/>
        <v/>
      </c>
      <c r="AZ68" s="97"/>
      <c r="BA68" s="255"/>
      <c r="BB68" s="255"/>
      <c r="BC68" s="246" t="str">
        <f t="shared" si="27"/>
        <v/>
      </c>
      <c r="BD68" s="97"/>
      <c r="BE68" s="255"/>
      <c r="BF68" s="255"/>
      <c r="BG68" s="246" t="str">
        <f t="shared" si="28"/>
        <v/>
      </c>
      <c r="BH68" s="97"/>
      <c r="BI68" s="255"/>
      <c r="BJ68" s="255"/>
      <c r="BK68" s="246" t="str">
        <f t="shared" si="29"/>
        <v/>
      </c>
      <c r="BL68" s="97"/>
      <c r="BM68" s="255"/>
      <c r="BN68" s="255"/>
      <c r="BO68" s="246" t="str">
        <f t="shared" si="30"/>
        <v/>
      </c>
      <c r="BP68" s="97"/>
      <c r="BQ68" s="255"/>
      <c r="BR68" s="255"/>
      <c r="BS68" s="246" t="str">
        <f t="shared" si="31"/>
        <v/>
      </c>
      <c r="BT68" s="97"/>
      <c r="BU68" s="255"/>
      <c r="BV68" s="255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5"/>
      <c r="O69" s="246" t="str">
        <f t="shared" si="17"/>
        <v/>
      </c>
      <c r="P69" s="97"/>
      <c r="Q69" s="255"/>
      <c r="R69" s="255"/>
      <c r="S69" s="246" t="str">
        <f t="shared" si="18"/>
        <v/>
      </c>
      <c r="T69" s="97"/>
      <c r="U69" s="255"/>
      <c r="V69" s="255"/>
      <c r="W69" s="246" t="str">
        <f t="shared" si="19"/>
        <v/>
      </c>
      <c r="X69" s="97"/>
      <c r="Y69" s="247"/>
      <c r="Z69" s="247"/>
      <c r="AA69" s="246" t="str">
        <f t="shared" si="20"/>
        <v/>
      </c>
      <c r="AB69" s="97"/>
      <c r="AC69" s="255"/>
      <c r="AD69" s="255"/>
      <c r="AE69" s="246" t="str">
        <f t="shared" si="21"/>
        <v/>
      </c>
      <c r="AF69" s="97"/>
      <c r="AG69" s="255"/>
      <c r="AH69" s="255"/>
      <c r="AI69" s="246" t="str">
        <f t="shared" si="22"/>
        <v/>
      </c>
      <c r="AJ69" s="97"/>
      <c r="AK69" s="255"/>
      <c r="AL69" s="255"/>
      <c r="AM69" s="246" t="str">
        <f t="shared" si="23"/>
        <v/>
      </c>
      <c r="AN69" s="97"/>
      <c r="AO69" s="255"/>
      <c r="AP69" s="255"/>
      <c r="AQ69" s="246" t="str">
        <f t="shared" si="24"/>
        <v/>
      </c>
      <c r="AR69" s="97"/>
      <c r="AS69" s="255"/>
      <c r="AT69" s="255"/>
      <c r="AU69" s="246" t="str">
        <f t="shared" si="25"/>
        <v/>
      </c>
      <c r="AV69" s="97"/>
      <c r="AW69" s="255"/>
      <c r="AX69" s="255"/>
      <c r="AY69" s="246" t="str">
        <f t="shared" si="26"/>
        <v/>
      </c>
      <c r="AZ69" s="97"/>
      <c r="BA69" s="255"/>
      <c r="BB69" s="255"/>
      <c r="BC69" s="246" t="str">
        <f t="shared" si="27"/>
        <v/>
      </c>
      <c r="BD69" s="97"/>
      <c r="BE69" s="255"/>
      <c r="BF69" s="255"/>
      <c r="BG69" s="246" t="str">
        <f t="shared" si="28"/>
        <v/>
      </c>
      <c r="BH69" s="97"/>
      <c r="BI69" s="255"/>
      <c r="BJ69" s="255"/>
      <c r="BK69" s="246" t="str">
        <f t="shared" si="29"/>
        <v/>
      </c>
      <c r="BL69" s="97"/>
      <c r="BM69" s="255"/>
      <c r="BN69" s="255"/>
      <c r="BO69" s="246" t="str">
        <f t="shared" si="30"/>
        <v/>
      </c>
      <c r="BP69" s="97"/>
      <c r="BQ69" s="255"/>
      <c r="BR69" s="255"/>
      <c r="BS69" s="246" t="str">
        <f t="shared" si="31"/>
        <v/>
      </c>
      <c r="BT69" s="97"/>
      <c r="BU69" s="255"/>
      <c r="BV69" s="255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5"/>
      <c r="O70" s="246" t="str">
        <f t="shared" si="17"/>
        <v/>
      </c>
      <c r="P70" s="97"/>
      <c r="Q70" s="255"/>
      <c r="R70" s="255"/>
      <c r="S70" s="246" t="str">
        <f t="shared" si="18"/>
        <v/>
      </c>
      <c r="T70" s="97"/>
      <c r="U70" s="255"/>
      <c r="V70" s="255"/>
      <c r="W70" s="246" t="str">
        <f t="shared" si="19"/>
        <v/>
      </c>
      <c r="X70" s="97"/>
      <c r="Y70" s="247"/>
      <c r="Z70" s="247"/>
      <c r="AA70" s="246" t="str">
        <f t="shared" si="20"/>
        <v/>
      </c>
      <c r="AB70" s="97"/>
      <c r="AC70" s="255"/>
      <c r="AD70" s="255"/>
      <c r="AE70" s="246" t="str">
        <f t="shared" si="21"/>
        <v/>
      </c>
      <c r="AF70" s="97"/>
      <c r="AG70" s="255"/>
      <c r="AH70" s="255"/>
      <c r="AI70" s="246" t="str">
        <f t="shared" si="22"/>
        <v/>
      </c>
      <c r="AJ70" s="97"/>
      <c r="AK70" s="255"/>
      <c r="AL70" s="255"/>
      <c r="AM70" s="246" t="str">
        <f t="shared" si="23"/>
        <v/>
      </c>
      <c r="AN70" s="97"/>
      <c r="AO70" s="255"/>
      <c r="AP70" s="255"/>
      <c r="AQ70" s="246" t="str">
        <f t="shared" si="24"/>
        <v/>
      </c>
      <c r="AR70" s="97"/>
      <c r="AS70" s="255"/>
      <c r="AT70" s="255"/>
      <c r="AU70" s="246" t="str">
        <f t="shared" si="25"/>
        <v/>
      </c>
      <c r="AV70" s="97"/>
      <c r="AW70" s="255"/>
      <c r="AX70" s="255"/>
      <c r="AY70" s="246" t="str">
        <f t="shared" si="26"/>
        <v/>
      </c>
      <c r="AZ70" s="97"/>
      <c r="BA70" s="255"/>
      <c r="BB70" s="255"/>
      <c r="BC70" s="246" t="str">
        <f t="shared" si="27"/>
        <v/>
      </c>
      <c r="BD70" s="97"/>
      <c r="BE70" s="255"/>
      <c r="BF70" s="255"/>
      <c r="BG70" s="246" t="str">
        <f t="shared" si="28"/>
        <v/>
      </c>
      <c r="BH70" s="97"/>
      <c r="BI70" s="255"/>
      <c r="BJ70" s="255"/>
      <c r="BK70" s="246" t="str">
        <f t="shared" si="29"/>
        <v/>
      </c>
      <c r="BL70" s="97"/>
      <c r="BM70" s="255"/>
      <c r="BN70" s="255"/>
      <c r="BO70" s="246" t="str">
        <f t="shared" si="30"/>
        <v/>
      </c>
      <c r="BP70" s="97"/>
      <c r="BQ70" s="255"/>
      <c r="BR70" s="255"/>
      <c r="BS70" s="246" t="str">
        <f t="shared" si="31"/>
        <v/>
      </c>
      <c r="BT70" s="97"/>
      <c r="BU70" s="255"/>
      <c r="BV70" s="255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5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5"/>
      <c r="R71" s="255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5"/>
      <c r="V71" s="255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47"/>
      <c r="Z71" s="247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5"/>
      <c r="AD71" s="255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5"/>
      <c r="AH71" s="255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5"/>
      <c r="AL71" s="255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5"/>
      <c r="AP71" s="255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5"/>
      <c r="AT71" s="255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5"/>
      <c r="AX71" s="255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5"/>
      <c r="BB71" s="255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5"/>
      <c r="BF71" s="255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5"/>
      <c r="BJ71" s="255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5"/>
      <c r="BN71" s="255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5"/>
      <c r="BR71" s="255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5"/>
      <c r="BV71" s="255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5"/>
      <c r="O72" s="246" t="str">
        <f t="shared" si="33"/>
        <v/>
      </c>
      <c r="P72" s="97"/>
      <c r="Q72" s="255"/>
      <c r="R72" s="255"/>
      <c r="S72" s="246" t="str">
        <f t="shared" si="34"/>
        <v/>
      </c>
      <c r="T72" s="97"/>
      <c r="U72" s="255"/>
      <c r="V72" s="255"/>
      <c r="W72" s="246" t="str">
        <f t="shared" si="35"/>
        <v/>
      </c>
      <c r="X72" s="97"/>
      <c r="Y72" s="247"/>
      <c r="Z72" s="247"/>
      <c r="AA72" s="246" t="str">
        <f t="shared" si="36"/>
        <v/>
      </c>
      <c r="AB72" s="97"/>
      <c r="AC72" s="255"/>
      <c r="AD72" s="255"/>
      <c r="AE72" s="246" t="str">
        <f t="shared" si="37"/>
        <v/>
      </c>
      <c r="AF72" s="97"/>
      <c r="AG72" s="255"/>
      <c r="AH72" s="255"/>
      <c r="AI72" s="246" t="str">
        <f t="shared" si="38"/>
        <v/>
      </c>
      <c r="AJ72" s="97"/>
      <c r="AK72" s="255"/>
      <c r="AL72" s="255"/>
      <c r="AM72" s="246" t="str">
        <f t="shared" si="39"/>
        <v/>
      </c>
      <c r="AN72" s="97"/>
      <c r="AO72" s="255"/>
      <c r="AP72" s="255"/>
      <c r="AQ72" s="246" t="str">
        <f t="shared" si="40"/>
        <v/>
      </c>
      <c r="AR72" s="97"/>
      <c r="AS72" s="255"/>
      <c r="AT72" s="255"/>
      <c r="AU72" s="246" t="str">
        <f t="shared" si="41"/>
        <v/>
      </c>
      <c r="AV72" s="97"/>
      <c r="AW72" s="255"/>
      <c r="AX72" s="255"/>
      <c r="AY72" s="246" t="str">
        <f t="shared" si="42"/>
        <v/>
      </c>
      <c r="AZ72" s="97"/>
      <c r="BA72" s="255"/>
      <c r="BB72" s="255"/>
      <c r="BC72" s="246" t="str">
        <f t="shared" si="43"/>
        <v/>
      </c>
      <c r="BD72" s="97"/>
      <c r="BE72" s="255"/>
      <c r="BF72" s="255"/>
      <c r="BG72" s="246" t="str">
        <f t="shared" si="44"/>
        <v/>
      </c>
      <c r="BH72" s="97"/>
      <c r="BI72" s="255"/>
      <c r="BJ72" s="255"/>
      <c r="BK72" s="246" t="str">
        <f t="shared" si="45"/>
        <v/>
      </c>
      <c r="BL72" s="97"/>
      <c r="BM72" s="255"/>
      <c r="BN72" s="255"/>
      <c r="BO72" s="246" t="str">
        <f t="shared" si="46"/>
        <v/>
      </c>
      <c r="BP72" s="97"/>
      <c r="BQ72" s="255"/>
      <c r="BR72" s="255"/>
      <c r="BS72" s="246" t="str">
        <f t="shared" si="47"/>
        <v/>
      </c>
      <c r="BT72" s="97"/>
      <c r="BU72" s="255"/>
      <c r="BV72" s="255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5"/>
      <c r="O73" s="246" t="str">
        <f t="shared" si="33"/>
        <v/>
      </c>
      <c r="P73" s="97"/>
      <c r="Q73" s="255"/>
      <c r="R73" s="255"/>
      <c r="S73" s="246" t="str">
        <f t="shared" si="34"/>
        <v/>
      </c>
      <c r="T73" s="97"/>
      <c r="U73" s="255"/>
      <c r="V73" s="255"/>
      <c r="W73" s="246" t="str">
        <f t="shared" si="35"/>
        <v/>
      </c>
      <c r="X73" s="97"/>
      <c r="Y73" s="247"/>
      <c r="Z73" s="247"/>
      <c r="AA73" s="246" t="str">
        <f t="shared" si="36"/>
        <v/>
      </c>
      <c r="AB73" s="97"/>
      <c r="AC73" s="255"/>
      <c r="AD73" s="255"/>
      <c r="AE73" s="246" t="str">
        <f t="shared" si="37"/>
        <v/>
      </c>
      <c r="AF73" s="97"/>
      <c r="AG73" s="255"/>
      <c r="AH73" s="255"/>
      <c r="AI73" s="246" t="str">
        <f t="shared" si="38"/>
        <v/>
      </c>
      <c r="AJ73" s="97"/>
      <c r="AK73" s="255"/>
      <c r="AL73" s="255"/>
      <c r="AM73" s="246" t="str">
        <f t="shared" si="39"/>
        <v/>
      </c>
      <c r="AN73" s="97"/>
      <c r="AO73" s="255"/>
      <c r="AP73" s="255"/>
      <c r="AQ73" s="246" t="str">
        <f t="shared" si="40"/>
        <v/>
      </c>
      <c r="AR73" s="97"/>
      <c r="AS73" s="255"/>
      <c r="AT73" s="255"/>
      <c r="AU73" s="246" t="str">
        <f t="shared" si="41"/>
        <v/>
      </c>
      <c r="AV73" s="97"/>
      <c r="AW73" s="255"/>
      <c r="AX73" s="255"/>
      <c r="AY73" s="246" t="str">
        <f t="shared" si="42"/>
        <v/>
      </c>
      <c r="AZ73" s="97"/>
      <c r="BA73" s="255"/>
      <c r="BB73" s="255"/>
      <c r="BC73" s="246" t="str">
        <f t="shared" si="43"/>
        <v/>
      </c>
      <c r="BD73" s="97"/>
      <c r="BE73" s="255"/>
      <c r="BF73" s="255"/>
      <c r="BG73" s="246" t="str">
        <f t="shared" si="44"/>
        <v/>
      </c>
      <c r="BH73" s="97"/>
      <c r="BI73" s="255"/>
      <c r="BJ73" s="255"/>
      <c r="BK73" s="246" t="str">
        <f t="shared" si="45"/>
        <v/>
      </c>
      <c r="BL73" s="97"/>
      <c r="BM73" s="255"/>
      <c r="BN73" s="255"/>
      <c r="BO73" s="246" t="str">
        <f t="shared" si="46"/>
        <v/>
      </c>
      <c r="BP73" s="97"/>
      <c r="BQ73" s="255"/>
      <c r="BR73" s="255"/>
      <c r="BS73" s="246" t="str">
        <f t="shared" si="47"/>
        <v/>
      </c>
      <c r="BT73" s="97"/>
      <c r="BU73" s="255"/>
      <c r="BV73" s="255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5"/>
      <c r="O74" s="246" t="str">
        <f t="shared" si="33"/>
        <v/>
      </c>
      <c r="P74" s="97"/>
      <c r="Q74" s="255"/>
      <c r="R74" s="255"/>
      <c r="S74" s="246" t="str">
        <f t="shared" si="34"/>
        <v/>
      </c>
      <c r="T74" s="97"/>
      <c r="U74" s="255"/>
      <c r="V74" s="255"/>
      <c r="W74" s="246" t="str">
        <f t="shared" si="35"/>
        <v/>
      </c>
      <c r="X74" s="97"/>
      <c r="Y74" s="247"/>
      <c r="Z74" s="247"/>
      <c r="AA74" s="246" t="str">
        <f t="shared" si="36"/>
        <v/>
      </c>
      <c r="AB74" s="97"/>
      <c r="AC74" s="255"/>
      <c r="AD74" s="255"/>
      <c r="AE74" s="246" t="str">
        <f t="shared" si="37"/>
        <v/>
      </c>
      <c r="AF74" s="97"/>
      <c r="AG74" s="255"/>
      <c r="AH74" s="255"/>
      <c r="AI74" s="246" t="str">
        <f t="shared" si="38"/>
        <v/>
      </c>
      <c r="AJ74" s="97"/>
      <c r="AK74" s="255"/>
      <c r="AL74" s="255"/>
      <c r="AM74" s="246" t="str">
        <f t="shared" si="39"/>
        <v/>
      </c>
      <c r="AN74" s="97"/>
      <c r="AO74" s="255"/>
      <c r="AP74" s="255"/>
      <c r="AQ74" s="246" t="str">
        <f t="shared" si="40"/>
        <v/>
      </c>
      <c r="AR74" s="97"/>
      <c r="AS74" s="255"/>
      <c r="AT74" s="255"/>
      <c r="AU74" s="246" t="str">
        <f t="shared" si="41"/>
        <v/>
      </c>
      <c r="AV74" s="97"/>
      <c r="AW74" s="255"/>
      <c r="AX74" s="255"/>
      <c r="AY74" s="246" t="str">
        <f t="shared" si="42"/>
        <v/>
      </c>
      <c r="AZ74" s="97"/>
      <c r="BA74" s="255"/>
      <c r="BB74" s="255"/>
      <c r="BC74" s="246" t="str">
        <f t="shared" si="43"/>
        <v/>
      </c>
      <c r="BD74" s="97"/>
      <c r="BE74" s="255"/>
      <c r="BF74" s="255"/>
      <c r="BG74" s="246" t="str">
        <f t="shared" si="44"/>
        <v/>
      </c>
      <c r="BH74" s="97"/>
      <c r="BI74" s="255"/>
      <c r="BJ74" s="255"/>
      <c r="BK74" s="246" t="str">
        <f t="shared" si="45"/>
        <v/>
      </c>
      <c r="BL74" s="97"/>
      <c r="BM74" s="255"/>
      <c r="BN74" s="255"/>
      <c r="BO74" s="246" t="str">
        <f t="shared" si="46"/>
        <v/>
      </c>
      <c r="BP74" s="97"/>
      <c r="BQ74" s="255"/>
      <c r="BR74" s="255"/>
      <c r="BS74" s="246" t="str">
        <f t="shared" si="47"/>
        <v/>
      </c>
      <c r="BT74" s="97"/>
      <c r="BU74" s="255"/>
      <c r="BV74" s="255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5"/>
      <c r="O75" s="246" t="str">
        <f t="shared" si="33"/>
        <v/>
      </c>
      <c r="P75" s="97"/>
      <c r="Q75" s="255"/>
      <c r="R75" s="255"/>
      <c r="S75" s="246" t="str">
        <f t="shared" si="34"/>
        <v/>
      </c>
      <c r="T75" s="97"/>
      <c r="U75" s="255"/>
      <c r="V75" s="255"/>
      <c r="W75" s="246" t="str">
        <f t="shared" si="35"/>
        <v/>
      </c>
      <c r="X75" s="97"/>
      <c r="Y75" s="247"/>
      <c r="Z75" s="247"/>
      <c r="AA75" s="246" t="str">
        <f t="shared" si="36"/>
        <v/>
      </c>
      <c r="AB75" s="97"/>
      <c r="AC75" s="255"/>
      <c r="AD75" s="255"/>
      <c r="AE75" s="246" t="str">
        <f t="shared" si="37"/>
        <v/>
      </c>
      <c r="AF75" s="97"/>
      <c r="AG75" s="255"/>
      <c r="AH75" s="255"/>
      <c r="AI75" s="246" t="str">
        <f t="shared" si="38"/>
        <v/>
      </c>
      <c r="AJ75" s="97"/>
      <c r="AK75" s="255"/>
      <c r="AL75" s="255"/>
      <c r="AM75" s="246" t="str">
        <f t="shared" si="39"/>
        <v/>
      </c>
      <c r="AN75" s="97"/>
      <c r="AO75" s="255"/>
      <c r="AP75" s="255"/>
      <c r="AQ75" s="246" t="str">
        <f t="shared" si="40"/>
        <v/>
      </c>
      <c r="AR75" s="97"/>
      <c r="AS75" s="255"/>
      <c r="AT75" s="255"/>
      <c r="AU75" s="246" t="str">
        <f t="shared" si="41"/>
        <v/>
      </c>
      <c r="AV75" s="97"/>
      <c r="AW75" s="255"/>
      <c r="AX75" s="255"/>
      <c r="AY75" s="246" t="str">
        <f t="shared" si="42"/>
        <v/>
      </c>
      <c r="AZ75" s="97"/>
      <c r="BA75" s="255"/>
      <c r="BB75" s="255"/>
      <c r="BC75" s="246" t="str">
        <f t="shared" si="43"/>
        <v/>
      </c>
      <c r="BD75" s="97"/>
      <c r="BE75" s="255"/>
      <c r="BF75" s="255"/>
      <c r="BG75" s="246" t="str">
        <f t="shared" si="44"/>
        <v/>
      </c>
      <c r="BH75" s="97"/>
      <c r="BI75" s="255"/>
      <c r="BJ75" s="255"/>
      <c r="BK75" s="246" t="str">
        <f t="shared" si="45"/>
        <v/>
      </c>
      <c r="BL75" s="97"/>
      <c r="BM75" s="255"/>
      <c r="BN75" s="255"/>
      <c r="BO75" s="246" t="str">
        <f t="shared" si="46"/>
        <v/>
      </c>
      <c r="BP75" s="97"/>
      <c r="BQ75" s="255"/>
      <c r="BR75" s="255"/>
      <c r="BS75" s="246" t="str">
        <f t="shared" si="47"/>
        <v/>
      </c>
      <c r="BT75" s="97"/>
      <c r="BU75" s="255"/>
      <c r="BV75" s="255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5"/>
      <c r="O76" s="246" t="str">
        <f t="shared" si="33"/>
        <v/>
      </c>
      <c r="P76" s="97"/>
      <c r="Q76" s="255"/>
      <c r="R76" s="255"/>
      <c r="S76" s="246" t="str">
        <f t="shared" si="34"/>
        <v/>
      </c>
      <c r="T76" s="97"/>
      <c r="U76" s="255"/>
      <c r="V76" s="255"/>
      <c r="W76" s="246" t="str">
        <f t="shared" si="35"/>
        <v/>
      </c>
      <c r="X76" s="97"/>
      <c r="Y76" s="247"/>
      <c r="Z76" s="247"/>
      <c r="AA76" s="246" t="str">
        <f t="shared" si="36"/>
        <v/>
      </c>
      <c r="AB76" s="97"/>
      <c r="AC76" s="255"/>
      <c r="AD76" s="255"/>
      <c r="AE76" s="246" t="str">
        <f t="shared" si="37"/>
        <v/>
      </c>
      <c r="AF76" s="97"/>
      <c r="AG76" s="255"/>
      <c r="AH76" s="255"/>
      <c r="AI76" s="246" t="str">
        <f t="shared" si="38"/>
        <v/>
      </c>
      <c r="AJ76" s="97"/>
      <c r="AK76" s="255"/>
      <c r="AL76" s="255"/>
      <c r="AM76" s="246" t="str">
        <f t="shared" si="39"/>
        <v/>
      </c>
      <c r="AN76" s="97"/>
      <c r="AO76" s="255"/>
      <c r="AP76" s="255"/>
      <c r="AQ76" s="246" t="str">
        <f t="shared" si="40"/>
        <v/>
      </c>
      <c r="AR76" s="97"/>
      <c r="AS76" s="255"/>
      <c r="AT76" s="255"/>
      <c r="AU76" s="246" t="str">
        <f t="shared" si="41"/>
        <v/>
      </c>
      <c r="AV76" s="97"/>
      <c r="AW76" s="255"/>
      <c r="AX76" s="255"/>
      <c r="AY76" s="246" t="str">
        <f t="shared" si="42"/>
        <v/>
      </c>
      <c r="AZ76" s="97"/>
      <c r="BA76" s="255"/>
      <c r="BB76" s="255"/>
      <c r="BC76" s="246" t="str">
        <f t="shared" si="43"/>
        <v/>
      </c>
      <c r="BD76" s="97"/>
      <c r="BE76" s="255"/>
      <c r="BF76" s="255"/>
      <c r="BG76" s="246" t="str">
        <f t="shared" si="44"/>
        <v/>
      </c>
      <c r="BH76" s="97"/>
      <c r="BI76" s="255"/>
      <c r="BJ76" s="255"/>
      <c r="BK76" s="246" t="str">
        <f t="shared" si="45"/>
        <v/>
      </c>
      <c r="BL76" s="97"/>
      <c r="BM76" s="255"/>
      <c r="BN76" s="255"/>
      <c r="BO76" s="246" t="str">
        <f t="shared" si="46"/>
        <v/>
      </c>
      <c r="BP76" s="97"/>
      <c r="BQ76" s="255"/>
      <c r="BR76" s="255"/>
      <c r="BS76" s="246" t="str">
        <f t="shared" si="47"/>
        <v/>
      </c>
      <c r="BT76" s="97"/>
      <c r="BU76" s="255"/>
      <c r="BV76" s="255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5"/>
      <c r="O77" s="246" t="str">
        <f t="shared" si="33"/>
        <v/>
      </c>
      <c r="P77" s="97"/>
      <c r="Q77" s="255"/>
      <c r="R77" s="255"/>
      <c r="S77" s="246" t="str">
        <f t="shared" si="34"/>
        <v/>
      </c>
      <c r="T77" s="97"/>
      <c r="U77" s="255"/>
      <c r="V77" s="255"/>
      <c r="W77" s="246" t="str">
        <f t="shared" si="35"/>
        <v/>
      </c>
      <c r="X77" s="97"/>
      <c r="Y77" s="247"/>
      <c r="Z77" s="247"/>
      <c r="AA77" s="246" t="str">
        <f t="shared" si="36"/>
        <v/>
      </c>
      <c r="AB77" s="97"/>
      <c r="AC77" s="255"/>
      <c r="AD77" s="255"/>
      <c r="AE77" s="246" t="str">
        <f t="shared" si="37"/>
        <v/>
      </c>
      <c r="AF77" s="97"/>
      <c r="AG77" s="255"/>
      <c r="AH77" s="255"/>
      <c r="AI77" s="246" t="str">
        <f t="shared" si="38"/>
        <v/>
      </c>
      <c r="AJ77" s="97"/>
      <c r="AK77" s="255"/>
      <c r="AL77" s="255"/>
      <c r="AM77" s="246" t="str">
        <f t="shared" si="39"/>
        <v/>
      </c>
      <c r="AN77" s="97"/>
      <c r="AO77" s="255"/>
      <c r="AP77" s="255"/>
      <c r="AQ77" s="246" t="str">
        <f t="shared" si="40"/>
        <v/>
      </c>
      <c r="AR77" s="97"/>
      <c r="AS77" s="255"/>
      <c r="AT77" s="255"/>
      <c r="AU77" s="246" t="str">
        <f t="shared" si="41"/>
        <v/>
      </c>
      <c r="AV77" s="97"/>
      <c r="AW77" s="255"/>
      <c r="AX77" s="255"/>
      <c r="AY77" s="246" t="str">
        <f t="shared" si="42"/>
        <v/>
      </c>
      <c r="AZ77" s="97"/>
      <c r="BA77" s="255"/>
      <c r="BB77" s="255"/>
      <c r="BC77" s="246" t="str">
        <f t="shared" si="43"/>
        <v/>
      </c>
      <c r="BD77" s="97"/>
      <c r="BE77" s="255"/>
      <c r="BF77" s="255"/>
      <c r="BG77" s="246" t="str">
        <f t="shared" si="44"/>
        <v/>
      </c>
      <c r="BH77" s="97"/>
      <c r="BI77" s="255"/>
      <c r="BJ77" s="255"/>
      <c r="BK77" s="246" t="str">
        <f t="shared" si="45"/>
        <v/>
      </c>
      <c r="BL77" s="97"/>
      <c r="BM77" s="255"/>
      <c r="BN77" s="255"/>
      <c r="BO77" s="246" t="str">
        <f t="shared" si="46"/>
        <v/>
      </c>
      <c r="BP77" s="97"/>
      <c r="BQ77" s="255"/>
      <c r="BR77" s="255"/>
      <c r="BS77" s="246" t="str">
        <f t="shared" si="47"/>
        <v/>
      </c>
      <c r="BT77" s="97"/>
      <c r="BU77" s="255"/>
      <c r="BV77" s="255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5"/>
      <c r="O78" s="246" t="str">
        <f t="shared" si="33"/>
        <v/>
      </c>
      <c r="P78" s="97"/>
      <c r="Q78" s="255"/>
      <c r="R78" s="255"/>
      <c r="S78" s="246" t="str">
        <f t="shared" si="34"/>
        <v/>
      </c>
      <c r="T78" s="97"/>
      <c r="U78" s="255"/>
      <c r="V78" s="255"/>
      <c r="W78" s="246" t="str">
        <f t="shared" si="35"/>
        <v/>
      </c>
      <c r="X78" s="97"/>
      <c r="Y78" s="247"/>
      <c r="Z78" s="247"/>
      <c r="AA78" s="246" t="str">
        <f t="shared" si="36"/>
        <v/>
      </c>
      <c r="AB78" s="97"/>
      <c r="AC78" s="255"/>
      <c r="AD78" s="255"/>
      <c r="AE78" s="246" t="str">
        <f t="shared" si="37"/>
        <v/>
      </c>
      <c r="AF78" s="97"/>
      <c r="AG78" s="255"/>
      <c r="AH78" s="255"/>
      <c r="AI78" s="246" t="str">
        <f t="shared" si="38"/>
        <v/>
      </c>
      <c r="AJ78" s="97"/>
      <c r="AK78" s="255"/>
      <c r="AL78" s="255"/>
      <c r="AM78" s="246" t="str">
        <f t="shared" si="39"/>
        <v/>
      </c>
      <c r="AN78" s="97"/>
      <c r="AO78" s="255"/>
      <c r="AP78" s="255"/>
      <c r="AQ78" s="246" t="str">
        <f t="shared" si="40"/>
        <v/>
      </c>
      <c r="AR78" s="97"/>
      <c r="AS78" s="255"/>
      <c r="AT78" s="255"/>
      <c r="AU78" s="246" t="str">
        <f t="shared" si="41"/>
        <v/>
      </c>
      <c r="AV78" s="97"/>
      <c r="AW78" s="255"/>
      <c r="AX78" s="255"/>
      <c r="AY78" s="246" t="str">
        <f t="shared" si="42"/>
        <v/>
      </c>
      <c r="AZ78" s="97"/>
      <c r="BA78" s="255"/>
      <c r="BB78" s="255"/>
      <c r="BC78" s="246" t="str">
        <f t="shared" si="43"/>
        <v/>
      </c>
      <c r="BD78" s="97"/>
      <c r="BE78" s="255"/>
      <c r="BF78" s="255"/>
      <c r="BG78" s="246" t="str">
        <f t="shared" si="44"/>
        <v/>
      </c>
      <c r="BH78" s="97"/>
      <c r="BI78" s="255"/>
      <c r="BJ78" s="255"/>
      <c r="BK78" s="246" t="str">
        <f t="shared" si="45"/>
        <v/>
      </c>
      <c r="BL78" s="97"/>
      <c r="BM78" s="255"/>
      <c r="BN78" s="255"/>
      <c r="BO78" s="246" t="str">
        <f t="shared" si="46"/>
        <v/>
      </c>
      <c r="BP78" s="97"/>
      <c r="BQ78" s="255"/>
      <c r="BR78" s="255"/>
      <c r="BS78" s="246" t="str">
        <f t="shared" si="47"/>
        <v/>
      </c>
      <c r="BT78" s="97"/>
      <c r="BU78" s="255"/>
      <c r="BV78" s="255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5"/>
      <c r="O79" s="246" t="str">
        <f t="shared" si="33"/>
        <v/>
      </c>
      <c r="P79" s="97"/>
      <c r="Q79" s="255"/>
      <c r="R79" s="255"/>
      <c r="S79" s="246" t="str">
        <f t="shared" si="34"/>
        <v/>
      </c>
      <c r="T79" s="97"/>
      <c r="U79" s="255"/>
      <c r="V79" s="255"/>
      <c r="W79" s="246" t="str">
        <f t="shared" si="35"/>
        <v/>
      </c>
      <c r="X79" s="97"/>
      <c r="Y79" s="247"/>
      <c r="Z79" s="247"/>
      <c r="AA79" s="246" t="str">
        <f t="shared" si="36"/>
        <v/>
      </c>
      <c r="AB79" s="97"/>
      <c r="AC79" s="255"/>
      <c r="AD79" s="255"/>
      <c r="AE79" s="246" t="str">
        <f t="shared" si="37"/>
        <v/>
      </c>
      <c r="AF79" s="97"/>
      <c r="AG79" s="255"/>
      <c r="AH79" s="255"/>
      <c r="AI79" s="246" t="str">
        <f t="shared" si="38"/>
        <v/>
      </c>
      <c r="AJ79" s="97"/>
      <c r="AK79" s="255"/>
      <c r="AL79" s="255"/>
      <c r="AM79" s="246" t="str">
        <f t="shared" si="39"/>
        <v/>
      </c>
      <c r="AN79" s="97"/>
      <c r="AO79" s="255"/>
      <c r="AP79" s="255"/>
      <c r="AQ79" s="246" t="str">
        <f t="shared" si="40"/>
        <v/>
      </c>
      <c r="AR79" s="97"/>
      <c r="AS79" s="255"/>
      <c r="AT79" s="255"/>
      <c r="AU79" s="246" t="str">
        <f t="shared" si="41"/>
        <v/>
      </c>
      <c r="AV79" s="97"/>
      <c r="AW79" s="255"/>
      <c r="AX79" s="255"/>
      <c r="AY79" s="246" t="str">
        <f t="shared" si="42"/>
        <v/>
      </c>
      <c r="AZ79" s="97"/>
      <c r="BA79" s="255"/>
      <c r="BB79" s="255"/>
      <c r="BC79" s="246" t="str">
        <f t="shared" si="43"/>
        <v/>
      </c>
      <c r="BD79" s="97"/>
      <c r="BE79" s="255"/>
      <c r="BF79" s="255"/>
      <c r="BG79" s="246" t="str">
        <f t="shared" si="44"/>
        <v/>
      </c>
      <c r="BH79" s="97"/>
      <c r="BI79" s="255"/>
      <c r="BJ79" s="255"/>
      <c r="BK79" s="246" t="str">
        <f t="shared" si="45"/>
        <v/>
      </c>
      <c r="BL79" s="97"/>
      <c r="BM79" s="255"/>
      <c r="BN79" s="255"/>
      <c r="BO79" s="246" t="str">
        <f t="shared" si="46"/>
        <v/>
      </c>
      <c r="BP79" s="97"/>
      <c r="BQ79" s="255"/>
      <c r="BR79" s="255"/>
      <c r="BS79" s="246" t="str">
        <f t="shared" si="47"/>
        <v/>
      </c>
      <c r="BT79" s="97"/>
      <c r="BU79" s="255"/>
      <c r="BV79" s="255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5"/>
      <c r="O80" s="246" t="str">
        <f t="shared" si="33"/>
        <v/>
      </c>
      <c r="P80" s="97"/>
      <c r="Q80" s="255"/>
      <c r="R80" s="255"/>
      <c r="S80" s="246" t="str">
        <f t="shared" si="34"/>
        <v/>
      </c>
      <c r="T80" s="97"/>
      <c r="U80" s="255"/>
      <c r="V80" s="255"/>
      <c r="W80" s="246" t="str">
        <f t="shared" si="35"/>
        <v/>
      </c>
      <c r="X80" s="97"/>
      <c r="Y80" s="247"/>
      <c r="Z80" s="247"/>
      <c r="AA80" s="246" t="str">
        <f t="shared" si="36"/>
        <v/>
      </c>
      <c r="AB80" s="97"/>
      <c r="AC80" s="255"/>
      <c r="AD80" s="255"/>
      <c r="AE80" s="246" t="str">
        <f t="shared" si="37"/>
        <v/>
      </c>
      <c r="AF80" s="97"/>
      <c r="AG80" s="255"/>
      <c r="AH80" s="255"/>
      <c r="AI80" s="246" t="str">
        <f t="shared" si="38"/>
        <v/>
      </c>
      <c r="AJ80" s="97"/>
      <c r="AK80" s="255"/>
      <c r="AL80" s="255"/>
      <c r="AM80" s="246" t="str">
        <f t="shared" si="39"/>
        <v/>
      </c>
      <c r="AN80" s="97"/>
      <c r="AO80" s="255"/>
      <c r="AP80" s="255"/>
      <c r="AQ80" s="246" t="str">
        <f t="shared" si="40"/>
        <v/>
      </c>
      <c r="AR80" s="97"/>
      <c r="AS80" s="255"/>
      <c r="AT80" s="255"/>
      <c r="AU80" s="246" t="str">
        <f t="shared" si="41"/>
        <v/>
      </c>
      <c r="AV80" s="97"/>
      <c r="AW80" s="255"/>
      <c r="AX80" s="255"/>
      <c r="AY80" s="246" t="str">
        <f t="shared" si="42"/>
        <v/>
      </c>
      <c r="AZ80" s="97"/>
      <c r="BA80" s="255"/>
      <c r="BB80" s="255"/>
      <c r="BC80" s="246" t="str">
        <f t="shared" si="43"/>
        <v/>
      </c>
      <c r="BD80" s="97"/>
      <c r="BE80" s="255"/>
      <c r="BF80" s="255"/>
      <c r="BG80" s="246" t="str">
        <f t="shared" si="44"/>
        <v/>
      </c>
      <c r="BH80" s="97"/>
      <c r="BI80" s="255"/>
      <c r="BJ80" s="255"/>
      <c r="BK80" s="246" t="str">
        <f t="shared" si="45"/>
        <v/>
      </c>
      <c r="BL80" s="97"/>
      <c r="BM80" s="255"/>
      <c r="BN80" s="255"/>
      <c r="BO80" s="246" t="str">
        <f t="shared" si="46"/>
        <v/>
      </c>
      <c r="BP80" s="97"/>
      <c r="BQ80" s="255"/>
      <c r="BR80" s="255"/>
      <c r="BS80" s="246" t="str">
        <f t="shared" si="47"/>
        <v/>
      </c>
      <c r="BT80" s="97"/>
      <c r="BU80" s="255"/>
      <c r="BV80" s="255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5"/>
      <c r="O81" s="246" t="str">
        <f t="shared" si="33"/>
        <v/>
      </c>
      <c r="P81" s="97"/>
      <c r="Q81" s="255"/>
      <c r="R81" s="255"/>
      <c r="S81" s="246" t="str">
        <f t="shared" si="34"/>
        <v/>
      </c>
      <c r="T81" s="97"/>
      <c r="U81" s="255"/>
      <c r="V81" s="255"/>
      <c r="W81" s="246" t="str">
        <f t="shared" si="35"/>
        <v/>
      </c>
      <c r="X81" s="97"/>
      <c r="Y81" s="247"/>
      <c r="Z81" s="247"/>
      <c r="AA81" s="246" t="str">
        <f t="shared" si="36"/>
        <v/>
      </c>
      <c r="AB81" s="97"/>
      <c r="AC81" s="255"/>
      <c r="AD81" s="255"/>
      <c r="AE81" s="246" t="str">
        <f t="shared" si="37"/>
        <v/>
      </c>
      <c r="AF81" s="97"/>
      <c r="AG81" s="255"/>
      <c r="AH81" s="255"/>
      <c r="AI81" s="246" t="str">
        <f t="shared" si="38"/>
        <v/>
      </c>
      <c r="AJ81" s="97"/>
      <c r="AK81" s="255"/>
      <c r="AL81" s="255"/>
      <c r="AM81" s="246" t="str">
        <f t="shared" si="39"/>
        <v/>
      </c>
      <c r="AN81" s="97"/>
      <c r="AO81" s="255"/>
      <c r="AP81" s="255"/>
      <c r="AQ81" s="246" t="str">
        <f t="shared" si="40"/>
        <v/>
      </c>
      <c r="AR81" s="97"/>
      <c r="AS81" s="255"/>
      <c r="AT81" s="255"/>
      <c r="AU81" s="246" t="str">
        <f t="shared" si="41"/>
        <v/>
      </c>
      <c r="AV81" s="97"/>
      <c r="AW81" s="255"/>
      <c r="AX81" s="255"/>
      <c r="AY81" s="246" t="str">
        <f t="shared" si="42"/>
        <v/>
      </c>
      <c r="AZ81" s="97"/>
      <c r="BA81" s="255"/>
      <c r="BB81" s="255"/>
      <c r="BC81" s="246" t="str">
        <f t="shared" si="43"/>
        <v/>
      </c>
      <c r="BD81" s="97"/>
      <c r="BE81" s="255"/>
      <c r="BF81" s="255"/>
      <c r="BG81" s="246" t="str">
        <f t="shared" si="44"/>
        <v/>
      </c>
      <c r="BH81" s="97"/>
      <c r="BI81" s="255"/>
      <c r="BJ81" s="255"/>
      <c r="BK81" s="246" t="str">
        <f t="shared" si="45"/>
        <v/>
      </c>
      <c r="BL81" s="97"/>
      <c r="BM81" s="255"/>
      <c r="BN81" s="255"/>
      <c r="BO81" s="246" t="str">
        <f t="shared" si="46"/>
        <v/>
      </c>
      <c r="BP81" s="97"/>
      <c r="BQ81" s="255"/>
      <c r="BR81" s="255"/>
      <c r="BS81" s="246" t="str">
        <f t="shared" si="47"/>
        <v/>
      </c>
      <c r="BT81" s="97"/>
      <c r="BU81" s="255"/>
      <c r="BV81" s="255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5"/>
      <c r="O82" s="246" t="str">
        <f t="shared" si="33"/>
        <v/>
      </c>
      <c r="P82" s="97"/>
      <c r="Q82" s="255"/>
      <c r="R82" s="255"/>
      <c r="S82" s="246" t="str">
        <f t="shared" si="34"/>
        <v/>
      </c>
      <c r="T82" s="97"/>
      <c r="U82" s="255"/>
      <c r="V82" s="255"/>
      <c r="W82" s="246" t="str">
        <f t="shared" si="35"/>
        <v/>
      </c>
      <c r="X82" s="97"/>
      <c r="Y82" s="247"/>
      <c r="Z82" s="247"/>
      <c r="AA82" s="246" t="str">
        <f t="shared" si="36"/>
        <v/>
      </c>
      <c r="AB82" s="97"/>
      <c r="AC82" s="255"/>
      <c r="AD82" s="255"/>
      <c r="AE82" s="246" t="str">
        <f t="shared" si="37"/>
        <v/>
      </c>
      <c r="AF82" s="97"/>
      <c r="AG82" s="255"/>
      <c r="AH82" s="255"/>
      <c r="AI82" s="246" t="str">
        <f t="shared" si="38"/>
        <v/>
      </c>
      <c r="AJ82" s="97"/>
      <c r="AK82" s="255"/>
      <c r="AL82" s="255"/>
      <c r="AM82" s="246" t="str">
        <f t="shared" si="39"/>
        <v/>
      </c>
      <c r="AN82" s="97"/>
      <c r="AO82" s="255"/>
      <c r="AP82" s="255"/>
      <c r="AQ82" s="246" t="str">
        <f t="shared" si="40"/>
        <v/>
      </c>
      <c r="AR82" s="97"/>
      <c r="AS82" s="255"/>
      <c r="AT82" s="255"/>
      <c r="AU82" s="246" t="str">
        <f t="shared" si="41"/>
        <v/>
      </c>
      <c r="AV82" s="97"/>
      <c r="AW82" s="255"/>
      <c r="AX82" s="255"/>
      <c r="AY82" s="246" t="str">
        <f t="shared" si="42"/>
        <v/>
      </c>
      <c r="AZ82" s="97"/>
      <c r="BA82" s="255"/>
      <c r="BB82" s="255"/>
      <c r="BC82" s="246" t="str">
        <f t="shared" si="43"/>
        <v/>
      </c>
      <c r="BD82" s="97"/>
      <c r="BE82" s="255"/>
      <c r="BF82" s="255"/>
      <c r="BG82" s="246" t="str">
        <f t="shared" si="44"/>
        <v/>
      </c>
      <c r="BH82" s="97"/>
      <c r="BI82" s="255"/>
      <c r="BJ82" s="255"/>
      <c r="BK82" s="246" t="str">
        <f t="shared" si="45"/>
        <v/>
      </c>
      <c r="BL82" s="97"/>
      <c r="BM82" s="255"/>
      <c r="BN82" s="255"/>
      <c r="BO82" s="246" t="str">
        <f t="shared" si="46"/>
        <v/>
      </c>
      <c r="BP82" s="97"/>
      <c r="BQ82" s="255"/>
      <c r="BR82" s="255"/>
      <c r="BS82" s="246" t="str">
        <f t="shared" si="47"/>
        <v/>
      </c>
      <c r="BT82" s="97"/>
      <c r="BU82" s="255"/>
      <c r="BV82" s="255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9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9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48"/>
      <c r="D85" s="119"/>
      <c r="E85" s="119"/>
      <c r="F85" s="292"/>
      <c r="G85" s="292"/>
      <c r="H85" s="248"/>
      <c r="I85" s="248"/>
      <c r="J85" s="24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4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65">
      <formula>$B7="v"</formula>
    </cfRule>
  </conditionalFormatting>
  <conditionalFormatting sqref="P7:Q82">
    <cfRule type="expression" dxfId="219" priority="164">
      <formula>$B7="v"</formula>
    </cfRule>
  </conditionalFormatting>
  <conditionalFormatting sqref="R7:R82">
    <cfRule type="expression" dxfId="218" priority="163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62">
      <formula>$B7="v"</formula>
    </cfRule>
  </conditionalFormatting>
  <conditionalFormatting sqref="X7:Y82 T7:U82 AJ7:AK82 AF7:AG82 AB7:AC82 AR7:AS82 AN7:AO82 BH7:BI82 BD7:BE82 AZ7:BA82 BT7:BU82 BP7:BQ82 BL7:BM82">
    <cfRule type="expression" dxfId="216" priority="161">
      <formula>$B7="v"</formula>
    </cfRule>
  </conditionalFormatting>
  <conditionalFormatting sqref="AV7:AW82">
    <cfRule type="expression" dxfId="215" priority="160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4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76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78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80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182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84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186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88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0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9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4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96">
      <formula>$AE$4=""</formula>
    </cfRule>
  </conditionalFormatting>
  <conditionalFormatting sqref="AJ7:AL82">
    <cfRule type="expression" dxfId="38" priority="197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200">
      <formula>$AI$4=""</formula>
    </cfRule>
  </conditionalFormatting>
  <conditionalFormatting sqref="AN7:AP82">
    <cfRule type="expression" dxfId="34" priority="201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204">
      <formula>$AM$4=""</formula>
    </cfRule>
  </conditionalFormatting>
  <conditionalFormatting sqref="AR7:AT82">
    <cfRule type="expression" dxfId="30" priority="205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207">
      <formula>$AQ$4=""</formula>
    </cfRule>
  </conditionalFormatting>
  <conditionalFormatting sqref="AV7:AX82">
    <cfRule type="expression" dxfId="27" priority="208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210">
      <formula>$AU$4=""</formula>
    </cfRule>
  </conditionalFormatting>
  <conditionalFormatting sqref="AZ7:BB82">
    <cfRule type="expression" dxfId="24" priority="211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13">
      <formula>$AY$4=""</formula>
    </cfRule>
  </conditionalFormatting>
  <conditionalFormatting sqref="BD7:BF82">
    <cfRule type="expression" dxfId="21" priority="214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16">
      <formula>$BC$4=""</formula>
    </cfRule>
  </conditionalFormatting>
  <conditionalFormatting sqref="BH7:BJ82">
    <cfRule type="expression" dxfId="18" priority="217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9">
      <formula>$BG$4=""</formula>
    </cfRule>
  </conditionalFormatting>
  <conditionalFormatting sqref="BL7:BN82">
    <cfRule type="expression" dxfId="15" priority="220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22">
      <formula>$BK$4=""</formula>
    </cfRule>
  </conditionalFormatting>
  <conditionalFormatting sqref="BP7:BR82">
    <cfRule type="expression" dxfId="12" priority="223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25">
      <formula>$BO$4=""</formula>
    </cfRule>
  </conditionalFormatting>
  <conditionalFormatting sqref="BT7:BV82">
    <cfRule type="expression" dxfId="9" priority="226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8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61EFB1A9-EFFB-4FA3-892D-C807C1FEC827}">
      <formula1>"1, 2, 3, 4, 5, 6, 7, 8, 9, 10, 11, 12, 13, 14, 15, 16, 17"</formula1>
    </dataValidation>
    <dataValidation type="list" allowBlank="1" showInputMessage="1" showErrorMessage="1" sqref="B7:B82" xr:uid="{9AC9D902-7375-41B8-A4FF-5B0D2C7D82F8}">
      <formula1>"v"</formula1>
    </dataValidation>
    <dataValidation type="list" allowBlank="1" showInputMessage="1" showErrorMessage="1" sqref="BP7:BP82 AV7:AV82 BL7:BL82 BT7:BT82 BH7:BH82 BD7:BD82 AZ7:AZ82" xr:uid="{861A2C11-13D6-4144-A043-907F6F20D92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ED90355D-869B-4CF6-B5DC-84344830B58A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021AEBDF-DD68-4712-A85E-8199F60B4C31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1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2023-11-08T23:28:53Z</dcterms:modified>
</cp:coreProperties>
</file>