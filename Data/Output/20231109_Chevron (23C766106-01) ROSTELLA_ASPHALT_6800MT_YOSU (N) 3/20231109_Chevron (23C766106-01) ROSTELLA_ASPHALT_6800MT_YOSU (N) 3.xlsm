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9_Chevron (23C766106-01) ROSTELLA_ASPHALT_6800MT_YOSU (N) 3\"/>
    </mc:Choice>
  </mc:AlternateContent>
  <xr:revisionPtr revIDLastSave="0" documentId="13_ncr:1_{83B18518-DEB5-477F-90EA-8FE6D83C7B7B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<sst xmlns="http://schemas.openxmlformats.org/spreadsheetml/2006/main" count="1185" uniqueCount="741">
  <si>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</si>
  <si>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</si>
  <si>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</si>
  <si>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</si>
  <si>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</si>
  <si>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</si>
  <si>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</si>
  <si>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</si>
  <si>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</si>
  <si>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</si>
  <si>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</si>
  <si>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</si>
  <si>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</si>
  <si>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</si>
  <si>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</si>
  <si>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</si>
  <si>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</si>
  <si>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</si>
  <si>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</si>
  <si>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</si>
  <si>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</si>
  <si>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</si>
  <si>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</si>
  <si>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</si>
  <si>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</si>
  <si>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</si>
  <si>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</si>
  <si>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</si>
  <si>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</si>
  <si>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</si>
  <si>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</si>
  <si>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</si>
  <si>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</si>
  <si>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</si>
  <si>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</si>
  <si>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</si>
  <si>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</si>
  <si>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</si>
  <si>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</si>
  <si>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</si>
  <si>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</si>
  <si>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</si>
  <si>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</si>
  <si>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</si>
  <si>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</si>
  <si>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</si>
  <si>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</si>
  <si>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</si>
  <si>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</si>
  <si>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</si>
  <si>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</si>
  <si>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</si>
  <si>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</si>
  <si>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</si>
  <si>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</si>
  <si>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</si>
  <si>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</si>
  <si>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</si>
  <si>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</si>
  <si>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</si>
  <si>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</si>
  <si>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</si>
  <si>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</si>
  <si>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</si>
  <si>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</si>
  <si>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</si>
  <si>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</si>
  <si>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</si>
  <si>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</si>
  <si>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</si>
  <si>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</si>
  <si>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</si>
  <si>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</si>
  <si>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</si>
  <si>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</si>
  <si>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</si>
  <si>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</si>
  <si>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</si>
  <si>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</si>
  <si>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</si>
  <si>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</si>
  <si>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</si>
  <si>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</si>
  <si>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</si>
  <si>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</si>
  <si>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</si>
  <si>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</si>
  <si>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</si>
  <si>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</si>
  <si>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</si>
  <si>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</si>
  <si>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</si>
  <si>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</si>
  <si>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</si>
  <si>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</si>
  <si>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</si>
  <si>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</si>
  <si>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</si>
  <si>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</si>
  <si>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</si>
  <si>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</si>
  <si>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</si>
  <si>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</si>
  <si>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</si>
  <si>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</si>
  <si>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</si>
  <si>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</si>
  <si>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</si>
  <si>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</si>
  <si>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</si>
  <si>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</si>
  <si>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</si>
  <si>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</si>
  <si>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</si>
  <si>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</si>
  <si>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</si>
  <si>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</si>
  <si>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</si>
  <si>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</si>
  <si>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</si>
  <si>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</si>
  <si>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</si>
  <si>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</si>
  <si>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</si>
  <si>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</si>
  <si>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</si>
  <si>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</si>
  <si>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</si>
  <si>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</si>
  <si>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</si>
  <si>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</si>
  <si>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</si>
  <si>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</si>
  <si>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</si>
  <si>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</si>
  <si>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</si>
  <si>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</si>
  <si>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</si>
  <si>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</si>
  <si>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</si>
  <si>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</si>
  <si>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</si>
  <si>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</si>
  <si>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</si>
  <si>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</si>
  <si>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</si>
  <si>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</si>
  <si>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</si>
  <si>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</si>
  <si>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</si>
  <si>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</si>
  <si>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</si>
  <si>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</si>
  <si>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</si>
  <si>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</si>
  <si>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</si>
  <si>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</si>
  <si>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</si>
  <si>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</si>
  <si>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</si>
  <si>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</si>
  <si>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</si>
  <si>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</si>
  <si>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</si>
  <si>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</si>
  <si>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</si>
  <si>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</si>
  <si>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</si>
  <si>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</si>
  <si>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</si>
  <si>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</si>
  <si>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</si>
  <si>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</si>
  <si>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</si>
  <si>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</si>
  <si>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</si>
  <si>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</si>
  <si>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</si>
  <si>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</si>
  <si>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</si>
  <si>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</si>
  <si>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</si>
  <si>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</si>
  <si>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</si>
  <si>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</si>
  <si>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</si>
  <si>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</si>
  <si>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</si>
  <si>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</si>
  <si>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</si>
  <si>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</si>
  <si>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</si>
  <si>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</si>
  <si>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</si>
  <si>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</si>
  <si>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</si>
  <si>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</si>
  <si>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</si>
  <si>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</si>
  <si>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</si>
  <si>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</si>
  <si>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</si>
  <si>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</si>
  <si>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</si>
  <si>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</si>
  <si>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</si>
  <si>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</si>
  <si>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</si>
  <si>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</si>
  <si>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</si>
  <si>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</si>
  <si>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</si>
  <si>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</si>
  <si>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</si>
  <si>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</si>
  <si>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</si>
  <si>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</si>
  <si>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</si>
  <si>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</si>
  <si>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</si>
  <si>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</si>
  <si>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</si>
  <si>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</si>
  <si>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</si>
  <si>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</si>
  <si>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</si>
  <si>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</si>
  <si>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</si>
  <si>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</si>
  <si>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</si>
  <si>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</si>
  <si>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</si>
  <si>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</si>
  <si>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</si>
  <si>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</si>
  <si>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</si>
  <si>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</si>
  <si>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</si>
  <si>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</si>
  <si>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</si>
  <si>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</si>
  <si>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</si>
  <si>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</si>
  <si>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</si>
  <si>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</si>
  <si>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</si>
  <si>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</si>
  <si>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</si>
  <si>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</si>
  <si>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</si>
  <si>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</si>
  <si>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</si>
  <si>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</si>
  <si>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</si>
  <si>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</si>
  <si>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</si>
  <si>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</si>
  <si>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</si>
  <si>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</si>
  <si>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</si>
  <si>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</si>
  <si>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</si>
  <si>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</si>
  <si>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</si>
  <si>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</si>
  <si>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</si>
  <si>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</si>
  <si>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</si>
  <si>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</si>
  <si>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</si>
  <si>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</si>
  <si>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</si>
  <si>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</si>
  <si>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</si>
  <si>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</si>
  <si>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</si>
  <si>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</si>
  <si>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</si>
  <si>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</si>
  <si>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</si>
  <si>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</si>
  <si>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</si>
  <si>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</si>
  <si>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</si>
  <si>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</si>
  <si>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</si>
  <si>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</si>
  <si>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</si>
  <si>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</si>
  <si>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</si>
  <si>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</si>
  <si>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</si>
  <si>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</si>
  <si>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</si>
  <si>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</si>
  <si>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</si>
  <si>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</si>
  <si>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</si>
  <si>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</si>
  <si>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</si>
  <si>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</si>
  <si>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</si>
  <si>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</si>
  <si>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</si>
  <si>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</si>
  <si>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</si>
  <si>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</si>
  <si>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</si>
  <si>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</si>
  <si>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</si>
  <si>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</si>
  <si>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</si>
  <si>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</si>
  <si>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</si>
  <si>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</si>
  <si>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</si>
  <si>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</si>
  <si>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</si>
  <si>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</si>
  <si>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</si>
  <si>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</si>
  <si>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</si>
  <si>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</si>
  <si>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</si>
  <si>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</si>
  <si>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</si>
  <si>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</si>
  <si>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</si>
  <si>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</si>
  <si>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</si>
  <si>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</si>
  <si>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</si>
  <si>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</si>
  <si>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</si>
  <si>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</si>
  <si>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</si>
  <si>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</si>
  <si>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</si>
  <si>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</si>
  <si>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</si>
  <si>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</si>
  <si>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</si>
  <si>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</si>
  <si>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</si>
  <si>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</si>
  <si>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</si>
  <si>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</si>
  <si>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</si>
  <si>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</si>
  <si>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</si>
  <si>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</si>
  <si>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</si>
  <si>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</si>
  <si>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</si>
  <si>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</si>
  <si>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</si>
  <si>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</si>
  <si>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</si>
  <si>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</si>
  <si>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</si>
  <si>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</si>
  <si>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</si>
  <si>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</si>
  <si>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</si>
  <si>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</si>
  <si>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</si>
  <si>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</si>
  <si>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</si>
  <si>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</si>
  <si>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</si>
  <si>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</si>
  <si>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</si>
  <si>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</si>
  <si>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</si>
  <si>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</si>
  <si>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</si>
  <si>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</si>
  <si>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</si>
  <si>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</si>
  <si>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</si>
  <si>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</si>
  <si>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</si>
  <si>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</si>
  <si>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</si>
  <si>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</si>
  <si>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</si>
  <si>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</si>
  <si>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</si>
  <si>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</si>
  <si>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</si>
  <si>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</si>
  <si>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</si>
  <si>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</si>
  <si>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</si>
  <si>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</si>
  <si>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</si>
  <si>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</si>
  <si>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</si>
  <si>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</si>
  <si>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</si>
  <si>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</si>
  <si>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</si>
  <si>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</si>
  <si>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</si>
  <si>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</si>
  <si>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</si>
  <si>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</si>
  <si>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</si>
  <si>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</si>
  <si>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</si>
  <si>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</si>
  <si>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</si>
  <si>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</si>
  <si>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</si>
  <si>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</si>
  <si>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</si>
  <si>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</si>
  <si>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</si>
  <si>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</si>
  <si>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</si>
  <si>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</si>
  <si>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</si>
  <si>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</si>
  <si>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</si>
  <si>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</si>
  <si>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</si>
  <si>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</si>
  <si>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</si>
  <si>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</si>
  <si>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</si>
  <si>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</si>
  <si>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</si>
  <si>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</si>
  <si>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</si>
  <si>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</si>
  <si>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</si>
  <si>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</si>
  <si>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</si>
  <si>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</si>
  <si>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</si>
  <si>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</si>
  <si>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</si>
  <si>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</si>
  <si>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</si>
  <si>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</si>
  <si>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</si>
  <si>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</si>
  <si>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</si>
  <si>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</si>
  <si>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</si>
  <si>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</si>
  <si>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</si>
  <si>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</si>
  <si>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</si>
  <si>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</si>
  <si>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</si>
  <si>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</si>
  <si>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</si>
  <si>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</si>
  <si>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</si>
  <si>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</si>
  <si>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</si>
  <si>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</si>
  <si>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</si>
  <si>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</si>
  <si>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</si>
  <si>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</si>
  <si>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</si>
  <si>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</si>
  <si>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</si>
  <si>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</si>
  <si>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</si>
  <si>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</si>
  <si>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</si>
  <si>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</si>
  <si>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</si>
  <si>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</si>
  <si>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</si>
  <si>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</si>
  <si>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</si>
  <si>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</si>
  <si>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</si>
  <si>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</si>
  <si>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</si>
  <si>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</si>
  <si>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</si>
  <si>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</si>
  <si>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</si>
  <si>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</si>
  <si>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</si>
  <si>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</si>
  <si>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</si>
  <si>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</si>
  <si>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</si>
  <si>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</si>
  <si>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</si>
  <si>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</si>
  <si>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</si>
  <si>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</si>
  <si>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</si>
  <si>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</si>
  <si>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</si>
  <si>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</si>
  <si>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</si>
  <si>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</si>
  <si>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</si>
  <si>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</si>
  <si>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</si>
  <si>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</si>
  <si>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</si>
  <si>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</si>
  <si>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</si>
  <si>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</si>
  <si>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</si>
  <si>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</si>
  <si>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</si>
  <si>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</si>
  <si>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</si>
  <si>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</si>
  <si>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</si>
  <si>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</si>
  <si>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</si>
  <si>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</si>
  <si>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</si>
  <si>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</si>
  <si>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</si>
  <si>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</si>
  <si>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</si>
  <si>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</si>
  <si>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</si>
  <si>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</si>
  <si>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</si>
  <si>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</si>
  <si>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</si>
  <si>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</si>
  <si>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</si>
  <si>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</si>
  <si>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</si>
  <si>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</si>
  <si>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</si>
  <si>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</si>
  <si>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</si>
  <si>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</si>
  <si>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</si>
  <si>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</si>
  <si>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</si>
  <si>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</si>
  <si>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</si>
  <si>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</si>
  <si>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</si>
  <si>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</si>
  <si>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</si>
  <si>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</si>
  <si>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</si>
  <si>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</si>
  <si>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</si>
  <si>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</si>
  <si>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</si>
  <si>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</si>
  <si>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</si>
  <si>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</si>
  <si>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</si>
  <si>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</si>
  <si>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</si>
  <si>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</si>
  <si>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</si>
  <si>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</si>
  <si>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</si>
  <si>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</si>
  <si>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</si>
  <si>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</si>
  <si>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</si>
  <si>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</si>
  <si>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</si>
  <si>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</si>
  <si>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</si>
  <si>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</si>
  <si>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</si>
  <si>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</si>
  <si>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</si>
  <si>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</si>
  <si>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</si>
  <si>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</si>
  <si>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</si>
  <si>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</si>
  <si>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</si>
  <si>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</si>
  <si>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</si>
  <si>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</si>
  <si>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</si>
  <si>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</si>
  <si>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</si>
  <si>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</si>
  <si>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</si>
  <si>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</si>
  <si>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</si>
  <si>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</si>
  <si>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</si>
  <si>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</si>
  <si>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</si>
  <si>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</si>
  <si>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</si>
  <si>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</si>
  <si>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</si>
  <si>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</si>
  <si>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</si>
  <si>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</si>
  <si>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</si>
  <si>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</si>
  <si>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</si>
  <si>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</si>
  <si>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</si>
  <si>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</si>
  <si>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</si>
  <si>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</si>
  <si>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</si>
  <si>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</si>
  <si>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</si>
  <si>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</si>
  <si>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</si>
  <si>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</si>
  <si>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</si>
  <si>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</si>
  <si>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</si>
  <si>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</si>
  <si>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</si>
  <si>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</si>
  <si>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</si>
  <si>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</si>
  <si>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</si>
  <si>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</si>
  <si>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</si>
  <si>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</si>
  <si>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</si>
  <si>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</si>
  <si>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</si>
  <si>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</si>
  <si>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</si>
  <si>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</si>
  <si>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</si>
  <si>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</si>
  <si>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</si>
  <si>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</si>
  <si>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</si>
  <si>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</si>
  <si>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</si>
  <si>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</si>
  <si>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</si>
  <si>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</si>
  <si>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</si>
  <si>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</si>
  <si>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</si>
  <si>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</si>
  <si>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</si>
  <si>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</si>
  <si>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</si>
  <si>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</si>
  <si>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</si>
  <si>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</si>
  <si>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</si>
  <si>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</si>
  <si>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</si>
  <si>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</si>
  <si>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</si>
  <si>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</si>
  <si>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</si>
  <si>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</si>
  <si>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</si>
  <si>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</si>
  <si>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</si>
  <si>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</si>
  <si>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</si>
  <si>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</si>
  <si>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</si>
  <si>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</si>
  <si>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</si>
  <si>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</si>
  <si>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</si>
  <si>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</si>
  <si>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</si>
  <si>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</si>
  <si>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</si>
  <si>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</si>
  <si>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</si>
  <si>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</si>
  <si>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</si>
  <si>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</si>
  <si>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</si>
  <si>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</si>
  <si>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</si>
  <si>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</si>
  <si>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</si>
  <si>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</si>
  <si>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</si>
  <si>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</si>
  <si>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</si>
  <si>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</si>
  <si>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</si>
  <si>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23C766106-01</t>
  </si>
  <si>
    <t>ROSTELLA</t>
  </si>
  <si>
    <t>ASPHALT 60/70</t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</si>
  <si>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</si>
  <si>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</si>
  <si>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</si>
  <si>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</si>
  <si>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</si>
  <si>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</si>
  <si>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</si>
  <si>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</si>
  <si>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60/70 - 6857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</si>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</sst>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45240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45056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45332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6" t="s">
        <v>241</v>
      </c>
      <c r="C1" s="276"/>
      <c r="D1" s="3"/>
      <c r="E1" s="4"/>
      <c r="F1" s="279"/>
      <c r="G1" s="279"/>
      <c r="H1" s="279"/>
      <c r="I1" s="4"/>
      <c r="J1" s="275" t="s">
        <v>13</v>
      </c>
      <c r="K1" s="275"/>
      <c r="L1" s="4"/>
      <c r="M1" s="4"/>
      <c r="N1" s="4"/>
      <c r="O1" s="4"/>
      <c r="P1" s="4"/>
    </row>
    <row r="2" spans="1:36" ht="13.9" customHeight="1">
      <c r="A2" s="79"/>
      <c r="B2" s="277"/>
      <c r="C2" s="277"/>
      <c r="D2" s="5"/>
      <c r="E2" s="6"/>
      <c r="F2" s="280"/>
      <c r="G2" s="280"/>
      <c r="H2" s="280"/>
      <c r="I2" s="4"/>
      <c r="J2" s="278"/>
      <c r="K2" s="278"/>
      <c r="L2" s="281" t="s">
        <v>328</v>
      </c>
      <c r="M2" s="263"/>
      <c r="N2" s="263" t="s">
        <v>329</v>
      </c>
      <c r="O2" s="264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710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710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710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710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707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468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710</v>
      </c>
      <c r="C20" s="123" t="s">
        <v>480</v>
      </c>
      <c r="D20" s="57" t="s">
        <v>709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710</v>
      </c>
      <c r="C22" s="123" t="s">
        <v>504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476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467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528</v>
      </c>
      <c r="D25" s="57"/>
      <c r="E25" s="94"/>
      <c r="F25" s="59"/>
      <c r="G25" s="60"/>
      <c r="H25" s="203" t="str">
        <f t="shared" si="0"/>
        <v>-</v>
      </c>
      <c r="I25" s="4"/>
      <c r="J25" s="274" t="s">
        <v>369</v>
      </c>
      <c r="K25" s="274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710</v>
      </c>
      <c r="C26" s="123" t="s">
        <v>563</v>
      </c>
      <c r="D26" s="57"/>
      <c r="E26" s="94"/>
      <c r="F26" s="59"/>
      <c r="G26" s="60"/>
      <c r="H26" s="203" t="str">
        <f t="shared" si="0"/>
        <v/>
      </c>
      <c r="I26" s="4"/>
      <c r="J26" s="275"/>
      <c r="K26" s="275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498</v>
      </c>
      <c r="D27" s="57"/>
      <c r="E27" s="94"/>
      <c r="F27" s="59"/>
      <c r="G27" s="60"/>
      <c r="H27" s="203" t="str">
        <f t="shared" si="0"/>
        <v>-</v>
      </c>
      <c r="I27" s="4"/>
      <c r="J27" s="265"/>
      <c r="K27" s="266"/>
      <c r="L27" s="266"/>
      <c r="M27" s="266"/>
      <c r="N27" s="266"/>
      <c r="O27" s="267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8"/>
      <c r="K28" s="269"/>
      <c r="L28" s="269"/>
      <c r="M28" s="269"/>
      <c r="N28" s="269"/>
      <c r="O28" s="270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8"/>
      <c r="K29" s="269"/>
      <c r="L29" s="269"/>
      <c r="M29" s="269"/>
      <c r="N29" s="269"/>
      <c r="O29" s="270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8"/>
      <c r="K30" s="269"/>
      <c r="L30" s="269"/>
      <c r="M30" s="269"/>
      <c r="N30" s="269"/>
      <c r="O30" s="270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8"/>
      <c r="K31" s="269"/>
      <c r="L31" s="269"/>
      <c r="M31" s="269"/>
      <c r="N31" s="269"/>
      <c r="O31" s="270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8"/>
      <c r="K32" s="269"/>
      <c r="L32" s="269"/>
      <c r="M32" s="269"/>
      <c r="N32" s="269"/>
      <c r="O32" s="270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8"/>
      <c r="K33" s="269"/>
      <c r="L33" s="269"/>
      <c r="M33" s="269"/>
      <c r="N33" s="269"/>
      <c r="O33" s="270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1"/>
      <c r="K34" s="272"/>
      <c r="L34" s="272"/>
      <c r="M34" s="272"/>
      <c r="N34" s="272"/>
      <c r="O34" s="273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6" t="s">
        <v>240</v>
      </c>
      <c r="C1" s="25"/>
      <c r="D1" s="25"/>
      <c r="E1" s="25"/>
      <c r="F1" s="25"/>
      <c r="G1" s="25"/>
      <c r="H1" s="36"/>
      <c r="J1" s="282" t="s">
        <v>645</v>
      </c>
      <c r="K1" s="283"/>
      <c r="L1" s="283"/>
      <c r="M1" s="283"/>
      <c r="N1" s="284"/>
    </row>
    <row r="2" spans="1:78" ht="15" customHeight="1">
      <c r="A2" s="36"/>
      <c r="B2" s="276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89"/>
      <c r="G4" s="290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5"/>
      <c r="G5" s="286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7" t="str">
        <f>IF('Navarik 설정'!C22="","",'Navarik 설정'!C22)</f>
        <v>ASPHALT 60/70</v>
      </c>
      <c r="G6" s="288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229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 t="s">
        <v>300</v>
      </c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711</v>
      </c>
      <c r="D7" s="260"/>
      <c r="E7" s="126" t="s">
        <v>723</v>
      </c>
      <c r="F7" s="261"/>
      <c r="G7" s="20"/>
      <c r="H7" s="20"/>
      <c r="I7" s="262" t="s">
        <v>733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712</v>
      </c>
      <c r="D8" s="260"/>
      <c r="E8" s="126" t="s">
        <v>724</v>
      </c>
      <c r="F8" s="261"/>
      <c r="G8" s="20"/>
      <c r="H8" s="20"/>
      <c r="I8" s="262" t="s">
        <v>734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713</v>
      </c>
      <c r="D9" s="260"/>
      <c r="E9" s="126" t="s">
        <v>725</v>
      </c>
      <c r="F9" s="261"/>
      <c r="G9" s="20"/>
      <c r="H9" s="20"/>
      <c r="I9" s="262" t="s">
        <v>735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714</v>
      </c>
      <c r="D10" s="260"/>
      <c r="E10" s="126" t="s">
        <v>726</v>
      </c>
      <c r="F10" s="261"/>
      <c r="G10" s="20"/>
      <c r="H10" s="20"/>
      <c r="I10" s="262" t="s">
        <v>736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715</v>
      </c>
      <c r="D11" s="260"/>
      <c r="E11" s="126" t="s">
        <v>726</v>
      </c>
      <c r="F11" s="261"/>
      <c r="G11" s="20"/>
      <c r="H11" s="20"/>
      <c r="I11" s="262" t="s">
        <v>736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260"/>
      <c r="E12" s="126" t="s">
        <v>727</v>
      </c>
      <c r="F12" s="261"/>
      <c r="G12" s="20"/>
      <c r="H12" s="20"/>
      <c r="I12" s="262" t="s">
        <v>734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260"/>
      <c r="E13" s="126" t="s">
        <v>728</v>
      </c>
      <c r="F13" s="261"/>
      <c r="G13" s="20"/>
      <c r="H13" s="20"/>
      <c r="I13" s="262" t="s">
        <v>737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260"/>
      <c r="E14" s="126" t="s">
        <v>729</v>
      </c>
      <c r="F14" s="261"/>
      <c r="G14" s="20"/>
      <c r="H14" s="20"/>
      <c r="I14" s="262" t="s">
        <v>736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260"/>
      <c r="E15" s="126" t="s">
        <v>730</v>
      </c>
      <c r="F15" s="261"/>
      <c r="G15" s="20"/>
      <c r="H15" s="20"/>
      <c r="I15" s="262" t="s">
        <v>737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260"/>
      <c r="E16" s="126" t="s">
        <v>731</v>
      </c>
      <c r="F16" s="261"/>
      <c r="G16" s="20"/>
      <c r="H16" s="20"/>
      <c r="I16" s="262" t="s">
        <v>738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260"/>
      <c r="E17" s="126" t="s">
        <v>732</v>
      </c>
      <c r="F17" s="261"/>
      <c r="G17" s="20"/>
      <c r="H17" s="20"/>
      <c r="I17" s="262" t="s">
        <v>739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260"/>
      <c r="E18" s="126" t="s">
        <v>729</v>
      </c>
      <c r="F18" s="261"/>
      <c r="G18" s="20"/>
      <c r="H18" s="20"/>
      <c r="I18" s="262" t="s">
        <v>740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1"/>
      <c r="G85" s="301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A945F570-86EA-46D2-81D8-6FF5D0E71226}">
      <formula1>"* ,[ASTM] D70"</formula1>
    </dataValidation>
    <dataValidation type="list" allowBlank="1" showInputMessage="1" showErrorMessage="1" sqref="D8" xr:uid="{EB76798D-73C0-43D3-84BB-1B64AA9556C7}">
      <formula1>"* ,[ASTM] D36"</formula1>
    </dataValidation>
    <dataValidation type="list" allowBlank="1" showInputMessage="1" showErrorMessage="1" sqref="D9 D16" xr:uid="{D2397FE9-918B-4DC2-B124-90A96BD9138D}">
      <formula1>"* ,[ASTM] D5"</formula1>
    </dataValidation>
    <dataValidation type="list" allowBlank="1" showInputMessage="1" showErrorMessage="1" sqref="D10 D11 D14" xr:uid="{C475F7F2-8E83-45A3-A217-95D7AFDC80D3}">
      <formula1>"* ,[ASTM] D113"</formula1>
    </dataValidation>
    <dataValidation type="list" allowBlank="1" showInputMessage="1" showErrorMessage="1" sqref="D12" xr:uid="{404E0B36-9B33-478A-B86A-6E0970BFE66A}">
      <formula1>"* ,[ASTM] D92"</formula1>
    </dataValidation>
    <dataValidation type="list" allowBlank="1" showInputMessage="1" showErrorMessage="1" sqref="D13" xr:uid="{0D177EEA-7110-4AD1-9AD2-C07806C77B35}">
      <formula1>"* ,[ASTM] D2042"</formula1>
    </dataValidation>
    <dataValidation type="list" allowBlank="1" showInputMessage="1" showErrorMessage="1" sqref="D15" xr:uid="{761D5F71-F978-4A31-99BF-D40DD0F00E00}">
      <formula1>"* ,[ASTM] D6"</formula1>
    </dataValidation>
    <dataValidation type="list" allowBlank="1" showInputMessage="1" showErrorMessage="1" sqref="D17" xr:uid="{5F1313D9-0F66-4A32-9BDB-B079A23643A6}">
      <formula1>"* ,[DIN] DIN 52015"</formula1>
    </dataValidation>
    <dataValidation type="list" allowBlank="1" showInputMessage="1" showErrorMessage="1" sqref="D18" xr:uid="{4AC58045-74CE-413E-939C-837FBEDF8503}">
      <formula1>"* ,[ASTM] D4402"</formula1>
    </dataValidation>
    <dataValidation type="list" allowBlank="1" showInputMessage="1" showErrorMessage="1" sqref="I7" xr:uid="{AFF28878-C23E-4091-A331-7628B3EDAF3E}">
      <formula1>"g/ cc,g/l,g/cm³,g/ml,kg/m³,kg/l,n/a,tonne/m³"</formula1>
    </dataValidation>
    <dataValidation type="list" allowBlank="1" showInputMessage="1" showErrorMessage="1" sqref="I8" xr:uid="{7ACA05B4-BACF-4C0C-B40B-5F3CD2B65BBC}">
      <formula1>"°C,°F"</formula1>
    </dataValidation>
    <dataValidation type="list" allowBlank="1" showInputMessage="1" showErrorMessage="1" sqref="I9" xr:uid="{C523968D-BF38-4C3B-ACAD-70EB8D2C7D7A}">
      <formula1>"mm,mm/10"</formula1>
    </dataValidation>
    <dataValidation type="list" allowBlank="1" showInputMessage="1" showErrorMessage="1" sqref="I10 I11 I14" xr:uid="{483EC420-2067-4E36-8EC1-991CA949A08C}">
      <formula1>"mm,CM"</formula1>
    </dataValidation>
    <dataValidation type="list" allowBlank="1" showInputMessage="1" showErrorMessage="1" sqref="I12" xr:uid="{40E056A6-01AC-40A6-B317-300EB99E7C66}">
      <formula1>"°C,°F,Yes/No"</formula1>
    </dataValidation>
    <dataValidation type="list" allowBlank="1" showInputMessage="1" showErrorMessage="1" sqref="I13" xr:uid="{C12A9A1A-4017-4651-873B-1800DDA95295}">
      <formula1>"%m/m,%wt,mass%"</formula1>
    </dataValidation>
    <dataValidation type="list" allowBlank="1" showInputMessage="1" showErrorMessage="1" sqref="I15" xr:uid="{F1EBFB16-DC8C-472E-B6CC-1D19D1F19DF5}">
      <formula1>"%,%m/m,mass%"</formula1>
    </dataValidation>
    <dataValidation type="list" allowBlank="1" showInputMessage="1" showErrorMessage="1" sqref="I16" xr:uid="{B0757F39-CDFA-4D5F-8167-69BC9D3FBF3E}">
      <formula1>"mm,%,mm/10"</formula1>
    </dataValidation>
    <dataValidation type="list" allowBlank="1" showInputMessage="1" showErrorMessage="1" sqref="I17" xr:uid="{E88F7043-A0D4-482A-AF5E-8E12055A2B11}">
      <formula1>"%,%m/m,%wt"</formula1>
    </dataValidation>
    <dataValidation type="list" allowBlank="1" showInputMessage="1" showErrorMessage="1" sqref="I18" xr:uid="{7437A074-EE51-48B1-AED5-EFFFCD2AA14C}">
      <formula1>"cSt,Engler,mm²/s,Pa·s,SUS"</formula1>
    </dataValidation>
    <dataValidation type="list" allowBlank="1" showInputMessage="1" showErrorMessage="1" sqref="F7 F8 F9 F10 F11 F12 F13 F14 F15 F16 F17 F18" xr:uid="{4527AB7B-A20C-4281-ABB5-CC6C7F939528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230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232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233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234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235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236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237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238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4" t="s">
        <v>239</v>
      </c>
      <c r="C1" s="294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4"/>
      <c r="C2" s="294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8"/>
      <c r="G3" s="299"/>
      <c r="H3" s="299"/>
      <c r="I3" s="300"/>
      <c r="J3" s="25" t="str">
        <f>IF(F2=1,"","결과 입력 (셀 범위 Q1 ~ AD82)")</f>
        <v/>
      </c>
      <c r="K3" s="7"/>
      <c r="L3" s="291" t="str">
        <f>IF(F2&gt;=2,"Add New Sample (2)","")</f>
        <v/>
      </c>
      <c r="M3" s="291"/>
      <c r="N3" s="291"/>
      <c r="O3" s="248"/>
      <c r="P3" s="291" t="str">
        <f>IF(F2&gt;=3,"Add New Sample (3)","")</f>
        <v/>
      </c>
      <c r="Q3" s="291"/>
      <c r="R3" s="291"/>
      <c r="S3" s="36"/>
      <c r="T3" s="291" t="str">
        <f>IF(F2&gt;=4,"Add New Sample (4)","")</f>
        <v/>
      </c>
      <c r="U3" s="291"/>
      <c r="V3" s="291"/>
      <c r="W3" s="36"/>
      <c r="X3" s="291" t="str">
        <f>IF(F2&gt;=5,"Add New Sample (5)","")</f>
        <v/>
      </c>
      <c r="Y3" s="291"/>
      <c r="Z3" s="291"/>
      <c r="AA3" s="36"/>
      <c r="AB3" s="291" t="str">
        <f>IF(F2&gt;=6,"Add New Sample (6)","")</f>
        <v/>
      </c>
      <c r="AC3" s="291"/>
      <c r="AD3" s="291"/>
      <c r="AE3" s="36"/>
      <c r="AF3" s="291" t="str">
        <f>IF(F2&gt;=7,"Add New Sample (7)","")</f>
        <v/>
      </c>
      <c r="AG3" s="291"/>
      <c r="AH3" s="291"/>
      <c r="AI3" s="36"/>
      <c r="AJ3" s="291" t="str">
        <f>IF(F2&gt;=8,"Add New Sample (8)","")</f>
        <v/>
      </c>
      <c r="AK3" s="291"/>
      <c r="AL3" s="291"/>
      <c r="AM3" s="36"/>
      <c r="AN3" s="291" t="str">
        <f>IF(F2&gt;=9,"Add New Sample (9)","")</f>
        <v/>
      </c>
      <c r="AO3" s="291"/>
      <c r="AP3" s="291"/>
      <c r="AQ3" s="36"/>
      <c r="AR3" s="291" t="str">
        <f>IF(F2&gt;=10,"Add New Sample (10)","")</f>
        <v/>
      </c>
      <c r="AS3" s="291"/>
      <c r="AT3" s="291"/>
      <c r="AU3" s="36"/>
      <c r="AV3" s="291" t="str">
        <f>IF(F2&gt;=11,"Add New Sample (11)","")</f>
        <v/>
      </c>
      <c r="AW3" s="291"/>
      <c r="AX3" s="291"/>
      <c r="AY3" s="36"/>
      <c r="AZ3" s="291" t="str">
        <f>IF(F2&gt;=12,"Add New Sample (12)","")</f>
        <v/>
      </c>
      <c r="BA3" s="291"/>
      <c r="BB3" s="291"/>
      <c r="BC3" s="36"/>
      <c r="BD3" s="291" t="str">
        <f>IF(F2&gt;=13,"Add New Sample (13)","")</f>
        <v/>
      </c>
      <c r="BE3" s="291"/>
      <c r="BF3" s="291"/>
      <c r="BG3" s="36"/>
      <c r="BH3" s="291" t="str">
        <f>IF(F2&gt;=14,"Add New Sample (14)","")</f>
        <v/>
      </c>
      <c r="BI3" s="291"/>
      <c r="BJ3" s="291"/>
      <c r="BK3" s="36"/>
      <c r="BL3" s="291" t="str">
        <f>IF(F2&gt;=15,"Add New Sample (15)","")</f>
        <v/>
      </c>
      <c r="BM3" s="291"/>
      <c r="BN3" s="291"/>
      <c r="BO3" s="36"/>
      <c r="BP3" s="291" t="str">
        <f>IF(F2&gt;=16,"Add New Sample (16)","")</f>
        <v/>
      </c>
      <c r="BQ3" s="291"/>
      <c r="BR3" s="291"/>
      <c r="BS3" s="36"/>
      <c r="BT3" s="291" t="str">
        <f>IF(F2&gt;=17,"Add New Sample (17)","")</f>
        <v/>
      </c>
      <c r="BU3" s="291"/>
      <c r="BV3" s="291"/>
      <c r="BW3" s="7"/>
    </row>
    <row r="4" spans="1:75">
      <c r="A4" s="87"/>
      <c r="B4" s="42"/>
      <c r="C4" s="42"/>
      <c r="D4" s="114"/>
      <c r="E4" s="124" t="s">
        <v>5</v>
      </c>
      <c r="F4" s="295"/>
      <c r="G4" s="296"/>
      <c r="H4" s="296"/>
      <c r="I4" s="297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49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2" t="s">
        <v>268</v>
      </c>
      <c r="G5" s="302"/>
      <c r="H5" s="84" t="s">
        <v>18</v>
      </c>
      <c r="I5" s="244" t="s">
        <v>642</v>
      </c>
      <c r="J5" s="255" t="s">
        <v>696</v>
      </c>
      <c r="K5" s="7"/>
      <c r="L5" s="293" t="str">
        <f>IF(K4=1,"Results (검사원)","")</f>
        <v/>
      </c>
      <c r="M5" s="293"/>
      <c r="N5" s="293"/>
      <c r="O5" s="254" t="str">
        <f>IF(L5="","","Final")</f>
        <v/>
      </c>
      <c r="P5" s="293" t="str">
        <f>IF(O4=1,"Results (검사원)","")</f>
        <v/>
      </c>
      <c r="Q5" s="293"/>
      <c r="R5" s="293"/>
      <c r="S5" s="254" t="str">
        <f>IF(P5="","","Final")</f>
        <v/>
      </c>
      <c r="T5" s="293" t="str">
        <f>IF(S4=1,"Results (검사원)","")</f>
        <v/>
      </c>
      <c r="U5" s="293"/>
      <c r="V5" s="293"/>
      <c r="W5" s="254" t="str">
        <f>IF(T5="","","Final")</f>
        <v/>
      </c>
      <c r="X5" s="293" t="str">
        <f>IF(W4=1,"Results (검사원)","")</f>
        <v/>
      </c>
      <c r="Y5" s="293"/>
      <c r="Z5" s="293"/>
      <c r="AA5" s="254" t="str">
        <f>IF(X5="","","Final")</f>
        <v/>
      </c>
      <c r="AB5" s="293" t="str">
        <f>IF(AA4=1,"Results (검사원)","")</f>
        <v/>
      </c>
      <c r="AC5" s="293"/>
      <c r="AD5" s="293"/>
      <c r="AE5" s="254" t="str">
        <f>IF(AB5="","","Final")</f>
        <v/>
      </c>
      <c r="AF5" s="293" t="str">
        <f>IF(AE4=1,"Results (검사원)","")</f>
        <v/>
      </c>
      <c r="AG5" s="293"/>
      <c r="AH5" s="293"/>
      <c r="AI5" s="254" t="str">
        <f>IF(AF5="","","Final")</f>
        <v/>
      </c>
      <c r="AJ5" s="293" t="str">
        <f>IF(AI4=1,"Results (검사원)","")</f>
        <v/>
      </c>
      <c r="AK5" s="293"/>
      <c r="AL5" s="293"/>
      <c r="AM5" s="254" t="str">
        <f>IF(AJ5="","","Final")</f>
        <v/>
      </c>
      <c r="AN5" s="293" t="str">
        <f>IF(AM4=1,"Results (검사원)","")</f>
        <v/>
      </c>
      <c r="AO5" s="293"/>
      <c r="AP5" s="293"/>
      <c r="AQ5" s="254" t="str">
        <f>IF(AN5="","","Final")</f>
        <v/>
      </c>
      <c r="AR5" s="293" t="str">
        <f>IF(AQ4=1,"Results (검사원)","")</f>
        <v/>
      </c>
      <c r="AS5" s="293"/>
      <c r="AT5" s="293"/>
      <c r="AU5" s="254" t="str">
        <f>IF(AR5="","","Final")</f>
        <v/>
      </c>
      <c r="AV5" s="293" t="str">
        <f>IF(AU4=1,"Results (검사원)","")</f>
        <v/>
      </c>
      <c r="AW5" s="293"/>
      <c r="AX5" s="293"/>
      <c r="AY5" s="254" t="str">
        <f>IF(AV5="","","Final")</f>
        <v/>
      </c>
      <c r="AZ5" s="293" t="str">
        <f>IF(AY4=1,"Results (검사원)","")</f>
        <v/>
      </c>
      <c r="BA5" s="293"/>
      <c r="BB5" s="293"/>
      <c r="BC5" s="254" t="str">
        <f>IF(AZ5="","","Final")</f>
        <v/>
      </c>
      <c r="BD5" s="293" t="str">
        <f>IF(BC4=1,"Results (검사원)","")</f>
        <v/>
      </c>
      <c r="BE5" s="293"/>
      <c r="BF5" s="293"/>
      <c r="BG5" s="254" t="str">
        <f>IF(BD5="","","Final")</f>
        <v/>
      </c>
      <c r="BH5" s="293" t="str">
        <f>IF(BG4=1,"Results (검사원)","")</f>
        <v/>
      </c>
      <c r="BI5" s="293"/>
      <c r="BJ5" s="293"/>
      <c r="BK5" s="254" t="str">
        <f>IF(BH5="","","Final")</f>
        <v/>
      </c>
      <c r="BL5" s="293" t="str">
        <f>IF(BK4=1,"Results (검사원)","")</f>
        <v/>
      </c>
      <c r="BM5" s="293"/>
      <c r="BN5" s="293"/>
      <c r="BO5" s="254" t="str">
        <f>IF(BL5="","","Final")</f>
        <v/>
      </c>
      <c r="BP5" s="293" t="str">
        <f>IF(BO4=1,"Results (검사원)","")</f>
        <v/>
      </c>
      <c r="BQ5" s="293"/>
      <c r="BR5" s="293"/>
      <c r="BS5" s="254" t="str">
        <f>IF(BP5="","","Final")</f>
        <v/>
      </c>
      <c r="BT5" s="293" t="str">
        <f>IF(BS4=1,"Results (검사원)","")</f>
        <v/>
      </c>
      <c r="BU5" s="293"/>
      <c r="BV5" s="293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1"/>
      <c r="G85" s="301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45240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2023-11-10T05:04:18Z</dcterms:modified>
</cp:coreProperties>
</file>