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5_Chevron (23C766088-02) ARDMORE ENCOUNTER_GASOLINE 92R_230KB_YOSU (N)\"/>
    </mc:Choice>
  </mc:AlternateContent>
  <xr:revisionPtr revIDLastSave="0" documentId="13_ncr:1_{D56ACD34-D8B0-45F6-BAC2-1F103AD68451}" xr6:coauthVersionLast="45" xr6:coauthVersionMax="47" xr10:uidLastSave="{00000000-0000-0000-0000-000000000000}"/>
  <bookViews>
    <workbookView xWindow="0" yWindow="183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10" r:id="rId5"/>
    <sheet name="SET 3" sheetId="111" r:id="rId6"/>
    <sheet name="SET 4" sheetId="112" r:id="rId7"/>
    <sheet name="SET 5" sheetId="113" r:id="rId8"/>
    <sheet name="SET 6" sheetId="114" r:id="rId9"/>
    <sheet name="SET 7" sheetId="115" r:id="rId10"/>
    <sheet name="SET 8" sheetId="116" r:id="rId11"/>
    <sheet name="SET 9" sheetId="117" r:id="rId12"/>
    <sheet name="SET 10" sheetId="118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36" l="1"/>
  <c r="C6" i="36"/>
  <c r="C7" i="36"/>
  <c r="C48" i="36"/>
  <c r="C49" i="36"/>
  <c r="C50" i="36"/>
  <c r="J180" i="3"/>
  <c r="J178" i="3"/>
  <c r="J177" i="3"/>
  <c r="J179" i="3"/>
  <c r="J176" i="3"/>
  <c r="C58" i="36"/>
  <c r="L6" i="118"/>
  <c r="BS5" i="118"/>
  <c r="BV6" i="118" s="1"/>
  <c r="BO5" i="118"/>
  <c r="BP5" i="118" s="1"/>
  <c r="BK5" i="118"/>
  <c r="BL5" i="118" s="1"/>
  <c r="BG5" i="118"/>
  <c r="BH5" i="118" s="1"/>
  <c r="BC5" i="118"/>
  <c r="BF6" i="118" s="1"/>
  <c r="AY5" i="118"/>
  <c r="AZ4" i="118" s="1"/>
  <c r="AU5" i="118"/>
  <c r="AV5" i="118" s="1"/>
  <c r="AQ5" i="118"/>
  <c r="AR5" i="118" s="1"/>
  <c r="AM5" i="118"/>
  <c r="AP6" i="118" s="1"/>
  <c r="AI5" i="118"/>
  <c r="AL6" i="118" s="1"/>
  <c r="AE5" i="118"/>
  <c r="AH6" i="118" s="1"/>
  <c r="AA5" i="118"/>
  <c r="AB4" i="118" s="1"/>
  <c r="W5" i="118"/>
  <c r="Z6" i="118" s="1"/>
  <c r="S5" i="118"/>
  <c r="T5" i="118" s="1"/>
  <c r="O5" i="118"/>
  <c r="P5" i="118" s="1"/>
  <c r="K5" i="118"/>
  <c r="L5" i="118" s="1"/>
  <c r="BP4" i="118"/>
  <c r="BH4" i="118"/>
  <c r="AR4" i="118"/>
  <c r="T4" i="118"/>
  <c r="L4" i="118"/>
  <c r="J4" i="118"/>
  <c r="BT3" i="118"/>
  <c r="BP3" i="118"/>
  <c r="BL3" i="118"/>
  <c r="BH3" i="118"/>
  <c r="BD3" i="118"/>
  <c r="AZ3" i="118"/>
  <c r="AV3" i="118"/>
  <c r="AR3" i="118"/>
  <c r="AN3" i="118"/>
  <c r="AJ3" i="118"/>
  <c r="AF3" i="118"/>
  <c r="AB3" i="118"/>
  <c r="X3" i="118"/>
  <c r="T3" i="118"/>
  <c r="P3" i="118"/>
  <c r="L3" i="118"/>
  <c r="J3" i="118"/>
  <c r="J2" i="118"/>
  <c r="F1" i="118"/>
  <c r="AO6" i="117"/>
  <c r="AN6" i="117"/>
  <c r="P6" i="117"/>
  <c r="BS5" i="117"/>
  <c r="BV6" i="117" s="1"/>
  <c r="BO5" i="117"/>
  <c r="BP5" i="117" s="1"/>
  <c r="BK5" i="117"/>
  <c r="BL5" i="117" s="1"/>
  <c r="BG5" i="117"/>
  <c r="BH5" i="117" s="1"/>
  <c r="BC5" i="117"/>
  <c r="BF6" i="117" s="1"/>
  <c r="AY5" i="117"/>
  <c r="BB6" i="117" s="1"/>
  <c r="AU5" i="117"/>
  <c r="AV5" i="117" s="1"/>
  <c r="AQ5" i="117"/>
  <c r="AR5" i="117" s="1"/>
  <c r="AM5" i="117"/>
  <c r="AP6" i="117" s="1"/>
  <c r="AI5" i="117"/>
  <c r="AL6" i="117" s="1"/>
  <c r="AE5" i="117"/>
  <c r="AG6" i="117" s="1"/>
  <c r="AA5" i="117"/>
  <c r="AB4" i="117" s="1"/>
  <c r="W5" i="117"/>
  <c r="Z6" i="117" s="1"/>
  <c r="S5" i="117"/>
  <c r="T5" i="117" s="1"/>
  <c r="O5" i="117"/>
  <c r="P5" i="117" s="1"/>
  <c r="K5" i="117"/>
  <c r="L5" i="117" s="1"/>
  <c r="BT4" i="117"/>
  <c r="BH4" i="117"/>
  <c r="AZ4" i="117"/>
  <c r="T4" i="117"/>
  <c r="J4" i="117"/>
  <c r="BT3" i="117"/>
  <c r="BP3" i="117"/>
  <c r="BL3" i="117"/>
  <c r="BH3" i="117"/>
  <c r="BD3" i="117"/>
  <c r="AZ3" i="117"/>
  <c r="AV3" i="117"/>
  <c r="AR3" i="117"/>
  <c r="AN3" i="117"/>
  <c r="AJ3" i="117"/>
  <c r="AF3" i="117"/>
  <c r="AB3" i="117"/>
  <c r="X3" i="117"/>
  <c r="T3" i="117"/>
  <c r="P3" i="117"/>
  <c r="L3" i="117"/>
  <c r="J3" i="117"/>
  <c r="J2" i="117"/>
  <c r="F1" i="117"/>
  <c r="BL6" i="116"/>
  <c r="BH6" i="116"/>
  <c r="AN6" i="116"/>
  <c r="BS5" i="116"/>
  <c r="BV6" i="116" s="1"/>
  <c r="BO5" i="116"/>
  <c r="BP5" i="116" s="1"/>
  <c r="BK5" i="116"/>
  <c r="BL5" i="116" s="1"/>
  <c r="BG5" i="116"/>
  <c r="BH5" i="116" s="1"/>
  <c r="BC5" i="116"/>
  <c r="BF6" i="116" s="1"/>
  <c r="AY5" i="116"/>
  <c r="BB6" i="116" s="1"/>
  <c r="AU5" i="116"/>
  <c r="AV5" i="116" s="1"/>
  <c r="AQ5" i="116"/>
  <c r="AR5" i="116" s="1"/>
  <c r="AM5" i="116"/>
  <c r="AP6" i="116" s="1"/>
  <c r="AI5" i="116"/>
  <c r="AL6" i="116" s="1"/>
  <c r="AF5" i="116"/>
  <c r="AE5" i="116"/>
  <c r="AH6" i="116" s="1"/>
  <c r="AA5" i="116"/>
  <c r="AB4" i="116" s="1"/>
  <c r="W5" i="116"/>
  <c r="Z6" i="116" s="1"/>
  <c r="S5" i="116"/>
  <c r="T5" i="116" s="1"/>
  <c r="O5" i="116"/>
  <c r="P5" i="116" s="1"/>
  <c r="K5" i="116"/>
  <c r="L5" i="116" s="1"/>
  <c r="AZ4" i="116"/>
  <c r="T4" i="116"/>
  <c r="J4" i="116"/>
  <c r="BT3" i="116"/>
  <c r="BP3" i="116"/>
  <c r="BL3" i="116"/>
  <c r="BH3" i="116"/>
  <c r="BD3" i="116"/>
  <c r="AZ3" i="116"/>
  <c r="AV3" i="116"/>
  <c r="AR3" i="116"/>
  <c r="AN3" i="116"/>
  <c r="AJ3" i="116"/>
  <c r="AF3" i="116"/>
  <c r="AB3" i="116"/>
  <c r="X3" i="116"/>
  <c r="T3" i="116"/>
  <c r="P3" i="116"/>
  <c r="L3" i="116"/>
  <c r="J3" i="116"/>
  <c r="J2" i="116"/>
  <c r="F1" i="116"/>
  <c r="BS5" i="115"/>
  <c r="BV6" i="115" s="1"/>
  <c r="BO5" i="115"/>
  <c r="BP5" i="115" s="1"/>
  <c r="BK5" i="115"/>
  <c r="BL5" i="115" s="1"/>
  <c r="BG5" i="115"/>
  <c r="BH5" i="115" s="1"/>
  <c r="BC5" i="115"/>
  <c r="BF6" i="115" s="1"/>
  <c r="AY5" i="115"/>
  <c r="AZ4" i="115" s="1"/>
  <c r="AU5" i="115"/>
  <c r="AV5" i="115" s="1"/>
  <c r="AQ5" i="115"/>
  <c r="AR5" i="115" s="1"/>
  <c r="AM5" i="115"/>
  <c r="AP6" i="115" s="1"/>
  <c r="AI5" i="115"/>
  <c r="AL6" i="115" s="1"/>
  <c r="AE5" i="115"/>
  <c r="AH6" i="115" s="1"/>
  <c r="AA5" i="115"/>
  <c r="AB4" i="115" s="1"/>
  <c r="W5" i="115"/>
  <c r="Z6" i="115" s="1"/>
  <c r="S5" i="115"/>
  <c r="T5" i="115" s="1"/>
  <c r="O5" i="115"/>
  <c r="P5" i="115" s="1"/>
  <c r="K5" i="115"/>
  <c r="L5" i="115" s="1"/>
  <c r="BP4" i="115"/>
  <c r="BH4" i="115"/>
  <c r="AR4" i="115"/>
  <c r="AJ4" i="115"/>
  <c r="J4" i="115"/>
  <c r="BT3" i="115"/>
  <c r="BP3" i="115"/>
  <c r="BL3" i="115"/>
  <c r="BH3" i="115"/>
  <c r="BD3" i="115"/>
  <c r="AZ3" i="115"/>
  <c r="AV3" i="115"/>
  <c r="AR3" i="115"/>
  <c r="AN3" i="115"/>
  <c r="AJ3" i="115"/>
  <c r="AF3" i="115"/>
  <c r="AB3" i="115"/>
  <c r="X3" i="115"/>
  <c r="T3" i="115"/>
  <c r="P3" i="115"/>
  <c r="L3" i="115"/>
  <c r="J3" i="115"/>
  <c r="J2" i="115"/>
  <c r="F1" i="115"/>
  <c r="BH6" i="114"/>
  <c r="BS5" i="114"/>
  <c r="BV6" i="114" s="1"/>
  <c r="BO5" i="114"/>
  <c r="BP5" i="114" s="1"/>
  <c r="BK5" i="114"/>
  <c r="BL5" i="114" s="1"/>
  <c r="BG5" i="114"/>
  <c r="BH5" i="114" s="1"/>
  <c r="BC5" i="114"/>
  <c r="BF6" i="114" s="1"/>
  <c r="AY5" i="114"/>
  <c r="AZ4" i="114" s="1"/>
  <c r="AU5" i="114"/>
  <c r="AV5" i="114" s="1"/>
  <c r="AQ5" i="114"/>
  <c r="AR5" i="114" s="1"/>
  <c r="AM5" i="114"/>
  <c r="AP6" i="114" s="1"/>
  <c r="AI5" i="114"/>
  <c r="AL6" i="114" s="1"/>
  <c r="AE5" i="114"/>
  <c r="AH6" i="114" s="1"/>
  <c r="AA5" i="114"/>
  <c r="AB4" i="114" s="1"/>
  <c r="W5" i="114"/>
  <c r="Z6" i="114" s="1"/>
  <c r="S5" i="114"/>
  <c r="T5" i="114" s="1"/>
  <c r="O5" i="114"/>
  <c r="P5" i="114" s="1"/>
  <c r="K5" i="114"/>
  <c r="L5" i="114" s="1"/>
  <c r="BH4" i="114"/>
  <c r="J4" i="114"/>
  <c r="BT3" i="114"/>
  <c r="BP3" i="114"/>
  <c r="BL3" i="114"/>
  <c r="BH3" i="114"/>
  <c r="BD3" i="114"/>
  <c r="AZ3" i="114"/>
  <c r="AV3" i="114"/>
  <c r="AR3" i="114"/>
  <c r="AN3" i="114"/>
  <c r="AJ3" i="114"/>
  <c r="AF3" i="114"/>
  <c r="AB3" i="114"/>
  <c r="X3" i="114"/>
  <c r="T3" i="114"/>
  <c r="P3" i="114"/>
  <c r="L3" i="114"/>
  <c r="J3" i="114"/>
  <c r="J2" i="114"/>
  <c r="F1" i="114"/>
  <c r="BS5" i="113"/>
  <c r="BV6" i="113" s="1"/>
  <c r="BO5" i="113"/>
  <c r="BP5" i="113" s="1"/>
  <c r="BK5" i="113"/>
  <c r="BL5" i="113" s="1"/>
  <c r="BG5" i="113"/>
  <c r="BH5" i="113" s="1"/>
  <c r="BC5" i="113"/>
  <c r="BF6" i="113" s="1"/>
  <c r="AY5" i="113"/>
  <c r="AZ4" i="113" s="1"/>
  <c r="AU5" i="113"/>
  <c r="AV5" i="113" s="1"/>
  <c r="AQ5" i="113"/>
  <c r="AR5" i="113" s="1"/>
  <c r="AM5" i="113"/>
  <c r="AP6" i="113" s="1"/>
  <c r="AI5" i="113"/>
  <c r="AL6" i="113" s="1"/>
  <c r="AE5" i="113"/>
  <c r="AH6" i="113" s="1"/>
  <c r="AA5" i="113"/>
  <c r="AB4" i="113" s="1"/>
  <c r="W5" i="113"/>
  <c r="Z6" i="113" s="1"/>
  <c r="S5" i="113"/>
  <c r="T5" i="113" s="1"/>
  <c r="O5" i="113"/>
  <c r="P5" i="113" s="1"/>
  <c r="K5" i="113"/>
  <c r="L5" i="113" s="1"/>
  <c r="BP4" i="113"/>
  <c r="BH4" i="113"/>
  <c r="AR4" i="113"/>
  <c r="AJ4" i="113"/>
  <c r="L4" i="113"/>
  <c r="J4" i="113"/>
  <c r="BT3" i="113"/>
  <c r="BP3" i="113"/>
  <c r="BL3" i="113"/>
  <c r="BH3" i="113"/>
  <c r="BD3" i="113"/>
  <c r="AZ3" i="113"/>
  <c r="AV3" i="113"/>
  <c r="AR3" i="113"/>
  <c r="AN3" i="113"/>
  <c r="AJ3" i="113"/>
  <c r="AF3" i="113"/>
  <c r="AB3" i="113"/>
  <c r="X3" i="113"/>
  <c r="T3" i="113"/>
  <c r="P3" i="113"/>
  <c r="L3" i="113"/>
  <c r="J3" i="113"/>
  <c r="J2" i="113"/>
  <c r="F1" i="113"/>
  <c r="X6" i="112"/>
  <c r="BS5" i="112"/>
  <c r="BV6" i="112" s="1"/>
  <c r="BO5" i="112"/>
  <c r="BR6" i="112" s="1"/>
  <c r="BK5" i="112"/>
  <c r="BL5" i="112" s="1"/>
  <c r="BG5" i="112"/>
  <c r="BH5" i="112" s="1"/>
  <c r="BC5" i="112"/>
  <c r="BF6" i="112" s="1"/>
  <c r="AY5" i="112"/>
  <c r="BB6" i="112" s="1"/>
  <c r="AU5" i="112"/>
  <c r="AV5" i="112" s="1"/>
  <c r="AQ5" i="112"/>
  <c r="AR4" i="112" s="1"/>
  <c r="AM5" i="112"/>
  <c r="AP6" i="112" s="1"/>
  <c r="AI5" i="112"/>
  <c r="AL6" i="112" s="1"/>
  <c r="AE5" i="112"/>
  <c r="AG6" i="112" s="1"/>
  <c r="AA5" i="112"/>
  <c r="AB4" i="112" s="1"/>
  <c r="W5" i="112"/>
  <c r="Z6" i="112" s="1"/>
  <c r="S5" i="112"/>
  <c r="V6" i="112" s="1"/>
  <c r="O5" i="112"/>
  <c r="P5" i="112" s="1"/>
  <c r="K5" i="112"/>
  <c r="L5" i="112" s="1"/>
  <c r="BH4" i="112"/>
  <c r="AZ4" i="112"/>
  <c r="AV4" i="112"/>
  <c r="J4" i="112"/>
  <c r="BT3" i="112"/>
  <c r="BP3" i="112"/>
  <c r="BL3" i="112"/>
  <c r="BH3" i="112"/>
  <c r="BD3" i="112"/>
  <c r="AZ3" i="112"/>
  <c r="AV3" i="112"/>
  <c r="AR3" i="112"/>
  <c r="AN3" i="112"/>
  <c r="AJ3" i="112"/>
  <c r="AF3" i="112"/>
  <c r="AB3" i="112"/>
  <c r="X3" i="112"/>
  <c r="T3" i="112"/>
  <c r="P3" i="112"/>
  <c r="L3" i="112"/>
  <c r="J3" i="112"/>
  <c r="J2" i="112"/>
  <c r="F1" i="112"/>
  <c r="BS5" i="111"/>
  <c r="BV6" i="111" s="1"/>
  <c r="BO5" i="111"/>
  <c r="BP5" i="111" s="1"/>
  <c r="BK5" i="111"/>
  <c r="BL5" i="111" s="1"/>
  <c r="BG5" i="111"/>
  <c r="BH5" i="111" s="1"/>
  <c r="BC5" i="111"/>
  <c r="BF6" i="111" s="1"/>
  <c r="AY5" i="111"/>
  <c r="AZ4" i="111" s="1"/>
  <c r="AU5" i="111"/>
  <c r="AV5" i="111" s="1"/>
  <c r="AQ5" i="111"/>
  <c r="AR5" i="111" s="1"/>
  <c r="AM5" i="111"/>
  <c r="AP6" i="111" s="1"/>
  <c r="AI5" i="111"/>
  <c r="AL6" i="111" s="1"/>
  <c r="AE5" i="111"/>
  <c r="AG6" i="111" s="1"/>
  <c r="AA5" i="111"/>
  <c r="AB6" i="111" s="1"/>
  <c r="W5" i="111"/>
  <c r="Z6" i="111" s="1"/>
  <c r="S5" i="111"/>
  <c r="T5" i="111" s="1"/>
  <c r="O5" i="111"/>
  <c r="P5" i="111" s="1"/>
  <c r="K5" i="111"/>
  <c r="L5" i="111" s="1"/>
  <c r="BT4" i="111"/>
  <c r="BP4" i="111"/>
  <c r="BL4" i="111"/>
  <c r="BH4" i="111"/>
  <c r="AV4" i="111"/>
  <c r="AR4" i="111"/>
  <c r="X4" i="111"/>
  <c r="T4" i="111"/>
  <c r="P4" i="111"/>
  <c r="J4" i="111"/>
  <c r="BT3" i="111"/>
  <c r="BP3" i="111"/>
  <c r="BL3" i="111"/>
  <c r="BH3" i="111"/>
  <c r="BD3" i="111"/>
  <c r="AZ3" i="111"/>
  <c r="AV3" i="111"/>
  <c r="AR3" i="111"/>
  <c r="AN3" i="111"/>
  <c r="AJ3" i="111"/>
  <c r="AF3" i="111"/>
  <c r="AB3" i="111"/>
  <c r="X3" i="111"/>
  <c r="T3" i="111"/>
  <c r="P3" i="111"/>
  <c r="L3" i="111"/>
  <c r="J3" i="111"/>
  <c r="J2" i="111"/>
  <c r="F1" i="111"/>
  <c r="AV6" i="110"/>
  <c r="AF6" i="110"/>
  <c r="BS5" i="110"/>
  <c r="BV6" i="110" s="1"/>
  <c r="BO5" i="110"/>
  <c r="BP5" i="110" s="1"/>
  <c r="BK5" i="110"/>
  <c r="BL5" i="110" s="1"/>
  <c r="BG5" i="110"/>
  <c r="BH5" i="110" s="1"/>
  <c r="BC5" i="110"/>
  <c r="BF6" i="110" s="1"/>
  <c r="AY5" i="110"/>
  <c r="AZ4" i="110" s="1"/>
  <c r="AU5" i="110"/>
  <c r="AV5" i="110" s="1"/>
  <c r="AQ5" i="110"/>
  <c r="AR5" i="110" s="1"/>
  <c r="AM5" i="110"/>
  <c r="AP6" i="110" s="1"/>
  <c r="AI5" i="110"/>
  <c r="AL6" i="110" s="1"/>
  <c r="AE5" i="110"/>
  <c r="AH6" i="110" s="1"/>
  <c r="AA5" i="110"/>
  <c r="AB5" i="110" s="1"/>
  <c r="W5" i="110"/>
  <c r="Z6" i="110" s="1"/>
  <c r="S5" i="110"/>
  <c r="T5" i="110" s="1"/>
  <c r="O5" i="110"/>
  <c r="P5" i="110" s="1"/>
  <c r="K5" i="110"/>
  <c r="L5" i="110" s="1"/>
  <c r="BT4" i="110"/>
  <c r="BL4" i="110"/>
  <c r="AR4" i="110"/>
  <c r="J4" i="110"/>
  <c r="BT3" i="110"/>
  <c r="BP3" i="110"/>
  <c r="BL3" i="110"/>
  <c r="BH3" i="110"/>
  <c r="BD3" i="110"/>
  <c r="AZ3" i="110"/>
  <c r="AV3" i="110"/>
  <c r="AR3" i="110"/>
  <c r="AN3" i="110"/>
  <c r="AJ3" i="110"/>
  <c r="AF3" i="110"/>
  <c r="AB3" i="110"/>
  <c r="X3" i="110"/>
  <c r="T3" i="110"/>
  <c r="P3" i="110"/>
  <c r="L3" i="110"/>
  <c r="J3" i="110"/>
  <c r="J2" i="110"/>
  <c r="F1" i="110"/>
  <c r="D17" i="1"/>
  <c r="F24" i="1"/>
  <c r="E24" i="1"/>
  <c r="D24" i="1"/>
  <c r="G24" i="1"/>
  <c r="G11" i="1"/>
  <c r="F11" i="1"/>
  <c r="E11" i="1"/>
  <c r="D11" i="1"/>
  <c r="C11" i="1"/>
  <c r="G13" i="1"/>
  <c r="F13" i="1"/>
  <c r="E13" i="1"/>
  <c r="D13" i="1"/>
  <c r="C13" i="1"/>
  <c r="H7" i="4"/>
  <c r="C27" i="1"/>
  <c r="N3" i="1"/>
  <c r="K5" i="2"/>
  <c r="G37" i="1"/>
  <c r="F36" i="1"/>
  <c r="D37" i="1"/>
  <c r="E37" i="1"/>
  <c r="G36" i="1"/>
  <c r="E36" i="1"/>
  <c r="D36" i="1"/>
  <c r="C11" i="36"/>
  <c r="C10" i="36"/>
  <c r="C29" i="36"/>
  <c r="C31" i="36" s="1"/>
  <c r="J110" i="3"/>
  <c r="AS6" i="110" l="1"/>
  <c r="BH6" i="110"/>
  <c r="BD5" i="110"/>
  <c r="BI6" i="110"/>
  <c r="L4" i="110"/>
  <c r="BL6" i="110"/>
  <c r="P4" i="110"/>
  <c r="T4" i="110"/>
  <c r="X4" i="110"/>
  <c r="AF5" i="110"/>
  <c r="L6" i="110"/>
  <c r="M6" i="110"/>
  <c r="BH4" i="110"/>
  <c r="P6" i="110"/>
  <c r="BP4" i="110"/>
  <c r="AR6" i="110"/>
  <c r="BM6" i="111"/>
  <c r="AF5" i="111"/>
  <c r="L6" i="111"/>
  <c r="BT6" i="111"/>
  <c r="P6" i="111"/>
  <c r="Q6" i="111"/>
  <c r="X6" i="111"/>
  <c r="AF6" i="111"/>
  <c r="AN6" i="111"/>
  <c r="AR6" i="111"/>
  <c r="BD5" i="111"/>
  <c r="AV6" i="111"/>
  <c r="L4" i="111"/>
  <c r="AW6" i="111"/>
  <c r="BH6" i="111"/>
  <c r="BL6" i="111"/>
  <c r="L4" i="112"/>
  <c r="AN6" i="112"/>
  <c r="X4" i="112"/>
  <c r="AO6" i="112"/>
  <c r="AV6" i="112"/>
  <c r="BL6" i="112"/>
  <c r="BM6" i="112"/>
  <c r="P6" i="112"/>
  <c r="Q6" i="112"/>
  <c r="L6" i="113"/>
  <c r="P4" i="113"/>
  <c r="M6" i="113"/>
  <c r="T4" i="113"/>
  <c r="AR6" i="113"/>
  <c r="AS6" i="113"/>
  <c r="BH6" i="113"/>
  <c r="BI6" i="113"/>
  <c r="BL4" i="113"/>
  <c r="L4" i="114"/>
  <c r="T4" i="114"/>
  <c r="AR4" i="114"/>
  <c r="BP4" i="114"/>
  <c r="L6" i="114"/>
  <c r="AR6" i="114"/>
  <c r="L6" i="115"/>
  <c r="AR6" i="115"/>
  <c r="L4" i="115"/>
  <c r="BH6" i="115"/>
  <c r="T4" i="115"/>
  <c r="L6" i="116"/>
  <c r="P6" i="116"/>
  <c r="L4" i="116"/>
  <c r="AR4" i="116"/>
  <c r="Q6" i="116"/>
  <c r="BH4" i="116"/>
  <c r="AO6" i="116"/>
  <c r="BP4" i="116"/>
  <c r="AR6" i="116"/>
  <c r="BE6" i="116"/>
  <c r="BD5" i="116"/>
  <c r="AR4" i="117"/>
  <c r="Q6" i="117"/>
  <c r="BP4" i="117"/>
  <c r="BL6" i="117"/>
  <c r="BM6" i="117"/>
  <c r="BD5" i="117"/>
  <c r="L4" i="117"/>
  <c r="X4" i="117"/>
  <c r="AF5" i="117"/>
  <c r="L6" i="117"/>
  <c r="AR6" i="118"/>
  <c r="BH6" i="118"/>
  <c r="AB6" i="118"/>
  <c r="P4" i="118"/>
  <c r="BL4" i="118"/>
  <c r="AB5" i="118"/>
  <c r="AZ5" i="118"/>
  <c r="M6" i="118"/>
  <c r="AC6" i="118"/>
  <c r="AS6" i="118"/>
  <c r="BI6" i="118"/>
  <c r="N6" i="118"/>
  <c r="AD6" i="118"/>
  <c r="AT6" i="118"/>
  <c r="BJ6" i="118"/>
  <c r="X4" i="118"/>
  <c r="BT4" i="118"/>
  <c r="AF5" i="118"/>
  <c r="BD5" i="118"/>
  <c r="P6" i="118"/>
  <c r="AF6" i="118"/>
  <c r="AV6" i="118"/>
  <c r="BL6" i="118"/>
  <c r="Q6" i="118"/>
  <c r="AG6" i="118"/>
  <c r="AW6" i="118"/>
  <c r="BM6" i="118"/>
  <c r="AF4" i="118"/>
  <c r="AJ5" i="118"/>
  <c r="R6" i="118"/>
  <c r="AX6" i="118"/>
  <c r="BN6" i="118"/>
  <c r="AJ4" i="118"/>
  <c r="T6" i="118"/>
  <c r="AJ6" i="118"/>
  <c r="AZ6" i="118"/>
  <c r="BP6" i="118"/>
  <c r="AN4" i="118"/>
  <c r="AN5" i="118"/>
  <c r="U6" i="118"/>
  <c r="AK6" i="118"/>
  <c r="BA6" i="118"/>
  <c r="BQ6" i="118"/>
  <c r="V6" i="118"/>
  <c r="BB6" i="118"/>
  <c r="BR6" i="118"/>
  <c r="AV4" i="118"/>
  <c r="X6" i="118"/>
  <c r="AN6" i="118"/>
  <c r="BD6" i="118"/>
  <c r="BT6" i="118"/>
  <c r="Y6" i="118"/>
  <c r="AO6" i="118"/>
  <c r="BE6" i="118"/>
  <c r="BU6" i="118"/>
  <c r="BD4" i="118"/>
  <c r="X5" i="118"/>
  <c r="BT5" i="118"/>
  <c r="AB6" i="117"/>
  <c r="AR6" i="117"/>
  <c r="BH6" i="117"/>
  <c r="P4" i="117"/>
  <c r="BL4" i="117"/>
  <c r="AB5" i="117"/>
  <c r="AZ5" i="117"/>
  <c r="M6" i="117"/>
  <c r="AC6" i="117"/>
  <c r="AS6" i="117"/>
  <c r="BI6" i="117"/>
  <c r="N6" i="117"/>
  <c r="AD6" i="117"/>
  <c r="AT6" i="117"/>
  <c r="BJ6" i="117"/>
  <c r="AF6" i="117"/>
  <c r="AV6" i="117"/>
  <c r="AW6" i="117"/>
  <c r="AF4" i="117"/>
  <c r="AJ5" i="117"/>
  <c r="R6" i="117"/>
  <c r="AH6" i="117"/>
  <c r="AX6" i="117"/>
  <c r="BN6" i="117"/>
  <c r="AJ4" i="117"/>
  <c r="T6" i="117"/>
  <c r="AJ6" i="117"/>
  <c r="AZ6" i="117"/>
  <c r="BP6" i="117"/>
  <c r="AN4" i="117"/>
  <c r="AN5" i="117"/>
  <c r="U6" i="117"/>
  <c r="AK6" i="117"/>
  <c r="BA6" i="117"/>
  <c r="BQ6" i="117"/>
  <c r="V6" i="117"/>
  <c r="BR6" i="117"/>
  <c r="AV4" i="117"/>
  <c r="X6" i="117"/>
  <c r="BD6" i="117"/>
  <c r="BT6" i="117"/>
  <c r="Y6" i="117"/>
  <c r="BE6" i="117"/>
  <c r="BU6" i="117"/>
  <c r="BD4" i="117"/>
  <c r="X5" i="117"/>
  <c r="BT5" i="117"/>
  <c r="AB6" i="116"/>
  <c r="P4" i="116"/>
  <c r="BL4" i="116"/>
  <c r="AB5" i="116"/>
  <c r="AZ5" i="116"/>
  <c r="M6" i="116"/>
  <c r="AC6" i="116"/>
  <c r="AS6" i="116"/>
  <c r="BI6" i="116"/>
  <c r="N6" i="116"/>
  <c r="AD6" i="116"/>
  <c r="AT6" i="116"/>
  <c r="BJ6" i="116"/>
  <c r="X4" i="116"/>
  <c r="BT4" i="116"/>
  <c r="AF6" i="116"/>
  <c r="AV6" i="116"/>
  <c r="AG6" i="116"/>
  <c r="AW6" i="116"/>
  <c r="BM6" i="116"/>
  <c r="AF4" i="116"/>
  <c r="AJ5" i="116"/>
  <c r="R6" i="116"/>
  <c r="AX6" i="116"/>
  <c r="BN6" i="116"/>
  <c r="AJ4" i="116"/>
  <c r="T6" i="116"/>
  <c r="AJ6" i="116"/>
  <c r="AZ6" i="116"/>
  <c r="BP6" i="116"/>
  <c r="AN4" i="116"/>
  <c r="AN5" i="116"/>
  <c r="U6" i="116"/>
  <c r="AK6" i="116"/>
  <c r="BA6" i="116"/>
  <c r="BQ6" i="116"/>
  <c r="V6" i="116"/>
  <c r="BR6" i="116"/>
  <c r="AV4" i="116"/>
  <c r="X6" i="116"/>
  <c r="BD6" i="116"/>
  <c r="BT6" i="116"/>
  <c r="Y6" i="116"/>
  <c r="BU6" i="116"/>
  <c r="BD4" i="116"/>
  <c r="X5" i="116"/>
  <c r="BT5" i="116"/>
  <c r="P4" i="115"/>
  <c r="BL4" i="115"/>
  <c r="AB5" i="115"/>
  <c r="AZ5" i="115"/>
  <c r="M6" i="115"/>
  <c r="AC6" i="115"/>
  <c r="AS6" i="115"/>
  <c r="BI6" i="115"/>
  <c r="N6" i="115"/>
  <c r="AD6" i="115"/>
  <c r="AT6" i="115"/>
  <c r="BJ6" i="115"/>
  <c r="X4" i="115"/>
  <c r="BT4" i="115"/>
  <c r="AF5" i="115"/>
  <c r="BD5" i="115"/>
  <c r="P6" i="115"/>
  <c r="AF6" i="115"/>
  <c r="AV6" i="115"/>
  <c r="BL6" i="115"/>
  <c r="AB6" i="115"/>
  <c r="Q6" i="115"/>
  <c r="AG6" i="115"/>
  <c r="AW6" i="115"/>
  <c r="BM6" i="115"/>
  <c r="AF4" i="115"/>
  <c r="AJ5" i="115"/>
  <c r="R6" i="115"/>
  <c r="AX6" i="115"/>
  <c r="BN6" i="115"/>
  <c r="T6" i="115"/>
  <c r="AJ6" i="115"/>
  <c r="AZ6" i="115"/>
  <c r="BP6" i="115"/>
  <c r="AN4" i="115"/>
  <c r="AN5" i="115"/>
  <c r="U6" i="115"/>
  <c r="AK6" i="115"/>
  <c r="BA6" i="115"/>
  <c r="BQ6" i="115"/>
  <c r="V6" i="115"/>
  <c r="BB6" i="115"/>
  <c r="BR6" i="115"/>
  <c r="AV4" i="115"/>
  <c r="X6" i="115"/>
  <c r="AN6" i="115"/>
  <c r="BD6" i="115"/>
  <c r="BT6" i="115"/>
  <c r="Y6" i="115"/>
  <c r="AO6" i="115"/>
  <c r="BE6" i="115"/>
  <c r="BU6" i="115"/>
  <c r="BD4" i="115"/>
  <c r="X5" i="115"/>
  <c r="BT5" i="115"/>
  <c r="AB6" i="114"/>
  <c r="P4" i="114"/>
  <c r="BL4" i="114"/>
  <c r="AB5" i="114"/>
  <c r="AZ5" i="114"/>
  <c r="M6" i="114"/>
  <c r="AC6" i="114"/>
  <c r="AS6" i="114"/>
  <c r="BI6" i="114"/>
  <c r="N6" i="114"/>
  <c r="AD6" i="114"/>
  <c r="AT6" i="114"/>
  <c r="BJ6" i="114"/>
  <c r="X4" i="114"/>
  <c r="BT4" i="114"/>
  <c r="AF5" i="114"/>
  <c r="BD5" i="114"/>
  <c r="P6" i="114"/>
  <c r="AF6" i="114"/>
  <c r="AV6" i="114"/>
  <c r="BL6" i="114"/>
  <c r="Q6" i="114"/>
  <c r="AG6" i="114"/>
  <c r="AW6" i="114"/>
  <c r="BM6" i="114"/>
  <c r="AF4" i="114"/>
  <c r="AJ5" i="114"/>
  <c r="R6" i="114"/>
  <c r="AX6" i="114"/>
  <c r="BN6" i="114"/>
  <c r="AJ4" i="114"/>
  <c r="T6" i="114"/>
  <c r="AJ6" i="114"/>
  <c r="AZ6" i="114"/>
  <c r="BP6" i="114"/>
  <c r="AN4" i="114"/>
  <c r="AN5" i="114"/>
  <c r="U6" i="114"/>
  <c r="AK6" i="114"/>
  <c r="BA6" i="114"/>
  <c r="BQ6" i="114"/>
  <c r="V6" i="114"/>
  <c r="BB6" i="114"/>
  <c r="BR6" i="114"/>
  <c r="AV4" i="114"/>
  <c r="X6" i="114"/>
  <c r="AN6" i="114"/>
  <c r="BD6" i="114"/>
  <c r="BT6" i="114"/>
  <c r="Y6" i="114"/>
  <c r="AO6" i="114"/>
  <c r="BE6" i="114"/>
  <c r="BU6" i="114"/>
  <c r="BD4" i="114"/>
  <c r="X5" i="114"/>
  <c r="BT5" i="114"/>
  <c r="AB5" i="113"/>
  <c r="AZ5" i="113"/>
  <c r="AC6" i="113"/>
  <c r="N6" i="113"/>
  <c r="AD6" i="113"/>
  <c r="AT6" i="113"/>
  <c r="BJ6" i="113"/>
  <c r="X4" i="113"/>
  <c r="BT4" i="113"/>
  <c r="AF5" i="113"/>
  <c r="BD5" i="113"/>
  <c r="P6" i="113"/>
  <c r="AF6" i="113"/>
  <c r="AV6" i="113"/>
  <c r="BL6" i="113"/>
  <c r="AB6" i="113"/>
  <c r="Q6" i="113"/>
  <c r="AG6" i="113"/>
  <c r="AW6" i="113"/>
  <c r="BM6" i="113"/>
  <c r="AF4" i="113"/>
  <c r="AJ5" i="113"/>
  <c r="R6" i="113"/>
  <c r="AX6" i="113"/>
  <c r="BN6" i="113"/>
  <c r="T6" i="113"/>
  <c r="AJ6" i="113"/>
  <c r="AZ6" i="113"/>
  <c r="BP6" i="113"/>
  <c r="AN4" i="113"/>
  <c r="AN5" i="113"/>
  <c r="U6" i="113"/>
  <c r="AK6" i="113"/>
  <c r="BA6" i="113"/>
  <c r="BQ6" i="113"/>
  <c r="V6" i="113"/>
  <c r="BB6" i="113"/>
  <c r="BR6" i="113"/>
  <c r="AV4" i="113"/>
  <c r="X6" i="113"/>
  <c r="AN6" i="113"/>
  <c r="BD6" i="113"/>
  <c r="BT6" i="113"/>
  <c r="Y6" i="113"/>
  <c r="AO6" i="113"/>
  <c r="BE6" i="113"/>
  <c r="BU6" i="113"/>
  <c r="BD4" i="113"/>
  <c r="X5" i="113"/>
  <c r="BT5" i="113"/>
  <c r="L6" i="112"/>
  <c r="AB6" i="112"/>
  <c r="AR6" i="112"/>
  <c r="BH6" i="112"/>
  <c r="P4" i="112"/>
  <c r="BL4" i="112"/>
  <c r="AB5" i="112"/>
  <c r="AZ5" i="112"/>
  <c r="M6" i="112"/>
  <c r="AC6" i="112"/>
  <c r="AS6" i="112"/>
  <c r="BI6" i="112"/>
  <c r="N6" i="112"/>
  <c r="AD6" i="112"/>
  <c r="AT6" i="112"/>
  <c r="BJ6" i="112"/>
  <c r="AR5" i="112"/>
  <c r="BP4" i="112"/>
  <c r="AW6" i="112"/>
  <c r="AF4" i="112"/>
  <c r="AJ5" i="112"/>
  <c r="R6" i="112"/>
  <c r="AH6" i="112"/>
  <c r="AX6" i="112"/>
  <c r="BN6" i="112"/>
  <c r="T5" i="112"/>
  <c r="BP5" i="112"/>
  <c r="T4" i="112"/>
  <c r="BD5" i="112"/>
  <c r="AF6" i="112"/>
  <c r="AJ4" i="112"/>
  <c r="T6" i="112"/>
  <c r="AJ6" i="112"/>
  <c r="AZ6" i="112"/>
  <c r="BP6" i="112"/>
  <c r="BT4" i="112"/>
  <c r="AF5" i="112"/>
  <c r="AN4" i="112"/>
  <c r="AN5" i="112"/>
  <c r="U6" i="112"/>
  <c r="AK6" i="112"/>
  <c r="BA6" i="112"/>
  <c r="BQ6" i="112"/>
  <c r="BD6" i="112"/>
  <c r="BT6" i="112"/>
  <c r="Y6" i="112"/>
  <c r="BE6" i="112"/>
  <c r="BU6" i="112"/>
  <c r="BD4" i="112"/>
  <c r="X5" i="112"/>
  <c r="BT5" i="112"/>
  <c r="AB5" i="111"/>
  <c r="AZ5" i="111"/>
  <c r="M6" i="111"/>
  <c r="AC6" i="111"/>
  <c r="AS6" i="111"/>
  <c r="BI6" i="111"/>
  <c r="N6" i="111"/>
  <c r="AD6" i="111"/>
  <c r="AT6" i="111"/>
  <c r="BJ6" i="111"/>
  <c r="AF4" i="111"/>
  <c r="AJ5" i="111"/>
  <c r="R6" i="111"/>
  <c r="AH6" i="111"/>
  <c r="AX6" i="111"/>
  <c r="BN6" i="111"/>
  <c r="AJ4" i="111"/>
  <c r="T6" i="111"/>
  <c r="AJ6" i="111"/>
  <c r="AZ6" i="111"/>
  <c r="BP6" i="111"/>
  <c r="AB4" i="111"/>
  <c r="AN4" i="111"/>
  <c r="AN5" i="111"/>
  <c r="U6" i="111"/>
  <c r="AK6" i="111"/>
  <c r="BA6" i="111"/>
  <c r="BQ6" i="111"/>
  <c r="V6" i="111"/>
  <c r="BB6" i="111"/>
  <c r="BR6" i="111"/>
  <c r="BD6" i="111"/>
  <c r="Y6" i="111"/>
  <c r="AO6" i="111"/>
  <c r="BE6" i="111"/>
  <c r="BU6" i="111"/>
  <c r="BD4" i="111"/>
  <c r="X5" i="111"/>
  <c r="BT5" i="111"/>
  <c r="N6" i="110"/>
  <c r="AD6" i="110"/>
  <c r="AT6" i="110"/>
  <c r="BJ6" i="110"/>
  <c r="Q6" i="110"/>
  <c r="AG6" i="110"/>
  <c r="AW6" i="110"/>
  <c r="BM6" i="110"/>
  <c r="AB4" i="110"/>
  <c r="AF4" i="110"/>
  <c r="AJ5" i="110"/>
  <c r="R6" i="110"/>
  <c r="AX6" i="110"/>
  <c r="BN6" i="110"/>
  <c r="AC6" i="110"/>
  <c r="AJ4" i="110"/>
  <c r="T6" i="110"/>
  <c r="AJ6" i="110"/>
  <c r="AZ6" i="110"/>
  <c r="BP6" i="110"/>
  <c r="AZ5" i="110"/>
  <c r="AN4" i="110"/>
  <c r="AN5" i="110"/>
  <c r="U6" i="110"/>
  <c r="AK6" i="110"/>
  <c r="BA6" i="110"/>
  <c r="BQ6" i="110"/>
  <c r="V6" i="110"/>
  <c r="BB6" i="110"/>
  <c r="BR6" i="110"/>
  <c r="AB6" i="110"/>
  <c r="AV4" i="110"/>
  <c r="X6" i="110"/>
  <c r="AN6" i="110"/>
  <c r="BD6" i="110"/>
  <c r="BT6" i="110"/>
  <c r="Y6" i="110"/>
  <c r="AO6" i="110"/>
  <c r="BE6" i="110"/>
  <c r="BU6" i="110"/>
  <c r="BD4" i="110"/>
  <c r="X5" i="110"/>
  <c r="BT5" i="110"/>
  <c r="F37" i="1"/>
  <c r="D26" i="1"/>
  <c r="E26" i="1"/>
  <c r="F26" i="1"/>
  <c r="G26" i="1"/>
  <c r="C30" i="36"/>
  <c r="B86" i="3"/>
  <c r="F6" i="1"/>
  <c r="C26" i="36" l="1"/>
  <c r="C25" i="36"/>
  <c r="K3" i="1" l="1"/>
  <c r="D21" i="1" l="1"/>
  <c r="BS5" i="2" l="1"/>
  <c r="BV6" i="2" s="1"/>
  <c r="BO5" i="2"/>
  <c r="BR6" i="2" s="1"/>
  <c r="BK5" i="2"/>
  <c r="BN6" i="2" s="1"/>
  <c r="BG5" i="2"/>
  <c r="BH4" i="2" s="1"/>
  <c r="BC5" i="2"/>
  <c r="BF6" i="2" s="1"/>
  <c r="AY5" i="2"/>
  <c r="BB6" i="2" s="1"/>
  <c r="AU5" i="2"/>
  <c r="AX6" i="2" s="1"/>
  <c r="AQ5" i="2"/>
  <c r="AT6" i="2" s="1"/>
  <c r="AM5" i="2"/>
  <c r="AP6" i="2" s="1"/>
  <c r="AI5" i="2"/>
  <c r="AL6" i="2" s="1"/>
  <c r="BT3" i="2"/>
  <c r="BP3" i="2"/>
  <c r="BL3" i="2"/>
  <c r="BH3" i="2"/>
  <c r="BD3" i="2"/>
  <c r="AZ3" i="2"/>
  <c r="AV3" i="2"/>
  <c r="AR3" i="2"/>
  <c r="AN3" i="2"/>
  <c r="AJ3" i="2"/>
  <c r="AF3" i="2"/>
  <c r="AE5" i="2"/>
  <c r="AJ6" i="2" l="1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AJ5" i="2"/>
  <c r="AZ5" i="2"/>
  <c r="BL5" i="2"/>
  <c r="AV5" i="2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AB3" i="2"/>
  <c r="X3" i="2"/>
  <c r="T3" i="2"/>
  <c r="P3" i="2"/>
  <c r="L3" i="2"/>
  <c r="J4" i="2"/>
  <c r="J3" i="2"/>
  <c r="J2" i="2"/>
  <c r="AA5" i="2"/>
  <c r="AD6" i="2" s="1"/>
  <c r="W5" i="2"/>
  <c r="Z6" i="2" s="1"/>
  <c r="S5" i="2"/>
  <c r="V6" i="2" s="1"/>
  <c r="O5" i="2"/>
  <c r="R6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AA47" i="4" l="1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F4" i="2"/>
  <c r="AF5" i="2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X6" i="2"/>
  <c r="AB5" i="2"/>
  <c r="AB6" i="2"/>
  <c r="T5" i="2"/>
  <c r="T6" i="2"/>
  <c r="P5" i="2"/>
  <c r="P6" i="2"/>
  <c r="F23" i="1" l="1"/>
  <c r="F21" i="1"/>
  <c r="F22" i="1"/>
  <c r="C28" i="1"/>
  <c r="D23" i="1"/>
  <c r="G23" i="1"/>
  <c r="E23" i="1"/>
  <c r="C23" i="1"/>
  <c r="C22" i="1"/>
  <c r="C21" i="1"/>
  <c r="G22" i="1"/>
  <c r="E22" i="1"/>
  <c r="D22" i="1"/>
  <c r="G21" i="1"/>
  <c r="E21" i="1"/>
  <c r="C26" i="1"/>
  <c r="C37" i="1"/>
  <c r="C24" i="1"/>
  <c r="C36" i="1"/>
</calcChain>
</file>

<file path=xl/sharedStrings.xml><?xml version="1.0" encoding="utf-8"?>
<sst xmlns="http://schemas.openxmlformats.org/spreadsheetml/2006/main" count="1164" uniqueCount="751">
  <si>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</si>
  <si>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</si>
  <si>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</si>
  <si>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</si>
  <si>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</si>
  <si>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</si>
  <si>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</si>
  <si>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</si>
  <si>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</si>
  <si>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</si>
  <si>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</si>
  <si>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</si>
  <si>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</si>
  <si>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</si>
  <si>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</si>
  <si>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</si>
  <si>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</si>
  <si>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</si>
  <si>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</si>
  <si>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</si>
  <si>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</si>
  <si>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</si>
  <si>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</si>
  <si>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</si>
  <si>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</si>
  <si>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</si>
  <si>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</si>
  <si>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</si>
  <si>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</si>
  <si>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</si>
  <si>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</si>
  <si>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</si>
  <si>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</si>
  <si>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</si>
  <si>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</si>
  <si>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</si>
  <si>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</si>
  <si>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</si>
  <si>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</si>
  <si>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</si>
  <si>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</si>
  <si>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</si>
  <si>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</si>
  <si>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</si>
  <si>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</si>
  <si>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</si>
  <si>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</si>
  <si>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</si>
  <si>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</si>
  <si>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</si>
  <si>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</si>
  <si>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</si>
  <si>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</si>
  <si>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</si>
  <si>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</si>
  <si>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</si>
  <si>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</si>
  <si>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</si>
  <si>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</si>
  <si>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</si>
  <si>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</si>
  <si>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</si>
  <si>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</si>
  <si>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</si>
  <si>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</si>
  <si>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</si>
  <si>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</si>
  <si>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</si>
  <si>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</si>
  <si>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</si>
  <si>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</si>
  <si>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</si>
  <si>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</si>
  <si>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</si>
  <si>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</si>
  <si>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</si>
  <si>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</si>
  <si>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</si>
  <si>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</si>
  <si>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</si>
  <si>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</si>
  <si>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</si>
  <si>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</si>
  <si>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</si>
  <si>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</si>
  <si>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</si>
  <si>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</si>
  <si>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</si>
  <si>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</si>
  <si>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</si>
  <si>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</si>
  <si>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</si>
  <si>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</si>
  <si>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</si>
  <si>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</si>
  <si>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</si>
  <si>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</si>
  <si>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</si>
  <si>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</si>
  <si>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</si>
  <si>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</si>
  <si>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</si>
  <si>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</si>
  <si>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</si>
  <si>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</si>
  <si>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</si>
  <si>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</si>
  <si>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</si>
  <si>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</si>
  <si>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</si>
  <si>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</si>
  <si>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</si>
  <si>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</si>
  <si>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</si>
  <si>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</si>
  <si>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</si>
  <si>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</si>
  <si>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</si>
  <si>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</si>
  <si>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</si>
  <si>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</si>
  <si>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</si>
  <si>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</si>
  <si>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</si>
  <si>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</si>
  <si>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</si>
  <si>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</si>
  <si>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</si>
  <si>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</si>
  <si>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</si>
  <si>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</si>
  <si>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</si>
  <si>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</si>
  <si>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</si>
  <si>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</si>
  <si>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</si>
  <si>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</si>
  <si>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</si>
  <si>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</si>
  <si>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</si>
  <si>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</si>
  <si>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</si>
  <si>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</si>
  <si>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</si>
  <si>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</si>
  <si>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</si>
  <si>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</si>
  <si>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</si>
  <si>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</si>
  <si>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</si>
  <si>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</si>
  <si>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</si>
  <si>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</si>
  <si>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</si>
  <si>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</si>
  <si>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</si>
  <si>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</si>
  <si>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</si>
  <si>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</si>
  <si>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</si>
  <si>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</si>
  <si>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</si>
  <si>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</si>
  <si>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</si>
  <si>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</si>
  <si>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</si>
  <si>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</si>
  <si>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</si>
  <si>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</si>
  <si>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</si>
  <si>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</si>
  <si>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</si>
  <si>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</si>
  <si>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</si>
  <si>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</si>
  <si>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</si>
  <si>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</si>
  <si>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</si>
  <si>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</si>
  <si>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</si>
  <si>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</si>
  <si>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</si>
  <si>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</si>
  <si>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</si>
  <si>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</si>
  <si>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</si>
  <si>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</si>
  <si>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</si>
  <si>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</si>
  <si>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</si>
  <si>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</si>
  <si>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</si>
  <si>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</si>
  <si>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</si>
  <si>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</si>
  <si>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</si>
  <si>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</si>
  <si>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</si>
  <si>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</si>
  <si>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</si>
  <si>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</si>
  <si>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</si>
  <si>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</si>
  <si>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</si>
  <si>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</si>
  <si>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</si>
  <si>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</si>
  <si>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</si>
  <si>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</si>
  <si>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</si>
  <si>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</si>
  <si>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</si>
  <si>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</si>
  <si>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</si>
  <si>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</si>
  <si>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</si>
  <si>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</si>
  <si>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</si>
  <si>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</si>
  <si>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</si>
  <si>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</si>
  <si>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</si>
  <si>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</si>
  <si>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</si>
  <si>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</si>
  <si>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</si>
  <si>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</si>
  <si>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</si>
  <si>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</si>
  <si>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</si>
  <si>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</si>
  <si>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</si>
  <si>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</si>
  <si>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</si>
  <si>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</si>
  <si>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</si>
  <si>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</si>
  <si>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</si>
  <si>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</si>
  <si>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</si>
  <si>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</si>
  <si>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</si>
  <si>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</si>
  <si>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</si>
  <si>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</si>
  <si>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</si>
  <si>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</si>
  <si>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</si>
  <si>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</si>
  <si>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</si>
  <si>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</si>
  <si>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</si>
  <si>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</si>
  <si>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</si>
  <si>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</si>
  <si>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</si>
  <si>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</si>
  <si>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</si>
  <si>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</si>
  <si>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</si>
  <si>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</si>
  <si>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</si>
  <si>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</si>
  <si>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</si>
  <si>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</si>
  <si>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</si>
  <si>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</si>
  <si>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</si>
  <si>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</si>
  <si>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</si>
  <si>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</si>
  <si>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</si>
  <si>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</si>
  <si>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</si>
  <si>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</si>
  <si>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</si>
  <si>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</si>
  <si>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</si>
  <si>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</si>
  <si>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</si>
  <si>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</si>
  <si>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</si>
  <si>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</si>
  <si>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</si>
  <si>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</si>
  <si>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</si>
  <si>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</si>
  <si>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</si>
  <si>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</si>
  <si>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</si>
  <si>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</si>
  <si>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</si>
  <si>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</si>
  <si>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</si>
  <si>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</si>
  <si>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</si>
  <si>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</si>
  <si>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</si>
  <si>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</si>
  <si>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</si>
  <si>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</si>
  <si>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</si>
  <si>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</si>
  <si>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</si>
  <si>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</si>
  <si>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</si>
  <si>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</si>
  <si>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</si>
  <si>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</si>
  <si>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</si>
  <si>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</si>
  <si>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</si>
  <si>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</si>
  <si>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</si>
  <si>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</si>
  <si>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</si>
  <si>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</si>
  <si>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</si>
  <si>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</si>
  <si>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</si>
  <si>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</si>
  <si>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</si>
  <si>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</si>
  <si>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</si>
  <si>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</si>
  <si>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</si>
  <si>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</si>
  <si>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</si>
  <si>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</si>
  <si>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</si>
  <si>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</si>
  <si>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</si>
  <si>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</si>
  <si>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</si>
  <si>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</si>
  <si>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</si>
  <si>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</si>
  <si>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</si>
  <si>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</si>
  <si>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</si>
  <si>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</si>
  <si>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</si>
  <si>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</si>
  <si>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</si>
  <si>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</si>
  <si>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</si>
  <si>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</si>
  <si>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</si>
  <si>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</si>
  <si>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</si>
  <si>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</si>
  <si>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</si>
  <si>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</si>
  <si>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</si>
  <si>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</si>
  <si>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</si>
  <si>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</si>
  <si>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</si>
  <si>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</si>
  <si>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</si>
  <si>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</si>
  <si>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</si>
  <si>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</si>
  <si>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</si>
  <si>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</si>
  <si>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</si>
  <si>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</si>
  <si>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</si>
  <si>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</si>
  <si>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</si>
  <si>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</si>
  <si>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</si>
  <si>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</si>
  <si>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</si>
  <si>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</si>
  <si>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</si>
  <si>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</si>
  <si>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</si>
  <si>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</si>
  <si>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</si>
  <si>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</si>
  <si>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</si>
  <si>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</si>
  <si>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</si>
  <si>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</si>
  <si>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</si>
  <si>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</si>
  <si>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</si>
  <si>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</si>
  <si>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</si>
  <si>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</si>
  <si>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</si>
  <si>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</si>
  <si>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</si>
  <si>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</si>
  <si>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</si>
  <si>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</si>
  <si>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</si>
  <si>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</si>
  <si>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</si>
  <si>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</si>
  <si>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</si>
  <si>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</si>
  <si>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</si>
  <si>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</si>
  <si>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</si>
  <si>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</si>
  <si>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</si>
  <si>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</si>
  <si>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</si>
  <si>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</si>
  <si>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</si>
  <si>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</si>
  <si>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</si>
  <si>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</si>
  <si>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</si>
  <si>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</si>
  <si>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</si>
  <si>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</si>
  <si>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</si>
  <si>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</si>
  <si>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</si>
  <si>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</si>
  <si>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</si>
  <si>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</si>
  <si>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</si>
  <si>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</si>
  <si>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</si>
  <si>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</si>
  <si>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</si>
  <si>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</si>
  <si>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</si>
  <si>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</si>
  <si>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</si>
  <si>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</si>
  <si>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</si>
  <si>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</si>
  <si>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</si>
  <si>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</si>
  <si>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</si>
  <si>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</si>
  <si>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</si>
  <si>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</si>
  <si>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</si>
  <si>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</si>
  <si>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</si>
  <si>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</si>
  <si>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</si>
  <si>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</si>
  <si>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</si>
  <si>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</si>
  <si>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</si>
  <si>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</si>
  <si>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</si>
  <si>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</si>
  <si>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</si>
  <si>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</si>
  <si>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</si>
  <si>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</si>
  <si>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</si>
  <si>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</si>
  <si>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</si>
  <si>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</si>
  <si>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</si>
  <si>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</si>
  <si>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</si>
  <si>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</si>
  <si>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</si>
  <si>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</si>
  <si>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</si>
  <si>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</si>
  <si>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</si>
  <si>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</si>
  <si>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</si>
  <si>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</si>
  <si>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</si>
  <si>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</si>
  <si>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</si>
  <si>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</si>
  <si>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</si>
  <si>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</si>
  <si>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</si>
  <si>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</si>
  <si>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</si>
  <si>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</si>
  <si>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</si>
  <si>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</si>
  <si>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</si>
  <si>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</si>
  <si>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</si>
  <si>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</si>
  <si>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</si>
  <si>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</si>
  <si>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</si>
  <si>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</si>
  <si>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</si>
  <si>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</si>
  <si>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</si>
  <si>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</si>
  <si>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</si>
  <si>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</si>
  <si>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</si>
  <si>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</si>
  <si>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</si>
  <si>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</si>
  <si>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</si>
  <si>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</si>
  <si>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</si>
  <si>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</si>
  <si>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</si>
  <si>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</si>
  <si>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</si>
  <si>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</si>
  <si>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</si>
  <si>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</si>
  <si>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</si>
  <si>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</si>
  <si>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</si>
  <si>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</si>
  <si>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</si>
  <si>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</si>
  <si>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</si>
  <si>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</si>
  <si>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</si>
  <si>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</si>
  <si>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</si>
  <si>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</si>
  <si>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</si>
  <si>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</si>
  <si>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</si>
  <si>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</si>
  <si>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</si>
  <si>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</si>
  <si>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</si>
  <si>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</si>
  <si>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</si>
  <si>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</si>
  <si>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</si>
  <si>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</si>
  <si>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</si>
  <si>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</si>
  <si>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</si>
  <si>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</si>
  <si>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</si>
  <si>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</si>
  <si>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</si>
  <si>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</si>
  <si>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</si>
  <si>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</si>
  <si>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</si>
  <si>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</si>
  <si>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</si>
  <si>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</si>
  <si>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</si>
  <si>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</si>
  <si>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</si>
  <si>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</si>
  <si>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</si>
  <si>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</si>
  <si>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</si>
  <si>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</si>
  <si>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</si>
  <si>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</si>
  <si>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</si>
  <si>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</si>
  <si>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</si>
  <si>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</si>
  <si>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</si>
  <si>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</si>
  <si>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</si>
  <si>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</si>
  <si>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</si>
  <si>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</si>
  <si>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</si>
  <si>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</si>
  <si>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</si>
  <si>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</si>
  <si>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</si>
  <si>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</si>
  <si>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</si>
  <si>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</si>
  <si>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</si>
  <si>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</si>
  <si>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</si>
  <si>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</si>
  <si>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</si>
  <si>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</si>
  <si>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</si>
  <si>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</si>
  <si>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</si>
  <si>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</si>
  <si>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</si>
  <si>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</si>
  <si>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</si>
  <si>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</si>
  <si>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</si>
  <si>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</si>
  <si>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</si>
  <si>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</si>
  <si>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</si>
  <si>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</si>
  <si>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</si>
  <si>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</si>
  <si>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</si>
  <si>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</si>
  <si>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</si>
  <si>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</si>
  <si>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</si>
  <si>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</si>
  <si>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</si>
  <si>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</si>
  <si>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</si>
  <si>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</si>
  <si>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</si>
  <si>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</si>
  <si>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</si>
  <si>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</si>
  <si>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</si>
  <si>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</si>
  <si>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</si>
  <si>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</si>
  <si>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</si>
  <si>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</si>
  <si>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</si>
  <si>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</si>
  <si>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</si>
  <si>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</si>
  <si>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</si>
  <si>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</si>
  <si>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</si>
  <si>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</si>
  <si>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</si>
  <si>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</si>
  <si>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</si>
  <si>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</si>
  <si>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</si>
  <si>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</si>
  <si>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</si>
  <si>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</si>
  <si>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</si>
  <si>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</si>
  <si>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</si>
  <si>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</si>
  <si>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</si>
  <si>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</si>
  <si>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</si>
  <si>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</si>
  <si>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</si>
  <si>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</si>
  <si>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</si>
  <si>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</si>
  <si>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</si>
  <si>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t xml:space="preserve">
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</si>
  <si>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</si>
  <si>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</si>
  <si>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</si>
  <si>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</si>
  <si>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</si>
  <si>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</si>
  <si>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</si>
  <si>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</si>
  <si>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</si>
  <si>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</si>
  <si>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</si>
  <si>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</si>
  <si>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</si>
  <si>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</si>
  <si>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</si>
  <si>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</si>
  <si>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</si>
  <si>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</si>
  <si>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</si>
  <si>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</si>
  <si>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</si>
  <si>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</si>
  <si>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</si>
  <si>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</si>
  <si>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</si>
  <si>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</si>
  <si>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</si>
  <si>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</si>
  <si>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</si>
  <si>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</si>
  <si>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</si>
  <si>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</si>
  <si>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</si>
  <si>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</si>
  <si>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</si>
  <si>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</si>
  <si>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</si>
  <si>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</si>
  <si>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</si>
  <si>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</si>
  <si>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</si>
  <si>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</si>
  <si>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</si>
  <si>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CHEVRON</t>
  </si>
  <si>
    <t>ARDMORE ENCOUNTER</t>
    <phoneticPr fontId="1" type="noConversion"/>
  </si>
  <si>
    <t>여수</t>
    <phoneticPr fontId="1" type="noConversion"/>
  </si>
  <si>
    <t>23C766088-02</t>
    <phoneticPr fontId="1" type="noConversion"/>
  </si>
  <si>
    <t>Unleaded Gasoline 92 Ron</t>
    <phoneticPr fontId="1" type="noConversion"/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</si>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</sst>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49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292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  <protection locked="0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0" fontId="15" fillId="5" borderId="0" xfId="0" applyFont="1" applyFill="1" applyBorder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0" fontId="11" fillId="3" borderId="0" xfId="0" applyFont="1" applyFill="1" applyBorder="1" applyAlignment="1" applyProtection="1">
      <alignment horizontal="center" vertical="top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16" fillId="11" borderId="7" xfId="0" applyFont="1" applyFill="1" applyBorder="1" applyAlignment="1" applyProtection="1">
      <alignment horizontal="center" vertical="top"/>
      <protection hidden="1"/>
    </xf>
    <xf numFmtId="0" fontId="24" fillId="11" borderId="5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left" vertical="center"/>
      <protection hidden="1"/>
    </xf>
    <xf numFmtId="0" fontId="15" fillId="3" borderId="1" xfId="0" applyFont="1" applyFill="1" applyBorder="1" applyProtection="1">
      <alignment vertical="center"/>
      <protection hidden="1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49" fontId="2" fillId="2" borderId="0" xfId="0" applyNumberFormat="1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0" fontId="15" fillId="17" borderId="33" xfId="0" applyFont="1" applyFill="1" applyBorder="1" applyAlignment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0" fontId="15" fillId="17" borderId="35" xfId="0" applyFont="1" applyFill="1" applyBorder="1" applyAlignment="1" applyProtection="1">
      <alignment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17" borderId="23" xfId="0" applyFont="1" applyFill="1" applyBorder="1" applyAlignment="1" applyProtection="1">
      <alignment horizontal="left" vertical="center"/>
      <protection hidden="1"/>
    </xf>
    <xf numFmtId="0" fontId="15" fillId="17" borderId="22" xfId="0" applyFont="1" applyFill="1" applyBorder="1" applyAlignment="1" applyProtection="1">
      <alignment horizontal="left" vertical="center"/>
      <protection hidden="1"/>
    </xf>
    <xf numFmtId="0" fontId="15" fillId="17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top"/>
      <protection locked="0"/>
    </xf>
    <xf numFmtId="49" fontId="15" fillId="13" borderId="3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15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847725</xdr:colOff>
          <xdr:row>13</xdr:row>
          <xdr:rowOff>180975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17143</xdr:colOff>
      <xdr:row>26</xdr:row>
      <xdr:rowOff>20953</xdr:rowOff>
    </xdr:from>
    <xdr:to>
      <xdr:col>11</xdr:col>
      <xdr:colOff>974725</xdr:colOff>
      <xdr:row>54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66068" y="4478653"/>
          <a:ext cx="5653407" cy="47796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175259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403455" y="1230628"/>
          <a:ext cx="2400300" cy="1536192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59055</xdr:colOff>
      <xdr:row>6</xdr:row>
      <xdr:rowOff>19048</xdr:rowOff>
    </xdr:from>
    <xdr:to>
      <xdr:col>9</xdr:col>
      <xdr:colOff>2459355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399645" y="122300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55245</xdr:colOff>
      <xdr:row>6</xdr:row>
      <xdr:rowOff>22858</xdr:rowOff>
    </xdr:from>
    <xdr:to>
      <xdr:col>9</xdr:col>
      <xdr:colOff>2455545</xdr:colOff>
      <xdr:row>82</xdr:row>
      <xdr:rowOff>190500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403455" y="1219198"/>
          <a:ext cx="2400300" cy="153733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B18" sqref="B18"/>
    </sheetView>
  </sheetViews>
  <sheetFormatPr defaultColWidth="8.75" defaultRowHeight="18" customHeight="1"/>
  <cols>
    <col min="1" max="1" width="2.875" style="99" customWidth="1"/>
    <col min="2" max="2" width="20.625" style="99" customWidth="1"/>
    <col min="3" max="3" width="31.75" style="99" customWidth="1"/>
    <col min="4" max="5" width="2.625" style="109" customWidth="1"/>
    <col min="6" max="11" width="10.75" style="109" customWidth="1"/>
    <col min="12" max="19" width="8.75" style="109"/>
    <col min="20" max="16384" width="8.75" style="99"/>
  </cols>
  <sheetData>
    <row r="1" spans="1:26" ht="18" hidden="1" customHeight="1">
      <c r="A1" s="111">
        <f>IF(AND(C12="Yes",C10="No",C11="No"),1,0)</f>
        <v>0</v>
      </c>
    </row>
    <row r="2" spans="1:26" ht="15" customHeight="1" thickBot="1">
      <c r="E2" s="233"/>
      <c r="F2" s="234"/>
      <c r="G2" s="234"/>
      <c r="H2" s="234"/>
      <c r="I2" s="234"/>
      <c r="J2" s="234"/>
      <c r="K2" s="234"/>
      <c r="L2" s="233"/>
      <c r="M2" s="233"/>
      <c r="N2" s="233"/>
      <c r="O2" s="233"/>
      <c r="P2" s="233"/>
      <c r="Q2" s="233"/>
      <c r="R2" s="233"/>
      <c r="S2" s="233"/>
      <c r="T2" s="238"/>
      <c r="U2" s="238"/>
      <c r="V2" s="238"/>
      <c r="W2" s="238"/>
      <c r="X2" s="238"/>
      <c r="Y2" s="238"/>
      <c r="Z2" s="238"/>
    </row>
    <row r="3" spans="1:26" ht="15" customHeight="1" thickBot="1">
      <c r="B3" s="179" t="s">
        <v>251</v>
      </c>
      <c r="C3" s="180" t="s">
        <v>231</v>
      </c>
      <c r="E3" s="233"/>
      <c r="F3" s="234"/>
      <c r="G3" s="234"/>
      <c r="H3" s="234"/>
      <c r="I3" s="234"/>
      <c r="J3" s="234"/>
      <c r="K3" s="234"/>
      <c r="L3" s="233"/>
      <c r="M3" s="233"/>
      <c r="N3" s="233"/>
      <c r="O3" s="233"/>
      <c r="P3" s="233"/>
      <c r="Q3" s="233"/>
      <c r="R3" s="233"/>
      <c r="S3" s="233"/>
      <c r="T3" s="238"/>
      <c r="U3" s="238"/>
      <c r="V3" s="238"/>
      <c r="W3" s="238"/>
      <c r="X3" s="238"/>
      <c r="Y3" s="238"/>
      <c r="Z3" s="238"/>
    </row>
    <row r="4" spans="1:26" ht="15" customHeight="1" thickBot="1">
      <c r="C4" s="100"/>
      <c r="E4" s="233"/>
      <c r="F4" s="234"/>
      <c r="G4" s="234"/>
      <c r="H4" s="234"/>
      <c r="I4" s="234"/>
      <c r="J4" s="234"/>
      <c r="K4" s="234"/>
      <c r="L4" s="233"/>
      <c r="M4" s="233"/>
      <c r="N4" s="233"/>
      <c r="O4" s="233"/>
      <c r="P4" s="233"/>
      <c r="Q4" s="233"/>
      <c r="R4" s="233"/>
      <c r="S4" s="233"/>
      <c r="T4" s="238"/>
      <c r="U4" s="238"/>
      <c r="V4" s="238"/>
      <c r="W4" s="238"/>
      <c r="X4" s="238"/>
      <c r="Y4" s="238"/>
      <c r="Z4" s="238"/>
    </row>
    <row r="5" spans="1:26" ht="15" customHeight="1">
      <c r="B5" s="229" t="s">
        <v>394</v>
      </c>
      <c r="C5" s="157" t="s">
        <v>698</v>
      </c>
      <c r="E5" s="235" t="s">
        <v>647</v>
      </c>
      <c r="F5" s="247" t="s">
        <v>677</v>
      </c>
      <c r="G5" s="237"/>
      <c r="H5" s="237"/>
      <c r="I5" s="234"/>
      <c r="J5" s="234"/>
      <c r="K5" s="234"/>
      <c r="L5" s="233"/>
      <c r="M5" s="233"/>
      <c r="N5" s="233"/>
      <c r="O5" s="233"/>
      <c r="P5" s="233"/>
      <c r="Q5" s="233"/>
      <c r="R5" s="233"/>
      <c r="S5" s="233"/>
      <c r="T5" s="238"/>
      <c r="U5" s="238"/>
      <c r="V5" s="238"/>
      <c r="W5" s="238"/>
      <c r="X5" s="238"/>
      <c r="Y5" s="238"/>
      <c r="Z5" s="238"/>
    </row>
    <row r="6" spans="1:26" ht="15" customHeight="1">
      <c r="B6" s="152" t="str">
        <f>IF(C5="","",VLOOKUP(C5,Sheet3!$I$1:$L$91,3,))</f>
        <v>여수</v>
      </c>
      <c r="C6" s="158" t="str">
        <f>IF(C5="","담당자 이름을 입력 또는 선택합니다.",VLOOKUP(C5,Sheet3!$I$1:$L$91,2,))</f>
        <v>kr_ogcyosu@sgs.com</v>
      </c>
      <c r="E6" s="239"/>
      <c r="F6" s="236"/>
      <c r="G6" s="237"/>
      <c r="H6" s="237"/>
      <c r="I6" s="234"/>
      <c r="J6" s="234"/>
      <c r="K6" s="234"/>
      <c r="L6" s="233"/>
      <c r="M6" s="233"/>
      <c r="N6" s="233"/>
      <c r="O6" s="233"/>
      <c r="P6" s="233"/>
      <c r="Q6" s="233"/>
      <c r="R6" s="233"/>
      <c r="S6" s="233"/>
      <c r="T6" s="238"/>
      <c r="U6" s="238"/>
      <c r="V6" s="238"/>
      <c r="W6" s="238"/>
      <c r="X6" s="238"/>
      <c r="Y6" s="238"/>
      <c r="Z6" s="238"/>
    </row>
    <row r="7" spans="1:26" ht="15" customHeight="1" thickBot="1">
      <c r="B7" s="110" t="s">
        <v>257</v>
      </c>
      <c r="C7" s="162" t="str">
        <f>IF(C5="","",CONCATENATE(VLOOKUP(C5,Sheet3!$I$1:$L$91,4,),"; hyunjin.kim@sgs.com"))</f>
        <v>kr_ogcyosu@sgs.com; hyunjin.kim@sgs.com</v>
      </c>
      <c r="D7" s="109" t="s">
        <v>396</v>
      </c>
      <c r="E7" s="239"/>
      <c r="F7" s="236"/>
      <c r="G7" s="237"/>
      <c r="H7" s="237"/>
      <c r="I7" s="234"/>
      <c r="J7" s="234"/>
      <c r="K7" s="234"/>
      <c r="L7" s="233"/>
      <c r="M7" s="233"/>
      <c r="N7" s="233"/>
      <c r="O7" s="233"/>
      <c r="P7" s="233"/>
      <c r="Q7" s="233"/>
      <c r="R7" s="233"/>
      <c r="S7" s="233"/>
      <c r="T7" s="238"/>
      <c r="U7" s="238"/>
      <c r="V7" s="238"/>
      <c r="W7" s="238"/>
      <c r="X7" s="238"/>
      <c r="Y7" s="238"/>
      <c r="Z7" s="238"/>
    </row>
    <row r="8" spans="1:26" ht="15" customHeight="1" thickBot="1">
      <c r="E8" s="239"/>
      <c r="F8" s="236"/>
      <c r="G8" s="237"/>
      <c r="H8" s="237"/>
      <c r="I8" s="234"/>
      <c r="J8" s="234"/>
      <c r="K8" s="234"/>
      <c r="L8" s="233"/>
      <c r="M8" s="233"/>
      <c r="N8" s="233"/>
      <c r="O8" s="233"/>
      <c r="P8" s="233"/>
      <c r="Q8" s="233"/>
      <c r="R8" s="233"/>
      <c r="S8" s="233"/>
      <c r="T8" s="238"/>
      <c r="U8" s="238"/>
      <c r="V8" s="238"/>
      <c r="W8" s="238"/>
      <c r="X8" s="238"/>
      <c r="Y8" s="238"/>
      <c r="Z8" s="238"/>
    </row>
    <row r="9" spans="1:26" ht="15" customHeight="1" thickBot="1">
      <c r="B9" s="231" t="s">
        <v>674</v>
      </c>
      <c r="C9" s="232" t="s">
        <v>675</v>
      </c>
      <c r="E9" s="240" t="s">
        <v>678</v>
      </c>
      <c r="F9" s="237"/>
      <c r="G9" s="237"/>
      <c r="H9" s="237"/>
      <c r="I9" s="234"/>
      <c r="J9" s="234"/>
      <c r="K9" s="234"/>
      <c r="L9" s="233"/>
      <c r="M9" s="233"/>
      <c r="N9" s="233"/>
      <c r="O9" s="233"/>
      <c r="P9" s="233"/>
      <c r="Q9" s="233"/>
      <c r="R9" s="233"/>
      <c r="S9" s="233"/>
      <c r="T9" s="238"/>
      <c r="U9" s="238"/>
      <c r="V9" s="238"/>
      <c r="W9" s="238"/>
      <c r="X9" s="238"/>
      <c r="Y9" s="238"/>
      <c r="Z9" s="238"/>
    </row>
    <row r="10" spans="1:26" ht="15" customHeight="1">
      <c r="B10" s="153"/>
      <c r="C10" s="189" t="str">
        <f>IF(LEFT(B48,1)="T","Yes","No")</f>
        <v>No</v>
      </c>
      <c r="E10" s="235" t="s">
        <v>647</v>
      </c>
      <c r="F10" s="247" t="s">
        <v>681</v>
      </c>
      <c r="G10" s="237"/>
      <c r="H10" s="237"/>
      <c r="I10" s="234"/>
      <c r="J10" s="234"/>
      <c r="K10" s="234"/>
      <c r="L10" s="233"/>
      <c r="M10" s="233"/>
      <c r="N10" s="233"/>
      <c r="O10" s="233"/>
      <c r="P10" s="233"/>
      <c r="Q10" s="233"/>
      <c r="R10" s="233"/>
      <c r="S10" s="233"/>
      <c r="T10" s="238"/>
      <c r="U10" s="238"/>
      <c r="V10" s="238"/>
      <c r="W10" s="238"/>
      <c r="X10" s="238"/>
      <c r="Y10" s="238"/>
      <c r="Z10" s="238"/>
    </row>
    <row r="11" spans="1:26" ht="15" customHeight="1">
      <c r="B11" s="190"/>
      <c r="C11" s="191" t="str">
        <f>IF(LEFT(B49,1)="T","Yes","No")</f>
        <v>Yes</v>
      </c>
      <c r="E11" s="235" t="s">
        <v>647</v>
      </c>
      <c r="F11" s="247" t="s">
        <v>680</v>
      </c>
      <c r="G11" s="237"/>
      <c r="H11" s="237"/>
      <c r="I11" s="234"/>
      <c r="J11" s="234"/>
      <c r="K11" s="234"/>
      <c r="L11" s="233"/>
      <c r="M11" s="233"/>
      <c r="N11" s="233"/>
      <c r="O11" s="233"/>
      <c r="P11" s="233"/>
      <c r="Q11" s="233"/>
      <c r="R11" s="233"/>
      <c r="S11" s="233"/>
      <c r="T11" s="238"/>
      <c r="U11" s="238"/>
      <c r="V11" s="238"/>
      <c r="W11" s="238"/>
      <c r="X11" s="238"/>
      <c r="Y11" s="238"/>
      <c r="Z11" s="238"/>
    </row>
    <row r="12" spans="1:26" ht="15" customHeight="1" thickBot="1">
      <c r="B12" s="154"/>
      <c r="C12" s="192" t="str">
        <f>IF(LEFT(B50,1)="T","Yes","No")</f>
        <v>Yes</v>
      </c>
      <c r="E12" s="235" t="s">
        <v>647</v>
      </c>
      <c r="F12" s="247" t="s">
        <v>682</v>
      </c>
      <c r="G12" s="237"/>
      <c r="H12" s="237"/>
      <c r="I12" s="234"/>
      <c r="J12" s="234"/>
      <c r="K12" s="234"/>
      <c r="L12" s="233"/>
      <c r="M12" s="233"/>
      <c r="N12" s="233"/>
      <c r="O12" s="233"/>
      <c r="P12" s="233"/>
      <c r="Q12" s="233"/>
      <c r="R12" s="233"/>
      <c r="S12" s="233"/>
      <c r="T12" s="238"/>
      <c r="U12" s="238"/>
      <c r="V12" s="238"/>
      <c r="W12" s="238"/>
      <c r="X12" s="238"/>
      <c r="Y12" s="238"/>
      <c r="Z12" s="238"/>
    </row>
    <row r="13" spans="1:26" ht="25.9" customHeight="1" thickBot="1">
      <c r="B13" s="230" t="s">
        <v>676</v>
      </c>
      <c r="E13" s="241" t="s">
        <v>679</v>
      </c>
      <c r="F13" s="248"/>
      <c r="G13" s="237"/>
      <c r="H13" s="237"/>
      <c r="I13" s="234"/>
      <c r="J13" s="234"/>
      <c r="K13" s="234"/>
      <c r="L13" s="233"/>
      <c r="M13" s="233"/>
      <c r="N13" s="233"/>
      <c r="O13" s="233"/>
      <c r="P13" s="233"/>
      <c r="Q13" s="233"/>
      <c r="R13" s="233"/>
      <c r="S13" s="233"/>
      <c r="T13" s="238"/>
      <c r="U13" s="238"/>
      <c r="V13" s="238"/>
      <c r="W13" s="238"/>
      <c r="X13" s="238"/>
      <c r="Y13" s="238"/>
      <c r="Z13" s="238"/>
    </row>
    <row r="14" spans="1:26" ht="15" customHeight="1" thickBot="1">
      <c r="B14" s="228" t="s">
        <v>673</v>
      </c>
      <c r="C14" s="223"/>
      <c r="E14" s="235" t="s">
        <v>647</v>
      </c>
      <c r="F14" s="247" t="s">
        <v>683</v>
      </c>
      <c r="G14" s="237"/>
      <c r="H14" s="237"/>
      <c r="I14" s="234"/>
      <c r="J14" s="234"/>
      <c r="K14" s="234"/>
      <c r="L14" s="233"/>
      <c r="M14" s="233"/>
      <c r="N14" s="233"/>
      <c r="O14" s="233"/>
      <c r="P14" s="233"/>
      <c r="Q14" s="233"/>
      <c r="R14" s="233"/>
      <c r="S14" s="233"/>
      <c r="T14" s="238"/>
      <c r="U14" s="238"/>
      <c r="V14" s="238"/>
      <c r="W14" s="238"/>
      <c r="X14" s="238"/>
      <c r="Y14" s="238"/>
      <c r="Z14" s="238"/>
    </row>
    <row r="15" spans="1:26" ht="15" customHeight="1">
      <c r="B15" s="153" t="s">
        <v>671</v>
      </c>
      <c r="C15" s="202"/>
      <c r="E15" s="235" t="s">
        <v>647</v>
      </c>
      <c r="F15" s="247" t="s">
        <v>684</v>
      </c>
      <c r="G15" s="237"/>
      <c r="H15" s="237"/>
      <c r="I15" s="234"/>
      <c r="J15" s="234"/>
      <c r="K15" s="234"/>
      <c r="L15" s="233"/>
      <c r="M15" s="233"/>
      <c r="N15" s="233"/>
      <c r="O15" s="233"/>
      <c r="P15" s="233"/>
      <c r="Q15" s="233"/>
      <c r="R15" s="233"/>
      <c r="S15" s="233"/>
      <c r="T15" s="238"/>
      <c r="U15" s="238"/>
      <c r="V15" s="238"/>
      <c r="W15" s="238"/>
      <c r="X15" s="238"/>
      <c r="Y15" s="238"/>
      <c r="Z15" s="238"/>
    </row>
    <row r="16" spans="1:26" ht="15" customHeight="1" thickBot="1">
      <c r="B16" s="154" t="s">
        <v>672</v>
      </c>
      <c r="C16" s="178"/>
      <c r="E16" s="235" t="s">
        <v>647</v>
      </c>
      <c r="F16" s="247" t="s">
        <v>685</v>
      </c>
      <c r="G16" s="237"/>
      <c r="H16" s="237"/>
      <c r="I16" s="234"/>
      <c r="J16" s="234"/>
      <c r="K16" s="234"/>
      <c r="L16" s="233"/>
      <c r="M16" s="233"/>
      <c r="N16" s="233"/>
      <c r="O16" s="233"/>
      <c r="P16" s="233"/>
      <c r="Q16" s="233"/>
      <c r="R16" s="233"/>
      <c r="S16" s="233"/>
      <c r="T16" s="238"/>
      <c r="U16" s="238"/>
      <c r="V16" s="238"/>
      <c r="W16" s="238"/>
      <c r="X16" s="238"/>
      <c r="Y16" s="238"/>
      <c r="Z16" s="238"/>
    </row>
    <row r="17" spans="1:26" ht="15" customHeight="1" thickBot="1"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8"/>
      <c r="U17" s="238"/>
      <c r="V17" s="238"/>
      <c r="W17" s="238"/>
      <c r="X17" s="238"/>
      <c r="Y17" s="238"/>
      <c r="Z17" s="238"/>
    </row>
    <row r="18" spans="1:26" ht="15" customHeight="1">
      <c r="B18" s="193" t="s">
        <v>242</v>
      </c>
      <c r="C18" s="194" t="s">
        <v>696</v>
      </c>
      <c r="E18" s="233"/>
      <c r="F18" s="237"/>
      <c r="G18" s="237"/>
      <c r="H18" s="237"/>
      <c r="I18" s="234"/>
      <c r="J18" s="234"/>
      <c r="K18" s="234"/>
      <c r="L18" s="233"/>
      <c r="M18" s="233"/>
      <c r="N18" s="233"/>
      <c r="O18" s="233"/>
      <c r="P18" s="233"/>
      <c r="Q18" s="233"/>
      <c r="R18" s="233"/>
      <c r="S18" s="233"/>
      <c r="T18" s="238"/>
      <c r="U18" s="238"/>
      <c r="V18" s="238"/>
      <c r="W18" s="238"/>
      <c r="X18" s="238"/>
      <c r="Y18" s="238"/>
      <c r="Z18" s="238"/>
    </row>
    <row r="19" spans="1:26" ht="15" customHeight="1">
      <c r="B19" s="195" t="s">
        <v>252</v>
      </c>
      <c r="C19" s="196" t="s">
        <v>255</v>
      </c>
      <c r="E19" s="242"/>
      <c r="F19" s="237"/>
      <c r="G19" s="237"/>
      <c r="H19" s="237"/>
      <c r="I19" s="234"/>
      <c r="J19" s="234"/>
      <c r="K19" s="234"/>
      <c r="L19" s="233"/>
      <c r="M19" s="233"/>
      <c r="N19" s="233"/>
      <c r="O19" s="233"/>
      <c r="P19" s="233"/>
      <c r="Q19" s="233"/>
      <c r="R19" s="233"/>
      <c r="S19" s="233"/>
      <c r="T19" s="238"/>
      <c r="U19" s="238"/>
      <c r="V19" s="238"/>
      <c r="W19" s="238"/>
      <c r="X19" s="238"/>
      <c r="Y19" s="238"/>
      <c r="Z19" s="238"/>
    </row>
    <row r="20" spans="1:26" ht="15" customHeight="1">
      <c r="B20" s="195" t="s">
        <v>258</v>
      </c>
      <c r="C20" s="197" t="s">
        <v>699</v>
      </c>
      <c r="E20" s="233"/>
      <c r="F20" s="237"/>
      <c r="G20" s="237"/>
      <c r="H20" s="237"/>
      <c r="I20" s="234"/>
      <c r="J20" s="234"/>
      <c r="K20" s="234"/>
      <c r="L20" s="233"/>
      <c r="M20" s="233"/>
      <c r="N20" s="233"/>
      <c r="O20" s="233"/>
      <c r="P20" s="233"/>
      <c r="Q20" s="233"/>
      <c r="R20" s="233"/>
      <c r="S20" s="233"/>
      <c r="T20" s="238"/>
      <c r="U20" s="238"/>
      <c r="V20" s="238"/>
      <c r="W20" s="238"/>
      <c r="X20" s="238"/>
      <c r="Y20" s="238"/>
      <c r="Z20" s="238"/>
    </row>
    <row r="21" spans="1:26" ht="15" customHeight="1">
      <c r="B21" s="195" t="s">
        <v>261</v>
      </c>
      <c r="C21" s="196" t="s">
        <v>697</v>
      </c>
      <c r="E21" s="233"/>
      <c r="F21" s="237"/>
      <c r="G21" s="237"/>
      <c r="H21" s="237"/>
      <c r="I21" s="234"/>
      <c r="J21" s="234"/>
      <c r="K21" s="234"/>
      <c r="L21" s="233"/>
      <c r="M21" s="233"/>
      <c r="N21" s="233"/>
      <c r="O21" s="233"/>
      <c r="P21" s="233"/>
      <c r="Q21" s="233"/>
      <c r="R21" s="233"/>
      <c r="S21" s="233"/>
      <c r="T21" s="238"/>
      <c r="U21" s="238"/>
      <c r="V21" s="238"/>
      <c r="W21" s="238"/>
      <c r="X21" s="238"/>
      <c r="Y21" s="238"/>
      <c r="Z21" s="238"/>
    </row>
    <row r="22" spans="1:26" ht="15" customHeight="1" thickBot="1">
      <c r="B22" s="156" t="s">
        <v>272</v>
      </c>
      <c r="C22" s="198" t="s">
        <v>700</v>
      </c>
      <c r="E22" s="242"/>
      <c r="F22" s="237"/>
      <c r="G22" s="237"/>
      <c r="H22" s="237"/>
      <c r="I22" s="234"/>
      <c r="J22" s="234"/>
      <c r="K22" s="234"/>
      <c r="L22" s="233"/>
      <c r="M22" s="233"/>
      <c r="N22" s="233"/>
      <c r="O22" s="233"/>
      <c r="P22" s="233"/>
      <c r="Q22" s="233"/>
      <c r="R22" s="233"/>
      <c r="S22" s="233"/>
      <c r="T22" s="238"/>
      <c r="U22" s="238"/>
      <c r="V22" s="238"/>
      <c r="W22" s="238"/>
      <c r="X22" s="238"/>
      <c r="Y22" s="238"/>
      <c r="Z22" s="238"/>
    </row>
    <row r="23" spans="1:26" ht="15" customHeight="1">
      <c r="E23" s="233"/>
      <c r="F23" s="237"/>
      <c r="G23" s="237"/>
      <c r="H23" s="237"/>
      <c r="I23" s="234"/>
      <c r="J23" s="234"/>
      <c r="K23" s="234"/>
      <c r="L23" s="233"/>
      <c r="M23" s="233"/>
      <c r="N23" s="233"/>
      <c r="O23" s="233"/>
      <c r="P23" s="233"/>
      <c r="Q23" s="233"/>
      <c r="R23" s="233"/>
      <c r="S23" s="233"/>
      <c r="T23" s="238"/>
      <c r="U23" s="238"/>
      <c r="V23" s="238"/>
      <c r="W23" s="238"/>
      <c r="X23" s="238"/>
      <c r="Y23" s="238"/>
      <c r="Z23" s="238"/>
    </row>
    <row r="24" spans="1:26" ht="15" customHeight="1">
      <c r="A24" s="151"/>
      <c r="B24" s="140" t="s">
        <v>385</v>
      </c>
      <c r="C24" s="141"/>
      <c r="E24" s="233"/>
      <c r="F24" s="237"/>
      <c r="G24" s="237"/>
      <c r="H24" s="237"/>
      <c r="I24" s="234"/>
      <c r="J24" s="234"/>
      <c r="K24" s="234"/>
      <c r="L24" s="233"/>
      <c r="M24" s="233"/>
      <c r="N24" s="233"/>
      <c r="O24" s="233"/>
      <c r="P24" s="233"/>
      <c r="Q24" s="233"/>
      <c r="R24" s="233"/>
      <c r="S24" s="233"/>
      <c r="T24" s="238"/>
      <c r="U24" s="238"/>
      <c r="V24" s="238"/>
      <c r="W24" s="238"/>
      <c r="X24" s="238"/>
      <c r="Y24" s="238"/>
      <c r="Z24" s="238"/>
    </row>
    <row r="25" spans="1:26" ht="15" customHeight="1">
      <c r="B25" s="183" t="s">
        <v>392</v>
      </c>
      <c r="C25" s="184" t="str">
        <f>IF(B6="여수","gabriel.jeong@sgs.com","Kr_ogculsan@sgs.com")</f>
        <v>gabriel.jeong@sgs.com</v>
      </c>
      <c r="E25" s="233"/>
      <c r="F25" s="237"/>
      <c r="G25" s="237"/>
      <c r="H25" s="237"/>
      <c r="I25" s="234"/>
      <c r="J25" s="234"/>
      <c r="K25" s="234"/>
      <c r="L25" s="233"/>
      <c r="M25" s="233"/>
      <c r="N25" s="233"/>
      <c r="O25" s="233"/>
      <c r="P25" s="233"/>
      <c r="Q25" s="233"/>
      <c r="R25" s="233"/>
      <c r="S25" s="233"/>
      <c r="T25" s="238"/>
      <c r="U25" s="238"/>
      <c r="V25" s="238"/>
      <c r="W25" s="238"/>
      <c r="X25" s="238"/>
      <c r="Y25" s="238"/>
      <c r="Z25" s="238"/>
    </row>
    <row r="26" spans="1:26" ht="15" customHeight="1">
      <c r="B26" s="185" t="s">
        <v>393</v>
      </c>
      <c r="C26" s="186" t="str">
        <f>IF(B6="여수",C36,C35)</f>
        <v>Password_10</v>
      </c>
      <c r="E26" s="233"/>
      <c r="F26" s="237"/>
      <c r="G26" s="237"/>
      <c r="H26" s="237"/>
      <c r="I26" s="234"/>
      <c r="J26" s="234"/>
      <c r="K26" s="234"/>
      <c r="L26" s="233"/>
      <c r="M26" s="233"/>
      <c r="N26" s="233"/>
      <c r="O26" s="233"/>
      <c r="P26" s="233"/>
      <c r="Q26" s="233"/>
      <c r="R26" s="233"/>
      <c r="S26" s="233"/>
      <c r="T26" s="238"/>
      <c r="U26" s="238"/>
      <c r="V26" s="238"/>
      <c r="W26" s="238"/>
      <c r="X26" s="238"/>
      <c r="Y26" s="238"/>
      <c r="Z26" s="238"/>
    </row>
    <row r="27" spans="1:26" ht="15" customHeight="1">
      <c r="B27" s="188"/>
      <c r="C27" s="188"/>
      <c r="E27" s="233"/>
      <c r="F27" s="237"/>
      <c r="G27" s="237"/>
      <c r="H27" s="237"/>
      <c r="I27" s="234"/>
      <c r="J27" s="234"/>
      <c r="K27" s="234"/>
      <c r="L27" s="233"/>
      <c r="M27" s="233"/>
      <c r="N27" s="233"/>
      <c r="O27" s="233"/>
      <c r="P27" s="233"/>
      <c r="Q27" s="233"/>
      <c r="R27" s="233"/>
      <c r="S27" s="233"/>
      <c r="T27" s="238"/>
      <c r="U27" s="238"/>
      <c r="V27" s="238"/>
      <c r="W27" s="238"/>
      <c r="X27" s="238"/>
      <c r="Y27" s="238"/>
      <c r="Z27" s="238"/>
    </row>
    <row r="28" spans="1:26" ht="15" customHeight="1">
      <c r="A28" s="109"/>
      <c r="B28" s="187" t="s">
        <v>408</v>
      </c>
      <c r="C28" s="109"/>
      <c r="E28" s="233"/>
      <c r="F28" s="237"/>
      <c r="G28" s="237"/>
      <c r="H28" s="237"/>
      <c r="I28" s="234"/>
      <c r="J28" s="234"/>
      <c r="K28" s="234"/>
      <c r="L28" s="233"/>
      <c r="M28" s="233"/>
      <c r="N28" s="233"/>
      <c r="O28" s="233"/>
      <c r="P28" s="233"/>
      <c r="Q28" s="233"/>
      <c r="R28" s="233"/>
      <c r="S28" s="233"/>
      <c r="T28" s="238"/>
      <c r="U28" s="238"/>
      <c r="V28" s="238"/>
      <c r="W28" s="238"/>
      <c r="X28" s="238"/>
      <c r="Y28" s="238"/>
      <c r="Z28" s="238"/>
    </row>
    <row r="29" spans="1:26" ht="15" customHeight="1">
      <c r="A29" s="109"/>
      <c r="B29" s="181" t="s">
        <v>407</v>
      </c>
      <c r="C29" s="182">
        <f ca="1">TODAY()</f>
        <v>45232</v>
      </c>
      <c r="E29" s="233"/>
      <c r="F29" s="237"/>
      <c r="G29" s="237"/>
      <c r="H29" s="237"/>
      <c r="I29" s="234"/>
      <c r="J29" s="234"/>
      <c r="K29" s="234"/>
      <c r="L29" s="233"/>
      <c r="M29" s="233"/>
      <c r="N29" s="233"/>
      <c r="O29" s="233"/>
      <c r="P29" s="233"/>
      <c r="Q29" s="233"/>
      <c r="R29" s="233"/>
      <c r="S29" s="233"/>
      <c r="T29" s="238"/>
      <c r="U29" s="238"/>
      <c r="V29" s="238"/>
      <c r="W29" s="238"/>
      <c r="X29" s="238"/>
      <c r="Y29" s="238"/>
      <c r="Z29" s="238"/>
    </row>
    <row r="30" spans="1:26" ht="15" customHeight="1">
      <c r="A30" s="109"/>
      <c r="B30" s="181" t="s">
        <v>409</v>
      </c>
      <c r="C30" s="182">
        <f ca="1">IF(C29="","",EDATE(C29,-6))</f>
        <v>45048</v>
      </c>
      <c r="E30" s="233"/>
      <c r="F30" s="237"/>
      <c r="G30" s="237"/>
      <c r="H30" s="237"/>
      <c r="I30" s="234"/>
      <c r="J30" s="234"/>
      <c r="K30" s="234"/>
      <c r="L30" s="233"/>
      <c r="M30" s="233"/>
      <c r="N30" s="233"/>
      <c r="O30" s="233"/>
      <c r="P30" s="233"/>
      <c r="Q30" s="233"/>
      <c r="R30" s="233"/>
      <c r="S30" s="233"/>
      <c r="T30" s="238"/>
      <c r="U30" s="238"/>
      <c r="V30" s="238"/>
      <c r="W30" s="238"/>
      <c r="X30" s="238"/>
      <c r="Y30" s="238"/>
      <c r="Z30" s="238"/>
    </row>
    <row r="31" spans="1:26" ht="15" customHeight="1">
      <c r="A31" s="109"/>
      <c r="B31" s="181" t="s">
        <v>410</v>
      </c>
      <c r="C31" s="182">
        <f ca="1">IF(C29="","",EDATE(C29,3))</f>
        <v>45324</v>
      </c>
      <c r="E31" s="233"/>
      <c r="F31" s="237"/>
      <c r="G31" s="237"/>
      <c r="H31" s="237"/>
      <c r="I31" s="234"/>
      <c r="J31" s="234"/>
      <c r="K31" s="234"/>
      <c r="L31" s="233"/>
      <c r="M31" s="233"/>
      <c r="N31" s="233"/>
      <c r="O31" s="233"/>
      <c r="P31" s="233"/>
      <c r="Q31" s="233"/>
      <c r="R31" s="233"/>
      <c r="S31" s="233"/>
      <c r="T31" s="238"/>
      <c r="U31" s="238"/>
      <c r="V31" s="238"/>
      <c r="W31" s="238"/>
      <c r="X31" s="238"/>
      <c r="Y31" s="238"/>
      <c r="Z31" s="238"/>
    </row>
    <row r="32" spans="1:26" ht="15" customHeight="1">
      <c r="A32" s="109"/>
      <c r="B32" s="109"/>
      <c r="C32" s="109"/>
      <c r="E32" s="233"/>
      <c r="F32" s="237"/>
      <c r="G32" s="237"/>
      <c r="H32" s="237"/>
      <c r="I32" s="234"/>
      <c r="J32" s="234"/>
      <c r="K32" s="234"/>
      <c r="L32" s="233"/>
      <c r="M32" s="233"/>
      <c r="N32" s="233"/>
      <c r="O32" s="233"/>
      <c r="P32" s="233"/>
      <c r="Q32" s="233"/>
      <c r="R32" s="233"/>
      <c r="S32" s="233"/>
      <c r="T32" s="238"/>
      <c r="U32" s="238"/>
      <c r="V32" s="238"/>
      <c r="W32" s="238"/>
      <c r="X32" s="238"/>
      <c r="Y32" s="238"/>
      <c r="Z32" s="238"/>
    </row>
    <row r="33" spans="1:26" ht="15" customHeight="1">
      <c r="A33" s="233"/>
      <c r="B33" s="233"/>
      <c r="C33" s="233"/>
      <c r="D33" s="233"/>
      <c r="E33" s="233"/>
      <c r="F33" s="237"/>
      <c r="G33" s="237"/>
      <c r="H33" s="237"/>
      <c r="I33" s="234"/>
      <c r="J33" s="234"/>
      <c r="K33" s="234"/>
      <c r="L33" s="233"/>
      <c r="M33" s="233"/>
      <c r="N33" s="233"/>
      <c r="O33" s="233"/>
      <c r="P33" s="233"/>
      <c r="Q33" s="233"/>
      <c r="R33" s="233"/>
      <c r="S33" s="233"/>
      <c r="T33" s="238"/>
      <c r="U33" s="238"/>
      <c r="V33" s="238"/>
      <c r="W33" s="238"/>
      <c r="X33" s="238"/>
      <c r="Y33" s="238"/>
      <c r="Z33" s="238"/>
    </row>
    <row r="34" spans="1:26" ht="15" customHeight="1">
      <c r="A34" s="243"/>
      <c r="B34" s="249" t="s">
        <v>399</v>
      </c>
      <c r="C34" s="249" t="s">
        <v>393</v>
      </c>
      <c r="D34" s="243"/>
      <c r="E34" s="243"/>
      <c r="F34" s="237"/>
      <c r="G34" s="237"/>
      <c r="H34" s="237"/>
      <c r="I34" s="234"/>
      <c r="J34" s="234"/>
      <c r="K34" s="234"/>
      <c r="L34" s="233"/>
      <c r="M34" s="233"/>
      <c r="N34" s="233"/>
      <c r="O34" s="233"/>
      <c r="P34" s="233"/>
      <c r="Q34" s="233"/>
      <c r="R34" s="233"/>
      <c r="S34" s="233"/>
      <c r="T34" s="238"/>
      <c r="U34" s="238"/>
      <c r="V34" s="238"/>
      <c r="W34" s="238"/>
      <c r="X34" s="238"/>
      <c r="Y34" s="238"/>
      <c r="Z34" s="238"/>
    </row>
    <row r="35" spans="1:26" ht="15" customHeight="1">
      <c r="A35" s="243"/>
      <c r="B35" s="250" t="s">
        <v>643</v>
      </c>
      <c r="C35" s="251" t="s">
        <v>670</v>
      </c>
      <c r="D35" s="243"/>
      <c r="E35" s="243"/>
      <c r="F35" s="234"/>
      <c r="G35" s="234"/>
      <c r="H35" s="234"/>
      <c r="I35" s="234"/>
      <c r="J35" s="234"/>
      <c r="K35" s="234"/>
      <c r="L35" s="233"/>
      <c r="M35" s="233"/>
      <c r="N35" s="233"/>
      <c r="O35" s="233"/>
      <c r="P35" s="233"/>
      <c r="Q35" s="233"/>
      <c r="R35" s="233"/>
      <c r="S35" s="233"/>
      <c r="T35" s="238"/>
      <c r="U35" s="238"/>
      <c r="V35" s="238"/>
      <c r="W35" s="238"/>
      <c r="X35" s="238"/>
      <c r="Y35" s="238"/>
      <c r="Z35" s="238"/>
    </row>
    <row r="36" spans="1:26" ht="15" customHeight="1">
      <c r="A36" s="238"/>
      <c r="B36" s="250" t="s">
        <v>644</v>
      </c>
      <c r="C36" s="251" t="s">
        <v>669</v>
      </c>
      <c r="D36" s="233"/>
      <c r="E36" s="233"/>
      <c r="F36" s="244"/>
      <c r="G36" s="244"/>
      <c r="H36" s="244"/>
      <c r="I36" s="244"/>
      <c r="J36" s="244"/>
      <c r="K36" s="233"/>
      <c r="L36" s="233"/>
      <c r="M36" s="233"/>
      <c r="N36" s="233"/>
      <c r="O36" s="233"/>
      <c r="P36" s="233"/>
      <c r="Q36" s="233"/>
      <c r="R36" s="233"/>
      <c r="S36" s="233"/>
      <c r="T36" s="238"/>
      <c r="U36" s="238"/>
      <c r="V36" s="238"/>
      <c r="W36" s="238"/>
      <c r="X36" s="238"/>
      <c r="Y36" s="238"/>
      <c r="Z36" s="238"/>
    </row>
    <row r="37" spans="1:26" ht="14.45" customHeight="1">
      <c r="A37" s="238"/>
      <c r="B37" s="238"/>
      <c r="C37" s="238"/>
      <c r="D37" s="233"/>
      <c r="E37" s="233"/>
      <c r="F37" s="244"/>
      <c r="G37" s="244"/>
      <c r="H37" s="244"/>
      <c r="I37" s="244"/>
      <c r="J37" s="244"/>
      <c r="K37" s="233"/>
      <c r="L37" s="233"/>
      <c r="M37" s="233"/>
      <c r="N37" s="233"/>
      <c r="O37" s="233"/>
      <c r="P37" s="233"/>
      <c r="Q37" s="233"/>
      <c r="R37" s="233"/>
      <c r="S37" s="233"/>
      <c r="T37" s="238"/>
      <c r="U37" s="238"/>
      <c r="V37" s="238"/>
      <c r="W37" s="238"/>
      <c r="X37" s="238"/>
      <c r="Y37" s="238"/>
      <c r="Z37" s="238"/>
    </row>
    <row r="38" spans="1:26" ht="18" customHeight="1">
      <c r="A38" s="238"/>
      <c r="B38" s="238"/>
      <c r="C38" s="238"/>
      <c r="D38" s="233"/>
      <c r="E38" s="233"/>
      <c r="F38" s="244"/>
      <c r="G38" s="244"/>
      <c r="H38" s="244"/>
      <c r="I38" s="244"/>
      <c r="J38" s="244"/>
      <c r="K38" s="233"/>
      <c r="L38" s="233"/>
      <c r="M38" s="233"/>
      <c r="N38" s="233"/>
      <c r="O38" s="233"/>
      <c r="P38" s="233"/>
      <c r="Q38" s="233"/>
      <c r="R38" s="233"/>
      <c r="S38" s="233"/>
      <c r="T38" s="238"/>
      <c r="U38" s="238"/>
      <c r="V38" s="238"/>
      <c r="W38" s="238"/>
      <c r="X38" s="238"/>
      <c r="Y38" s="238"/>
      <c r="Z38" s="238"/>
    </row>
    <row r="39" spans="1:26" ht="18" customHeight="1">
      <c r="A39" s="238"/>
      <c r="B39" s="238"/>
      <c r="C39" s="238"/>
      <c r="D39" s="233"/>
      <c r="E39" s="233"/>
      <c r="F39" s="244"/>
      <c r="G39" s="244"/>
      <c r="H39" s="244"/>
      <c r="I39" s="245"/>
      <c r="J39" s="245"/>
      <c r="K39" s="233"/>
      <c r="L39" s="233"/>
      <c r="M39" s="233"/>
      <c r="N39" s="233"/>
      <c r="O39" s="233"/>
      <c r="P39" s="233"/>
      <c r="Q39" s="233"/>
      <c r="R39" s="233"/>
      <c r="S39" s="233"/>
      <c r="T39" s="238"/>
      <c r="U39" s="238"/>
      <c r="V39" s="238"/>
      <c r="W39" s="238"/>
      <c r="X39" s="238"/>
      <c r="Y39" s="238"/>
      <c r="Z39" s="238"/>
    </row>
    <row r="40" spans="1:26" ht="18" customHeight="1">
      <c r="A40" s="238"/>
      <c r="B40" s="238"/>
      <c r="C40" s="238"/>
      <c r="D40" s="233"/>
      <c r="E40" s="233"/>
      <c r="F40" s="244"/>
      <c r="G40" s="244"/>
      <c r="H40" s="244"/>
      <c r="I40" s="245"/>
      <c r="J40" s="246"/>
      <c r="K40" s="233"/>
      <c r="L40" s="233"/>
      <c r="M40" s="233"/>
      <c r="N40" s="233"/>
      <c r="O40" s="233"/>
      <c r="P40" s="233"/>
      <c r="Q40" s="233"/>
      <c r="R40" s="233"/>
      <c r="S40" s="233"/>
      <c r="T40" s="238"/>
      <c r="U40" s="238"/>
      <c r="V40" s="238"/>
      <c r="W40" s="238"/>
      <c r="X40" s="238"/>
      <c r="Y40" s="238"/>
      <c r="Z40" s="238"/>
    </row>
    <row r="41" spans="1:26" ht="18" customHeight="1">
      <c r="A41" s="238"/>
      <c r="B41" s="238"/>
      <c r="C41" s="238"/>
      <c r="D41" s="233"/>
      <c r="E41" s="233"/>
      <c r="F41" s="244"/>
      <c r="G41" s="244"/>
      <c r="H41" s="244"/>
      <c r="I41" s="245"/>
      <c r="J41" s="245"/>
      <c r="K41" s="233"/>
      <c r="L41" s="233"/>
      <c r="M41" s="233"/>
      <c r="N41" s="233"/>
      <c r="O41" s="233"/>
      <c r="P41" s="233"/>
      <c r="Q41" s="233"/>
      <c r="R41" s="233"/>
      <c r="S41" s="233"/>
      <c r="T41" s="238"/>
      <c r="U41" s="238"/>
      <c r="V41" s="238"/>
      <c r="W41" s="238"/>
      <c r="X41" s="238"/>
      <c r="Y41" s="238"/>
      <c r="Z41" s="238"/>
    </row>
    <row r="42" spans="1:26" ht="18" customHeight="1">
      <c r="A42" s="238"/>
      <c r="B42" s="238"/>
      <c r="C42" s="238"/>
      <c r="D42" s="233"/>
      <c r="E42" s="233"/>
      <c r="F42" s="244"/>
      <c r="G42" s="244"/>
      <c r="H42" s="244"/>
      <c r="I42" s="244"/>
      <c r="J42" s="244"/>
      <c r="K42" s="233"/>
      <c r="L42" s="233"/>
      <c r="M42" s="233"/>
      <c r="N42" s="233"/>
      <c r="O42" s="233"/>
      <c r="P42" s="233"/>
      <c r="Q42" s="233"/>
      <c r="R42" s="233"/>
      <c r="S42" s="233"/>
      <c r="T42" s="238"/>
      <c r="U42" s="238"/>
      <c r="V42" s="238"/>
      <c r="W42" s="238"/>
      <c r="X42" s="238"/>
      <c r="Y42" s="238"/>
      <c r="Z42" s="238"/>
    </row>
    <row r="43" spans="1:26" ht="18" customHeight="1">
      <c r="A43" s="238"/>
      <c r="B43" s="238"/>
      <c r="C43" s="238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8"/>
      <c r="U43" s="238"/>
      <c r="V43" s="238"/>
      <c r="W43" s="238"/>
      <c r="X43" s="238"/>
      <c r="Y43" s="238"/>
      <c r="Z43" s="238"/>
    </row>
    <row r="44" spans="1:26" ht="18" customHeight="1">
      <c r="A44" s="238"/>
      <c r="B44" s="238"/>
      <c r="C44" s="238"/>
      <c r="D44" s="233"/>
      <c r="E44" s="233"/>
      <c r="F44" s="233"/>
      <c r="G44" s="233"/>
      <c r="H44" s="233"/>
      <c r="I44" s="233"/>
      <c r="J44" s="233"/>
      <c r="K44" s="233"/>
      <c r="L44" s="233"/>
      <c r="M44" s="233"/>
      <c r="N44" s="233"/>
      <c r="O44" s="233"/>
      <c r="P44" s="233"/>
      <c r="Q44" s="233"/>
      <c r="R44" s="233"/>
      <c r="S44" s="233"/>
      <c r="T44" s="238"/>
      <c r="U44" s="238"/>
      <c r="V44" s="238"/>
      <c r="W44" s="238"/>
      <c r="X44" s="238"/>
      <c r="Y44" s="238"/>
      <c r="Z44" s="238"/>
    </row>
    <row r="45" spans="1:26" ht="18" customHeight="1">
      <c r="A45" s="238"/>
      <c r="B45" s="238"/>
      <c r="C45" s="238"/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8"/>
      <c r="U45" s="238"/>
      <c r="V45" s="238"/>
      <c r="W45" s="238"/>
      <c r="X45" s="238"/>
      <c r="Y45" s="238"/>
      <c r="Z45" s="238"/>
    </row>
    <row r="46" spans="1:26" ht="18" customHeight="1">
      <c r="A46" s="238"/>
      <c r="B46" s="238"/>
      <c r="C46" s="238"/>
      <c r="D46" s="233"/>
      <c r="E46" s="233"/>
      <c r="F46" s="233"/>
      <c r="G46" s="233"/>
      <c r="H46" s="233"/>
      <c r="I46" s="233"/>
      <c r="J46" s="233"/>
      <c r="K46" s="233"/>
      <c r="L46" s="233"/>
      <c r="M46" s="233"/>
      <c r="N46" s="233"/>
      <c r="O46" s="233"/>
      <c r="P46" s="233"/>
      <c r="Q46" s="233"/>
      <c r="R46" s="233"/>
      <c r="S46" s="233"/>
      <c r="T46" s="238"/>
      <c r="U46" s="238"/>
      <c r="V46" s="238"/>
      <c r="W46" s="238"/>
      <c r="X46" s="238"/>
      <c r="Y46" s="238"/>
      <c r="Z46" s="238"/>
    </row>
    <row r="47" spans="1:26" ht="18" hidden="1" customHeight="1">
      <c r="A47" s="112"/>
      <c r="B47" s="112"/>
      <c r="C47" s="112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2"/>
      <c r="U47" s="112"/>
      <c r="V47" s="112"/>
      <c r="W47" s="112"/>
      <c r="X47" s="112"/>
      <c r="Y47" s="112"/>
      <c r="Z47" s="112"/>
    </row>
    <row r="48" spans="1:26" ht="18" hidden="1" customHeight="1">
      <c r="A48" s="112"/>
      <c r="B48" s="117" t="b">
        <v>0</v>
      </c>
      <c r="C48" s="225">
        <f t="shared" ref="C48:C49" si="0">IF(LEFT(B48,1)="T",1,2)</f>
        <v>2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2"/>
      <c r="U48" s="112"/>
      <c r="V48" s="112"/>
      <c r="W48" s="112"/>
      <c r="X48" s="112"/>
      <c r="Y48" s="112"/>
      <c r="Z48" s="112"/>
    </row>
    <row r="49" spans="1:26" ht="18" hidden="1" customHeight="1">
      <c r="A49" s="112"/>
      <c r="B49" s="117" t="b">
        <v>1</v>
      </c>
      <c r="C49" s="225">
        <f t="shared" si="0"/>
        <v>1</v>
      </c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2"/>
      <c r="U49" s="112"/>
      <c r="V49" s="112"/>
      <c r="W49" s="112"/>
      <c r="X49" s="112"/>
      <c r="Y49" s="112"/>
      <c r="Z49" s="112"/>
    </row>
    <row r="50" spans="1:26" ht="18" hidden="1" customHeight="1">
      <c r="A50" s="112"/>
      <c r="B50" s="117" t="b">
        <v>1</v>
      </c>
      <c r="C50" s="225">
        <f>IF(LEFT(B50,1)="T",1,2)</f>
        <v>1</v>
      </c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2"/>
      <c r="U50" s="112"/>
      <c r="V50" s="112"/>
      <c r="W50" s="112"/>
      <c r="X50" s="112"/>
      <c r="Y50" s="112"/>
      <c r="Z50" s="112"/>
    </row>
    <row r="51" spans="1:26" ht="18" hidden="1" customHeight="1">
      <c r="A51" s="112"/>
      <c r="B51" s="117" t="b">
        <v>1</v>
      </c>
      <c r="C51" s="2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2"/>
      <c r="U51" s="112"/>
      <c r="V51" s="112"/>
      <c r="W51" s="112"/>
      <c r="X51" s="112"/>
      <c r="Y51" s="112"/>
      <c r="Z51" s="112"/>
    </row>
    <row r="52" spans="1:26" ht="18" hidden="1" customHeight="1">
      <c r="A52" s="112"/>
      <c r="B52" s="117"/>
      <c r="C52" s="2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2"/>
      <c r="U52" s="112"/>
      <c r="V52" s="112"/>
      <c r="W52" s="112"/>
      <c r="X52" s="112"/>
      <c r="Y52" s="112"/>
      <c r="Z52" s="112"/>
    </row>
    <row r="53" spans="1:26" ht="18" hidden="1" customHeight="1">
      <c r="A53" s="112"/>
      <c r="B53" s="117" t="s">
        <v>270</v>
      </c>
      <c r="C53" s="2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2"/>
      <c r="U53" s="112"/>
      <c r="V53" s="112"/>
      <c r="W53" s="112"/>
      <c r="X53" s="112"/>
      <c r="Y53" s="112"/>
      <c r="Z53" s="112"/>
    </row>
    <row r="54" spans="1:26" ht="18" hidden="1" customHeight="1">
      <c r="A54" s="112"/>
      <c r="B54" s="117" t="s">
        <v>271</v>
      </c>
      <c r="C54" s="2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2"/>
      <c r="U54" s="112"/>
      <c r="V54" s="112"/>
      <c r="W54" s="112"/>
      <c r="X54" s="112"/>
      <c r="Y54" s="112"/>
      <c r="Z54" s="112"/>
    </row>
    <row r="55" spans="1:26" ht="18" hidden="1" customHeight="1">
      <c r="A55" s="112"/>
      <c r="B55" s="116">
        <v>1</v>
      </c>
      <c r="C55" s="2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  <c r="U55" s="112"/>
      <c r="V55" s="112"/>
      <c r="W55" s="112"/>
      <c r="X55" s="112"/>
      <c r="Y55" s="112"/>
      <c r="Z55" s="112"/>
    </row>
    <row r="56" spans="1:26" ht="18" hidden="1" customHeight="1">
      <c r="A56" s="112"/>
      <c r="B56" s="117" t="b">
        <v>1</v>
      </c>
      <c r="C56" s="2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2"/>
      <c r="U56" s="112"/>
      <c r="V56" s="112"/>
      <c r="W56" s="112"/>
      <c r="X56" s="112"/>
      <c r="Y56" s="112"/>
      <c r="Z56" s="112"/>
    </row>
    <row r="57" spans="1:26" ht="18" hidden="1" customHeight="1">
      <c r="A57" s="112"/>
      <c r="B57" s="226"/>
      <c r="C57" s="2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2"/>
      <c r="U57" s="112"/>
      <c r="V57" s="112"/>
      <c r="W57" s="112"/>
      <c r="X57" s="112"/>
      <c r="Y57" s="112"/>
      <c r="Z57" s="112"/>
    </row>
    <row r="58" spans="1:26" ht="18" hidden="1" customHeight="1">
      <c r="A58" s="112"/>
      <c r="B58" s="227" t="b">
        <v>0</v>
      </c>
      <c r="C58" s="225">
        <f>IF(LEFT(B58,1)="T",1,2)</f>
        <v>2</v>
      </c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2"/>
      <c r="U58" s="112"/>
      <c r="V58" s="112"/>
      <c r="W58" s="112"/>
      <c r="X58" s="112"/>
      <c r="Y58" s="112"/>
      <c r="Z58" s="112"/>
    </row>
    <row r="59" spans="1:26" ht="18" hidden="1" customHeight="1">
      <c r="A59" s="112"/>
      <c r="B59" s="224" t="b">
        <v>1</v>
      </c>
      <c r="C59" s="2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2"/>
      <c r="U59" s="112"/>
      <c r="V59" s="112"/>
      <c r="W59" s="112"/>
      <c r="X59" s="112"/>
      <c r="Y59" s="112"/>
      <c r="Z59" s="112"/>
    </row>
    <row r="60" spans="1:26" ht="18" customHeight="1">
      <c r="A60" s="238"/>
      <c r="B60" s="238"/>
      <c r="C60" s="238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3"/>
      <c r="R60" s="233"/>
      <c r="S60" s="233"/>
      <c r="T60" s="238"/>
      <c r="U60" s="238"/>
      <c r="V60" s="238"/>
      <c r="W60" s="238"/>
      <c r="X60" s="238"/>
      <c r="Y60" s="238"/>
      <c r="Z60" s="238"/>
    </row>
    <row r="61" spans="1:26" ht="18" customHeight="1">
      <c r="A61" s="238"/>
      <c r="B61" s="238"/>
      <c r="C61" s="238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3"/>
      <c r="R61" s="233"/>
      <c r="S61" s="233"/>
      <c r="T61" s="238"/>
      <c r="U61" s="238"/>
      <c r="V61" s="238"/>
      <c r="W61" s="238"/>
      <c r="X61" s="238"/>
      <c r="Y61" s="238"/>
      <c r="Z61" s="238"/>
    </row>
    <row r="62" spans="1:26" ht="18" customHeight="1">
      <c r="A62" s="238"/>
      <c r="B62" s="238"/>
      <c r="C62" s="238"/>
      <c r="D62" s="233"/>
      <c r="E62" s="233"/>
      <c r="F62" s="233"/>
      <c r="G62" s="233"/>
      <c r="H62" s="233"/>
      <c r="I62" s="233"/>
      <c r="J62" s="233"/>
      <c r="K62" s="233"/>
      <c r="L62" s="233"/>
      <c r="M62" s="233"/>
      <c r="N62" s="233"/>
      <c r="O62" s="233"/>
      <c r="P62" s="233"/>
      <c r="Q62" s="233"/>
      <c r="R62" s="233"/>
      <c r="S62" s="233"/>
      <c r="T62" s="238"/>
      <c r="U62" s="238"/>
      <c r="V62" s="238"/>
      <c r="W62" s="238"/>
      <c r="X62" s="238"/>
      <c r="Y62" s="238"/>
      <c r="Z62" s="238"/>
    </row>
    <row r="63" spans="1:26" ht="18" customHeight="1">
      <c r="A63" s="238"/>
      <c r="B63" s="238"/>
      <c r="C63" s="238"/>
      <c r="D63" s="233"/>
      <c r="E63" s="233"/>
      <c r="F63" s="233"/>
      <c r="G63" s="233"/>
      <c r="H63" s="233"/>
      <c r="I63" s="233"/>
      <c r="J63" s="233"/>
      <c r="K63" s="233"/>
      <c r="L63" s="233"/>
      <c r="M63" s="233"/>
      <c r="N63" s="233"/>
      <c r="O63" s="233"/>
      <c r="P63" s="233"/>
      <c r="Q63" s="233"/>
      <c r="R63" s="233"/>
      <c r="S63" s="233"/>
      <c r="T63" s="238"/>
      <c r="U63" s="238"/>
      <c r="V63" s="238"/>
      <c r="W63" s="238"/>
      <c r="X63" s="238"/>
      <c r="Y63" s="238"/>
      <c r="Z63" s="238"/>
    </row>
    <row r="64" spans="1:26" ht="18" customHeight="1">
      <c r="A64" s="238"/>
      <c r="B64" s="238"/>
      <c r="C64" s="238"/>
      <c r="D64" s="233"/>
      <c r="E64" s="233"/>
      <c r="F64" s="233"/>
      <c r="G64" s="233"/>
      <c r="H64" s="233"/>
      <c r="I64" s="233"/>
      <c r="J64" s="233"/>
      <c r="K64" s="233"/>
      <c r="L64" s="233"/>
      <c r="M64" s="233"/>
      <c r="N64" s="233"/>
      <c r="O64" s="233"/>
      <c r="P64" s="233"/>
      <c r="Q64" s="233"/>
      <c r="R64" s="233"/>
      <c r="S64" s="233"/>
      <c r="T64" s="238"/>
      <c r="U64" s="238"/>
      <c r="V64" s="238"/>
      <c r="W64" s="238"/>
      <c r="X64" s="238"/>
      <c r="Y64" s="238"/>
      <c r="Z64" s="238"/>
    </row>
    <row r="65" spans="1:26" ht="18" customHeight="1">
      <c r="A65" s="238"/>
      <c r="B65" s="238"/>
      <c r="C65" s="238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3"/>
      <c r="R65" s="233"/>
      <c r="S65" s="233"/>
      <c r="T65" s="238"/>
      <c r="U65" s="238"/>
      <c r="V65" s="238"/>
      <c r="W65" s="238"/>
      <c r="X65" s="238"/>
      <c r="Y65" s="238"/>
      <c r="Z65" s="238"/>
    </row>
    <row r="66" spans="1:26" ht="18" customHeight="1">
      <c r="A66" s="238"/>
      <c r="B66" s="238"/>
      <c r="C66" s="238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3"/>
      <c r="R66" s="233"/>
      <c r="S66" s="233"/>
      <c r="T66" s="238"/>
      <c r="U66" s="238"/>
      <c r="V66" s="238"/>
      <c r="W66" s="238"/>
      <c r="X66" s="238"/>
      <c r="Y66" s="238"/>
      <c r="Z66" s="238"/>
    </row>
    <row r="67" spans="1:26" ht="18" customHeight="1">
      <c r="A67" s="238"/>
      <c r="B67" s="238"/>
      <c r="C67" s="238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3"/>
      <c r="R67" s="233"/>
      <c r="S67" s="233"/>
      <c r="T67" s="238"/>
      <c r="U67" s="238"/>
      <c r="V67" s="238"/>
      <c r="W67" s="238"/>
      <c r="X67" s="238"/>
      <c r="Y67" s="238"/>
      <c r="Z67" s="238"/>
    </row>
    <row r="68" spans="1:26" ht="18" customHeight="1">
      <c r="A68" s="238"/>
      <c r="B68" s="238"/>
      <c r="C68" s="238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3"/>
      <c r="R68" s="233"/>
      <c r="S68" s="233"/>
      <c r="T68" s="238"/>
      <c r="U68" s="238"/>
      <c r="V68" s="238"/>
      <c r="W68" s="238"/>
      <c r="X68" s="238"/>
      <c r="Y68" s="238"/>
      <c r="Z68" s="238"/>
    </row>
    <row r="69" spans="1:26" ht="18" customHeight="1">
      <c r="A69" s="238"/>
      <c r="B69" s="238"/>
      <c r="C69" s="238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3"/>
      <c r="R69" s="233"/>
      <c r="S69" s="233"/>
      <c r="T69" s="238"/>
      <c r="U69" s="238"/>
      <c r="V69" s="238"/>
      <c r="W69" s="238"/>
      <c r="X69" s="238"/>
      <c r="Y69" s="238"/>
      <c r="Z69" s="238"/>
    </row>
    <row r="70" spans="1:26" ht="18" customHeight="1">
      <c r="A70" s="238"/>
      <c r="B70" s="238"/>
      <c r="C70" s="238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3"/>
      <c r="R70" s="233"/>
      <c r="S70" s="233"/>
      <c r="T70" s="238"/>
      <c r="U70" s="238"/>
      <c r="V70" s="238"/>
      <c r="W70" s="238"/>
      <c r="X70" s="238"/>
      <c r="Y70" s="238"/>
      <c r="Z70" s="238"/>
    </row>
    <row r="71" spans="1:26" ht="18" customHeight="1">
      <c r="A71" s="238"/>
      <c r="B71" s="238"/>
      <c r="C71" s="238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3"/>
      <c r="R71" s="233"/>
      <c r="S71" s="233"/>
      <c r="T71" s="238"/>
      <c r="U71" s="238"/>
      <c r="V71" s="238"/>
      <c r="W71" s="238"/>
      <c r="X71" s="238"/>
      <c r="Y71" s="238"/>
      <c r="Z71" s="238"/>
    </row>
    <row r="72" spans="1:26" ht="18" customHeight="1">
      <c r="A72" s="238"/>
      <c r="B72" s="238"/>
      <c r="C72" s="238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3"/>
      <c r="R72" s="233"/>
      <c r="S72" s="233"/>
      <c r="T72" s="238"/>
      <c r="U72" s="238"/>
      <c r="V72" s="238"/>
      <c r="W72" s="238"/>
      <c r="X72" s="238"/>
      <c r="Y72" s="238"/>
      <c r="Z72" s="238"/>
    </row>
    <row r="73" spans="1:26" ht="18" customHeight="1">
      <c r="A73" s="238"/>
      <c r="B73" s="238"/>
      <c r="C73" s="238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3"/>
      <c r="R73" s="233"/>
      <c r="S73" s="233"/>
      <c r="T73" s="238"/>
      <c r="U73" s="238"/>
      <c r="V73" s="238"/>
      <c r="W73" s="238"/>
      <c r="X73" s="238"/>
      <c r="Y73" s="238"/>
      <c r="Z73" s="238"/>
    </row>
    <row r="74" spans="1:26" ht="18" customHeight="1">
      <c r="A74" s="238"/>
      <c r="B74" s="238"/>
      <c r="C74" s="238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3"/>
      <c r="S74" s="233"/>
      <c r="T74" s="238"/>
      <c r="U74" s="238"/>
      <c r="V74" s="238"/>
      <c r="W74" s="238"/>
      <c r="X74" s="238"/>
      <c r="Y74" s="238"/>
      <c r="Z74" s="238"/>
    </row>
    <row r="75" spans="1:26" ht="18" customHeight="1">
      <c r="A75" s="238"/>
      <c r="B75" s="238"/>
      <c r="C75" s="238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3"/>
      <c r="S75" s="233"/>
      <c r="T75" s="238"/>
      <c r="U75" s="238"/>
      <c r="V75" s="238"/>
      <c r="W75" s="238"/>
      <c r="X75" s="238"/>
      <c r="Y75" s="238"/>
      <c r="Z75" s="238"/>
    </row>
    <row r="76" spans="1:26" ht="18" customHeight="1">
      <c r="A76" s="238"/>
      <c r="B76" s="238"/>
      <c r="C76" s="238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3"/>
      <c r="S76" s="233"/>
      <c r="T76" s="238"/>
      <c r="U76" s="238"/>
      <c r="V76" s="238"/>
      <c r="W76" s="238"/>
      <c r="X76" s="238"/>
      <c r="Y76" s="238"/>
      <c r="Z76" s="238"/>
    </row>
    <row r="77" spans="1:26" ht="18" customHeight="1">
      <c r="A77" s="238"/>
      <c r="B77" s="238"/>
      <c r="C77" s="238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3"/>
      <c r="S77" s="233"/>
      <c r="T77" s="238"/>
      <c r="U77" s="238"/>
      <c r="V77" s="238"/>
      <c r="W77" s="238"/>
      <c r="X77" s="238"/>
      <c r="Y77" s="238"/>
      <c r="Z77" s="238"/>
    </row>
    <row r="78" spans="1:26" ht="18" customHeight="1">
      <c r="A78" s="238"/>
      <c r="B78" s="238"/>
      <c r="C78" s="238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3"/>
      <c r="R78" s="233"/>
      <c r="S78" s="233"/>
      <c r="T78" s="238"/>
      <c r="U78" s="238"/>
      <c r="V78" s="238"/>
      <c r="W78" s="238"/>
      <c r="X78" s="238"/>
      <c r="Y78" s="238"/>
      <c r="Z78" s="238"/>
    </row>
    <row r="79" spans="1:26" ht="18" customHeight="1">
      <c r="A79" s="238"/>
      <c r="B79" s="238"/>
      <c r="C79" s="238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3"/>
      <c r="R79" s="233"/>
      <c r="S79" s="233"/>
      <c r="T79" s="238"/>
      <c r="U79" s="238"/>
      <c r="V79" s="238"/>
      <c r="W79" s="238"/>
      <c r="X79" s="238"/>
      <c r="Y79" s="238"/>
      <c r="Z79" s="238"/>
    </row>
    <row r="80" spans="1:26" ht="18" customHeight="1">
      <c r="A80" s="238"/>
      <c r="B80" s="238"/>
      <c r="C80" s="238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3"/>
      <c r="R80" s="233"/>
      <c r="S80" s="233"/>
      <c r="T80" s="238"/>
      <c r="U80" s="238"/>
      <c r="V80" s="238"/>
      <c r="W80" s="238"/>
      <c r="X80" s="238"/>
      <c r="Y80" s="238"/>
      <c r="Z80" s="238"/>
    </row>
    <row r="81" spans="1:26" ht="18" customHeight="1">
      <c r="A81" s="238"/>
      <c r="B81" s="238"/>
      <c r="C81" s="238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8"/>
      <c r="U81" s="238"/>
      <c r="V81" s="238"/>
      <c r="W81" s="238"/>
      <c r="X81" s="238"/>
      <c r="Y81" s="238"/>
      <c r="Z81" s="238"/>
    </row>
    <row r="82" spans="1:26" ht="18" customHeight="1">
      <c r="A82" s="238"/>
      <c r="B82" s="238"/>
      <c r="C82" s="238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3"/>
      <c r="R82" s="233"/>
      <c r="S82" s="233"/>
      <c r="T82" s="238"/>
      <c r="U82" s="238"/>
      <c r="V82" s="238"/>
      <c r="W82" s="238"/>
      <c r="X82" s="238"/>
      <c r="Y82" s="238"/>
      <c r="Z82" s="238"/>
    </row>
    <row r="83" spans="1:26" ht="18" customHeight="1">
      <c r="A83" s="238"/>
      <c r="B83" s="238"/>
      <c r="C83" s="238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8"/>
      <c r="U83" s="238"/>
      <c r="V83" s="238"/>
      <c r="W83" s="238"/>
      <c r="X83" s="238"/>
      <c r="Y83" s="238"/>
      <c r="Z83" s="238"/>
    </row>
    <row r="84" spans="1:26" ht="18" customHeight="1">
      <c r="A84" s="238"/>
      <c r="B84" s="238"/>
      <c r="C84" s="238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8"/>
      <c r="U84" s="238"/>
      <c r="V84" s="238"/>
      <c r="W84" s="238"/>
      <c r="X84" s="238"/>
      <c r="Y84" s="238"/>
      <c r="Z84" s="238"/>
    </row>
    <row r="85" spans="1:26" ht="18" customHeight="1">
      <c r="A85" s="238"/>
      <c r="B85" s="238"/>
      <c r="C85" s="238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8"/>
      <c r="U85" s="238"/>
      <c r="V85" s="238"/>
      <c r="W85" s="238"/>
      <c r="X85" s="238"/>
      <c r="Y85" s="238"/>
      <c r="Z85" s="238"/>
    </row>
    <row r="86" spans="1:26" ht="18" customHeight="1">
      <c r="A86" s="238"/>
      <c r="B86" s="238"/>
      <c r="C86" s="238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8"/>
      <c r="U86" s="238"/>
      <c r="V86" s="238"/>
      <c r="W86" s="238"/>
      <c r="X86" s="238"/>
      <c r="Y86" s="238"/>
      <c r="Z86" s="238"/>
    </row>
    <row r="87" spans="1:26" ht="18" customHeight="1">
      <c r="A87" s="238"/>
      <c r="B87" s="238"/>
      <c r="C87" s="238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8"/>
      <c r="U87" s="238"/>
      <c r="V87" s="238"/>
      <c r="W87" s="238"/>
      <c r="X87" s="238"/>
      <c r="Y87" s="238"/>
      <c r="Z87" s="238"/>
    </row>
    <row r="88" spans="1:26" ht="18" customHeight="1">
      <c r="A88" s="238"/>
      <c r="B88" s="238"/>
      <c r="C88" s="238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8"/>
      <c r="U88" s="238"/>
      <c r="V88" s="238"/>
      <c r="W88" s="238"/>
      <c r="X88" s="238"/>
      <c r="Y88" s="238"/>
      <c r="Z88" s="238"/>
    </row>
    <row r="89" spans="1:26" ht="18" customHeight="1">
      <c r="A89" s="238"/>
      <c r="B89" s="238"/>
      <c r="C89" s="238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3"/>
      <c r="R89" s="233"/>
      <c r="S89" s="233"/>
      <c r="T89" s="238"/>
      <c r="U89" s="238"/>
      <c r="V89" s="238"/>
      <c r="W89" s="238"/>
      <c r="X89" s="238"/>
      <c r="Y89" s="238"/>
      <c r="Z89" s="238"/>
    </row>
    <row r="90" spans="1:26" ht="18" customHeight="1">
      <c r="A90" s="238"/>
      <c r="B90" s="238"/>
      <c r="C90" s="238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3"/>
      <c r="R90" s="233"/>
      <c r="S90" s="233"/>
      <c r="T90" s="238"/>
      <c r="U90" s="238"/>
      <c r="V90" s="238"/>
      <c r="W90" s="238"/>
      <c r="X90" s="238"/>
      <c r="Y90" s="238"/>
      <c r="Z90" s="238"/>
    </row>
    <row r="91" spans="1:26" ht="18" customHeight="1">
      <c r="A91" s="238"/>
      <c r="B91" s="238"/>
      <c r="C91" s="238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3"/>
      <c r="R91" s="233"/>
      <c r="S91" s="233"/>
      <c r="T91" s="238"/>
      <c r="U91" s="238"/>
      <c r="V91" s="238"/>
      <c r="W91" s="238"/>
      <c r="X91" s="238"/>
      <c r="Y91" s="238"/>
      <c r="Z91" s="238"/>
    </row>
    <row r="92" spans="1:26" ht="18" customHeight="1">
      <c r="A92" s="238"/>
      <c r="B92" s="238"/>
      <c r="C92" s="238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3"/>
      <c r="R92" s="233"/>
      <c r="S92" s="233"/>
      <c r="T92" s="238"/>
      <c r="U92" s="238"/>
      <c r="V92" s="238"/>
      <c r="W92" s="238"/>
      <c r="X92" s="238"/>
      <c r="Y92" s="238"/>
      <c r="Z92" s="238"/>
    </row>
    <row r="93" spans="1:26" ht="18" customHeight="1">
      <c r="A93" s="238"/>
      <c r="B93" s="238"/>
      <c r="C93" s="238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3"/>
      <c r="R93" s="233"/>
      <c r="S93" s="233"/>
      <c r="T93" s="238"/>
      <c r="U93" s="238"/>
      <c r="V93" s="238"/>
      <c r="W93" s="238"/>
      <c r="X93" s="238"/>
      <c r="Y93" s="238"/>
      <c r="Z93" s="238"/>
    </row>
    <row r="94" spans="1:26" ht="18" customHeight="1">
      <c r="A94" s="238"/>
      <c r="B94" s="238"/>
      <c r="C94" s="238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3"/>
      <c r="R94" s="233"/>
      <c r="S94" s="233"/>
      <c r="T94" s="238"/>
      <c r="U94" s="238"/>
      <c r="V94" s="238"/>
      <c r="W94" s="238"/>
      <c r="X94" s="238"/>
      <c r="Y94" s="238"/>
      <c r="Z94" s="238"/>
    </row>
    <row r="95" spans="1:26" ht="18" customHeight="1">
      <c r="A95" s="238"/>
      <c r="B95" s="238"/>
      <c r="C95" s="238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3"/>
      <c r="R95" s="233"/>
      <c r="S95" s="233"/>
      <c r="T95" s="238"/>
      <c r="U95" s="238"/>
      <c r="V95" s="238"/>
      <c r="W95" s="238"/>
      <c r="X95" s="238"/>
      <c r="Y95" s="238"/>
      <c r="Z95" s="238"/>
    </row>
    <row r="96" spans="1:26" ht="18" customHeight="1">
      <c r="A96" s="238"/>
      <c r="B96" s="238"/>
      <c r="C96" s="238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3"/>
      <c r="R96" s="233"/>
      <c r="S96" s="233"/>
      <c r="T96" s="238"/>
      <c r="U96" s="238"/>
      <c r="V96" s="238"/>
      <c r="W96" s="238"/>
      <c r="X96" s="238"/>
      <c r="Y96" s="238"/>
      <c r="Z96" s="238"/>
    </row>
    <row r="97" spans="1:26" ht="18" customHeight="1">
      <c r="A97" s="238"/>
      <c r="B97" s="238"/>
      <c r="C97" s="238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3"/>
      <c r="R97" s="233"/>
      <c r="S97" s="233"/>
      <c r="T97" s="238"/>
      <c r="U97" s="238"/>
      <c r="V97" s="238"/>
      <c r="W97" s="238"/>
      <c r="X97" s="238"/>
      <c r="Y97" s="238"/>
      <c r="Z97" s="238"/>
    </row>
    <row r="98" spans="1:26" ht="18" customHeight="1">
      <c r="A98" s="238"/>
      <c r="B98" s="238"/>
      <c r="C98" s="238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3"/>
      <c r="R98" s="233"/>
      <c r="S98" s="233"/>
      <c r="T98" s="238"/>
      <c r="U98" s="238"/>
      <c r="V98" s="238"/>
      <c r="W98" s="238"/>
      <c r="X98" s="238"/>
      <c r="Y98" s="238"/>
      <c r="Z98" s="238"/>
    </row>
    <row r="99" spans="1:26" ht="18" customHeight="1">
      <c r="A99" s="238"/>
      <c r="B99" s="238"/>
      <c r="C99" s="238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3"/>
      <c r="R99" s="233"/>
      <c r="S99" s="233"/>
      <c r="T99" s="238"/>
      <c r="U99" s="238"/>
      <c r="V99" s="238"/>
      <c r="W99" s="238"/>
      <c r="X99" s="238"/>
      <c r="Y99" s="238"/>
      <c r="Z99" s="238"/>
    </row>
    <row r="100" spans="1:26" ht="18" customHeight="1">
      <c r="A100" s="238"/>
      <c r="B100" s="238"/>
      <c r="C100" s="238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3"/>
      <c r="R100" s="233"/>
      <c r="S100" s="233"/>
      <c r="T100" s="238"/>
      <c r="U100" s="238"/>
      <c r="V100" s="238"/>
      <c r="W100" s="238"/>
      <c r="X100" s="238"/>
      <c r="Y100" s="238"/>
      <c r="Z100" s="238"/>
    </row>
    <row r="101" spans="1:26" ht="18" customHeight="1">
      <c r="A101" s="238"/>
      <c r="B101" s="238"/>
      <c r="C101" s="238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3"/>
      <c r="R101" s="233"/>
      <c r="S101" s="233"/>
      <c r="T101" s="238"/>
      <c r="U101" s="238"/>
      <c r="V101" s="238"/>
      <c r="W101" s="238"/>
      <c r="X101" s="238"/>
      <c r="Y101" s="238"/>
      <c r="Z101" s="238"/>
    </row>
    <row r="102" spans="1:26" ht="18" customHeight="1">
      <c r="A102" s="238"/>
      <c r="B102" s="238"/>
      <c r="C102" s="238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3"/>
      <c r="R102" s="233"/>
      <c r="S102" s="233"/>
      <c r="T102" s="238"/>
      <c r="U102" s="238"/>
      <c r="V102" s="238"/>
      <c r="W102" s="238"/>
      <c r="X102" s="238"/>
      <c r="Y102" s="238"/>
      <c r="Z102" s="238"/>
    </row>
    <row r="103" spans="1:26" ht="18" customHeight="1">
      <c r="A103" s="238"/>
      <c r="B103" s="238"/>
      <c r="C103" s="238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3"/>
      <c r="R103" s="233"/>
      <c r="S103" s="233"/>
      <c r="T103" s="238"/>
      <c r="U103" s="238"/>
      <c r="V103" s="238"/>
      <c r="W103" s="238"/>
      <c r="X103" s="238"/>
      <c r="Y103" s="238"/>
      <c r="Z103" s="238"/>
    </row>
    <row r="104" spans="1:26" ht="18" customHeight="1">
      <c r="A104" s="238"/>
      <c r="B104" s="238"/>
      <c r="C104" s="238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3"/>
      <c r="R104" s="233"/>
      <c r="S104" s="233"/>
      <c r="T104" s="238"/>
      <c r="U104" s="238"/>
      <c r="V104" s="238"/>
      <c r="W104" s="238"/>
      <c r="X104" s="238"/>
      <c r="Y104" s="238"/>
      <c r="Z104" s="238"/>
    </row>
    <row r="105" spans="1:26" ht="18" customHeight="1">
      <c r="A105" s="238"/>
      <c r="B105" s="238"/>
      <c r="C105" s="238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3"/>
      <c r="R105" s="233"/>
      <c r="S105" s="233"/>
      <c r="T105" s="238"/>
      <c r="U105" s="238"/>
      <c r="V105" s="238"/>
      <c r="W105" s="238"/>
      <c r="X105" s="238"/>
      <c r="Y105" s="238"/>
      <c r="Z105" s="238"/>
    </row>
    <row r="106" spans="1:26" ht="18" customHeight="1">
      <c r="A106" s="238"/>
      <c r="B106" s="238"/>
      <c r="C106" s="238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3"/>
      <c r="R106" s="233"/>
      <c r="S106" s="233"/>
      <c r="T106" s="238"/>
      <c r="U106" s="238"/>
      <c r="V106" s="238"/>
      <c r="W106" s="238"/>
      <c r="X106" s="238"/>
      <c r="Y106" s="238"/>
      <c r="Z106" s="238"/>
    </row>
    <row r="107" spans="1:26" ht="18" customHeight="1">
      <c r="A107" s="238"/>
      <c r="B107" s="238"/>
      <c r="C107" s="238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3"/>
      <c r="R107" s="233"/>
      <c r="S107" s="233"/>
      <c r="T107" s="238"/>
      <c r="U107" s="238"/>
      <c r="V107" s="238"/>
      <c r="W107" s="238"/>
      <c r="X107" s="238"/>
      <c r="Y107" s="238"/>
      <c r="Z107" s="238"/>
    </row>
    <row r="108" spans="1:26" ht="18" customHeight="1">
      <c r="A108" s="238"/>
      <c r="B108" s="238"/>
      <c r="C108" s="238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3"/>
      <c r="R108" s="233"/>
      <c r="S108" s="233"/>
      <c r="T108" s="238"/>
      <c r="U108" s="238"/>
      <c r="V108" s="238"/>
      <c r="W108" s="238"/>
      <c r="X108" s="238"/>
      <c r="Y108" s="238"/>
      <c r="Z108" s="238"/>
    </row>
    <row r="109" spans="1:26" ht="18" customHeight="1">
      <c r="A109" s="238"/>
      <c r="B109" s="238"/>
      <c r="C109" s="238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3"/>
      <c r="R109" s="233"/>
      <c r="S109" s="233"/>
      <c r="T109" s="238"/>
      <c r="U109" s="238"/>
      <c r="V109" s="238"/>
      <c r="W109" s="238"/>
      <c r="X109" s="238"/>
      <c r="Y109" s="238"/>
      <c r="Z109" s="238"/>
    </row>
    <row r="110" spans="1:26" ht="18" customHeight="1">
      <c r="A110" s="238"/>
      <c r="B110" s="238"/>
      <c r="C110" s="238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3"/>
      <c r="R110" s="233"/>
      <c r="S110" s="233"/>
      <c r="T110" s="238"/>
      <c r="U110" s="238"/>
      <c r="V110" s="238"/>
      <c r="W110" s="238"/>
      <c r="X110" s="238"/>
      <c r="Y110" s="238"/>
      <c r="Z110" s="238"/>
    </row>
    <row r="111" spans="1:26" ht="18" customHeight="1">
      <c r="A111" s="238"/>
      <c r="B111" s="238"/>
      <c r="C111" s="238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3"/>
      <c r="R111" s="233"/>
      <c r="S111" s="233"/>
      <c r="T111" s="238"/>
      <c r="U111" s="238"/>
      <c r="V111" s="238"/>
      <c r="W111" s="238"/>
      <c r="X111" s="238"/>
      <c r="Y111" s="238"/>
      <c r="Z111" s="238"/>
    </row>
    <row r="112" spans="1:26" ht="18" customHeight="1">
      <c r="A112" s="238"/>
      <c r="B112" s="238"/>
      <c r="C112" s="238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3"/>
      <c r="R112" s="233"/>
      <c r="S112" s="233"/>
      <c r="T112" s="238"/>
      <c r="U112" s="238"/>
      <c r="V112" s="238"/>
      <c r="W112" s="238"/>
      <c r="X112" s="238"/>
      <c r="Y112" s="238"/>
      <c r="Z112" s="238"/>
    </row>
    <row r="113" spans="1:26" ht="18" customHeight="1">
      <c r="A113" s="238"/>
      <c r="B113" s="238"/>
      <c r="C113" s="238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3"/>
      <c r="R113" s="233"/>
      <c r="S113" s="233"/>
      <c r="T113" s="238"/>
      <c r="U113" s="238"/>
      <c r="V113" s="238"/>
      <c r="W113" s="238"/>
      <c r="X113" s="238"/>
      <c r="Y113" s="238"/>
      <c r="Z113" s="238"/>
    </row>
    <row r="114" spans="1:26" ht="18" customHeight="1">
      <c r="A114" s="238"/>
      <c r="B114" s="238"/>
      <c r="C114" s="238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3"/>
      <c r="R114" s="233"/>
      <c r="S114" s="233"/>
      <c r="T114" s="238"/>
      <c r="U114" s="238"/>
      <c r="V114" s="238"/>
      <c r="W114" s="238"/>
      <c r="X114" s="238"/>
      <c r="Y114" s="238"/>
      <c r="Z114" s="238"/>
    </row>
    <row r="115" spans="1:26" ht="18" customHeight="1">
      <c r="A115" s="238"/>
      <c r="B115" s="238"/>
      <c r="C115" s="238"/>
      <c r="D115" s="233"/>
      <c r="E115" s="233"/>
      <c r="F115" s="233"/>
      <c r="G115" s="233"/>
      <c r="H115" s="233"/>
      <c r="I115" s="233"/>
      <c r="J115" s="233"/>
      <c r="K115" s="233"/>
      <c r="L115" s="233"/>
      <c r="M115" s="233"/>
      <c r="N115" s="233"/>
      <c r="O115" s="233"/>
      <c r="P115" s="233"/>
      <c r="Q115" s="233"/>
      <c r="R115" s="233"/>
      <c r="S115" s="233"/>
      <c r="T115" s="238"/>
      <c r="U115" s="238"/>
      <c r="V115" s="238"/>
      <c r="W115" s="238"/>
      <c r="X115" s="238"/>
      <c r="Y115" s="238"/>
      <c r="Z115" s="238"/>
    </row>
    <row r="116" spans="1:26" ht="18" customHeight="1">
      <c r="A116" s="238"/>
      <c r="B116" s="238"/>
      <c r="C116" s="238"/>
      <c r="D116" s="233"/>
      <c r="E116" s="233"/>
      <c r="F116" s="233"/>
      <c r="G116" s="233"/>
      <c r="H116" s="233"/>
      <c r="I116" s="233"/>
      <c r="J116" s="233"/>
      <c r="K116" s="233"/>
      <c r="L116" s="233"/>
      <c r="M116" s="233"/>
      <c r="N116" s="233"/>
      <c r="O116" s="233"/>
      <c r="P116" s="233"/>
      <c r="Q116" s="233"/>
      <c r="R116" s="233"/>
      <c r="S116" s="233"/>
      <c r="T116" s="238"/>
      <c r="U116" s="238"/>
      <c r="V116" s="238"/>
      <c r="W116" s="238"/>
      <c r="X116" s="238"/>
      <c r="Y116" s="238"/>
      <c r="Z116" s="238"/>
    </row>
    <row r="117" spans="1:26" ht="18" customHeight="1">
      <c r="A117" s="238"/>
      <c r="B117" s="238"/>
      <c r="C117" s="238"/>
      <c r="D117" s="233"/>
      <c r="E117" s="233"/>
      <c r="F117" s="233"/>
      <c r="G117" s="233"/>
      <c r="H117" s="233"/>
      <c r="I117" s="233"/>
      <c r="J117" s="233"/>
      <c r="K117" s="233"/>
      <c r="L117" s="233"/>
      <c r="M117" s="233"/>
      <c r="N117" s="233"/>
      <c r="O117" s="233"/>
      <c r="P117" s="233"/>
      <c r="Q117" s="233"/>
      <c r="R117" s="233"/>
      <c r="S117" s="233"/>
      <c r="T117" s="238"/>
      <c r="U117" s="238"/>
      <c r="V117" s="238"/>
      <c r="W117" s="238"/>
      <c r="X117" s="238"/>
      <c r="Y117" s="238"/>
      <c r="Z117" s="238"/>
    </row>
    <row r="118" spans="1:26" ht="18" customHeight="1">
      <c r="A118" s="238"/>
      <c r="B118" s="238"/>
      <c r="C118" s="238"/>
      <c r="D118" s="233"/>
      <c r="E118" s="233"/>
      <c r="F118" s="233"/>
      <c r="G118" s="233"/>
      <c r="H118" s="233"/>
      <c r="I118" s="233"/>
      <c r="J118" s="233"/>
      <c r="K118" s="233"/>
      <c r="L118" s="233"/>
      <c r="M118" s="233"/>
      <c r="N118" s="233"/>
      <c r="O118" s="233"/>
      <c r="P118" s="233"/>
      <c r="Q118" s="233"/>
      <c r="R118" s="233"/>
      <c r="S118" s="233"/>
      <c r="T118" s="238"/>
      <c r="U118" s="238"/>
      <c r="V118" s="238"/>
      <c r="W118" s="238"/>
      <c r="X118" s="238"/>
      <c r="Y118" s="238"/>
      <c r="Z118" s="238"/>
    </row>
    <row r="119" spans="1:26" ht="18" customHeight="1">
      <c r="A119" s="238"/>
      <c r="B119" s="238"/>
      <c r="C119" s="238"/>
      <c r="D119" s="233"/>
      <c r="E119" s="233"/>
      <c r="F119" s="233"/>
      <c r="G119" s="233"/>
      <c r="H119" s="233"/>
      <c r="I119" s="233"/>
      <c r="J119" s="233"/>
      <c r="K119" s="233"/>
      <c r="L119" s="233"/>
      <c r="M119" s="233"/>
      <c r="N119" s="233"/>
      <c r="O119" s="233"/>
      <c r="P119" s="233"/>
      <c r="Q119" s="233"/>
      <c r="R119" s="233"/>
      <c r="S119" s="233"/>
      <c r="T119" s="238"/>
      <c r="U119" s="238"/>
      <c r="V119" s="238"/>
      <c r="W119" s="238"/>
      <c r="X119" s="238"/>
      <c r="Y119" s="238"/>
      <c r="Z119" s="238"/>
    </row>
    <row r="120" spans="1:26" ht="18" customHeight="1">
      <c r="A120" s="238"/>
      <c r="B120" s="238"/>
      <c r="C120" s="238"/>
      <c r="D120" s="233"/>
      <c r="E120" s="233"/>
      <c r="F120" s="233"/>
      <c r="G120" s="233"/>
      <c r="H120" s="233"/>
      <c r="I120" s="233"/>
      <c r="J120" s="233"/>
      <c r="K120" s="233"/>
      <c r="L120" s="233"/>
      <c r="M120" s="233"/>
      <c r="N120" s="233"/>
      <c r="O120" s="233"/>
      <c r="P120" s="233"/>
      <c r="Q120" s="233"/>
      <c r="R120" s="233"/>
      <c r="S120" s="233"/>
      <c r="T120" s="238"/>
      <c r="U120" s="238"/>
      <c r="V120" s="238"/>
      <c r="W120" s="238"/>
      <c r="X120" s="238"/>
      <c r="Y120" s="238"/>
      <c r="Z120" s="238"/>
    </row>
    <row r="121" spans="1:26" ht="18" customHeight="1">
      <c r="A121" s="238"/>
      <c r="B121" s="238"/>
      <c r="C121" s="238"/>
      <c r="D121" s="233"/>
      <c r="E121" s="233"/>
      <c r="F121" s="233"/>
      <c r="G121" s="233"/>
      <c r="H121" s="233"/>
      <c r="I121" s="233"/>
      <c r="J121" s="233"/>
      <c r="K121" s="233"/>
      <c r="L121" s="233"/>
      <c r="M121" s="233"/>
      <c r="N121" s="233"/>
      <c r="O121" s="233"/>
      <c r="P121" s="233"/>
      <c r="Q121" s="233"/>
      <c r="R121" s="233"/>
      <c r="S121" s="233"/>
      <c r="T121" s="238"/>
      <c r="U121" s="238"/>
      <c r="V121" s="238"/>
      <c r="W121" s="238"/>
      <c r="X121" s="238"/>
      <c r="Y121" s="238"/>
      <c r="Z121" s="238"/>
    </row>
    <row r="122" spans="1:26" ht="18" customHeight="1">
      <c r="A122" s="238"/>
      <c r="B122" s="238"/>
      <c r="C122" s="238"/>
      <c r="D122" s="233"/>
      <c r="E122" s="233"/>
      <c r="F122" s="233"/>
      <c r="G122" s="233"/>
      <c r="H122" s="233"/>
      <c r="I122" s="233"/>
      <c r="J122" s="233"/>
      <c r="K122" s="233"/>
      <c r="L122" s="233"/>
      <c r="M122" s="233"/>
      <c r="N122" s="233"/>
      <c r="O122" s="233"/>
      <c r="P122" s="233"/>
      <c r="Q122" s="233"/>
      <c r="R122" s="233"/>
      <c r="S122" s="233"/>
      <c r="T122" s="238"/>
      <c r="U122" s="238"/>
      <c r="V122" s="238"/>
      <c r="W122" s="238"/>
      <c r="X122" s="238"/>
      <c r="Y122" s="238"/>
      <c r="Z122" s="238"/>
    </row>
    <row r="123" spans="1:26" ht="18" customHeight="1">
      <c r="A123" s="238"/>
      <c r="B123" s="238"/>
      <c r="C123" s="238"/>
      <c r="D123" s="233"/>
      <c r="E123" s="233"/>
      <c r="F123" s="233"/>
      <c r="G123" s="233"/>
      <c r="H123" s="233"/>
      <c r="I123" s="233"/>
      <c r="J123" s="233"/>
      <c r="K123" s="233"/>
      <c r="L123" s="233"/>
      <c r="M123" s="233"/>
      <c r="N123" s="233"/>
      <c r="O123" s="233"/>
      <c r="P123" s="233"/>
      <c r="Q123" s="233"/>
      <c r="R123" s="233"/>
      <c r="S123" s="233"/>
      <c r="T123" s="238"/>
      <c r="U123" s="238"/>
      <c r="V123" s="238"/>
      <c r="W123" s="238"/>
      <c r="X123" s="238"/>
      <c r="Y123" s="238"/>
      <c r="Z123" s="238"/>
    </row>
    <row r="124" spans="1:26" ht="18" customHeight="1">
      <c r="A124" s="238"/>
      <c r="B124" s="238"/>
      <c r="C124" s="238"/>
      <c r="D124" s="233"/>
      <c r="E124" s="233"/>
      <c r="F124" s="233"/>
      <c r="G124" s="233"/>
      <c r="H124" s="233"/>
      <c r="I124" s="233"/>
      <c r="J124" s="233"/>
      <c r="K124" s="233"/>
      <c r="L124" s="233"/>
      <c r="M124" s="233"/>
      <c r="N124" s="233"/>
      <c r="O124" s="233"/>
      <c r="P124" s="233"/>
      <c r="Q124" s="233"/>
      <c r="R124" s="233"/>
      <c r="S124" s="233"/>
      <c r="T124" s="238"/>
      <c r="U124" s="238"/>
      <c r="V124" s="238"/>
      <c r="W124" s="238"/>
      <c r="X124" s="238"/>
      <c r="Y124" s="238"/>
      <c r="Z124" s="238"/>
    </row>
    <row r="125" spans="1:26" ht="18" customHeight="1">
      <c r="A125" s="238"/>
      <c r="B125" s="238"/>
      <c r="C125" s="238"/>
      <c r="D125" s="233"/>
      <c r="E125" s="233"/>
      <c r="F125" s="233"/>
      <c r="G125" s="233"/>
      <c r="H125" s="233"/>
      <c r="I125" s="233"/>
      <c r="J125" s="233"/>
      <c r="K125" s="233"/>
      <c r="L125" s="233"/>
      <c r="M125" s="233"/>
      <c r="N125" s="233"/>
      <c r="O125" s="233"/>
      <c r="P125" s="233"/>
      <c r="Q125" s="233"/>
      <c r="R125" s="233"/>
      <c r="S125" s="233"/>
      <c r="T125" s="238"/>
      <c r="U125" s="238"/>
      <c r="V125" s="238"/>
      <c r="W125" s="238"/>
      <c r="X125" s="238"/>
      <c r="Y125" s="238"/>
      <c r="Z125" s="238"/>
    </row>
    <row r="126" spans="1:26" ht="18" customHeight="1">
      <c r="A126" s="238"/>
      <c r="B126" s="238"/>
      <c r="C126" s="238"/>
      <c r="D126" s="233"/>
      <c r="E126" s="233"/>
      <c r="F126" s="233"/>
      <c r="G126" s="233"/>
      <c r="H126" s="233"/>
      <c r="I126" s="233"/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8"/>
      <c r="U126" s="238"/>
      <c r="V126" s="238"/>
      <c r="W126" s="238"/>
      <c r="X126" s="238"/>
      <c r="Y126" s="238"/>
      <c r="Z126" s="238"/>
    </row>
    <row r="127" spans="1:26" ht="18" customHeight="1">
      <c r="A127" s="238"/>
      <c r="B127" s="238"/>
      <c r="C127" s="238"/>
      <c r="D127" s="233"/>
      <c r="E127" s="233"/>
      <c r="F127" s="233"/>
      <c r="G127" s="233"/>
      <c r="H127" s="233"/>
      <c r="I127" s="233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8"/>
      <c r="U127" s="238"/>
      <c r="V127" s="238"/>
      <c r="W127" s="238"/>
      <c r="X127" s="238"/>
      <c r="Y127" s="238"/>
      <c r="Z127" s="238"/>
    </row>
    <row r="128" spans="1:26" ht="18" customHeight="1">
      <c r="A128" s="238"/>
      <c r="B128" s="238"/>
      <c r="C128" s="238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8"/>
      <c r="U128" s="238"/>
      <c r="V128" s="238"/>
      <c r="W128" s="238"/>
      <c r="X128" s="238"/>
      <c r="Y128" s="238"/>
      <c r="Z128" s="238"/>
    </row>
    <row r="129" spans="1:26" ht="18" customHeight="1">
      <c r="A129" s="238"/>
      <c r="B129" s="238"/>
      <c r="C129" s="238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8"/>
      <c r="U129" s="238"/>
      <c r="V129" s="238"/>
      <c r="W129" s="238"/>
      <c r="X129" s="238"/>
      <c r="Y129" s="238"/>
      <c r="Z129" s="238"/>
    </row>
    <row r="130" spans="1:26" ht="18" customHeight="1">
      <c r="A130" s="238"/>
      <c r="B130" s="238"/>
      <c r="C130" s="238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8"/>
      <c r="U130" s="238"/>
      <c r="V130" s="238"/>
      <c r="W130" s="238"/>
      <c r="X130" s="238"/>
      <c r="Y130" s="238"/>
      <c r="Z130" s="238"/>
    </row>
    <row r="131" spans="1:26" ht="18" customHeight="1">
      <c r="A131" s="238"/>
      <c r="B131" s="238"/>
      <c r="C131" s="238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8"/>
      <c r="U131" s="238"/>
      <c r="V131" s="238"/>
      <c r="W131" s="238"/>
      <c r="X131" s="238"/>
      <c r="Y131" s="238"/>
      <c r="Z131" s="238"/>
    </row>
  </sheetData>
  <sheetProtection algorithmName="SHA-512" hashValue="fDp19mQqrTipx9P44T/Xjy/lkOmwm4pRDl+4Wm/4Gc3WamgBVp25u3Y/1fTrULWN+OGyyN6C2T8zJLM/12Hwyg==" saltValue="MRM8O1rbdFEG1R9NN59Elw==" spinCount="100000" sheet="1" objects="1" scenarios="1"/>
  <phoneticPr fontId="1" type="noConversion"/>
  <conditionalFormatting sqref="B6:C7">
    <cfRule type="expression" dxfId="1530" priority="17">
      <formula>$C$5=""</formula>
    </cfRule>
  </conditionalFormatting>
  <conditionalFormatting sqref="B6:C6">
    <cfRule type="expression" dxfId="1529" priority="16">
      <formula>$C$5=""</formula>
    </cfRule>
  </conditionalFormatting>
  <conditionalFormatting sqref="B7:C7">
    <cfRule type="expression" dxfId="1528" priority="15">
      <formula>$C$5=""</formula>
    </cfRule>
  </conditionalFormatting>
  <conditionalFormatting sqref="B10">
    <cfRule type="expression" dxfId="1527" priority="10">
      <formula>$C$10="No"</formula>
    </cfRule>
  </conditionalFormatting>
  <conditionalFormatting sqref="B11">
    <cfRule type="expression" dxfId="1526" priority="9">
      <formula>$C$11="No"</formula>
    </cfRule>
  </conditionalFormatting>
  <conditionalFormatting sqref="B12">
    <cfRule type="expression" dxfId="1525" priority="8">
      <formula>$C$12="No"</formula>
    </cfRule>
  </conditionalFormatting>
  <conditionalFormatting sqref="C15">
    <cfRule type="expression" dxfId="1524" priority="5">
      <formula>$C$58=1</formula>
    </cfRule>
  </conditionalFormatting>
  <conditionalFormatting sqref="C16">
    <cfRule type="expression" dxfId="1523" priority="4">
      <formula>$C$58=1</formula>
    </cfRule>
  </conditionalFormatting>
  <conditionalFormatting sqref="C10">
    <cfRule type="expression" dxfId="1522" priority="3">
      <formula>$C$48=1</formula>
    </cfRule>
  </conditionalFormatting>
  <conditionalFormatting sqref="C11">
    <cfRule type="expression" dxfId="1521" priority="2">
      <formula>$C$49=1</formula>
    </cfRule>
  </conditionalFormatting>
  <conditionalFormatting sqref="C12">
    <cfRule type="expression" dxfId="152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847725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6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84"/>
      <c r="B1" s="269" t="s">
        <v>241</v>
      </c>
      <c r="C1" s="269"/>
      <c r="D1" s="3"/>
      <c r="E1" s="4"/>
      <c r="F1" s="272"/>
      <c r="G1" s="272"/>
      <c r="H1" s="272"/>
      <c r="I1" s="4"/>
      <c r="J1" s="268" t="s">
        <v>13</v>
      </c>
      <c r="K1" s="268"/>
      <c r="L1" s="4"/>
      <c r="M1" s="4"/>
      <c r="N1" s="4"/>
      <c r="O1" s="4"/>
      <c r="P1" s="4"/>
    </row>
    <row r="2" spans="1:36" ht="13.9" customHeight="1">
      <c r="A2" s="84"/>
      <c r="B2" s="270"/>
      <c r="C2" s="270"/>
      <c r="D2" s="5"/>
      <c r="E2" s="6"/>
      <c r="F2" s="273"/>
      <c r="G2" s="273"/>
      <c r="H2" s="273"/>
      <c r="I2" s="4"/>
      <c r="J2" s="271"/>
      <c r="K2" s="271"/>
      <c r="L2" s="274" t="s">
        <v>328</v>
      </c>
      <c r="M2" s="256"/>
      <c r="N2" s="256" t="s">
        <v>329</v>
      </c>
      <c r="O2" s="257"/>
      <c r="P2" s="4"/>
    </row>
    <row r="3" spans="1:36" ht="13.9" customHeight="1">
      <c r="A3" s="84"/>
      <c r="B3" s="16"/>
      <c r="C3" s="20"/>
      <c r="D3" s="81"/>
      <c r="E3" s="79" t="s">
        <v>269</v>
      </c>
      <c r="F3" s="80" t="s">
        <v>263</v>
      </c>
      <c r="G3" s="79"/>
      <c r="H3" s="113" t="s">
        <v>322</v>
      </c>
      <c r="I3" s="4"/>
      <c r="J3" s="18"/>
      <c r="K3" s="20"/>
      <c r="L3" s="218" t="s">
        <v>269</v>
      </c>
      <c r="M3" s="219" t="s">
        <v>263</v>
      </c>
      <c r="N3" s="218" t="s">
        <v>269</v>
      </c>
      <c r="O3" s="219" t="s">
        <v>263</v>
      </c>
      <c r="P3" s="4"/>
      <c r="AA3" s="16"/>
    </row>
    <row r="4" spans="1:36" ht="13.9" customHeight="1">
      <c r="A4" s="84"/>
      <c r="B4" s="17"/>
      <c r="C4" s="82" t="s">
        <v>262</v>
      </c>
      <c r="D4" s="77" t="s">
        <v>19</v>
      </c>
      <c r="E4" s="75" t="s">
        <v>11</v>
      </c>
      <c r="F4" s="76" t="s">
        <v>12</v>
      </c>
      <c r="G4" s="75" t="s">
        <v>9</v>
      </c>
      <c r="H4" s="83" t="s">
        <v>264</v>
      </c>
      <c r="I4" s="4"/>
      <c r="J4" s="19"/>
      <c r="K4" s="103" t="s">
        <v>265</v>
      </c>
      <c r="L4" s="216" t="s">
        <v>330</v>
      </c>
      <c r="M4" s="217" t="s">
        <v>331</v>
      </c>
      <c r="N4" s="216" t="s">
        <v>332</v>
      </c>
      <c r="O4" s="217" t="s">
        <v>333</v>
      </c>
      <c r="P4" s="4"/>
      <c r="AA4" s="17"/>
      <c r="AJ4" s="8"/>
    </row>
    <row r="5" spans="1:36" ht="13.9" customHeight="1">
      <c r="A5" s="85">
        <v>1</v>
      </c>
      <c r="B5" s="129"/>
      <c r="C5" s="130"/>
      <c r="D5" s="62"/>
      <c r="E5" s="101"/>
      <c r="F5" s="64"/>
      <c r="G5" s="65"/>
      <c r="H5" s="215" t="str">
        <f t="shared" ref="H5:H36" si="0">IF(OR(B5="*",C5=""),"",IF(OR(E5="",F5=""),"-",""))</f>
        <v/>
      </c>
      <c r="I5" s="4"/>
      <c r="J5" s="87">
        <v>1</v>
      </c>
      <c r="K5" s="78"/>
      <c r="L5" s="101"/>
      <c r="M5" s="64"/>
      <c r="N5" s="101"/>
      <c r="O5" s="64"/>
      <c r="P5" s="4"/>
      <c r="AA5" s="108">
        <f t="shared" ref="AA5:AA36" si="1">IF(B5="",0,1)</f>
        <v>0</v>
      </c>
    </row>
    <row r="6" spans="1:36" ht="13.9" customHeight="1">
      <c r="A6" s="85">
        <v>2</v>
      </c>
      <c r="B6" s="129"/>
      <c r="C6" s="130"/>
      <c r="D6" s="62"/>
      <c r="E6" s="101"/>
      <c r="F6" s="64"/>
      <c r="G6" s="65"/>
      <c r="H6" s="215" t="str">
        <f t="shared" si="0"/>
        <v/>
      </c>
      <c r="I6" s="4"/>
      <c r="J6" s="87">
        <v>2</v>
      </c>
      <c r="K6" s="78"/>
      <c r="L6" s="101"/>
      <c r="M6" s="64"/>
      <c r="N6" s="101"/>
      <c r="O6" s="64"/>
      <c r="P6" s="4"/>
      <c r="AA6" s="108">
        <f t="shared" si="1"/>
        <v>0</v>
      </c>
    </row>
    <row r="7" spans="1:36" ht="13.9" customHeight="1">
      <c r="A7" s="85">
        <v>3</v>
      </c>
      <c r="B7" s="129"/>
      <c r="C7" s="130"/>
      <c r="D7" s="62"/>
      <c r="E7" s="101"/>
      <c r="F7" s="64"/>
      <c r="G7" s="65"/>
      <c r="H7" s="215" t="str">
        <f t="shared" si="0"/>
        <v/>
      </c>
      <c r="I7" s="4"/>
      <c r="J7" s="87">
        <v>3</v>
      </c>
      <c r="K7" s="78"/>
      <c r="L7" s="101"/>
      <c r="M7" s="64"/>
      <c r="N7" s="101"/>
      <c r="O7" s="64"/>
      <c r="P7" s="4"/>
      <c r="AA7" s="108">
        <f t="shared" si="1"/>
        <v>0</v>
      </c>
    </row>
    <row r="8" spans="1:36" ht="13.9" customHeight="1">
      <c r="A8" s="85">
        <v>4</v>
      </c>
      <c r="B8" s="129"/>
      <c r="C8" s="130"/>
      <c r="D8" s="62"/>
      <c r="E8" s="101"/>
      <c r="F8" s="64"/>
      <c r="G8" s="65"/>
      <c r="H8" s="215" t="str">
        <f t="shared" si="0"/>
        <v/>
      </c>
      <c r="I8" s="4"/>
      <c r="J8" s="87">
        <v>4</v>
      </c>
      <c r="K8" s="78"/>
      <c r="L8" s="101"/>
      <c r="M8" s="64"/>
      <c r="N8" s="101"/>
      <c r="O8" s="64"/>
      <c r="P8" s="4"/>
      <c r="AA8" s="108">
        <f t="shared" si="1"/>
        <v>0</v>
      </c>
    </row>
    <row r="9" spans="1:36" ht="13.9" customHeight="1">
      <c r="A9" s="85">
        <v>5</v>
      </c>
      <c r="B9" s="129"/>
      <c r="C9" s="130"/>
      <c r="D9" s="62"/>
      <c r="E9" s="101"/>
      <c r="F9" s="64"/>
      <c r="G9" s="65"/>
      <c r="H9" s="215" t="str">
        <f t="shared" si="0"/>
        <v/>
      </c>
      <c r="I9" s="4"/>
      <c r="J9" s="87">
        <v>5</v>
      </c>
      <c r="K9" s="78"/>
      <c r="L9" s="101"/>
      <c r="M9" s="64"/>
      <c r="N9" s="101"/>
      <c r="O9" s="64"/>
      <c r="P9" s="4"/>
      <c r="AA9" s="108">
        <f t="shared" si="1"/>
        <v>0</v>
      </c>
    </row>
    <row r="10" spans="1:36" ht="13.9" customHeight="1">
      <c r="A10" s="85">
        <v>6</v>
      </c>
      <c r="B10" s="129"/>
      <c r="C10" s="130"/>
      <c r="D10" s="62"/>
      <c r="E10" s="101"/>
      <c r="F10" s="64"/>
      <c r="G10" s="65"/>
      <c r="H10" s="215" t="str">
        <f t="shared" si="0"/>
        <v/>
      </c>
      <c r="I10" s="4"/>
      <c r="J10" s="87">
        <v>6</v>
      </c>
      <c r="K10" s="78"/>
      <c r="L10" s="101"/>
      <c r="M10" s="64"/>
      <c r="N10" s="101"/>
      <c r="O10" s="64"/>
      <c r="P10" s="4"/>
      <c r="AA10" s="108">
        <f t="shared" si="1"/>
        <v>0</v>
      </c>
    </row>
    <row r="11" spans="1:36" ht="13.9" customHeight="1">
      <c r="A11" s="85">
        <v>7</v>
      </c>
      <c r="B11" s="129"/>
      <c r="C11" s="130"/>
      <c r="D11" s="62"/>
      <c r="E11" s="101"/>
      <c r="F11" s="64"/>
      <c r="G11" s="65"/>
      <c r="H11" s="215" t="str">
        <f t="shared" si="0"/>
        <v/>
      </c>
      <c r="I11" s="4"/>
      <c r="J11" s="87">
        <v>7</v>
      </c>
      <c r="K11" s="78"/>
      <c r="L11" s="101"/>
      <c r="M11" s="64"/>
      <c r="N11" s="101"/>
      <c r="O11" s="64"/>
      <c r="P11" s="4"/>
      <c r="AA11" s="108">
        <f t="shared" si="1"/>
        <v>0</v>
      </c>
    </row>
    <row r="12" spans="1:36" ht="13.9" customHeight="1">
      <c r="A12" s="85">
        <v>8</v>
      </c>
      <c r="B12" s="129"/>
      <c r="C12" s="130"/>
      <c r="D12" s="62"/>
      <c r="E12" s="101"/>
      <c r="F12" s="64"/>
      <c r="G12" s="65"/>
      <c r="H12" s="215" t="str">
        <f t="shared" si="0"/>
        <v/>
      </c>
      <c r="I12" s="4"/>
      <c r="J12" s="87">
        <v>8</v>
      </c>
      <c r="K12" s="78"/>
      <c r="L12" s="101"/>
      <c r="M12" s="64"/>
      <c r="N12" s="101"/>
      <c r="O12" s="64"/>
      <c r="P12" s="4"/>
      <c r="AA12" s="108">
        <f t="shared" si="1"/>
        <v>0</v>
      </c>
    </row>
    <row r="13" spans="1:36" ht="13.9" customHeight="1">
      <c r="A13" s="85">
        <v>9</v>
      </c>
      <c r="B13" s="129"/>
      <c r="C13" s="130"/>
      <c r="D13" s="62"/>
      <c r="E13" s="101"/>
      <c r="F13" s="64"/>
      <c r="G13" s="65"/>
      <c r="H13" s="215" t="str">
        <f t="shared" si="0"/>
        <v/>
      </c>
      <c r="I13" s="4"/>
      <c r="J13" s="87">
        <v>9</v>
      </c>
      <c r="K13" s="78"/>
      <c r="L13" s="101"/>
      <c r="M13" s="64"/>
      <c r="N13" s="101"/>
      <c r="O13" s="64"/>
      <c r="P13" s="4"/>
      <c r="AA13" s="108">
        <f t="shared" si="1"/>
        <v>0</v>
      </c>
    </row>
    <row r="14" spans="1:36" ht="13.9" customHeight="1">
      <c r="A14" s="85">
        <v>10</v>
      </c>
      <c r="B14" s="129"/>
      <c r="C14" s="130"/>
      <c r="D14" s="62"/>
      <c r="E14" s="101"/>
      <c r="F14" s="64"/>
      <c r="G14" s="65"/>
      <c r="H14" s="215" t="str">
        <f t="shared" si="0"/>
        <v/>
      </c>
      <c r="I14" s="4"/>
      <c r="J14" s="87">
        <v>10</v>
      </c>
      <c r="K14" s="78"/>
      <c r="L14" s="101"/>
      <c r="M14" s="64"/>
      <c r="N14" s="101"/>
      <c r="O14" s="64"/>
      <c r="P14" s="4"/>
      <c r="AA14" s="108">
        <f t="shared" si="1"/>
        <v>0</v>
      </c>
    </row>
    <row r="15" spans="1:36" ht="13.9" customHeight="1">
      <c r="A15" s="85">
        <v>11</v>
      </c>
      <c r="B15" s="129"/>
      <c r="C15" s="130"/>
      <c r="D15" s="62"/>
      <c r="E15" s="101"/>
      <c r="F15" s="64"/>
      <c r="G15" s="65"/>
      <c r="H15" s="215" t="str">
        <f t="shared" si="0"/>
        <v/>
      </c>
      <c r="I15" s="4"/>
      <c r="J15" s="267" t="s">
        <v>369</v>
      </c>
      <c r="K15" s="267"/>
      <c r="L15" s="4"/>
      <c r="M15" s="4"/>
      <c r="N15" s="4"/>
      <c r="O15" s="4"/>
      <c r="P15" s="4"/>
      <c r="AA15" s="108">
        <f t="shared" si="1"/>
        <v>0</v>
      </c>
    </row>
    <row r="16" spans="1:36" ht="13.9" customHeight="1">
      <c r="A16" s="85">
        <v>12</v>
      </c>
      <c r="B16" s="129"/>
      <c r="C16" s="130"/>
      <c r="D16" s="62"/>
      <c r="E16" s="101"/>
      <c r="F16" s="64"/>
      <c r="G16" s="65"/>
      <c r="H16" s="215" t="str">
        <f t="shared" si="0"/>
        <v/>
      </c>
      <c r="I16" s="4"/>
      <c r="J16" s="268"/>
      <c r="K16" s="268"/>
      <c r="L16" s="4"/>
      <c r="M16" s="4"/>
      <c r="N16" s="4"/>
      <c r="O16" s="4"/>
      <c r="P16" s="4"/>
      <c r="AA16" s="108">
        <f t="shared" si="1"/>
        <v>0</v>
      </c>
    </row>
    <row r="17" spans="1:27" ht="13.9" customHeight="1">
      <c r="A17" s="85">
        <v>13</v>
      </c>
      <c r="B17" s="129"/>
      <c r="C17" s="130"/>
      <c r="D17" s="62"/>
      <c r="E17" s="101"/>
      <c r="F17" s="64"/>
      <c r="G17" s="65"/>
      <c r="H17" s="215" t="str">
        <f t="shared" si="0"/>
        <v/>
      </c>
      <c r="I17" s="4"/>
      <c r="J17" s="258" t="s">
        <v>652</v>
      </c>
      <c r="K17" s="259"/>
      <c r="L17" s="259"/>
      <c r="M17" s="259"/>
      <c r="N17" s="259"/>
      <c r="O17" s="260"/>
      <c r="P17" s="4"/>
      <c r="AA17" s="108">
        <f t="shared" si="1"/>
        <v>0</v>
      </c>
    </row>
    <row r="18" spans="1:27" ht="13.9" customHeight="1">
      <c r="A18" s="85">
        <v>14</v>
      </c>
      <c r="B18" s="129"/>
      <c r="C18" s="130"/>
      <c r="D18" s="62"/>
      <c r="E18" s="101"/>
      <c r="F18" s="64"/>
      <c r="G18" s="65"/>
      <c r="H18" s="215" t="str">
        <f t="shared" si="0"/>
        <v/>
      </c>
      <c r="I18" s="4"/>
      <c r="J18" s="261"/>
      <c r="K18" s="262"/>
      <c r="L18" s="262"/>
      <c r="M18" s="262"/>
      <c r="N18" s="262"/>
      <c r="O18" s="263"/>
      <c r="P18" s="4"/>
      <c r="AA18" s="108">
        <f t="shared" si="1"/>
        <v>0</v>
      </c>
    </row>
    <row r="19" spans="1:27" ht="13.9" customHeight="1">
      <c r="A19" s="85">
        <v>15</v>
      </c>
      <c r="B19" s="129"/>
      <c r="C19" s="130"/>
      <c r="D19" s="62"/>
      <c r="E19" s="101"/>
      <c r="F19" s="64"/>
      <c r="G19" s="65"/>
      <c r="H19" s="215" t="str">
        <f t="shared" si="0"/>
        <v/>
      </c>
      <c r="I19" s="4"/>
      <c r="J19" s="261"/>
      <c r="K19" s="262"/>
      <c r="L19" s="262"/>
      <c r="M19" s="262"/>
      <c r="N19" s="262"/>
      <c r="O19" s="263"/>
      <c r="P19" s="4"/>
      <c r="AA19" s="108">
        <f t="shared" si="1"/>
        <v>0</v>
      </c>
    </row>
    <row r="20" spans="1:27" ht="13.9" customHeight="1">
      <c r="A20" s="85">
        <v>16</v>
      </c>
      <c r="B20" s="129"/>
      <c r="C20" s="130"/>
      <c r="D20" s="62"/>
      <c r="E20" s="101"/>
      <c r="F20" s="64"/>
      <c r="G20" s="65"/>
      <c r="H20" s="215" t="str">
        <f t="shared" si="0"/>
        <v/>
      </c>
      <c r="I20" s="4"/>
      <c r="J20" s="261"/>
      <c r="K20" s="262"/>
      <c r="L20" s="262"/>
      <c r="M20" s="262"/>
      <c r="N20" s="262"/>
      <c r="O20" s="263"/>
      <c r="P20" s="4"/>
      <c r="AA20" s="108">
        <f t="shared" si="1"/>
        <v>0</v>
      </c>
    </row>
    <row r="21" spans="1:27" ht="13.9" customHeight="1">
      <c r="A21" s="85">
        <v>17</v>
      </c>
      <c r="B21" s="129"/>
      <c r="C21" s="130"/>
      <c r="D21" s="62"/>
      <c r="E21" s="101"/>
      <c r="F21" s="64"/>
      <c r="G21" s="65"/>
      <c r="H21" s="215" t="str">
        <f t="shared" si="0"/>
        <v/>
      </c>
      <c r="I21" s="4"/>
      <c r="J21" s="261"/>
      <c r="K21" s="262"/>
      <c r="L21" s="262"/>
      <c r="M21" s="262"/>
      <c r="N21" s="262"/>
      <c r="O21" s="263"/>
      <c r="P21" s="4"/>
      <c r="AA21" s="108">
        <f t="shared" si="1"/>
        <v>0</v>
      </c>
    </row>
    <row r="22" spans="1:27" ht="13.9" customHeight="1">
      <c r="A22" s="85">
        <v>18</v>
      </c>
      <c r="B22" s="129"/>
      <c r="C22" s="130"/>
      <c r="D22" s="63"/>
      <c r="E22" s="101"/>
      <c r="F22" s="64"/>
      <c r="G22" s="65"/>
      <c r="H22" s="215" t="str">
        <f t="shared" si="0"/>
        <v/>
      </c>
      <c r="I22" s="4"/>
      <c r="J22" s="261"/>
      <c r="K22" s="262"/>
      <c r="L22" s="262"/>
      <c r="M22" s="262"/>
      <c r="N22" s="262"/>
      <c r="O22" s="263"/>
      <c r="P22" s="4"/>
      <c r="AA22" s="108">
        <f t="shared" si="1"/>
        <v>0</v>
      </c>
    </row>
    <row r="23" spans="1:27" ht="13.9" customHeight="1">
      <c r="A23" s="85">
        <v>19</v>
      </c>
      <c r="B23" s="129"/>
      <c r="C23" s="130"/>
      <c r="D23" s="62"/>
      <c r="E23" s="101"/>
      <c r="F23" s="64"/>
      <c r="G23" s="65"/>
      <c r="H23" s="215" t="str">
        <f t="shared" si="0"/>
        <v/>
      </c>
      <c r="I23" s="4"/>
      <c r="J23" s="261"/>
      <c r="K23" s="262"/>
      <c r="L23" s="262"/>
      <c r="M23" s="262"/>
      <c r="N23" s="262"/>
      <c r="O23" s="263"/>
      <c r="P23" s="4"/>
      <c r="AA23" s="108">
        <f t="shared" si="1"/>
        <v>0</v>
      </c>
    </row>
    <row r="24" spans="1:27" ht="13.9" customHeight="1">
      <c r="A24" s="85">
        <v>20</v>
      </c>
      <c r="B24" s="129"/>
      <c r="C24" s="130"/>
      <c r="D24" s="62"/>
      <c r="E24" s="101"/>
      <c r="F24" s="64"/>
      <c r="G24" s="65"/>
      <c r="H24" s="215" t="str">
        <f t="shared" si="0"/>
        <v/>
      </c>
      <c r="I24" s="4"/>
      <c r="J24" s="264"/>
      <c r="K24" s="265"/>
      <c r="L24" s="265"/>
      <c r="M24" s="265"/>
      <c r="N24" s="265"/>
      <c r="O24" s="266"/>
      <c r="P24" s="4"/>
      <c r="AA24" s="108">
        <f t="shared" si="1"/>
        <v>0</v>
      </c>
    </row>
    <row r="25" spans="1:27" ht="13.9" customHeight="1">
      <c r="A25" s="85">
        <v>21</v>
      </c>
      <c r="B25" s="129"/>
      <c r="C25" s="130"/>
      <c r="D25" s="62"/>
      <c r="E25" s="101"/>
      <c r="F25" s="64"/>
      <c r="G25" s="65"/>
      <c r="H25" s="215" t="str">
        <f t="shared" si="0"/>
        <v/>
      </c>
      <c r="I25" s="4"/>
      <c r="J25" s="4"/>
      <c r="K25" s="4"/>
      <c r="L25" s="4"/>
      <c r="M25" s="4"/>
      <c r="N25" s="4"/>
      <c r="O25" s="4"/>
      <c r="P25" s="4"/>
      <c r="AA25" s="108">
        <f t="shared" si="1"/>
        <v>0</v>
      </c>
    </row>
    <row r="26" spans="1:27" ht="13.9" customHeight="1">
      <c r="A26" s="85">
        <v>22</v>
      </c>
      <c r="B26" s="129"/>
      <c r="C26" s="130"/>
      <c r="D26" s="62"/>
      <c r="E26" s="101"/>
      <c r="F26" s="64"/>
      <c r="G26" s="65"/>
      <c r="H26" s="215" t="str">
        <f t="shared" si="0"/>
        <v/>
      </c>
      <c r="I26" s="4"/>
      <c r="J26" s="4"/>
      <c r="K26" s="4"/>
      <c r="L26" s="4"/>
      <c r="M26" s="4"/>
      <c r="N26" s="4"/>
      <c r="O26" s="4"/>
      <c r="P26" s="4"/>
      <c r="AA26" s="108">
        <f t="shared" si="1"/>
        <v>0</v>
      </c>
    </row>
    <row r="27" spans="1:27" ht="13.9" customHeight="1">
      <c r="A27" s="85">
        <v>23</v>
      </c>
      <c r="B27" s="129"/>
      <c r="C27" s="130"/>
      <c r="D27" s="62"/>
      <c r="E27" s="101"/>
      <c r="F27" s="64"/>
      <c r="G27" s="65"/>
      <c r="H27" s="215" t="str">
        <f t="shared" si="0"/>
        <v/>
      </c>
      <c r="I27" s="4"/>
      <c r="J27" s="4"/>
      <c r="K27" s="4"/>
      <c r="L27" s="4"/>
      <c r="M27" s="4"/>
      <c r="N27" s="4"/>
      <c r="O27" s="4"/>
      <c r="P27" s="4"/>
      <c r="AA27" s="108">
        <f t="shared" si="1"/>
        <v>0</v>
      </c>
    </row>
    <row r="28" spans="1:27" ht="13.9" customHeight="1">
      <c r="A28" s="85">
        <v>24</v>
      </c>
      <c r="B28" s="129"/>
      <c r="C28" s="130"/>
      <c r="D28" s="62"/>
      <c r="E28" s="101"/>
      <c r="F28" s="64"/>
      <c r="G28" s="65"/>
      <c r="H28" s="215" t="str">
        <f t="shared" si="0"/>
        <v/>
      </c>
      <c r="I28" s="4"/>
      <c r="J28" s="4"/>
      <c r="K28" s="4"/>
      <c r="L28" s="4"/>
      <c r="M28" s="4"/>
      <c r="N28" s="4"/>
      <c r="O28" s="4"/>
      <c r="P28" s="4"/>
      <c r="AA28" s="108">
        <f t="shared" si="1"/>
        <v>0</v>
      </c>
    </row>
    <row r="29" spans="1:27" ht="13.9" customHeight="1">
      <c r="A29" s="85">
        <v>25</v>
      </c>
      <c r="B29" s="129"/>
      <c r="C29" s="130"/>
      <c r="D29" s="62"/>
      <c r="E29" s="101"/>
      <c r="F29" s="64"/>
      <c r="G29" s="65"/>
      <c r="H29" s="215" t="str">
        <f t="shared" si="0"/>
        <v/>
      </c>
      <c r="I29" s="4"/>
      <c r="J29" s="4"/>
      <c r="K29" s="4"/>
      <c r="L29" s="4"/>
      <c r="M29" s="4"/>
      <c r="N29" s="4"/>
      <c r="O29" s="4"/>
      <c r="P29" s="4"/>
      <c r="AA29" s="108">
        <f t="shared" si="1"/>
        <v>0</v>
      </c>
    </row>
    <row r="30" spans="1:27" ht="13.9" customHeight="1">
      <c r="A30" s="85">
        <v>26</v>
      </c>
      <c r="B30" s="129"/>
      <c r="C30" s="130"/>
      <c r="D30" s="62"/>
      <c r="E30" s="101"/>
      <c r="F30" s="64"/>
      <c r="G30" s="65"/>
      <c r="H30" s="215" t="str">
        <f t="shared" si="0"/>
        <v/>
      </c>
      <c r="I30" s="4"/>
      <c r="J30" s="4"/>
      <c r="K30" s="4"/>
      <c r="L30" s="4"/>
      <c r="M30" s="4"/>
      <c r="N30" s="4"/>
      <c r="O30" s="4"/>
      <c r="P30" s="4"/>
      <c r="AA30" s="108">
        <f t="shared" si="1"/>
        <v>0</v>
      </c>
    </row>
    <row r="31" spans="1:27" ht="13.9" customHeight="1">
      <c r="A31" s="85">
        <v>27</v>
      </c>
      <c r="B31" s="129"/>
      <c r="C31" s="130"/>
      <c r="D31" s="62"/>
      <c r="E31" s="101"/>
      <c r="F31" s="64"/>
      <c r="G31" s="65"/>
      <c r="H31" s="215" t="str">
        <f t="shared" si="0"/>
        <v/>
      </c>
      <c r="I31" s="4"/>
      <c r="J31" s="4"/>
      <c r="K31" s="4"/>
      <c r="L31" s="4"/>
      <c r="M31" s="4"/>
      <c r="N31" s="4"/>
      <c r="O31" s="4"/>
      <c r="P31" s="4"/>
      <c r="AA31" s="108">
        <f t="shared" si="1"/>
        <v>0</v>
      </c>
    </row>
    <row r="32" spans="1:27" ht="13.9" customHeight="1">
      <c r="A32" s="85">
        <v>28</v>
      </c>
      <c r="B32" s="129"/>
      <c r="C32" s="130"/>
      <c r="D32" s="62"/>
      <c r="E32" s="101"/>
      <c r="F32" s="64"/>
      <c r="G32" s="65"/>
      <c r="H32" s="215" t="str">
        <f t="shared" si="0"/>
        <v/>
      </c>
      <c r="I32" s="4"/>
      <c r="J32" s="4"/>
      <c r="K32" s="4"/>
      <c r="L32" s="4"/>
      <c r="M32" s="4"/>
      <c r="N32" s="4"/>
      <c r="O32" s="4"/>
      <c r="P32" s="4"/>
      <c r="AA32" s="108">
        <f t="shared" si="1"/>
        <v>0</v>
      </c>
    </row>
    <row r="33" spans="1:27" ht="13.9" customHeight="1">
      <c r="A33" s="85">
        <v>29</v>
      </c>
      <c r="B33" s="129"/>
      <c r="C33" s="130"/>
      <c r="D33" s="62"/>
      <c r="E33" s="101"/>
      <c r="F33" s="64"/>
      <c r="G33" s="65"/>
      <c r="H33" s="215" t="str">
        <f t="shared" si="0"/>
        <v/>
      </c>
      <c r="I33" s="4"/>
      <c r="J33" s="4"/>
      <c r="K33" s="4"/>
      <c r="L33" s="4"/>
      <c r="M33" s="4"/>
      <c r="N33" s="4"/>
      <c r="O33" s="4"/>
      <c r="P33" s="4"/>
      <c r="AA33" s="108">
        <f t="shared" si="1"/>
        <v>0</v>
      </c>
    </row>
    <row r="34" spans="1:27" ht="13.9" customHeight="1">
      <c r="A34" s="85">
        <v>30</v>
      </c>
      <c r="B34" s="129"/>
      <c r="C34" s="130"/>
      <c r="D34" s="62"/>
      <c r="E34" s="101"/>
      <c r="F34" s="64"/>
      <c r="G34" s="65"/>
      <c r="H34" s="215" t="str">
        <f t="shared" si="0"/>
        <v/>
      </c>
      <c r="I34" s="4"/>
      <c r="J34" s="4"/>
      <c r="K34" s="4"/>
      <c r="L34" s="4"/>
      <c r="M34" s="4"/>
      <c r="N34" s="4"/>
      <c r="O34" s="4"/>
      <c r="P34" s="4"/>
      <c r="AA34" s="108">
        <f t="shared" si="1"/>
        <v>0</v>
      </c>
    </row>
    <row r="35" spans="1:27" ht="13.9" customHeight="1">
      <c r="A35" s="85">
        <v>31</v>
      </c>
      <c r="B35" s="129"/>
      <c r="C35" s="130"/>
      <c r="D35" s="62"/>
      <c r="E35" s="101"/>
      <c r="F35" s="64"/>
      <c r="G35" s="65"/>
      <c r="H35" s="215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8">
        <f t="shared" si="1"/>
        <v>0</v>
      </c>
    </row>
    <row r="36" spans="1:27" ht="13.9" customHeight="1">
      <c r="A36" s="85">
        <v>32</v>
      </c>
      <c r="B36" s="129"/>
      <c r="C36" s="130"/>
      <c r="D36" s="62"/>
      <c r="E36" s="101"/>
      <c r="F36" s="64"/>
      <c r="G36" s="65"/>
      <c r="H36" s="215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8">
        <f t="shared" si="1"/>
        <v>0</v>
      </c>
    </row>
    <row r="37" spans="1:27" ht="13.9" customHeight="1">
      <c r="A37" s="85">
        <v>33</v>
      </c>
      <c r="B37" s="129"/>
      <c r="C37" s="130"/>
      <c r="D37" s="62"/>
      <c r="E37" s="101"/>
      <c r="F37" s="64"/>
      <c r="G37" s="65"/>
      <c r="H37" s="215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8">
        <f t="shared" ref="AA37:AA54" si="3">IF(B37="",0,1)</f>
        <v>0</v>
      </c>
    </row>
    <row r="38" spans="1:27" ht="13.9" customHeight="1">
      <c r="A38" s="85">
        <v>34</v>
      </c>
      <c r="B38" s="129"/>
      <c r="C38" s="130"/>
      <c r="D38" s="62"/>
      <c r="E38" s="101"/>
      <c r="F38" s="64"/>
      <c r="G38" s="65"/>
      <c r="H38" s="215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8">
        <f t="shared" si="3"/>
        <v>0</v>
      </c>
    </row>
    <row r="39" spans="1:27" ht="13.9" customHeight="1">
      <c r="A39" s="85">
        <v>35</v>
      </c>
      <c r="B39" s="129"/>
      <c r="C39" s="130"/>
      <c r="D39" s="62"/>
      <c r="E39" s="101"/>
      <c r="F39" s="64"/>
      <c r="G39" s="65"/>
      <c r="H39" s="215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8">
        <f t="shared" si="3"/>
        <v>0</v>
      </c>
    </row>
    <row r="40" spans="1:27" ht="13.9" customHeight="1">
      <c r="A40" s="85">
        <v>36</v>
      </c>
      <c r="B40" s="129"/>
      <c r="C40" s="130"/>
      <c r="D40" s="62"/>
      <c r="E40" s="101"/>
      <c r="F40" s="64"/>
      <c r="G40" s="65"/>
      <c r="H40" s="215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8">
        <f t="shared" si="3"/>
        <v>0</v>
      </c>
    </row>
    <row r="41" spans="1:27" ht="13.9" customHeight="1">
      <c r="A41" s="85">
        <v>37</v>
      </c>
      <c r="B41" s="129"/>
      <c r="C41" s="130"/>
      <c r="D41" s="62"/>
      <c r="E41" s="101"/>
      <c r="F41" s="64"/>
      <c r="G41" s="65"/>
      <c r="H41" s="215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8">
        <f t="shared" si="3"/>
        <v>0</v>
      </c>
    </row>
    <row r="42" spans="1:27" ht="13.9" customHeight="1">
      <c r="A42" s="85">
        <v>38</v>
      </c>
      <c r="B42" s="129"/>
      <c r="C42" s="130"/>
      <c r="D42" s="62"/>
      <c r="E42" s="101"/>
      <c r="F42" s="64"/>
      <c r="G42" s="65"/>
      <c r="H42" s="215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8">
        <f t="shared" si="3"/>
        <v>0</v>
      </c>
    </row>
    <row r="43" spans="1:27" ht="13.9" customHeight="1">
      <c r="A43" s="85">
        <v>39</v>
      </c>
      <c r="B43" s="129"/>
      <c r="C43" s="130"/>
      <c r="D43" s="62"/>
      <c r="E43" s="101"/>
      <c r="F43" s="64"/>
      <c r="G43" s="65"/>
      <c r="H43" s="215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8">
        <f t="shared" si="3"/>
        <v>0</v>
      </c>
    </row>
    <row r="44" spans="1:27" ht="13.9" customHeight="1">
      <c r="A44" s="85">
        <v>40</v>
      </c>
      <c r="B44" s="129"/>
      <c r="C44" s="130"/>
      <c r="D44" s="62"/>
      <c r="E44" s="101"/>
      <c r="F44" s="64"/>
      <c r="G44" s="65"/>
      <c r="H44" s="215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8">
        <f t="shared" si="3"/>
        <v>0</v>
      </c>
    </row>
    <row r="45" spans="1:27" ht="13.9" customHeight="1">
      <c r="A45" s="85">
        <v>41</v>
      </c>
      <c r="B45" s="129"/>
      <c r="C45" s="130"/>
      <c r="D45" s="62"/>
      <c r="E45" s="101"/>
      <c r="F45" s="64"/>
      <c r="G45" s="65"/>
      <c r="H45" s="215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8">
        <f t="shared" si="3"/>
        <v>0</v>
      </c>
    </row>
    <row r="46" spans="1:27" ht="13.9" customHeight="1">
      <c r="A46" s="85">
        <v>42</v>
      </c>
      <c r="B46" s="129"/>
      <c r="C46" s="130"/>
      <c r="D46" s="62"/>
      <c r="E46" s="101"/>
      <c r="F46" s="64"/>
      <c r="G46" s="65"/>
      <c r="H46" s="215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8">
        <f t="shared" si="3"/>
        <v>0</v>
      </c>
    </row>
    <row r="47" spans="1:27" ht="13.9" customHeight="1">
      <c r="A47" s="85">
        <v>43</v>
      </c>
      <c r="B47" s="129"/>
      <c r="C47" s="130"/>
      <c r="D47" s="62"/>
      <c r="E47" s="101"/>
      <c r="F47" s="64"/>
      <c r="G47" s="65"/>
      <c r="H47" s="215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8">
        <f t="shared" si="3"/>
        <v>0</v>
      </c>
    </row>
    <row r="48" spans="1:27" ht="13.9" customHeight="1">
      <c r="A48" s="85">
        <v>44</v>
      </c>
      <c r="B48" s="129"/>
      <c r="C48" s="130"/>
      <c r="D48" s="62"/>
      <c r="E48" s="101"/>
      <c r="F48" s="64"/>
      <c r="G48" s="65"/>
      <c r="H48" s="215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8">
        <f t="shared" si="3"/>
        <v>0</v>
      </c>
    </row>
    <row r="49" spans="1:27" ht="13.9" customHeight="1">
      <c r="A49" s="85">
        <v>45</v>
      </c>
      <c r="B49" s="129"/>
      <c r="C49" s="130"/>
      <c r="D49" s="62"/>
      <c r="E49" s="101"/>
      <c r="F49" s="64"/>
      <c r="G49" s="65"/>
      <c r="H49" s="215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8">
        <f t="shared" si="3"/>
        <v>0</v>
      </c>
    </row>
    <row r="50" spans="1:27" ht="13.9" customHeight="1">
      <c r="A50" s="85">
        <v>46</v>
      </c>
      <c r="B50" s="129"/>
      <c r="C50" s="130"/>
      <c r="D50" s="62"/>
      <c r="E50" s="101"/>
      <c r="F50" s="64"/>
      <c r="G50" s="65"/>
      <c r="H50" s="215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8">
        <f t="shared" si="3"/>
        <v>0</v>
      </c>
    </row>
    <row r="51" spans="1:27" ht="13.9" customHeight="1">
      <c r="A51" s="85">
        <v>47</v>
      </c>
      <c r="B51" s="129"/>
      <c r="C51" s="130"/>
      <c r="D51" s="62"/>
      <c r="E51" s="101"/>
      <c r="F51" s="64"/>
      <c r="G51" s="65"/>
      <c r="H51" s="215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8">
        <f t="shared" si="3"/>
        <v>0</v>
      </c>
    </row>
    <row r="52" spans="1:27" ht="13.9" customHeight="1">
      <c r="A52" s="85">
        <v>48</v>
      </c>
      <c r="B52" s="129"/>
      <c r="C52" s="130"/>
      <c r="D52" s="62"/>
      <c r="E52" s="101"/>
      <c r="F52" s="64"/>
      <c r="G52" s="65"/>
      <c r="H52" s="215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8">
        <f t="shared" si="3"/>
        <v>0</v>
      </c>
    </row>
    <row r="53" spans="1:27" ht="13.9" customHeight="1">
      <c r="A53" s="85">
        <v>49</v>
      </c>
      <c r="B53" s="129"/>
      <c r="C53" s="130"/>
      <c r="D53" s="62"/>
      <c r="E53" s="101"/>
      <c r="F53" s="64"/>
      <c r="G53" s="65"/>
      <c r="H53" s="215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8">
        <f t="shared" si="3"/>
        <v>0</v>
      </c>
    </row>
    <row r="54" spans="1:27" ht="13.9" customHeight="1">
      <c r="A54" s="85">
        <v>50</v>
      </c>
      <c r="B54" s="129"/>
      <c r="C54" s="130"/>
      <c r="D54" s="62"/>
      <c r="E54" s="101"/>
      <c r="F54" s="64"/>
      <c r="G54" s="65"/>
      <c r="H54" s="215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8">
        <f t="shared" si="3"/>
        <v>0</v>
      </c>
    </row>
    <row r="55" spans="1:27" ht="13.9" customHeight="1">
      <c r="A55" s="84"/>
      <c r="B55" s="15"/>
      <c r="C55" s="74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84"/>
      <c r="B56" s="74"/>
      <c r="C56" s="74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84"/>
      <c r="B57" s="15"/>
      <c r="C57" s="15"/>
      <c r="D57" s="15"/>
      <c r="E57" s="15"/>
      <c r="F57" s="15"/>
      <c r="G57" s="15"/>
      <c r="H57" s="15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84"/>
      <c r="B58" s="15"/>
      <c r="C58" s="15"/>
      <c r="D58" s="15"/>
      <c r="E58" s="15"/>
      <c r="F58" s="15"/>
      <c r="G58" s="15"/>
      <c r="H58" s="15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5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5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5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5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5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5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5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14"/>
      <c r="B66" s="115"/>
      <c r="C66" s="115"/>
      <c r="D66" s="115"/>
      <c r="E66" s="115"/>
      <c r="F66" s="115"/>
      <c r="G66" s="115"/>
      <c r="H66" s="115"/>
    </row>
    <row r="67" spans="1:16" ht="13.9" customHeight="1">
      <c r="A67" s="114"/>
      <c r="B67" s="115"/>
      <c r="C67" s="115"/>
      <c r="D67" s="115"/>
      <c r="E67" s="115"/>
      <c r="F67" s="115"/>
      <c r="G67" s="115"/>
      <c r="H67" s="115"/>
    </row>
    <row r="68" spans="1:16" ht="13.9" customHeight="1">
      <c r="A68" s="114"/>
      <c r="B68" s="115"/>
      <c r="C68" s="115"/>
      <c r="D68" s="115"/>
      <c r="E68" s="115"/>
      <c r="F68" s="115"/>
      <c r="G68" s="115"/>
      <c r="H68" s="115"/>
    </row>
    <row r="69" spans="1:16" ht="13.9" customHeight="1">
      <c r="A69" s="114"/>
      <c r="B69" s="115"/>
      <c r="C69" s="115"/>
      <c r="D69" s="115"/>
      <c r="E69" s="115"/>
      <c r="F69" s="115"/>
      <c r="G69" s="115"/>
      <c r="H69" s="115"/>
    </row>
    <row r="70" spans="1:16" ht="13.9" customHeight="1">
      <c r="A70" s="114"/>
      <c r="B70" s="115"/>
      <c r="C70" s="115"/>
      <c r="D70" s="115"/>
      <c r="E70" s="115"/>
      <c r="F70" s="115"/>
      <c r="G70" s="115"/>
      <c r="H70" s="115"/>
    </row>
    <row r="71" spans="1:16" ht="13.9" customHeight="1">
      <c r="A71" s="114"/>
      <c r="B71" s="115"/>
      <c r="C71" s="115"/>
      <c r="D71" s="115"/>
      <c r="E71" s="115"/>
      <c r="F71" s="115"/>
      <c r="G71" s="115"/>
      <c r="H71" s="115"/>
    </row>
  </sheetData>
  <mergeCells count="7">
    <mergeCell ref="N2:O2"/>
    <mergeCell ref="J17:O24"/>
    <mergeCell ref="J15:K1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5" customWidth="1"/>
    <col min="2" max="2" width="32.75" style="45" customWidth="1"/>
    <col min="3" max="7" width="16.625" style="47" customWidth="1"/>
    <col min="8" max="9" width="3.375" style="45" customWidth="1"/>
    <col min="10" max="14" width="14" style="174" customWidth="1"/>
    <col min="15" max="15" width="3.375" style="174" customWidth="1"/>
    <col min="16" max="20" width="14" style="174" customWidth="1"/>
    <col min="21" max="21" width="3.375" style="174" customWidth="1"/>
    <col min="22" max="26" width="14" style="174" customWidth="1"/>
    <col min="27" max="27" width="3.375" style="174" customWidth="1"/>
    <col min="28" max="32" width="14" style="174" customWidth="1"/>
    <col min="33" max="33" width="3.375" style="174" customWidth="1"/>
    <col min="34" max="38" width="14" style="174" customWidth="1"/>
    <col min="39" max="39" width="3.375" style="174" customWidth="1"/>
    <col min="40" max="44" width="14" style="174" customWidth="1"/>
    <col min="45" max="45" width="3.375" style="174" customWidth="1"/>
    <col min="46" max="50" width="14" style="174" customWidth="1"/>
    <col min="51" max="51" width="3.375" style="174" customWidth="1"/>
    <col min="52" max="56" width="14" style="174" customWidth="1"/>
    <col min="57" max="57" width="3.375" style="174" customWidth="1"/>
    <col min="58" max="62" width="14" style="174" customWidth="1"/>
    <col min="63" max="16384" width="8.75" style="45"/>
  </cols>
  <sheetData>
    <row r="1" spans="1:78" ht="15" customHeight="1">
      <c r="A1" s="38"/>
      <c r="B1" s="269" t="s">
        <v>240</v>
      </c>
      <c r="C1" s="27"/>
      <c r="D1" s="27"/>
      <c r="E1" s="27"/>
      <c r="F1" s="27"/>
      <c r="G1" s="27"/>
      <c r="H1" s="38"/>
      <c r="J1" s="275" t="s">
        <v>645</v>
      </c>
      <c r="K1" s="276"/>
      <c r="L1" s="276"/>
      <c r="M1" s="276"/>
      <c r="N1" s="277"/>
    </row>
    <row r="2" spans="1:78" ht="15" customHeight="1">
      <c r="A2" s="38"/>
      <c r="B2" s="269"/>
      <c r="C2" s="27"/>
      <c r="D2" s="27"/>
      <c r="E2" s="173"/>
      <c r="F2" s="173"/>
      <c r="G2" s="27"/>
      <c r="H2" s="38"/>
      <c r="J2" s="203" t="s">
        <v>341</v>
      </c>
      <c r="K2" s="209">
        <v>37</v>
      </c>
      <c r="L2" s="204"/>
      <c r="M2" s="203" t="s">
        <v>340</v>
      </c>
      <c r="N2" s="208">
        <v>0.83930000000000005</v>
      </c>
    </row>
    <row r="3" spans="1:78" ht="15" customHeight="1">
      <c r="A3" s="38"/>
      <c r="B3" s="40"/>
      <c r="C3" s="27"/>
      <c r="D3" s="27"/>
      <c r="E3" s="27"/>
      <c r="F3" s="43"/>
      <c r="G3" s="27"/>
      <c r="H3" s="38"/>
      <c r="J3" s="203" t="s">
        <v>340</v>
      </c>
      <c r="K3" s="205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06"/>
      <c r="M3" s="203" t="s">
        <v>341</v>
      </c>
      <c r="N3" s="207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8"/>
      <c r="B4" s="38" t="s">
        <v>223</v>
      </c>
      <c r="C4" s="102"/>
      <c r="D4" s="177" t="s">
        <v>323</v>
      </c>
      <c r="E4" s="27"/>
      <c r="F4" s="282"/>
      <c r="G4" s="283"/>
      <c r="H4" s="38"/>
    </row>
    <row r="5" spans="1:78" ht="15" customHeight="1">
      <c r="A5" s="38"/>
      <c r="B5" s="44" t="s">
        <v>224</v>
      </c>
      <c r="C5" s="48"/>
      <c r="D5" s="177" t="s">
        <v>226</v>
      </c>
      <c r="E5" s="27"/>
      <c r="F5" s="278"/>
      <c r="G5" s="279"/>
      <c r="H5" s="38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75"/>
      <c r="BI5" s="175"/>
      <c r="BJ5" s="175"/>
      <c r="BK5" s="175"/>
      <c r="BL5" s="175"/>
      <c r="BM5" s="175"/>
      <c r="BN5" s="175"/>
      <c r="BO5" s="175"/>
      <c r="BP5" s="175"/>
      <c r="BQ5" s="175"/>
      <c r="BR5" s="175"/>
      <c r="BS5" s="175"/>
      <c r="BT5" s="175"/>
      <c r="BU5" s="175"/>
      <c r="BV5" s="175"/>
      <c r="BW5" s="175"/>
      <c r="BX5" s="175"/>
      <c r="BY5" s="175"/>
      <c r="BZ5" s="175"/>
    </row>
    <row r="6" spans="1:78" ht="15" customHeight="1">
      <c r="A6" s="38"/>
      <c r="B6" s="44" t="s">
        <v>225</v>
      </c>
      <c r="C6" s="48"/>
      <c r="D6" s="177" t="s">
        <v>273</v>
      </c>
      <c r="E6" s="27"/>
      <c r="F6" s="280" t="str">
        <f>IF('Navarik 설정'!C22="","",'Navarik 설정'!C22)</f>
        <v>Unleaded Gasoline 92 Ron</v>
      </c>
      <c r="G6" s="281"/>
      <c r="H6" s="38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75"/>
      <c r="BI6" s="175"/>
      <c r="BJ6" s="175"/>
      <c r="BK6" s="175"/>
      <c r="BL6" s="175"/>
      <c r="BM6" s="175"/>
      <c r="BN6" s="175"/>
      <c r="BO6" s="175"/>
      <c r="BP6" s="175"/>
      <c r="BQ6" s="175"/>
      <c r="BR6" s="175"/>
      <c r="BS6" s="175"/>
      <c r="BT6" s="175"/>
      <c r="BU6" s="175"/>
      <c r="BV6" s="175"/>
      <c r="BW6" s="175"/>
      <c r="BX6" s="175"/>
      <c r="BY6" s="175"/>
      <c r="BZ6" s="175"/>
    </row>
    <row r="7" spans="1:78" ht="15" customHeight="1">
      <c r="A7" s="38"/>
      <c r="B7" s="38" t="s">
        <v>324</v>
      </c>
      <c r="C7" s="48"/>
      <c r="D7" s="177" t="s">
        <v>326</v>
      </c>
      <c r="E7" s="27"/>
      <c r="F7" s="66"/>
      <c r="G7" s="212" t="s">
        <v>397</v>
      </c>
      <c r="H7" s="38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75"/>
      <c r="BI7" s="175"/>
      <c r="BJ7" s="175"/>
      <c r="BK7" s="175"/>
      <c r="BL7" s="175"/>
      <c r="BM7" s="175"/>
      <c r="BN7" s="175"/>
      <c r="BO7" s="175"/>
      <c r="BP7" s="175"/>
      <c r="BQ7" s="175"/>
      <c r="BR7" s="175"/>
      <c r="BS7" s="175"/>
      <c r="BT7" s="175"/>
      <c r="BU7" s="175"/>
      <c r="BV7" s="175"/>
      <c r="BW7" s="175"/>
      <c r="BX7" s="175"/>
      <c r="BY7" s="175"/>
      <c r="BZ7" s="175"/>
    </row>
    <row r="8" spans="1:78" ht="15" customHeight="1">
      <c r="A8" s="38"/>
      <c r="B8" s="38" t="s">
        <v>325</v>
      </c>
      <c r="C8" s="102"/>
      <c r="D8" s="177" t="s">
        <v>327</v>
      </c>
      <c r="E8" s="27"/>
      <c r="F8" s="69" t="str">
        <f>'Navarik 설정'!C19</f>
        <v>Load</v>
      </c>
      <c r="G8" s="70"/>
      <c r="H8" s="38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75"/>
      <c r="BI8" s="175"/>
      <c r="BJ8" s="175"/>
      <c r="BK8" s="175"/>
      <c r="BL8" s="175"/>
      <c r="BM8" s="175"/>
      <c r="BN8" s="175"/>
      <c r="BO8" s="175"/>
      <c r="BP8" s="175"/>
      <c r="BQ8" s="175"/>
      <c r="BR8" s="175"/>
      <c r="BS8" s="175"/>
      <c r="BT8" s="175"/>
      <c r="BU8" s="175"/>
      <c r="BV8" s="175"/>
      <c r="BW8" s="175"/>
      <c r="BX8" s="175"/>
      <c r="BY8" s="175"/>
      <c r="BZ8" s="175"/>
    </row>
    <row r="9" spans="1:78" ht="15" customHeight="1">
      <c r="A9" s="38"/>
      <c r="B9" s="40"/>
      <c r="C9" s="38"/>
      <c r="D9" s="38"/>
      <c r="E9" s="38"/>
      <c r="F9" s="38"/>
      <c r="G9" s="38"/>
      <c r="H9" s="38"/>
      <c r="I9" s="175"/>
      <c r="J9" s="176"/>
      <c r="K9" s="175"/>
      <c r="L9" s="175"/>
      <c r="M9" s="175"/>
      <c r="N9" s="175"/>
      <c r="O9" s="175"/>
      <c r="P9" s="176"/>
      <c r="Q9" s="175"/>
      <c r="R9" s="175"/>
      <c r="S9" s="175"/>
      <c r="T9" s="175"/>
      <c r="U9" s="175"/>
      <c r="V9" s="176"/>
      <c r="W9" s="175"/>
      <c r="X9" s="175"/>
      <c r="Y9" s="175"/>
      <c r="Z9" s="175"/>
      <c r="AA9" s="175"/>
      <c r="AB9" s="176"/>
      <c r="AC9" s="175"/>
      <c r="AD9" s="175"/>
      <c r="AE9" s="175"/>
      <c r="AF9" s="175"/>
      <c r="AG9" s="175"/>
      <c r="AH9" s="176"/>
      <c r="AI9" s="175"/>
      <c r="AJ9" s="175"/>
      <c r="AK9" s="175"/>
      <c r="AL9" s="175"/>
      <c r="AM9" s="175"/>
      <c r="AN9" s="176"/>
      <c r="AO9" s="175"/>
      <c r="AP9" s="175"/>
      <c r="AQ9" s="175"/>
      <c r="AR9" s="175"/>
      <c r="AS9" s="175"/>
      <c r="AT9" s="176"/>
      <c r="AU9" s="175"/>
      <c r="AV9" s="175"/>
      <c r="AW9" s="175"/>
      <c r="AX9" s="175"/>
      <c r="AY9" s="175"/>
      <c r="AZ9" s="176"/>
      <c r="BA9" s="175"/>
      <c r="BB9" s="175"/>
      <c r="BC9" s="175"/>
      <c r="BD9" s="175"/>
      <c r="BE9" s="175"/>
      <c r="BF9" s="176"/>
      <c r="BG9" s="175"/>
      <c r="BH9" s="175"/>
      <c r="BI9" s="175"/>
      <c r="BJ9" s="175"/>
      <c r="BK9" s="175"/>
      <c r="BL9" s="175"/>
      <c r="BM9" s="175"/>
      <c r="BN9" s="175"/>
      <c r="BO9" s="175"/>
      <c r="BP9" s="175"/>
      <c r="BQ9" s="175"/>
      <c r="BR9" s="175"/>
      <c r="BS9" s="175"/>
      <c r="BT9" s="175"/>
      <c r="BU9" s="175"/>
      <c r="BV9" s="175"/>
      <c r="BW9" s="175"/>
      <c r="BX9" s="175"/>
      <c r="BY9" s="175"/>
      <c r="BZ9" s="175"/>
    </row>
    <row r="10" spans="1:78" ht="15" customHeight="1">
      <c r="A10" s="38"/>
      <c r="B10" s="41" t="s">
        <v>411</v>
      </c>
      <c r="C10" s="27" t="s">
        <v>686</v>
      </c>
      <c r="D10" s="27" t="s">
        <v>198</v>
      </c>
      <c r="E10" s="27" t="s">
        <v>0</v>
      </c>
      <c r="F10" s="27" t="s">
        <v>1</v>
      </c>
      <c r="G10" s="27" t="s">
        <v>2</v>
      </c>
      <c r="H10" s="38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75"/>
      <c r="BI10" s="175"/>
      <c r="BJ10" s="175"/>
      <c r="BK10" s="175"/>
      <c r="BL10" s="175"/>
      <c r="BM10" s="175"/>
      <c r="BN10" s="175"/>
      <c r="BO10" s="175"/>
      <c r="BP10" s="175"/>
      <c r="BQ10" s="175"/>
      <c r="BR10" s="175"/>
      <c r="BS10" s="175"/>
      <c r="BT10" s="175"/>
      <c r="BU10" s="175"/>
      <c r="BV10" s="175"/>
      <c r="BW10" s="175"/>
      <c r="BX10" s="175"/>
      <c r="BY10" s="175"/>
      <c r="BZ10" s="175"/>
    </row>
    <row r="11" spans="1:78" ht="15" customHeight="1">
      <c r="A11" s="38"/>
      <c r="B11" s="38" t="s">
        <v>227</v>
      </c>
      <c r="C11" s="32" t="str">
        <f>IF(C12="","",C12)</f>
        <v/>
      </c>
      <c r="D11" s="33" t="str">
        <f t="shared" ref="D11:G11" si="0">IF(D12="","",D12)</f>
        <v/>
      </c>
      <c r="E11" s="33" t="str">
        <f t="shared" si="0"/>
        <v/>
      </c>
      <c r="F11" s="34" t="str">
        <f t="shared" si="0"/>
        <v/>
      </c>
      <c r="G11" s="32" t="str">
        <f t="shared" si="0"/>
        <v/>
      </c>
      <c r="H11" s="38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175"/>
      <c r="BJ11" s="175"/>
      <c r="BK11" s="175"/>
      <c r="BL11" s="175"/>
      <c r="BM11" s="175"/>
      <c r="BN11" s="175"/>
      <c r="BO11" s="175"/>
      <c r="BP11" s="175"/>
      <c r="BQ11" s="175"/>
      <c r="BR11" s="175"/>
      <c r="BS11" s="175"/>
      <c r="BT11" s="175"/>
      <c r="BU11" s="175"/>
      <c r="BV11" s="175"/>
      <c r="BW11" s="175"/>
      <c r="BX11" s="175"/>
      <c r="BY11" s="175"/>
      <c r="BZ11" s="175"/>
    </row>
    <row r="12" spans="1:78" ht="15" customHeight="1">
      <c r="A12" s="38"/>
      <c r="B12" s="38" t="s">
        <v>648</v>
      </c>
      <c r="C12" s="29"/>
      <c r="D12" s="30"/>
      <c r="E12" s="30"/>
      <c r="F12" s="31"/>
      <c r="G12" s="29"/>
      <c r="H12" s="38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75"/>
      <c r="BI12" s="175"/>
      <c r="BJ12" s="175"/>
      <c r="BK12" s="175"/>
      <c r="BL12" s="175"/>
      <c r="BM12" s="175"/>
      <c r="BN12" s="175"/>
      <c r="BO12" s="175"/>
      <c r="BP12" s="175"/>
      <c r="BQ12" s="175"/>
      <c r="BR12" s="175"/>
      <c r="BS12" s="175"/>
      <c r="BT12" s="175"/>
      <c r="BU12" s="175"/>
      <c r="BV12" s="175"/>
      <c r="BW12" s="175"/>
      <c r="BX12" s="175"/>
      <c r="BY12" s="175"/>
      <c r="BZ12" s="175"/>
    </row>
    <row r="13" spans="1:78" ht="15" customHeight="1">
      <c r="A13" s="38"/>
      <c r="B13" s="38" t="s">
        <v>228</v>
      </c>
      <c r="C13" s="32" t="str">
        <f>IF(C12="","",C12)</f>
        <v/>
      </c>
      <c r="D13" s="33" t="str">
        <f t="shared" ref="D13:G13" si="1">IF(D12="","",D12)</f>
        <v/>
      </c>
      <c r="E13" s="33" t="str">
        <f t="shared" si="1"/>
        <v/>
      </c>
      <c r="F13" s="34" t="str">
        <f t="shared" si="1"/>
        <v/>
      </c>
      <c r="G13" s="32" t="str">
        <f t="shared" si="1"/>
        <v/>
      </c>
      <c r="H13" s="38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75"/>
      <c r="BI13" s="175"/>
      <c r="BJ13" s="175"/>
      <c r="BK13" s="175"/>
      <c r="BL13" s="175"/>
      <c r="BM13" s="175"/>
      <c r="BN13" s="175"/>
      <c r="BO13" s="175"/>
      <c r="BP13" s="175"/>
      <c r="BQ13" s="175"/>
      <c r="BR13" s="175"/>
      <c r="BS13" s="175"/>
      <c r="BT13" s="175"/>
      <c r="BU13" s="175"/>
      <c r="BV13" s="175"/>
      <c r="BW13" s="175"/>
      <c r="BX13" s="175"/>
      <c r="BY13" s="175"/>
      <c r="BZ13" s="175"/>
    </row>
    <row r="14" spans="1:78" ht="15" customHeight="1">
      <c r="A14" s="38"/>
      <c r="B14" s="38"/>
      <c r="C14" s="27"/>
      <c r="D14" s="27"/>
      <c r="E14" s="27"/>
      <c r="F14" s="27"/>
      <c r="G14" s="27"/>
      <c r="H14" s="38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</row>
    <row r="15" spans="1:78" ht="15" customHeight="1">
      <c r="A15" s="38"/>
      <c r="B15" s="38" t="s">
        <v>201</v>
      </c>
      <c r="C15" s="26"/>
      <c r="D15" s="46"/>
      <c r="E15" s="210" t="s">
        <v>651</v>
      </c>
      <c r="F15" s="39" t="s">
        <v>199</v>
      </c>
      <c r="G15" s="28"/>
      <c r="H15" s="38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</row>
    <row r="16" spans="1:78" ht="15" customHeight="1">
      <c r="A16" s="38"/>
      <c r="B16" s="38" t="s">
        <v>202</v>
      </c>
      <c r="C16" s="36"/>
      <c r="D16" s="26" t="s">
        <v>349</v>
      </c>
      <c r="E16" s="211" t="s">
        <v>398</v>
      </c>
      <c r="F16" s="39" t="s">
        <v>200</v>
      </c>
      <c r="G16" s="35"/>
      <c r="H16" s="38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</row>
    <row r="17" spans="1:78" ht="15" customHeight="1">
      <c r="A17" s="38"/>
      <c r="B17" s="38" t="s">
        <v>203</v>
      </c>
      <c r="C17" s="26" t="s">
        <v>4</v>
      </c>
      <c r="D17" s="214" t="str">
        <f>IF(C17="Yes","Yes를 선택하셨군요~ “Yes” 경우 고객에게 사전 인폼되어야 작업 가능합니다.","")</f>
        <v/>
      </c>
      <c r="E17" s="27"/>
      <c r="F17" s="27"/>
      <c r="G17" s="27"/>
      <c r="H17" s="38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</row>
    <row r="18" spans="1:78" ht="15" customHeight="1">
      <c r="A18" s="38"/>
      <c r="B18" s="38"/>
      <c r="C18" s="27"/>
      <c r="D18" s="27"/>
      <c r="E18" s="27"/>
      <c r="F18" s="27"/>
      <c r="G18" s="27"/>
      <c r="H18" s="38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</row>
    <row r="19" spans="1:78" ht="15" customHeight="1">
      <c r="A19" s="38"/>
      <c r="B19" s="42" t="s">
        <v>6</v>
      </c>
      <c r="C19" s="27" t="s">
        <v>686</v>
      </c>
      <c r="D19" s="27" t="s">
        <v>198</v>
      </c>
      <c r="E19" s="27" t="s">
        <v>0</v>
      </c>
      <c r="F19" s="27" t="s">
        <v>1</v>
      </c>
      <c r="G19" s="27" t="s">
        <v>2</v>
      </c>
      <c r="H19" s="38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</row>
    <row r="20" spans="1:78" ht="15" customHeight="1">
      <c r="A20" s="38"/>
      <c r="B20" s="38" t="s">
        <v>348</v>
      </c>
      <c r="C20" s="29">
        <v>0</v>
      </c>
      <c r="D20" s="30">
        <v>0</v>
      </c>
      <c r="E20" s="30">
        <v>0</v>
      </c>
      <c r="F20" s="31"/>
      <c r="G20" s="29">
        <v>0</v>
      </c>
      <c r="H20" s="38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75"/>
      <c r="BI20" s="175"/>
      <c r="BJ20" s="175"/>
      <c r="BK20" s="175"/>
      <c r="BL20" s="175"/>
      <c r="BM20" s="175"/>
      <c r="BN20" s="175"/>
      <c r="BO20" s="175"/>
      <c r="BP20" s="175"/>
      <c r="BQ20" s="175"/>
      <c r="BR20" s="175"/>
      <c r="BS20" s="175"/>
      <c r="BT20" s="175"/>
      <c r="BU20" s="175"/>
      <c r="BV20" s="175"/>
      <c r="BW20" s="175"/>
      <c r="BX20" s="175"/>
      <c r="BY20" s="175"/>
      <c r="BZ20" s="175"/>
    </row>
    <row r="21" spans="1:78" ht="15" customHeight="1">
      <c r="A21" s="38"/>
      <c r="B21" s="38" t="s">
        <v>204</v>
      </c>
      <c r="C21" s="32">
        <f>IF(C20="","",C20)</f>
        <v>0</v>
      </c>
      <c r="D21" s="33">
        <f t="shared" ref="D21" si="2">IF(D20="","",D20)</f>
        <v>0</v>
      </c>
      <c r="E21" s="33">
        <f t="shared" ref="E21:F21" si="3">IF(E20="","",E20)</f>
        <v>0</v>
      </c>
      <c r="F21" s="34" t="str">
        <f t="shared" si="3"/>
        <v/>
      </c>
      <c r="G21" s="32">
        <f>IF(G20="","",G20)</f>
        <v>0</v>
      </c>
      <c r="H21" s="38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75"/>
      <c r="BI21" s="175"/>
      <c r="BJ21" s="175"/>
      <c r="BK21" s="175"/>
      <c r="BL21" s="175"/>
      <c r="BM21" s="175"/>
      <c r="BN21" s="175"/>
      <c r="BO21" s="175"/>
      <c r="BP21" s="175"/>
      <c r="BQ21" s="175"/>
      <c r="BR21" s="175"/>
      <c r="BS21" s="175"/>
      <c r="BT21" s="175"/>
      <c r="BU21" s="175"/>
      <c r="BV21" s="175"/>
      <c r="BW21" s="175"/>
      <c r="BX21" s="175"/>
      <c r="BY21" s="175"/>
      <c r="BZ21" s="175"/>
    </row>
    <row r="22" spans="1:78" ht="15" customHeight="1">
      <c r="A22" s="38"/>
      <c r="B22" s="38" t="s">
        <v>205</v>
      </c>
      <c r="C22" s="32">
        <f>IF(C20="","",C20)</f>
        <v>0</v>
      </c>
      <c r="D22" s="33">
        <f t="shared" ref="D22:E22" si="4">IF(D20="","",D20)</f>
        <v>0</v>
      </c>
      <c r="E22" s="33">
        <f t="shared" si="4"/>
        <v>0</v>
      </c>
      <c r="F22" s="34" t="str">
        <f t="shared" ref="F22" si="5">IF(F20="","",F20)</f>
        <v/>
      </c>
      <c r="G22" s="32">
        <f>IF(G20="","",G20)</f>
        <v>0</v>
      </c>
      <c r="H22" s="38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</row>
    <row r="23" spans="1:78" ht="15" customHeight="1">
      <c r="A23" s="38"/>
      <c r="B23" s="38" t="s">
        <v>206</v>
      </c>
      <c r="C23" s="32">
        <f>IF(C20="","",C20)</f>
        <v>0</v>
      </c>
      <c r="D23" s="33">
        <f>IF(D20="","",D20)</f>
        <v>0</v>
      </c>
      <c r="E23" s="33">
        <f>IF(E20="","",E20)</f>
        <v>0</v>
      </c>
      <c r="F23" s="34" t="str">
        <f>IF(F20="","",F20)</f>
        <v/>
      </c>
      <c r="G23" s="32">
        <f>IF(G20="","",G20)</f>
        <v>0</v>
      </c>
      <c r="H23" s="38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</row>
    <row r="24" spans="1:78" ht="15" customHeight="1">
      <c r="A24" s="38"/>
      <c r="B24" s="38" t="s">
        <v>649</v>
      </c>
      <c r="C24" s="168" t="str">
        <f>IF(C25="","",C25)</f>
        <v/>
      </c>
      <c r="D24" s="169" t="str">
        <f>IF(D25="","",D25)</f>
        <v/>
      </c>
      <c r="E24" s="169" t="str">
        <f>IF(E25="","",E25)</f>
        <v/>
      </c>
      <c r="F24" s="172" t="str">
        <f>IF(F25="","",F25)</f>
        <v/>
      </c>
      <c r="G24" s="170" t="str">
        <f t="shared" ref="G24" si="6">IF(G25="","",G25)</f>
        <v/>
      </c>
      <c r="H24" s="38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75"/>
      <c r="BI24" s="175"/>
      <c r="BJ24" s="175"/>
      <c r="BK24" s="175"/>
      <c r="BL24" s="175"/>
      <c r="BM24" s="175"/>
      <c r="BN24" s="175"/>
      <c r="BO24" s="175"/>
      <c r="BP24" s="175"/>
      <c r="BQ24" s="175"/>
      <c r="BR24" s="175"/>
      <c r="BS24" s="175"/>
      <c r="BT24" s="175"/>
      <c r="BU24" s="175"/>
      <c r="BV24" s="175"/>
      <c r="BW24" s="175"/>
      <c r="BX24" s="175"/>
      <c r="BY24" s="175"/>
      <c r="BZ24" s="175"/>
    </row>
    <row r="25" spans="1:78" ht="15" customHeight="1">
      <c r="A25" s="38"/>
      <c r="B25" s="38" t="s">
        <v>650</v>
      </c>
      <c r="C25" s="165"/>
      <c r="D25" s="166"/>
      <c r="E25" s="166"/>
      <c r="F25" s="171"/>
      <c r="G25" s="167"/>
      <c r="H25" s="38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75"/>
      <c r="BI25" s="175"/>
      <c r="BJ25" s="175"/>
      <c r="BK25" s="175"/>
      <c r="BL25" s="175"/>
      <c r="BM25" s="175"/>
      <c r="BN25" s="175"/>
      <c r="BO25" s="175"/>
      <c r="BP25" s="175"/>
      <c r="BQ25" s="175"/>
      <c r="BR25" s="175"/>
      <c r="BS25" s="175"/>
      <c r="BT25" s="175"/>
      <c r="BU25" s="175"/>
      <c r="BV25" s="175"/>
      <c r="BW25" s="175"/>
      <c r="BX25" s="175"/>
      <c r="BY25" s="175"/>
      <c r="BZ25" s="175"/>
    </row>
    <row r="26" spans="1:78" ht="15" hidden="1" customHeight="1">
      <c r="A26" s="38"/>
      <c r="B26" s="38" t="s">
        <v>216</v>
      </c>
      <c r="C26" s="168" t="str">
        <f>IF(C25="","",C25)</f>
        <v/>
      </c>
      <c r="D26" s="169" t="str">
        <f t="shared" ref="D26:G26" si="7">IF(D25="","",D25)</f>
        <v/>
      </c>
      <c r="E26" s="169" t="str">
        <f t="shared" si="7"/>
        <v/>
      </c>
      <c r="F26" s="172" t="str">
        <f t="shared" si="7"/>
        <v/>
      </c>
      <c r="G26" s="170" t="str">
        <f t="shared" si="7"/>
        <v/>
      </c>
      <c r="H26" s="38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</row>
    <row r="27" spans="1:78" ht="15" customHeight="1">
      <c r="A27" s="38"/>
      <c r="B27" s="38"/>
      <c r="C27" s="213" t="str">
        <f>IF(C20=0,"","OBQ가 0.00 아니고 값이 있습니다. TCV &amp; GSV after Loading 물량은 수동으로 계산된 값을 입력합니다.")</f>
        <v/>
      </c>
      <c r="D27" s="27"/>
      <c r="E27" s="27"/>
      <c r="F27" s="27"/>
      <c r="G27" s="27"/>
      <c r="H27" s="38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75"/>
      <c r="BI27" s="175"/>
      <c r="BJ27" s="175"/>
      <c r="BK27" s="175"/>
      <c r="BL27" s="175"/>
      <c r="BM27" s="175"/>
      <c r="BN27" s="175"/>
      <c r="BO27" s="175"/>
      <c r="BP27" s="175"/>
      <c r="BQ27" s="175"/>
      <c r="BR27" s="175"/>
      <c r="BS27" s="175"/>
      <c r="BT27" s="175"/>
      <c r="BU27" s="175"/>
      <c r="BV27" s="175"/>
      <c r="BW27" s="175"/>
      <c r="BX27" s="175"/>
      <c r="BY27" s="175"/>
      <c r="BZ27" s="175"/>
    </row>
    <row r="28" spans="1:78" ht="15" customHeight="1">
      <c r="A28" s="38"/>
      <c r="B28" s="38" t="s">
        <v>219</v>
      </c>
      <c r="C28" s="37" t="str">
        <f>IF(C15="","",C15)</f>
        <v/>
      </c>
      <c r="D28" s="27"/>
      <c r="E28" s="27"/>
      <c r="F28" s="39" t="s">
        <v>199</v>
      </c>
      <c r="G28" s="106" t="str">
        <f>IF(G15="","",G15)</f>
        <v/>
      </c>
      <c r="H28" s="38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75"/>
      <c r="BI28" s="175"/>
      <c r="BJ28" s="175"/>
      <c r="BK28" s="175"/>
      <c r="BL28" s="175"/>
      <c r="BM28" s="175"/>
      <c r="BN28" s="175"/>
      <c r="BO28" s="175"/>
      <c r="BP28" s="175"/>
      <c r="BQ28" s="175"/>
      <c r="BR28" s="175"/>
      <c r="BS28" s="175"/>
      <c r="BT28" s="175"/>
      <c r="BU28" s="175"/>
      <c r="BV28" s="175"/>
      <c r="BW28" s="175"/>
      <c r="BX28" s="175"/>
      <c r="BY28" s="175"/>
      <c r="BZ28" s="175"/>
    </row>
    <row r="29" spans="1:78" ht="15" customHeight="1">
      <c r="A29" s="38"/>
      <c r="B29" s="38" t="s">
        <v>207</v>
      </c>
      <c r="C29" s="36"/>
      <c r="D29" s="37" t="str">
        <f>IF(D16="","",D16)</f>
        <v>°F</v>
      </c>
      <c r="E29" s="27"/>
      <c r="F29" s="39" t="s">
        <v>200</v>
      </c>
      <c r="G29" s="107" t="str">
        <f>IF(G16="","",G16)</f>
        <v/>
      </c>
      <c r="H29" s="38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75"/>
      <c r="BI29" s="175"/>
      <c r="BJ29" s="175"/>
      <c r="BK29" s="175"/>
      <c r="BL29" s="175"/>
      <c r="BM29" s="175"/>
      <c r="BN29" s="175"/>
      <c r="BO29" s="175"/>
      <c r="BP29" s="175"/>
      <c r="BQ29" s="175"/>
      <c r="BR29" s="175"/>
      <c r="BS29" s="175"/>
      <c r="BT29" s="175"/>
      <c r="BU29" s="175"/>
      <c r="BV29" s="175"/>
      <c r="BW29" s="175"/>
      <c r="BX29" s="175"/>
      <c r="BY29" s="175"/>
      <c r="BZ29" s="175"/>
    </row>
    <row r="30" spans="1:78" ht="15" hidden="1" customHeight="1">
      <c r="A30" s="38"/>
      <c r="B30" s="38" t="s">
        <v>215</v>
      </c>
      <c r="C30" s="36"/>
      <c r="D30" s="37" t="str">
        <f>IF(D29="","",D29)</f>
        <v>°F</v>
      </c>
      <c r="E30" s="27"/>
      <c r="F30" s="27"/>
      <c r="G30" s="27"/>
      <c r="H30" s="38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</row>
    <row r="31" spans="1:78" ht="15" hidden="1" customHeight="1">
      <c r="A31" s="38"/>
      <c r="B31" s="43" t="s">
        <v>217</v>
      </c>
      <c r="C31" s="35"/>
      <c r="D31" s="38" t="s">
        <v>20</v>
      </c>
      <c r="E31" s="27"/>
      <c r="F31" s="27"/>
      <c r="G31" s="27"/>
      <c r="H31" s="38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75"/>
      <c r="BI31" s="175"/>
      <c r="BJ31" s="175"/>
      <c r="BK31" s="175"/>
      <c r="BL31" s="175"/>
      <c r="BM31" s="175"/>
      <c r="BN31" s="175"/>
      <c r="BO31" s="175"/>
      <c r="BP31" s="175"/>
      <c r="BQ31" s="175"/>
      <c r="BR31" s="175"/>
      <c r="BS31" s="175"/>
      <c r="BT31" s="175"/>
      <c r="BU31" s="175"/>
      <c r="BV31" s="175"/>
      <c r="BW31" s="175"/>
      <c r="BX31" s="175"/>
      <c r="BY31" s="175"/>
      <c r="BZ31" s="175"/>
    </row>
    <row r="32" spans="1:78" ht="15" hidden="1" customHeight="1">
      <c r="A32" s="38"/>
      <c r="B32" s="43" t="s">
        <v>218</v>
      </c>
      <c r="C32" s="35"/>
      <c r="D32" s="38" t="s">
        <v>20</v>
      </c>
      <c r="E32" s="27"/>
      <c r="F32" s="27"/>
      <c r="G32" s="27"/>
      <c r="H32" s="38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75"/>
      <c r="BI32" s="175"/>
      <c r="BJ32" s="175"/>
      <c r="BK32" s="175"/>
      <c r="BL32" s="175"/>
      <c r="BM32" s="175"/>
      <c r="BN32" s="175"/>
      <c r="BO32" s="175"/>
      <c r="BP32" s="175"/>
      <c r="BQ32" s="175"/>
      <c r="BR32" s="175"/>
      <c r="BS32" s="175"/>
      <c r="BT32" s="175"/>
      <c r="BU32" s="175"/>
      <c r="BV32" s="175"/>
      <c r="BW32" s="175"/>
      <c r="BX32" s="175"/>
      <c r="BY32" s="175"/>
      <c r="BZ32" s="175"/>
    </row>
    <row r="33" spans="1:78" ht="15" customHeight="1">
      <c r="A33" s="54"/>
      <c r="B33" s="54"/>
      <c r="C33" s="55"/>
      <c r="D33" s="56"/>
      <c r="E33" s="46"/>
      <c r="F33" s="46"/>
      <c r="G33" s="46"/>
      <c r="H33" s="54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75"/>
      <c r="BI33" s="175"/>
      <c r="BJ33" s="175"/>
      <c r="BK33" s="175"/>
      <c r="BL33" s="175"/>
      <c r="BM33" s="175"/>
      <c r="BN33" s="175"/>
      <c r="BO33" s="175"/>
      <c r="BP33" s="175"/>
      <c r="BQ33" s="175"/>
      <c r="BR33" s="175"/>
      <c r="BS33" s="175"/>
      <c r="BT33" s="175"/>
      <c r="BU33" s="175"/>
      <c r="BV33" s="175"/>
      <c r="BW33" s="175"/>
      <c r="BX33" s="175"/>
      <c r="BY33" s="175"/>
      <c r="BZ33" s="175"/>
    </row>
    <row r="34" spans="1:78" ht="9.75" customHeight="1">
      <c r="A34" s="146"/>
      <c r="B34" s="146"/>
      <c r="C34" s="148"/>
      <c r="D34" s="149"/>
      <c r="E34" s="150"/>
      <c r="F34" s="150"/>
      <c r="G34" s="150"/>
      <c r="H34" s="146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5"/>
      <c r="BK34" s="175"/>
      <c r="BL34" s="175"/>
      <c r="BM34" s="175"/>
      <c r="BN34" s="175"/>
      <c r="BO34" s="175"/>
      <c r="BP34" s="175"/>
      <c r="BQ34" s="175"/>
      <c r="BR34" s="175"/>
      <c r="BS34" s="175"/>
      <c r="BT34" s="175"/>
      <c r="BU34" s="175"/>
      <c r="BV34" s="175"/>
      <c r="BW34" s="175"/>
      <c r="BX34" s="175"/>
      <c r="BY34" s="175"/>
      <c r="BZ34" s="175"/>
    </row>
    <row r="35" spans="1:78" ht="15" customHeight="1">
      <c r="A35" s="146"/>
      <c r="B35" s="147" t="s">
        <v>646</v>
      </c>
      <c r="C35" s="142" t="s">
        <v>3</v>
      </c>
      <c r="D35" s="142" t="s">
        <v>198</v>
      </c>
      <c r="E35" s="142" t="s">
        <v>0</v>
      </c>
      <c r="F35" s="142" t="s">
        <v>1</v>
      </c>
      <c r="G35" s="142" t="s">
        <v>2</v>
      </c>
      <c r="H35" s="146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75"/>
      <c r="BI35" s="175"/>
      <c r="BJ35" s="175"/>
      <c r="BK35" s="175"/>
      <c r="BL35" s="175"/>
      <c r="BM35" s="175"/>
      <c r="BN35" s="175"/>
      <c r="BO35" s="175"/>
      <c r="BP35" s="175"/>
      <c r="BQ35" s="175"/>
      <c r="BR35" s="175"/>
      <c r="BS35" s="175"/>
      <c r="BT35" s="175"/>
      <c r="BU35" s="175"/>
      <c r="BV35" s="175"/>
      <c r="BW35" s="175"/>
      <c r="BX35" s="175"/>
      <c r="BY35" s="175"/>
      <c r="BZ35" s="175"/>
    </row>
    <row r="36" spans="1:78" ht="15" customHeight="1">
      <c r="A36" s="146"/>
      <c r="B36" s="146" t="s">
        <v>350</v>
      </c>
      <c r="C36" s="142" t="str">
        <f>IF(OR(C12="",C25=""),"",C25-C12)</f>
        <v/>
      </c>
      <c r="D36" s="142" t="str">
        <f>IF(OR(D12="",D25=""),"",D25-D12)</f>
        <v/>
      </c>
      <c r="E36" s="142" t="str">
        <f>IF(OR(E12="",E25=""),"",E25-E12)</f>
        <v/>
      </c>
      <c r="F36" s="142" t="str">
        <f>IF(OR(F12="",F25=""),"",F25-F12)</f>
        <v/>
      </c>
      <c r="G36" s="142" t="str">
        <f>IF(OR(G12="",G25=""),"",G25-G12)</f>
        <v/>
      </c>
      <c r="H36" s="146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75"/>
      <c r="BI36" s="175"/>
      <c r="BJ36" s="175"/>
      <c r="BK36" s="175"/>
      <c r="BL36" s="175"/>
      <c r="BM36" s="175"/>
      <c r="BN36" s="175"/>
      <c r="BO36" s="175"/>
      <c r="BP36" s="175"/>
      <c r="BQ36" s="175"/>
      <c r="BR36" s="175"/>
      <c r="BS36" s="175"/>
      <c r="BT36" s="175"/>
      <c r="BU36" s="175"/>
      <c r="BV36" s="175"/>
      <c r="BW36" s="175"/>
      <c r="BX36" s="175"/>
      <c r="BY36" s="175"/>
      <c r="BZ36" s="175"/>
    </row>
    <row r="37" spans="1:78" ht="15" customHeight="1">
      <c r="A37" s="146"/>
      <c r="B37" s="146" t="s">
        <v>351</v>
      </c>
      <c r="C37" s="143" t="str">
        <f>IF(OR(C12="",C25=""),"",C36/C12*100)</f>
        <v/>
      </c>
      <c r="D37" s="143" t="str">
        <f t="shared" ref="D37:G37" si="8">IF(OR(D12="",D25=""),"",D36/D12*100)</f>
        <v/>
      </c>
      <c r="E37" s="143" t="str">
        <f t="shared" si="8"/>
        <v/>
      </c>
      <c r="F37" s="143" t="str">
        <f t="shared" si="8"/>
        <v/>
      </c>
      <c r="G37" s="143" t="str">
        <f t="shared" si="8"/>
        <v/>
      </c>
      <c r="H37" s="146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75"/>
      <c r="BI37" s="175"/>
      <c r="BJ37" s="175"/>
      <c r="BK37" s="175"/>
      <c r="BL37" s="175"/>
      <c r="BM37" s="175"/>
      <c r="BN37" s="175"/>
      <c r="BO37" s="175"/>
      <c r="BP37" s="175"/>
      <c r="BQ37" s="175"/>
      <c r="BR37" s="175"/>
      <c r="BS37" s="175"/>
      <c r="BT37" s="175"/>
      <c r="BU37" s="175"/>
      <c r="BV37" s="175"/>
      <c r="BW37" s="175"/>
      <c r="BX37" s="175"/>
      <c r="BY37" s="175"/>
      <c r="BZ37" s="175"/>
    </row>
    <row r="38" spans="1:78" ht="9.75" customHeight="1">
      <c r="A38" s="146"/>
      <c r="B38" s="146"/>
      <c r="C38" s="150"/>
      <c r="D38" s="150"/>
      <c r="E38" s="150"/>
      <c r="F38" s="150"/>
      <c r="G38" s="150"/>
      <c r="H38" s="146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5"/>
      <c r="BK38" s="175"/>
      <c r="BL38" s="175"/>
      <c r="BM38" s="175"/>
      <c r="BN38" s="175"/>
      <c r="BO38" s="175"/>
      <c r="BP38" s="175"/>
      <c r="BQ38" s="175"/>
      <c r="BR38" s="175"/>
      <c r="BS38" s="175"/>
      <c r="BT38" s="175"/>
      <c r="BU38" s="175"/>
      <c r="BV38" s="175"/>
      <c r="BW38" s="175"/>
      <c r="BX38" s="175"/>
      <c r="BY38" s="175"/>
      <c r="BZ38" s="175"/>
    </row>
    <row r="39" spans="1:78" ht="15" customHeight="1">
      <c r="A39" s="144"/>
      <c r="B39" s="144"/>
      <c r="C39" s="145"/>
      <c r="D39" s="145"/>
      <c r="E39" s="145"/>
      <c r="F39" s="145"/>
      <c r="G39" s="145"/>
      <c r="H39" s="144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75"/>
      <c r="BI39" s="175"/>
      <c r="BJ39" s="175"/>
      <c r="BK39" s="175"/>
      <c r="BL39" s="175"/>
      <c r="BM39" s="175"/>
      <c r="BN39" s="175"/>
      <c r="BO39" s="175"/>
      <c r="BP39" s="175"/>
      <c r="BQ39" s="175"/>
      <c r="BR39" s="175"/>
      <c r="BS39" s="175"/>
      <c r="BT39" s="175"/>
      <c r="BU39" s="175"/>
      <c r="BV39" s="175"/>
      <c r="BW39" s="175"/>
      <c r="BX39" s="175"/>
      <c r="BY39" s="175"/>
      <c r="BZ39" s="175"/>
    </row>
    <row r="40" spans="1:78" ht="15" customHeight="1">
      <c r="A40" s="144"/>
      <c r="B40" s="144"/>
      <c r="C40" s="145"/>
      <c r="D40" s="145"/>
      <c r="E40" s="145"/>
      <c r="F40" s="145"/>
      <c r="G40" s="145"/>
      <c r="H40" s="144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75"/>
      <c r="BI40" s="175"/>
      <c r="BJ40" s="175"/>
      <c r="BK40" s="175"/>
      <c r="BL40" s="175"/>
      <c r="BM40" s="175"/>
      <c r="BN40" s="175"/>
      <c r="BO40" s="175"/>
      <c r="BP40" s="175"/>
      <c r="BQ40" s="175"/>
      <c r="BR40" s="175"/>
      <c r="BS40" s="175"/>
      <c r="BT40" s="175"/>
      <c r="BU40" s="175"/>
      <c r="BV40" s="175"/>
      <c r="BW40" s="175"/>
      <c r="BX40" s="175"/>
      <c r="BY40" s="175"/>
      <c r="BZ40" s="175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229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 t="s">
        <v>315</v>
      </c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266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 t="s">
        <v>701</v>
      </c>
      <c r="D7" s="252"/>
      <c r="E7" s="133" t="s">
        <v>723</v>
      </c>
      <c r="F7" s="255"/>
      <c r="G7" s="22"/>
      <c r="H7" s="254" t="s">
        <v>741</v>
      </c>
      <c r="I7" s="22"/>
      <c r="J7" s="59"/>
      <c r="K7" s="7"/>
      <c r="L7" s="11"/>
      <c r="M7" s="199"/>
      <c r="N7" s="12"/>
      <c r="O7" s="7"/>
      <c r="P7" s="104"/>
      <c r="Q7" s="25"/>
      <c r="R7" s="25"/>
      <c r="S7" s="7"/>
      <c r="T7" s="104"/>
      <c r="U7" s="25"/>
      <c r="V7" s="25"/>
      <c r="W7" s="7"/>
      <c r="X7" s="104"/>
      <c r="Y7" s="25"/>
      <c r="Z7" s="25"/>
      <c r="AA7" s="7"/>
      <c r="AB7" s="104"/>
      <c r="AC7" s="25"/>
      <c r="AD7" s="25"/>
      <c r="AE7" s="7"/>
      <c r="AF7" s="104"/>
      <c r="AG7" s="25"/>
      <c r="AH7" s="25"/>
      <c r="AI7" s="7"/>
      <c r="AJ7" s="104"/>
      <c r="AK7" s="25"/>
      <c r="AL7" s="25"/>
      <c r="AM7" s="7"/>
      <c r="AN7" s="104"/>
      <c r="AO7" s="25"/>
      <c r="AP7" s="25"/>
      <c r="AQ7" s="7"/>
      <c r="AR7" s="104"/>
      <c r="AS7" s="25"/>
      <c r="AT7" s="25"/>
      <c r="AU7" s="7"/>
      <c r="AV7" s="104"/>
      <c r="AW7" s="25"/>
      <c r="AX7" s="25"/>
      <c r="AY7" s="7"/>
      <c r="AZ7" s="104"/>
      <c r="BA7" s="25"/>
      <c r="BB7" s="25"/>
      <c r="BC7" s="7"/>
      <c r="BD7" s="104"/>
      <c r="BE7" s="25"/>
      <c r="BF7" s="25"/>
      <c r="BG7" s="7"/>
      <c r="BH7" s="104"/>
      <c r="BI7" s="25"/>
      <c r="BJ7" s="25"/>
      <c r="BK7" s="7"/>
      <c r="BL7" s="104"/>
      <c r="BM7" s="25"/>
      <c r="BN7" s="25"/>
      <c r="BO7" s="7"/>
      <c r="BP7" s="104"/>
      <c r="BQ7" s="25"/>
      <c r="BR7" s="25"/>
      <c r="BS7" s="7"/>
      <c r="BT7" s="104"/>
      <c r="BU7" s="25"/>
      <c r="BV7" s="25"/>
      <c r="BW7" s="7"/>
    </row>
    <row r="8" spans="1:75">
      <c r="A8" s="95">
        <v>2</v>
      </c>
      <c r="B8" s="53"/>
      <c r="C8" s="67" t="s">
        <v>702</v>
      </c>
      <c r="D8" s="252"/>
      <c r="E8" s="133" t="s">
        <v>724</v>
      </c>
      <c r="F8" s="253"/>
      <c r="G8" s="22"/>
      <c r="H8" s="254" t="s">
        <v>742</v>
      </c>
      <c r="I8" s="22"/>
      <c r="J8" s="59"/>
      <c r="K8" s="7"/>
      <c r="L8" s="11"/>
      <c r="M8" s="199"/>
      <c r="N8" s="12"/>
      <c r="O8" s="7"/>
      <c r="P8" s="104"/>
      <c r="Q8" s="25"/>
      <c r="R8" s="25"/>
      <c r="S8" s="7"/>
      <c r="T8" s="104"/>
      <c r="U8" s="25"/>
      <c r="V8" s="25"/>
      <c r="W8" s="7"/>
      <c r="X8" s="104"/>
      <c r="Y8" s="25"/>
      <c r="Z8" s="25"/>
      <c r="AA8" s="7"/>
      <c r="AB8" s="104"/>
      <c r="AC8" s="25"/>
      <c r="AD8" s="25"/>
      <c r="AE8" s="7"/>
      <c r="AF8" s="104"/>
      <c r="AG8" s="25"/>
      <c r="AH8" s="25"/>
      <c r="AI8" s="7"/>
      <c r="AJ8" s="104"/>
      <c r="AK8" s="25"/>
      <c r="AL8" s="25"/>
      <c r="AM8" s="7"/>
      <c r="AN8" s="104"/>
      <c r="AO8" s="25"/>
      <c r="AP8" s="25"/>
      <c r="AQ8" s="7"/>
      <c r="AR8" s="104"/>
      <c r="AS8" s="25"/>
      <c r="AT8" s="25"/>
      <c r="AU8" s="7"/>
      <c r="AV8" s="104"/>
      <c r="AW8" s="25"/>
      <c r="AX8" s="25"/>
      <c r="AY8" s="7"/>
      <c r="AZ8" s="104"/>
      <c r="BA8" s="25"/>
      <c r="BB8" s="25"/>
      <c r="BC8" s="7"/>
      <c r="BD8" s="104"/>
      <c r="BE8" s="25"/>
      <c r="BF8" s="25"/>
      <c r="BG8" s="7"/>
      <c r="BH8" s="104"/>
      <c r="BI8" s="25"/>
      <c r="BJ8" s="25"/>
      <c r="BK8" s="7"/>
      <c r="BL8" s="104"/>
      <c r="BM8" s="25"/>
      <c r="BN8" s="25"/>
      <c r="BO8" s="7"/>
      <c r="BP8" s="104"/>
      <c r="BQ8" s="25"/>
      <c r="BR8" s="25"/>
      <c r="BS8" s="7"/>
      <c r="BT8" s="104"/>
      <c r="BU8" s="25"/>
      <c r="BV8" s="25"/>
      <c r="BW8" s="7"/>
    </row>
    <row r="9" spans="1:75">
      <c r="A9" s="95">
        <v>3</v>
      </c>
      <c r="B9" s="53"/>
      <c r="C9" s="67" t="s">
        <v>703</v>
      </c>
      <c r="D9" s="252"/>
      <c r="E9" s="133" t="s">
        <v>725</v>
      </c>
      <c r="F9" s="253"/>
      <c r="G9" s="22"/>
      <c r="H9" s="254" t="s">
        <v>742</v>
      </c>
      <c r="I9" s="22"/>
      <c r="J9" s="59"/>
      <c r="K9" s="7"/>
      <c r="L9" s="11"/>
      <c r="M9" s="199"/>
      <c r="N9" s="12"/>
      <c r="O9" s="7"/>
      <c r="P9" s="104"/>
      <c r="Q9" s="25"/>
      <c r="R9" s="25"/>
      <c r="S9" s="7"/>
      <c r="T9" s="104"/>
      <c r="U9" s="25"/>
      <c r="V9" s="25"/>
      <c r="W9" s="7"/>
      <c r="X9" s="104"/>
      <c r="Y9" s="25"/>
      <c r="Z9" s="25"/>
      <c r="AA9" s="7"/>
      <c r="AB9" s="104"/>
      <c r="AC9" s="25"/>
      <c r="AD9" s="25"/>
      <c r="AE9" s="7"/>
      <c r="AF9" s="104"/>
      <c r="AG9" s="25"/>
      <c r="AH9" s="25"/>
      <c r="AI9" s="7"/>
      <c r="AJ9" s="104"/>
      <c r="AK9" s="25"/>
      <c r="AL9" s="25"/>
      <c r="AM9" s="7"/>
      <c r="AN9" s="104"/>
      <c r="AO9" s="25"/>
      <c r="AP9" s="25"/>
      <c r="AQ9" s="7"/>
      <c r="AR9" s="104"/>
      <c r="AS9" s="25"/>
      <c r="AT9" s="25"/>
      <c r="AU9" s="7"/>
      <c r="AV9" s="104"/>
      <c r="AW9" s="25"/>
      <c r="AX9" s="25"/>
      <c r="AY9" s="7"/>
      <c r="AZ9" s="104"/>
      <c r="BA9" s="25"/>
      <c r="BB9" s="25"/>
      <c r="BC9" s="7"/>
      <c r="BD9" s="104"/>
      <c r="BE9" s="25"/>
      <c r="BF9" s="25"/>
      <c r="BG9" s="7"/>
      <c r="BH9" s="104"/>
      <c r="BI9" s="25"/>
      <c r="BJ9" s="25"/>
      <c r="BK9" s="7"/>
      <c r="BL9" s="104"/>
      <c r="BM9" s="25"/>
      <c r="BN9" s="25"/>
      <c r="BO9" s="7"/>
      <c r="BP9" s="104"/>
      <c r="BQ9" s="25"/>
      <c r="BR9" s="25"/>
      <c r="BS9" s="7"/>
      <c r="BT9" s="104"/>
      <c r="BU9" s="25"/>
      <c r="BV9" s="25"/>
      <c r="BW9" s="7"/>
    </row>
    <row r="10" spans="1:75">
      <c r="A10" s="95">
        <v>4</v>
      </c>
      <c r="B10" s="53"/>
      <c r="C10" s="67" t="s">
        <v>704</v>
      </c>
      <c r="D10" s="252"/>
      <c r="E10" s="133" t="s">
        <v>723</v>
      </c>
      <c r="F10" s="255"/>
      <c r="G10" s="22"/>
      <c r="H10" s="254" t="s">
        <v>741</v>
      </c>
      <c r="I10" s="22"/>
      <c r="J10" s="59"/>
      <c r="K10" s="7"/>
      <c r="L10" s="11"/>
      <c r="M10" s="199"/>
      <c r="N10" s="12"/>
      <c r="O10" s="7"/>
      <c r="P10" s="104"/>
      <c r="Q10" s="25"/>
      <c r="R10" s="25"/>
      <c r="S10" s="7"/>
      <c r="T10" s="104"/>
      <c r="U10" s="25"/>
      <c r="V10" s="25"/>
      <c r="W10" s="7"/>
      <c r="X10" s="104"/>
      <c r="Y10" s="25"/>
      <c r="Z10" s="25"/>
      <c r="AA10" s="7"/>
      <c r="AB10" s="104"/>
      <c r="AC10" s="25"/>
      <c r="AD10" s="25"/>
      <c r="AE10" s="7"/>
      <c r="AF10" s="104"/>
      <c r="AG10" s="25"/>
      <c r="AH10" s="25"/>
      <c r="AI10" s="7"/>
      <c r="AJ10" s="104"/>
      <c r="AK10" s="25"/>
      <c r="AL10" s="25"/>
      <c r="AM10" s="7"/>
      <c r="AN10" s="104"/>
      <c r="AO10" s="25"/>
      <c r="AP10" s="25"/>
      <c r="AQ10" s="7"/>
      <c r="AR10" s="104"/>
      <c r="AS10" s="25"/>
      <c r="AT10" s="25"/>
      <c r="AU10" s="7"/>
      <c r="AV10" s="104"/>
      <c r="AW10" s="25"/>
      <c r="AX10" s="25"/>
      <c r="AY10" s="7"/>
      <c r="AZ10" s="104"/>
      <c r="BA10" s="25"/>
      <c r="BB10" s="25"/>
      <c r="BC10" s="7"/>
      <c r="BD10" s="104"/>
      <c r="BE10" s="25"/>
      <c r="BF10" s="25"/>
      <c r="BG10" s="7"/>
      <c r="BH10" s="104"/>
      <c r="BI10" s="25"/>
      <c r="BJ10" s="25"/>
      <c r="BK10" s="7"/>
      <c r="BL10" s="104"/>
      <c r="BM10" s="25"/>
      <c r="BN10" s="25"/>
      <c r="BO10" s="7"/>
      <c r="BP10" s="104"/>
      <c r="BQ10" s="25"/>
      <c r="BR10" s="25"/>
      <c r="BS10" s="7"/>
      <c r="BT10" s="104"/>
      <c r="BU10" s="25"/>
      <c r="BV10" s="25"/>
      <c r="BW10" s="7"/>
    </row>
    <row r="11" spans="1:75">
      <c r="A11" s="95">
        <v>5</v>
      </c>
      <c r="B11" s="53"/>
      <c r="C11" s="67" t="s">
        <v>705</v>
      </c>
      <c r="D11" s="252"/>
      <c r="E11" s="133" t="s">
        <v>726</v>
      </c>
      <c r="F11" s="253"/>
      <c r="G11" s="22"/>
      <c r="H11" s="21" t="s">
        <v>743</v>
      </c>
      <c r="I11" s="22"/>
      <c r="J11" s="59"/>
      <c r="K11" s="7"/>
      <c r="L11" s="11"/>
      <c r="M11" s="199"/>
      <c r="N11" s="12"/>
      <c r="O11" s="7"/>
      <c r="P11" s="104"/>
      <c r="Q11" s="25"/>
      <c r="R11" s="25"/>
      <c r="S11" s="7"/>
      <c r="T11" s="104"/>
      <c r="U11" s="25"/>
      <c r="V11" s="25"/>
      <c r="W11" s="7"/>
      <c r="X11" s="104"/>
      <c r="Y11" s="25"/>
      <c r="Z11" s="25"/>
      <c r="AA11" s="7"/>
      <c r="AB11" s="104"/>
      <c r="AC11" s="25"/>
      <c r="AD11" s="25"/>
      <c r="AE11" s="7"/>
      <c r="AF11" s="104"/>
      <c r="AG11" s="25"/>
      <c r="AH11" s="25"/>
      <c r="AI11" s="7"/>
      <c r="AJ11" s="104"/>
      <c r="AK11" s="25"/>
      <c r="AL11" s="25"/>
      <c r="AM11" s="7"/>
      <c r="AN11" s="104"/>
      <c r="AO11" s="25"/>
      <c r="AP11" s="25"/>
      <c r="AQ11" s="7"/>
      <c r="AR11" s="104"/>
      <c r="AS11" s="25"/>
      <c r="AT11" s="25"/>
      <c r="AU11" s="7"/>
      <c r="AV11" s="104"/>
      <c r="AW11" s="25"/>
      <c r="AX11" s="25"/>
      <c r="AY11" s="7"/>
      <c r="AZ11" s="104"/>
      <c r="BA11" s="25"/>
      <c r="BB11" s="25"/>
      <c r="BC11" s="7"/>
      <c r="BD11" s="104"/>
      <c r="BE11" s="25"/>
      <c r="BF11" s="25"/>
      <c r="BG11" s="7"/>
      <c r="BH11" s="104"/>
      <c r="BI11" s="25"/>
      <c r="BJ11" s="25"/>
      <c r="BK11" s="7"/>
      <c r="BL11" s="104"/>
      <c r="BM11" s="25"/>
      <c r="BN11" s="25"/>
      <c r="BO11" s="7"/>
      <c r="BP11" s="104"/>
      <c r="BQ11" s="25"/>
      <c r="BR11" s="25"/>
      <c r="BS11" s="7"/>
      <c r="BT11" s="104"/>
      <c r="BU11" s="25"/>
      <c r="BV11" s="25"/>
      <c r="BW11" s="7"/>
    </row>
    <row r="12" spans="1:75">
      <c r="A12" s="95">
        <v>6</v>
      </c>
      <c r="B12" s="53"/>
      <c r="C12" s="67" t="s">
        <v>706</v>
      </c>
      <c r="D12" s="252"/>
      <c r="E12" s="133" t="s">
        <v>727</v>
      </c>
      <c r="F12" s="253"/>
      <c r="G12" s="22"/>
      <c r="H12" s="254" t="s">
        <v>744</v>
      </c>
      <c r="I12" s="22"/>
      <c r="J12" s="59"/>
      <c r="K12" s="7"/>
      <c r="L12" s="11"/>
      <c r="M12" s="199"/>
      <c r="N12" s="12"/>
      <c r="O12" s="7"/>
      <c r="P12" s="104"/>
      <c r="Q12" s="25"/>
      <c r="R12" s="25"/>
      <c r="S12" s="7"/>
      <c r="T12" s="104"/>
      <c r="U12" s="25"/>
      <c r="V12" s="25"/>
      <c r="W12" s="7"/>
      <c r="X12" s="104"/>
      <c r="Y12" s="25"/>
      <c r="Z12" s="25"/>
      <c r="AA12" s="7"/>
      <c r="AB12" s="104"/>
      <c r="AC12" s="25"/>
      <c r="AD12" s="25"/>
      <c r="AE12" s="7"/>
      <c r="AF12" s="104"/>
      <c r="AG12" s="25"/>
      <c r="AH12" s="25"/>
      <c r="AI12" s="7"/>
      <c r="AJ12" s="104"/>
      <c r="AK12" s="25"/>
      <c r="AL12" s="25"/>
      <c r="AM12" s="7"/>
      <c r="AN12" s="104"/>
      <c r="AO12" s="25"/>
      <c r="AP12" s="25"/>
      <c r="AQ12" s="7"/>
      <c r="AR12" s="104"/>
      <c r="AS12" s="25"/>
      <c r="AT12" s="25"/>
      <c r="AU12" s="7"/>
      <c r="AV12" s="104"/>
      <c r="AW12" s="25"/>
      <c r="AX12" s="25"/>
      <c r="AY12" s="7"/>
      <c r="AZ12" s="104"/>
      <c r="BA12" s="25"/>
      <c r="BB12" s="25"/>
      <c r="BC12" s="7"/>
      <c r="BD12" s="104"/>
      <c r="BE12" s="25"/>
      <c r="BF12" s="25"/>
      <c r="BG12" s="7"/>
      <c r="BH12" s="104"/>
      <c r="BI12" s="25"/>
      <c r="BJ12" s="25"/>
      <c r="BK12" s="7"/>
      <c r="BL12" s="104"/>
      <c r="BM12" s="25"/>
      <c r="BN12" s="25"/>
      <c r="BO12" s="7"/>
      <c r="BP12" s="104"/>
      <c r="BQ12" s="25"/>
      <c r="BR12" s="25"/>
      <c r="BS12" s="7"/>
      <c r="BT12" s="104"/>
      <c r="BU12" s="25"/>
      <c r="BV12" s="25"/>
      <c r="BW12" s="7"/>
    </row>
    <row r="13" spans="1:75">
      <c r="A13" s="95">
        <v>7</v>
      </c>
      <c r="B13" s="53"/>
      <c r="C13" s="67" t="s">
        <v>707</v>
      </c>
      <c r="D13" s="252"/>
      <c r="E13" s="133" t="s">
        <v>728</v>
      </c>
      <c r="F13" s="253"/>
      <c r="G13" s="22"/>
      <c r="H13" s="254" t="s">
        <v>745</v>
      </c>
      <c r="I13" s="22"/>
      <c r="J13" s="59"/>
      <c r="K13" s="7"/>
      <c r="L13" s="11"/>
      <c r="M13" s="199"/>
      <c r="N13" s="12"/>
      <c r="O13" s="7"/>
      <c r="P13" s="104"/>
      <c r="Q13" s="25"/>
      <c r="R13" s="25"/>
      <c r="S13" s="7"/>
      <c r="T13" s="104"/>
      <c r="U13" s="25"/>
      <c r="V13" s="25"/>
      <c r="W13" s="7"/>
      <c r="X13" s="104"/>
      <c r="Y13" s="25"/>
      <c r="Z13" s="25"/>
      <c r="AA13" s="7"/>
      <c r="AB13" s="104"/>
      <c r="AC13" s="25"/>
      <c r="AD13" s="25"/>
      <c r="AE13" s="7"/>
      <c r="AF13" s="104"/>
      <c r="AG13" s="25"/>
      <c r="AH13" s="25"/>
      <c r="AI13" s="7"/>
      <c r="AJ13" s="104"/>
      <c r="AK13" s="25"/>
      <c r="AL13" s="25"/>
      <c r="AM13" s="7"/>
      <c r="AN13" s="104"/>
      <c r="AO13" s="25"/>
      <c r="AP13" s="25"/>
      <c r="AQ13" s="7"/>
      <c r="AR13" s="104"/>
      <c r="AS13" s="25"/>
      <c r="AT13" s="25"/>
      <c r="AU13" s="7"/>
      <c r="AV13" s="104"/>
      <c r="AW13" s="25"/>
      <c r="AX13" s="25"/>
      <c r="AY13" s="7"/>
      <c r="AZ13" s="104"/>
      <c r="BA13" s="25"/>
      <c r="BB13" s="25"/>
      <c r="BC13" s="7"/>
      <c r="BD13" s="104"/>
      <c r="BE13" s="25"/>
      <c r="BF13" s="25"/>
      <c r="BG13" s="7"/>
      <c r="BH13" s="104"/>
      <c r="BI13" s="25"/>
      <c r="BJ13" s="25"/>
      <c r="BK13" s="7"/>
      <c r="BL13" s="104"/>
      <c r="BM13" s="25"/>
      <c r="BN13" s="25"/>
      <c r="BO13" s="7"/>
      <c r="BP13" s="104"/>
      <c r="BQ13" s="25"/>
      <c r="BR13" s="25"/>
      <c r="BS13" s="7"/>
      <c r="BT13" s="104"/>
      <c r="BU13" s="25"/>
      <c r="BV13" s="25"/>
      <c r="BW13" s="7"/>
    </row>
    <row r="14" spans="1:75">
      <c r="A14" s="95">
        <v>8</v>
      </c>
      <c r="B14" s="53"/>
      <c r="C14" s="67" t="s">
        <v>708</v>
      </c>
      <c r="D14" s="252"/>
      <c r="E14" s="133" t="s">
        <v>729</v>
      </c>
      <c r="F14" s="253"/>
      <c r="G14" s="22"/>
      <c r="H14" s="254" t="s">
        <v>745</v>
      </c>
      <c r="I14" s="22"/>
      <c r="J14" s="59"/>
      <c r="K14" s="7"/>
      <c r="L14" s="11"/>
      <c r="M14" s="199"/>
      <c r="N14" s="12"/>
      <c r="O14" s="7"/>
      <c r="P14" s="104"/>
      <c r="Q14" s="25"/>
      <c r="R14" s="25"/>
      <c r="S14" s="7"/>
      <c r="T14" s="104"/>
      <c r="U14" s="25"/>
      <c r="V14" s="25"/>
      <c r="W14" s="7"/>
      <c r="X14" s="104"/>
      <c r="Y14" s="25"/>
      <c r="Z14" s="25"/>
      <c r="AA14" s="7"/>
      <c r="AB14" s="104"/>
      <c r="AC14" s="25"/>
      <c r="AD14" s="25"/>
      <c r="AE14" s="7"/>
      <c r="AF14" s="104"/>
      <c r="AG14" s="25"/>
      <c r="AH14" s="25"/>
      <c r="AI14" s="7"/>
      <c r="AJ14" s="104"/>
      <c r="AK14" s="25"/>
      <c r="AL14" s="25"/>
      <c r="AM14" s="7"/>
      <c r="AN14" s="104"/>
      <c r="AO14" s="25"/>
      <c r="AP14" s="25"/>
      <c r="AQ14" s="7"/>
      <c r="AR14" s="104"/>
      <c r="AS14" s="25"/>
      <c r="AT14" s="25"/>
      <c r="AU14" s="7"/>
      <c r="AV14" s="104"/>
      <c r="AW14" s="25"/>
      <c r="AX14" s="25"/>
      <c r="AY14" s="7"/>
      <c r="AZ14" s="104"/>
      <c r="BA14" s="25"/>
      <c r="BB14" s="25"/>
      <c r="BC14" s="7"/>
      <c r="BD14" s="104"/>
      <c r="BE14" s="25"/>
      <c r="BF14" s="25"/>
      <c r="BG14" s="7"/>
      <c r="BH14" s="104"/>
      <c r="BI14" s="25"/>
      <c r="BJ14" s="25"/>
      <c r="BK14" s="7"/>
      <c r="BL14" s="104"/>
      <c r="BM14" s="25"/>
      <c r="BN14" s="25"/>
      <c r="BO14" s="7"/>
      <c r="BP14" s="104"/>
      <c r="BQ14" s="25"/>
      <c r="BR14" s="25"/>
      <c r="BS14" s="7"/>
      <c r="BT14" s="104"/>
      <c r="BU14" s="25"/>
      <c r="BV14" s="25"/>
      <c r="BW14" s="7"/>
    </row>
    <row r="15" spans="1:75">
      <c r="A15" s="95">
        <v>9</v>
      </c>
      <c r="B15" s="53"/>
      <c r="C15" s="67" t="s">
        <v>709</v>
      </c>
      <c r="D15" s="252"/>
      <c r="E15" s="133" t="s">
        <v>730</v>
      </c>
      <c r="F15" s="253"/>
      <c r="G15" s="22"/>
      <c r="H15" s="254" t="s">
        <v>745</v>
      </c>
      <c r="I15" s="22"/>
      <c r="J15" s="59"/>
      <c r="K15" s="7"/>
      <c r="L15" s="11"/>
      <c r="M15" s="199"/>
      <c r="N15" s="12"/>
      <c r="O15" s="7"/>
      <c r="P15" s="104"/>
      <c r="Q15" s="25"/>
      <c r="R15" s="25"/>
      <c r="S15" s="7"/>
      <c r="T15" s="104"/>
      <c r="U15" s="25"/>
      <c r="V15" s="25"/>
      <c r="W15" s="7"/>
      <c r="X15" s="104"/>
      <c r="Y15" s="25"/>
      <c r="Z15" s="25"/>
      <c r="AA15" s="7"/>
      <c r="AB15" s="104"/>
      <c r="AC15" s="25"/>
      <c r="AD15" s="25"/>
      <c r="AE15" s="7"/>
      <c r="AF15" s="104"/>
      <c r="AG15" s="25"/>
      <c r="AH15" s="25"/>
      <c r="AI15" s="7"/>
      <c r="AJ15" s="104"/>
      <c r="AK15" s="25"/>
      <c r="AL15" s="25"/>
      <c r="AM15" s="7"/>
      <c r="AN15" s="104"/>
      <c r="AO15" s="25"/>
      <c r="AP15" s="25"/>
      <c r="AQ15" s="7"/>
      <c r="AR15" s="104"/>
      <c r="AS15" s="25"/>
      <c r="AT15" s="25"/>
      <c r="AU15" s="7"/>
      <c r="AV15" s="104"/>
      <c r="AW15" s="25"/>
      <c r="AX15" s="25"/>
      <c r="AY15" s="7"/>
      <c r="AZ15" s="104"/>
      <c r="BA15" s="25"/>
      <c r="BB15" s="25"/>
      <c r="BC15" s="7"/>
      <c r="BD15" s="104"/>
      <c r="BE15" s="25"/>
      <c r="BF15" s="25"/>
      <c r="BG15" s="7"/>
      <c r="BH15" s="104"/>
      <c r="BI15" s="25"/>
      <c r="BJ15" s="25"/>
      <c r="BK15" s="7"/>
      <c r="BL15" s="104"/>
      <c r="BM15" s="25"/>
      <c r="BN15" s="25"/>
      <c r="BO15" s="7"/>
      <c r="BP15" s="104"/>
      <c r="BQ15" s="25"/>
      <c r="BR15" s="25"/>
      <c r="BS15" s="7"/>
      <c r="BT15" s="104"/>
      <c r="BU15" s="25"/>
      <c r="BV15" s="25"/>
      <c r="BW15" s="7"/>
    </row>
    <row r="16" spans="1:75">
      <c r="A16" s="95">
        <v>10</v>
      </c>
      <c r="B16" s="53"/>
      <c r="C16" s="67" t="s">
        <v>710</v>
      </c>
      <c r="D16" s="252"/>
      <c r="E16" s="133" t="s">
        <v>731</v>
      </c>
      <c r="F16" s="253"/>
      <c r="G16" s="22"/>
      <c r="H16" s="254" t="s">
        <v>745</v>
      </c>
      <c r="I16" s="22"/>
      <c r="J16" s="59"/>
      <c r="K16" s="7"/>
      <c r="L16" s="11"/>
      <c r="M16" s="199"/>
      <c r="N16" s="12"/>
      <c r="O16" s="7"/>
      <c r="P16" s="104"/>
      <c r="Q16" s="25"/>
      <c r="R16" s="25"/>
      <c r="S16" s="7"/>
      <c r="T16" s="104"/>
      <c r="U16" s="25"/>
      <c r="V16" s="25"/>
      <c r="W16" s="7"/>
      <c r="X16" s="104"/>
      <c r="Y16" s="25"/>
      <c r="Z16" s="25"/>
      <c r="AA16" s="7"/>
      <c r="AB16" s="104"/>
      <c r="AC16" s="25"/>
      <c r="AD16" s="25"/>
      <c r="AE16" s="7"/>
      <c r="AF16" s="104"/>
      <c r="AG16" s="25"/>
      <c r="AH16" s="25"/>
      <c r="AI16" s="7"/>
      <c r="AJ16" s="104"/>
      <c r="AK16" s="25"/>
      <c r="AL16" s="25"/>
      <c r="AM16" s="7"/>
      <c r="AN16" s="104"/>
      <c r="AO16" s="25"/>
      <c r="AP16" s="25"/>
      <c r="AQ16" s="7"/>
      <c r="AR16" s="104"/>
      <c r="AS16" s="25"/>
      <c r="AT16" s="25"/>
      <c r="AU16" s="7"/>
      <c r="AV16" s="104"/>
      <c r="AW16" s="25"/>
      <c r="AX16" s="25"/>
      <c r="AY16" s="7"/>
      <c r="AZ16" s="104"/>
      <c r="BA16" s="25"/>
      <c r="BB16" s="25"/>
      <c r="BC16" s="7"/>
      <c r="BD16" s="104"/>
      <c r="BE16" s="25"/>
      <c r="BF16" s="25"/>
      <c r="BG16" s="7"/>
      <c r="BH16" s="104"/>
      <c r="BI16" s="25"/>
      <c r="BJ16" s="25"/>
      <c r="BK16" s="7"/>
      <c r="BL16" s="104"/>
      <c r="BM16" s="25"/>
      <c r="BN16" s="25"/>
      <c r="BO16" s="7"/>
      <c r="BP16" s="104"/>
      <c r="BQ16" s="25"/>
      <c r="BR16" s="25"/>
      <c r="BS16" s="7"/>
      <c r="BT16" s="104"/>
      <c r="BU16" s="25"/>
      <c r="BV16" s="25"/>
      <c r="BW16" s="7"/>
    </row>
    <row r="17" spans="1:75">
      <c r="A17" s="95">
        <v>11</v>
      </c>
      <c r="B17" s="53"/>
      <c r="C17" s="67" t="s">
        <v>711</v>
      </c>
      <c r="D17" s="252"/>
      <c r="E17" s="133" t="s">
        <v>732</v>
      </c>
      <c r="F17" s="253"/>
      <c r="G17" s="22"/>
      <c r="H17" s="254" t="s">
        <v>742</v>
      </c>
      <c r="I17" s="22"/>
      <c r="J17" s="59"/>
      <c r="K17" s="7"/>
      <c r="L17" s="11"/>
      <c r="M17" s="199"/>
      <c r="N17" s="12"/>
      <c r="O17" s="7"/>
      <c r="P17" s="104"/>
      <c r="Q17" s="25"/>
      <c r="R17" s="25"/>
      <c r="S17" s="7"/>
      <c r="T17" s="104"/>
      <c r="U17" s="25"/>
      <c r="V17" s="25"/>
      <c r="W17" s="7"/>
      <c r="X17" s="104"/>
      <c r="Y17" s="25"/>
      <c r="Z17" s="25"/>
      <c r="AA17" s="7"/>
      <c r="AB17" s="104"/>
      <c r="AC17" s="25"/>
      <c r="AD17" s="25"/>
      <c r="AE17" s="7"/>
      <c r="AF17" s="104"/>
      <c r="AG17" s="25"/>
      <c r="AH17" s="25"/>
      <c r="AI17" s="7"/>
      <c r="AJ17" s="104"/>
      <c r="AK17" s="25"/>
      <c r="AL17" s="25"/>
      <c r="AM17" s="7"/>
      <c r="AN17" s="104"/>
      <c r="AO17" s="25"/>
      <c r="AP17" s="25"/>
      <c r="AQ17" s="7"/>
      <c r="AR17" s="104"/>
      <c r="AS17" s="25"/>
      <c r="AT17" s="25"/>
      <c r="AU17" s="7"/>
      <c r="AV17" s="104"/>
      <c r="AW17" s="25"/>
      <c r="AX17" s="25"/>
      <c r="AY17" s="7"/>
      <c r="AZ17" s="104"/>
      <c r="BA17" s="25"/>
      <c r="BB17" s="25"/>
      <c r="BC17" s="7"/>
      <c r="BD17" s="104"/>
      <c r="BE17" s="25"/>
      <c r="BF17" s="25"/>
      <c r="BG17" s="7"/>
      <c r="BH17" s="104"/>
      <c r="BI17" s="25"/>
      <c r="BJ17" s="25"/>
      <c r="BK17" s="7"/>
      <c r="BL17" s="104"/>
      <c r="BM17" s="25"/>
      <c r="BN17" s="25"/>
      <c r="BO17" s="7"/>
      <c r="BP17" s="104"/>
      <c r="BQ17" s="25"/>
      <c r="BR17" s="25"/>
      <c r="BS17" s="7"/>
      <c r="BT17" s="104"/>
      <c r="BU17" s="25"/>
      <c r="BV17" s="25"/>
      <c r="BW17" s="7"/>
    </row>
    <row r="18" spans="1:75">
      <c r="A18" s="95">
        <v>12</v>
      </c>
      <c r="B18" s="53"/>
      <c r="C18" s="67" t="s">
        <v>712</v>
      </c>
      <c r="D18" s="252"/>
      <c r="E18" s="133" t="s">
        <v>725</v>
      </c>
      <c r="F18" s="253"/>
      <c r="G18" s="22"/>
      <c r="H18" s="254" t="s">
        <v>742</v>
      </c>
      <c r="I18" s="22"/>
      <c r="J18" s="59"/>
      <c r="K18" s="7"/>
      <c r="L18" s="11"/>
      <c r="M18" s="199"/>
      <c r="N18" s="12"/>
      <c r="O18" s="7"/>
      <c r="P18" s="104"/>
      <c r="Q18" s="25"/>
      <c r="R18" s="25"/>
      <c r="S18" s="7"/>
      <c r="T18" s="104"/>
      <c r="U18" s="25"/>
      <c r="V18" s="25"/>
      <c r="W18" s="7"/>
      <c r="X18" s="104"/>
      <c r="Y18" s="25"/>
      <c r="Z18" s="25"/>
      <c r="AA18" s="7"/>
      <c r="AB18" s="104"/>
      <c r="AC18" s="25"/>
      <c r="AD18" s="25"/>
      <c r="AE18" s="7"/>
      <c r="AF18" s="104"/>
      <c r="AG18" s="25"/>
      <c r="AH18" s="25"/>
      <c r="AI18" s="7"/>
      <c r="AJ18" s="104"/>
      <c r="AK18" s="25"/>
      <c r="AL18" s="25"/>
      <c r="AM18" s="7"/>
      <c r="AN18" s="104"/>
      <c r="AO18" s="25"/>
      <c r="AP18" s="25"/>
      <c r="AQ18" s="7"/>
      <c r="AR18" s="104"/>
      <c r="AS18" s="25"/>
      <c r="AT18" s="25"/>
      <c r="AU18" s="7"/>
      <c r="AV18" s="104"/>
      <c r="AW18" s="25"/>
      <c r="AX18" s="25"/>
      <c r="AY18" s="7"/>
      <c r="AZ18" s="104"/>
      <c r="BA18" s="25"/>
      <c r="BB18" s="25"/>
      <c r="BC18" s="7"/>
      <c r="BD18" s="104"/>
      <c r="BE18" s="25"/>
      <c r="BF18" s="25"/>
      <c r="BG18" s="7"/>
      <c r="BH18" s="104"/>
      <c r="BI18" s="25"/>
      <c r="BJ18" s="25"/>
      <c r="BK18" s="7"/>
      <c r="BL18" s="104"/>
      <c r="BM18" s="25"/>
      <c r="BN18" s="25"/>
      <c r="BO18" s="7"/>
      <c r="BP18" s="104"/>
      <c r="BQ18" s="25"/>
      <c r="BR18" s="25"/>
      <c r="BS18" s="7"/>
      <c r="BT18" s="104"/>
      <c r="BU18" s="25"/>
      <c r="BV18" s="25"/>
      <c r="BW18" s="7"/>
    </row>
    <row r="19" spans="1:75">
      <c r="A19" s="95">
        <v>13</v>
      </c>
      <c r="B19" s="53"/>
      <c r="C19" s="67" t="s">
        <v>713</v>
      </c>
      <c r="D19" s="252"/>
      <c r="E19" s="133" t="s">
        <v>733</v>
      </c>
      <c r="F19" s="253"/>
      <c r="G19" s="22"/>
      <c r="H19" s="254" t="s">
        <v>742</v>
      </c>
      <c r="I19" s="22"/>
      <c r="J19" s="59"/>
      <c r="K19" s="7"/>
      <c r="L19" s="11"/>
      <c r="M19" s="199"/>
      <c r="N19" s="12"/>
      <c r="O19" s="7"/>
      <c r="P19" s="104"/>
      <c r="Q19" s="25"/>
      <c r="R19" s="25"/>
      <c r="S19" s="7"/>
      <c r="T19" s="104"/>
      <c r="U19" s="25"/>
      <c r="V19" s="25"/>
      <c r="W19" s="7"/>
      <c r="X19" s="104"/>
      <c r="Y19" s="25"/>
      <c r="Z19" s="25"/>
      <c r="AA19" s="7"/>
      <c r="AB19" s="104"/>
      <c r="AC19" s="25"/>
      <c r="AD19" s="25"/>
      <c r="AE19" s="7"/>
      <c r="AF19" s="104"/>
      <c r="AG19" s="25"/>
      <c r="AH19" s="25"/>
      <c r="AI19" s="7"/>
      <c r="AJ19" s="104"/>
      <c r="AK19" s="25"/>
      <c r="AL19" s="25"/>
      <c r="AM19" s="7"/>
      <c r="AN19" s="104"/>
      <c r="AO19" s="25"/>
      <c r="AP19" s="25"/>
      <c r="AQ19" s="7"/>
      <c r="AR19" s="104"/>
      <c r="AS19" s="25"/>
      <c r="AT19" s="25"/>
      <c r="AU19" s="7"/>
      <c r="AV19" s="104"/>
      <c r="AW19" s="25"/>
      <c r="AX19" s="25"/>
      <c r="AY19" s="7"/>
      <c r="AZ19" s="104"/>
      <c r="BA19" s="25"/>
      <c r="BB19" s="25"/>
      <c r="BC19" s="7"/>
      <c r="BD19" s="104"/>
      <c r="BE19" s="25"/>
      <c r="BF19" s="25"/>
      <c r="BG19" s="7"/>
      <c r="BH19" s="104"/>
      <c r="BI19" s="25"/>
      <c r="BJ19" s="25"/>
      <c r="BK19" s="7"/>
      <c r="BL19" s="104"/>
      <c r="BM19" s="25"/>
      <c r="BN19" s="25"/>
      <c r="BO19" s="7"/>
      <c r="BP19" s="104"/>
      <c r="BQ19" s="25"/>
      <c r="BR19" s="25"/>
      <c r="BS19" s="7"/>
      <c r="BT19" s="104"/>
      <c r="BU19" s="25"/>
      <c r="BV19" s="25"/>
      <c r="BW19" s="7"/>
    </row>
    <row r="20" spans="1:75">
      <c r="A20" s="95">
        <v>14</v>
      </c>
      <c r="B20" s="53"/>
      <c r="C20" s="67" t="s">
        <v>714</v>
      </c>
      <c r="D20" s="252"/>
      <c r="E20" s="133" t="s">
        <v>734</v>
      </c>
      <c r="F20" s="253"/>
      <c r="G20" s="22"/>
      <c r="H20" s="254" t="s">
        <v>746</v>
      </c>
      <c r="I20" s="22"/>
      <c r="J20" s="59"/>
      <c r="K20" s="7"/>
      <c r="L20" s="11"/>
      <c r="M20" s="199"/>
      <c r="N20" s="12"/>
      <c r="O20" s="7"/>
      <c r="P20" s="104"/>
      <c r="Q20" s="25"/>
      <c r="R20" s="25"/>
      <c r="S20" s="7"/>
      <c r="T20" s="104"/>
      <c r="U20" s="25"/>
      <c r="V20" s="25"/>
      <c r="W20" s="7"/>
      <c r="X20" s="104"/>
      <c r="Y20" s="25"/>
      <c r="Z20" s="25"/>
      <c r="AA20" s="7"/>
      <c r="AB20" s="104"/>
      <c r="AC20" s="25"/>
      <c r="AD20" s="25"/>
      <c r="AE20" s="7"/>
      <c r="AF20" s="104"/>
      <c r="AG20" s="25"/>
      <c r="AH20" s="25"/>
      <c r="AI20" s="7"/>
      <c r="AJ20" s="104"/>
      <c r="AK20" s="25"/>
      <c r="AL20" s="25"/>
      <c r="AM20" s="7"/>
      <c r="AN20" s="104"/>
      <c r="AO20" s="25"/>
      <c r="AP20" s="25"/>
      <c r="AQ20" s="7"/>
      <c r="AR20" s="104"/>
      <c r="AS20" s="25"/>
      <c r="AT20" s="25"/>
      <c r="AU20" s="7"/>
      <c r="AV20" s="104"/>
      <c r="AW20" s="25"/>
      <c r="AX20" s="25"/>
      <c r="AY20" s="7"/>
      <c r="AZ20" s="104"/>
      <c r="BA20" s="25"/>
      <c r="BB20" s="25"/>
      <c r="BC20" s="7"/>
      <c r="BD20" s="104"/>
      <c r="BE20" s="25"/>
      <c r="BF20" s="25"/>
      <c r="BG20" s="7"/>
      <c r="BH20" s="104"/>
      <c r="BI20" s="25"/>
      <c r="BJ20" s="25"/>
      <c r="BK20" s="7"/>
      <c r="BL20" s="104"/>
      <c r="BM20" s="25"/>
      <c r="BN20" s="25"/>
      <c r="BO20" s="7"/>
      <c r="BP20" s="104"/>
      <c r="BQ20" s="25"/>
      <c r="BR20" s="25"/>
      <c r="BS20" s="7"/>
      <c r="BT20" s="104"/>
      <c r="BU20" s="25"/>
      <c r="BV20" s="25"/>
      <c r="BW20" s="7"/>
    </row>
    <row r="21" spans="1:75">
      <c r="A21" s="95">
        <v>15</v>
      </c>
      <c r="B21" s="53"/>
      <c r="C21" s="67" t="s">
        <v>715</v>
      </c>
      <c r="D21" s="252"/>
      <c r="E21" s="133" t="s">
        <v>732</v>
      </c>
      <c r="F21" s="253"/>
      <c r="G21" s="22"/>
      <c r="H21" s="254" t="s">
        <v>746</v>
      </c>
      <c r="I21" s="22"/>
      <c r="J21" s="59"/>
      <c r="K21" s="7"/>
      <c r="L21" s="11"/>
      <c r="M21" s="199"/>
      <c r="N21" s="12"/>
      <c r="O21" s="7"/>
      <c r="P21" s="104"/>
      <c r="Q21" s="25"/>
      <c r="R21" s="25"/>
      <c r="S21" s="7"/>
      <c r="T21" s="104"/>
      <c r="U21" s="25"/>
      <c r="V21" s="25"/>
      <c r="W21" s="7"/>
      <c r="X21" s="104"/>
      <c r="Y21" s="25"/>
      <c r="Z21" s="25"/>
      <c r="AA21" s="7"/>
      <c r="AB21" s="104"/>
      <c r="AC21" s="25"/>
      <c r="AD21" s="25"/>
      <c r="AE21" s="7"/>
      <c r="AF21" s="104"/>
      <c r="AG21" s="25"/>
      <c r="AH21" s="25"/>
      <c r="AI21" s="7"/>
      <c r="AJ21" s="104"/>
      <c r="AK21" s="25"/>
      <c r="AL21" s="25"/>
      <c r="AM21" s="7"/>
      <c r="AN21" s="104"/>
      <c r="AO21" s="25"/>
      <c r="AP21" s="25"/>
      <c r="AQ21" s="7"/>
      <c r="AR21" s="104"/>
      <c r="AS21" s="25"/>
      <c r="AT21" s="25"/>
      <c r="AU21" s="7"/>
      <c r="AV21" s="104"/>
      <c r="AW21" s="25"/>
      <c r="AX21" s="25"/>
      <c r="AY21" s="7"/>
      <c r="AZ21" s="104"/>
      <c r="BA21" s="25"/>
      <c r="BB21" s="25"/>
      <c r="BC21" s="7"/>
      <c r="BD21" s="104"/>
      <c r="BE21" s="25"/>
      <c r="BF21" s="25"/>
      <c r="BG21" s="7"/>
      <c r="BH21" s="104"/>
      <c r="BI21" s="25"/>
      <c r="BJ21" s="25"/>
      <c r="BK21" s="7"/>
      <c r="BL21" s="104"/>
      <c r="BM21" s="25"/>
      <c r="BN21" s="25"/>
      <c r="BO21" s="7"/>
      <c r="BP21" s="104"/>
      <c r="BQ21" s="25"/>
      <c r="BR21" s="25"/>
      <c r="BS21" s="7"/>
      <c r="BT21" s="104"/>
      <c r="BU21" s="25"/>
      <c r="BV21" s="25"/>
      <c r="BW21" s="7"/>
    </row>
    <row r="22" spans="1:75">
      <c r="A22" s="95">
        <v>16</v>
      </c>
      <c r="B22" s="53"/>
      <c r="C22" s="67" t="s">
        <v>716</v>
      </c>
      <c r="D22" s="252"/>
      <c r="E22" s="133" t="s">
        <v>735</v>
      </c>
      <c r="F22" s="253"/>
      <c r="G22" s="22"/>
      <c r="H22" s="254" t="s">
        <v>747</v>
      </c>
      <c r="I22" s="22"/>
      <c r="J22" s="59"/>
      <c r="K22" s="7"/>
      <c r="L22" s="11"/>
      <c r="M22" s="199"/>
      <c r="N22" s="12"/>
      <c r="O22" s="7"/>
      <c r="P22" s="104"/>
      <c r="Q22" s="25"/>
      <c r="R22" s="25"/>
      <c r="S22" s="7"/>
      <c r="T22" s="104"/>
      <c r="U22" s="25"/>
      <c r="V22" s="25"/>
      <c r="W22" s="7"/>
      <c r="X22" s="104"/>
      <c r="Y22" s="25"/>
      <c r="Z22" s="25"/>
      <c r="AA22" s="7"/>
      <c r="AB22" s="104"/>
      <c r="AC22" s="25"/>
      <c r="AD22" s="25"/>
      <c r="AE22" s="7"/>
      <c r="AF22" s="104"/>
      <c r="AG22" s="25"/>
      <c r="AH22" s="25"/>
      <c r="AI22" s="7"/>
      <c r="AJ22" s="104"/>
      <c r="AK22" s="25"/>
      <c r="AL22" s="25"/>
      <c r="AM22" s="7"/>
      <c r="AN22" s="104"/>
      <c r="AO22" s="25"/>
      <c r="AP22" s="25"/>
      <c r="AQ22" s="7"/>
      <c r="AR22" s="104"/>
      <c r="AS22" s="25"/>
      <c r="AT22" s="25"/>
      <c r="AU22" s="7"/>
      <c r="AV22" s="104"/>
      <c r="AW22" s="25"/>
      <c r="AX22" s="25"/>
      <c r="AY22" s="7"/>
      <c r="AZ22" s="104"/>
      <c r="BA22" s="25"/>
      <c r="BB22" s="25"/>
      <c r="BC22" s="7"/>
      <c r="BD22" s="104"/>
      <c r="BE22" s="25"/>
      <c r="BF22" s="25"/>
      <c r="BG22" s="7"/>
      <c r="BH22" s="104"/>
      <c r="BI22" s="25"/>
      <c r="BJ22" s="25"/>
      <c r="BK22" s="7"/>
      <c r="BL22" s="104"/>
      <c r="BM22" s="25"/>
      <c r="BN22" s="25"/>
      <c r="BO22" s="7"/>
      <c r="BP22" s="104"/>
      <c r="BQ22" s="25"/>
      <c r="BR22" s="25"/>
      <c r="BS22" s="7"/>
      <c r="BT22" s="104"/>
      <c r="BU22" s="25"/>
      <c r="BV22" s="25"/>
      <c r="BW22" s="7"/>
    </row>
    <row r="23" spans="1:75">
      <c r="A23" s="95">
        <v>17</v>
      </c>
      <c r="B23" s="53"/>
      <c r="C23" s="67" t="s">
        <v>717</v>
      </c>
      <c r="D23" s="252"/>
      <c r="E23" s="133" t="s">
        <v>736</v>
      </c>
      <c r="F23" s="253"/>
      <c r="G23" s="22"/>
      <c r="H23" s="254" t="s">
        <v>748</v>
      </c>
      <c r="I23" s="22"/>
      <c r="J23" s="59"/>
      <c r="K23" s="7"/>
      <c r="L23" s="11"/>
      <c r="M23" s="199"/>
      <c r="N23" s="12"/>
      <c r="O23" s="7"/>
      <c r="P23" s="104"/>
      <c r="Q23" s="25"/>
      <c r="R23" s="25"/>
      <c r="S23" s="7"/>
      <c r="T23" s="104"/>
      <c r="U23" s="25"/>
      <c r="V23" s="25"/>
      <c r="W23" s="7"/>
      <c r="X23" s="104"/>
      <c r="Y23" s="25"/>
      <c r="Z23" s="25"/>
      <c r="AA23" s="7"/>
      <c r="AB23" s="104"/>
      <c r="AC23" s="25"/>
      <c r="AD23" s="25"/>
      <c r="AE23" s="7"/>
      <c r="AF23" s="104"/>
      <c r="AG23" s="25"/>
      <c r="AH23" s="25"/>
      <c r="AI23" s="7"/>
      <c r="AJ23" s="104"/>
      <c r="AK23" s="25"/>
      <c r="AL23" s="25"/>
      <c r="AM23" s="7"/>
      <c r="AN23" s="104"/>
      <c r="AO23" s="25"/>
      <c r="AP23" s="25"/>
      <c r="AQ23" s="7"/>
      <c r="AR23" s="104"/>
      <c r="AS23" s="25"/>
      <c r="AT23" s="25"/>
      <c r="AU23" s="7"/>
      <c r="AV23" s="104"/>
      <c r="AW23" s="25"/>
      <c r="AX23" s="25"/>
      <c r="AY23" s="7"/>
      <c r="AZ23" s="104"/>
      <c r="BA23" s="25"/>
      <c r="BB23" s="25"/>
      <c r="BC23" s="7"/>
      <c r="BD23" s="104"/>
      <c r="BE23" s="25"/>
      <c r="BF23" s="25"/>
      <c r="BG23" s="7"/>
      <c r="BH23" s="104"/>
      <c r="BI23" s="25"/>
      <c r="BJ23" s="25"/>
      <c r="BK23" s="7"/>
      <c r="BL23" s="104"/>
      <c r="BM23" s="25"/>
      <c r="BN23" s="25"/>
      <c r="BO23" s="7"/>
      <c r="BP23" s="104"/>
      <c r="BQ23" s="25"/>
      <c r="BR23" s="25"/>
      <c r="BS23" s="7"/>
      <c r="BT23" s="104"/>
      <c r="BU23" s="25"/>
      <c r="BV23" s="25"/>
      <c r="BW23" s="7"/>
    </row>
    <row r="24" spans="1:75">
      <c r="A24" s="95">
        <v>18</v>
      </c>
      <c r="B24" s="53"/>
      <c r="C24" s="67" t="s">
        <v>718</v>
      </c>
      <c r="D24" s="252"/>
      <c r="E24" s="133" t="s">
        <v>737</v>
      </c>
      <c r="F24" s="253"/>
      <c r="G24" s="22"/>
      <c r="H24" s="254" t="s">
        <v>743</v>
      </c>
      <c r="I24" s="22"/>
      <c r="J24" s="59"/>
      <c r="K24" s="7"/>
      <c r="L24" s="11"/>
      <c r="M24" s="199"/>
      <c r="N24" s="12"/>
      <c r="O24" s="7"/>
      <c r="P24" s="104"/>
      <c r="Q24" s="25"/>
      <c r="R24" s="25"/>
      <c r="S24" s="7"/>
      <c r="T24" s="104"/>
      <c r="U24" s="25"/>
      <c r="V24" s="25"/>
      <c r="W24" s="7"/>
      <c r="X24" s="104"/>
      <c r="Y24" s="25"/>
      <c r="Z24" s="25"/>
      <c r="AA24" s="7"/>
      <c r="AB24" s="104"/>
      <c r="AC24" s="25"/>
      <c r="AD24" s="25"/>
      <c r="AE24" s="7"/>
      <c r="AF24" s="104"/>
      <c r="AG24" s="25"/>
      <c r="AH24" s="25"/>
      <c r="AI24" s="7"/>
      <c r="AJ24" s="104"/>
      <c r="AK24" s="25"/>
      <c r="AL24" s="25"/>
      <c r="AM24" s="7"/>
      <c r="AN24" s="104"/>
      <c r="AO24" s="25"/>
      <c r="AP24" s="25"/>
      <c r="AQ24" s="7"/>
      <c r="AR24" s="104"/>
      <c r="AS24" s="25"/>
      <c r="AT24" s="25"/>
      <c r="AU24" s="7"/>
      <c r="AV24" s="104"/>
      <c r="AW24" s="25"/>
      <c r="AX24" s="25"/>
      <c r="AY24" s="7"/>
      <c r="AZ24" s="104"/>
      <c r="BA24" s="25"/>
      <c r="BB24" s="25"/>
      <c r="BC24" s="7"/>
      <c r="BD24" s="104"/>
      <c r="BE24" s="25"/>
      <c r="BF24" s="25"/>
      <c r="BG24" s="7"/>
      <c r="BH24" s="104"/>
      <c r="BI24" s="25"/>
      <c r="BJ24" s="25"/>
      <c r="BK24" s="7"/>
      <c r="BL24" s="104"/>
      <c r="BM24" s="25"/>
      <c r="BN24" s="25"/>
      <c r="BO24" s="7"/>
      <c r="BP24" s="104"/>
      <c r="BQ24" s="25"/>
      <c r="BR24" s="25"/>
      <c r="BS24" s="7"/>
      <c r="BT24" s="104"/>
      <c r="BU24" s="25"/>
      <c r="BV24" s="25"/>
      <c r="BW24" s="7"/>
    </row>
    <row r="25" spans="1:75">
      <c r="A25" s="95">
        <v>19</v>
      </c>
      <c r="B25" s="53"/>
      <c r="C25" s="67" t="s">
        <v>719</v>
      </c>
      <c r="D25" s="252"/>
      <c r="E25" s="133" t="s">
        <v>725</v>
      </c>
      <c r="F25" s="253"/>
      <c r="G25" s="22"/>
      <c r="H25" s="254" t="s">
        <v>742</v>
      </c>
      <c r="I25" s="22"/>
      <c r="J25" s="59"/>
      <c r="K25" s="7"/>
      <c r="L25" s="11"/>
      <c r="M25" s="199"/>
      <c r="N25" s="12"/>
      <c r="O25" s="7"/>
      <c r="P25" s="104"/>
      <c r="Q25" s="25"/>
      <c r="R25" s="25"/>
      <c r="S25" s="7"/>
      <c r="T25" s="104"/>
      <c r="U25" s="25"/>
      <c r="V25" s="25"/>
      <c r="W25" s="7"/>
      <c r="X25" s="104"/>
      <c r="Y25" s="25"/>
      <c r="Z25" s="25"/>
      <c r="AA25" s="7"/>
      <c r="AB25" s="104"/>
      <c r="AC25" s="25"/>
      <c r="AD25" s="25"/>
      <c r="AE25" s="7"/>
      <c r="AF25" s="104"/>
      <c r="AG25" s="25"/>
      <c r="AH25" s="25"/>
      <c r="AI25" s="7"/>
      <c r="AJ25" s="104"/>
      <c r="AK25" s="25"/>
      <c r="AL25" s="25"/>
      <c r="AM25" s="7"/>
      <c r="AN25" s="104"/>
      <c r="AO25" s="25"/>
      <c r="AP25" s="25"/>
      <c r="AQ25" s="7"/>
      <c r="AR25" s="104"/>
      <c r="AS25" s="25"/>
      <c r="AT25" s="25"/>
      <c r="AU25" s="7"/>
      <c r="AV25" s="104"/>
      <c r="AW25" s="25"/>
      <c r="AX25" s="25"/>
      <c r="AY25" s="7"/>
      <c r="AZ25" s="104"/>
      <c r="BA25" s="25"/>
      <c r="BB25" s="25"/>
      <c r="BC25" s="7"/>
      <c r="BD25" s="104"/>
      <c r="BE25" s="25"/>
      <c r="BF25" s="25"/>
      <c r="BG25" s="7"/>
      <c r="BH25" s="104"/>
      <c r="BI25" s="25"/>
      <c r="BJ25" s="25"/>
      <c r="BK25" s="7"/>
      <c r="BL25" s="104"/>
      <c r="BM25" s="25"/>
      <c r="BN25" s="25"/>
      <c r="BO25" s="7"/>
      <c r="BP25" s="104"/>
      <c r="BQ25" s="25"/>
      <c r="BR25" s="25"/>
      <c r="BS25" s="7"/>
      <c r="BT25" s="104"/>
      <c r="BU25" s="25"/>
      <c r="BV25" s="25"/>
      <c r="BW25" s="7"/>
    </row>
    <row r="26" spans="1:75">
      <c r="A26" s="95">
        <v>20</v>
      </c>
      <c r="B26" s="53"/>
      <c r="C26" s="67" t="s">
        <v>720</v>
      </c>
      <c r="D26" s="124"/>
      <c r="E26" s="133" t="s">
        <v>738</v>
      </c>
      <c r="F26" s="253"/>
      <c r="G26" s="22"/>
      <c r="H26" s="254" t="s">
        <v>749</v>
      </c>
      <c r="I26" s="22"/>
      <c r="J26" s="59"/>
      <c r="K26" s="7"/>
      <c r="L26" s="11"/>
      <c r="M26" s="199"/>
      <c r="N26" s="12"/>
      <c r="O26" s="7"/>
      <c r="P26" s="104"/>
      <c r="Q26" s="25"/>
      <c r="R26" s="25"/>
      <c r="S26" s="7"/>
      <c r="T26" s="104"/>
      <c r="U26" s="25"/>
      <c r="V26" s="25"/>
      <c r="W26" s="7"/>
      <c r="X26" s="104"/>
      <c r="Y26" s="25"/>
      <c r="Z26" s="25"/>
      <c r="AA26" s="7"/>
      <c r="AB26" s="104"/>
      <c r="AC26" s="25"/>
      <c r="AD26" s="25"/>
      <c r="AE26" s="7"/>
      <c r="AF26" s="104"/>
      <c r="AG26" s="25"/>
      <c r="AH26" s="25"/>
      <c r="AI26" s="7"/>
      <c r="AJ26" s="104"/>
      <c r="AK26" s="25"/>
      <c r="AL26" s="25"/>
      <c r="AM26" s="7"/>
      <c r="AN26" s="104"/>
      <c r="AO26" s="25"/>
      <c r="AP26" s="25"/>
      <c r="AQ26" s="7"/>
      <c r="AR26" s="104"/>
      <c r="AS26" s="25"/>
      <c r="AT26" s="25"/>
      <c r="AU26" s="7"/>
      <c r="AV26" s="104"/>
      <c r="AW26" s="25"/>
      <c r="AX26" s="25"/>
      <c r="AY26" s="7"/>
      <c r="AZ26" s="104"/>
      <c r="BA26" s="25"/>
      <c r="BB26" s="25"/>
      <c r="BC26" s="7"/>
      <c r="BD26" s="104"/>
      <c r="BE26" s="25"/>
      <c r="BF26" s="25"/>
      <c r="BG26" s="7"/>
      <c r="BH26" s="104"/>
      <c r="BI26" s="25"/>
      <c r="BJ26" s="25"/>
      <c r="BK26" s="7"/>
      <c r="BL26" s="104"/>
      <c r="BM26" s="25"/>
      <c r="BN26" s="25"/>
      <c r="BO26" s="7"/>
      <c r="BP26" s="104"/>
      <c r="BQ26" s="25"/>
      <c r="BR26" s="25"/>
      <c r="BS26" s="7"/>
      <c r="BT26" s="104"/>
      <c r="BU26" s="25"/>
      <c r="BV26" s="25"/>
      <c r="BW26" s="7"/>
    </row>
    <row r="27" spans="1:75">
      <c r="A27" s="95">
        <v>21</v>
      </c>
      <c r="B27" s="53"/>
      <c r="C27" s="67" t="s">
        <v>721</v>
      </c>
      <c r="D27" s="252"/>
      <c r="E27" s="133" t="s">
        <v>739</v>
      </c>
      <c r="F27" s="253"/>
      <c r="G27" s="22"/>
      <c r="H27" s="254" t="s">
        <v>750</v>
      </c>
      <c r="I27" s="22"/>
      <c r="J27" s="59"/>
      <c r="K27" s="7"/>
      <c r="L27" s="11"/>
      <c r="M27" s="199"/>
      <c r="N27" s="12"/>
      <c r="O27" s="7"/>
      <c r="P27" s="104"/>
      <c r="Q27" s="25"/>
      <c r="R27" s="25"/>
      <c r="S27" s="7"/>
      <c r="T27" s="104"/>
      <c r="U27" s="25"/>
      <c r="V27" s="25"/>
      <c r="W27" s="7"/>
      <c r="X27" s="104"/>
      <c r="Y27" s="25"/>
      <c r="Z27" s="25"/>
      <c r="AA27" s="7"/>
      <c r="AB27" s="104"/>
      <c r="AC27" s="25"/>
      <c r="AD27" s="25"/>
      <c r="AE27" s="7"/>
      <c r="AF27" s="104"/>
      <c r="AG27" s="25"/>
      <c r="AH27" s="25"/>
      <c r="AI27" s="7"/>
      <c r="AJ27" s="104"/>
      <c r="AK27" s="25"/>
      <c r="AL27" s="25"/>
      <c r="AM27" s="7"/>
      <c r="AN27" s="104"/>
      <c r="AO27" s="25"/>
      <c r="AP27" s="25"/>
      <c r="AQ27" s="7"/>
      <c r="AR27" s="104"/>
      <c r="AS27" s="25"/>
      <c r="AT27" s="25"/>
      <c r="AU27" s="7"/>
      <c r="AV27" s="104"/>
      <c r="AW27" s="25"/>
      <c r="AX27" s="25"/>
      <c r="AY27" s="7"/>
      <c r="AZ27" s="104"/>
      <c r="BA27" s="25"/>
      <c r="BB27" s="25"/>
      <c r="BC27" s="7"/>
      <c r="BD27" s="104"/>
      <c r="BE27" s="25"/>
      <c r="BF27" s="25"/>
      <c r="BG27" s="7"/>
      <c r="BH27" s="104"/>
      <c r="BI27" s="25"/>
      <c r="BJ27" s="25"/>
      <c r="BK27" s="7"/>
      <c r="BL27" s="104"/>
      <c r="BM27" s="25"/>
      <c r="BN27" s="25"/>
      <c r="BO27" s="7"/>
      <c r="BP27" s="104"/>
      <c r="BQ27" s="25"/>
      <c r="BR27" s="25"/>
      <c r="BS27" s="7"/>
      <c r="BT27" s="104"/>
      <c r="BU27" s="25"/>
      <c r="BV27" s="25"/>
      <c r="BW27" s="7"/>
    </row>
    <row r="28" spans="1:75">
      <c r="A28" s="95">
        <v>22</v>
      </c>
      <c r="B28" s="53"/>
      <c r="C28" s="67" t="s">
        <v>722</v>
      </c>
      <c r="D28" s="252"/>
      <c r="E28" s="133" t="s">
        <v>740</v>
      </c>
      <c r="F28" s="253"/>
      <c r="G28" s="22"/>
      <c r="H28" s="254" t="s">
        <v>742</v>
      </c>
      <c r="I28" s="22"/>
      <c r="J28" s="59"/>
      <c r="K28" s="7"/>
      <c r="L28" s="11"/>
      <c r="M28" s="199"/>
      <c r="N28" s="12"/>
      <c r="O28" s="7"/>
      <c r="P28" s="104"/>
      <c r="Q28" s="25"/>
      <c r="R28" s="25"/>
      <c r="S28" s="7"/>
      <c r="T28" s="104"/>
      <c r="U28" s="25"/>
      <c r="V28" s="25"/>
      <c r="W28" s="7"/>
      <c r="X28" s="104"/>
      <c r="Y28" s="25"/>
      <c r="Z28" s="25"/>
      <c r="AA28" s="7"/>
      <c r="AB28" s="104"/>
      <c r="AC28" s="25"/>
      <c r="AD28" s="25"/>
      <c r="AE28" s="7"/>
      <c r="AF28" s="104"/>
      <c r="AG28" s="25"/>
      <c r="AH28" s="25"/>
      <c r="AI28" s="7"/>
      <c r="AJ28" s="104"/>
      <c r="AK28" s="25"/>
      <c r="AL28" s="25"/>
      <c r="AM28" s="7"/>
      <c r="AN28" s="104"/>
      <c r="AO28" s="25"/>
      <c r="AP28" s="25"/>
      <c r="AQ28" s="7"/>
      <c r="AR28" s="104"/>
      <c r="AS28" s="25"/>
      <c r="AT28" s="25"/>
      <c r="AU28" s="7"/>
      <c r="AV28" s="104"/>
      <c r="AW28" s="25"/>
      <c r="AX28" s="25"/>
      <c r="AY28" s="7"/>
      <c r="AZ28" s="104"/>
      <c r="BA28" s="25"/>
      <c r="BB28" s="25"/>
      <c r="BC28" s="7"/>
      <c r="BD28" s="104"/>
      <c r="BE28" s="25"/>
      <c r="BF28" s="25"/>
      <c r="BG28" s="7"/>
      <c r="BH28" s="104"/>
      <c r="BI28" s="25"/>
      <c r="BJ28" s="25"/>
      <c r="BK28" s="7"/>
      <c r="BL28" s="104"/>
      <c r="BM28" s="25"/>
      <c r="BN28" s="25"/>
      <c r="BO28" s="7"/>
      <c r="BP28" s="104"/>
      <c r="BQ28" s="25"/>
      <c r="BR28" s="25"/>
      <c r="BS28" s="7"/>
      <c r="BT28" s="104"/>
      <c r="BU28" s="25"/>
      <c r="BV28" s="25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5"/>
      <c r="R29" s="25"/>
      <c r="S29" s="7"/>
      <c r="T29" s="104"/>
      <c r="U29" s="25"/>
      <c r="V29" s="25"/>
      <c r="W29" s="7"/>
      <c r="X29" s="104"/>
      <c r="Y29" s="25"/>
      <c r="Z29" s="25"/>
      <c r="AA29" s="7"/>
      <c r="AB29" s="104"/>
      <c r="AC29" s="25"/>
      <c r="AD29" s="25"/>
      <c r="AE29" s="7"/>
      <c r="AF29" s="104"/>
      <c r="AG29" s="25"/>
      <c r="AH29" s="25"/>
      <c r="AI29" s="7"/>
      <c r="AJ29" s="104"/>
      <c r="AK29" s="25"/>
      <c r="AL29" s="25"/>
      <c r="AM29" s="7"/>
      <c r="AN29" s="104"/>
      <c r="AO29" s="25"/>
      <c r="AP29" s="25"/>
      <c r="AQ29" s="7"/>
      <c r="AR29" s="104"/>
      <c r="AS29" s="25"/>
      <c r="AT29" s="25"/>
      <c r="AU29" s="7"/>
      <c r="AV29" s="104"/>
      <c r="AW29" s="25"/>
      <c r="AX29" s="25"/>
      <c r="AY29" s="7"/>
      <c r="AZ29" s="104"/>
      <c r="BA29" s="25"/>
      <c r="BB29" s="25"/>
      <c r="BC29" s="7"/>
      <c r="BD29" s="104"/>
      <c r="BE29" s="25"/>
      <c r="BF29" s="25"/>
      <c r="BG29" s="7"/>
      <c r="BH29" s="104"/>
      <c r="BI29" s="25"/>
      <c r="BJ29" s="25"/>
      <c r="BK29" s="7"/>
      <c r="BL29" s="104"/>
      <c r="BM29" s="25"/>
      <c r="BN29" s="25"/>
      <c r="BO29" s="7"/>
      <c r="BP29" s="104"/>
      <c r="BQ29" s="25"/>
      <c r="BR29" s="25"/>
      <c r="BS29" s="7"/>
      <c r="BT29" s="104"/>
      <c r="BU29" s="25"/>
      <c r="BV29" s="25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5"/>
      <c r="R30" s="25"/>
      <c r="S30" s="7"/>
      <c r="T30" s="104"/>
      <c r="U30" s="25"/>
      <c r="V30" s="25"/>
      <c r="W30" s="7"/>
      <c r="X30" s="104"/>
      <c r="Y30" s="25"/>
      <c r="Z30" s="25"/>
      <c r="AA30" s="7"/>
      <c r="AB30" s="104"/>
      <c r="AC30" s="25"/>
      <c r="AD30" s="25"/>
      <c r="AE30" s="7"/>
      <c r="AF30" s="104"/>
      <c r="AG30" s="25"/>
      <c r="AH30" s="25"/>
      <c r="AI30" s="7"/>
      <c r="AJ30" s="104"/>
      <c r="AK30" s="25"/>
      <c r="AL30" s="25"/>
      <c r="AM30" s="7"/>
      <c r="AN30" s="104"/>
      <c r="AO30" s="25"/>
      <c r="AP30" s="25"/>
      <c r="AQ30" s="7"/>
      <c r="AR30" s="104"/>
      <c r="AS30" s="25"/>
      <c r="AT30" s="25"/>
      <c r="AU30" s="7"/>
      <c r="AV30" s="104"/>
      <c r="AW30" s="25"/>
      <c r="AX30" s="25"/>
      <c r="AY30" s="7"/>
      <c r="AZ30" s="104"/>
      <c r="BA30" s="25"/>
      <c r="BB30" s="25"/>
      <c r="BC30" s="7"/>
      <c r="BD30" s="104"/>
      <c r="BE30" s="25"/>
      <c r="BF30" s="25"/>
      <c r="BG30" s="7"/>
      <c r="BH30" s="104"/>
      <c r="BI30" s="25"/>
      <c r="BJ30" s="25"/>
      <c r="BK30" s="7"/>
      <c r="BL30" s="104"/>
      <c r="BM30" s="25"/>
      <c r="BN30" s="25"/>
      <c r="BO30" s="7"/>
      <c r="BP30" s="104"/>
      <c r="BQ30" s="25"/>
      <c r="BR30" s="25"/>
      <c r="BS30" s="7"/>
      <c r="BT30" s="104"/>
      <c r="BU30" s="25"/>
      <c r="BV30" s="25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5"/>
      <c r="R31" s="25"/>
      <c r="S31" s="7"/>
      <c r="T31" s="104"/>
      <c r="U31" s="25"/>
      <c r="V31" s="25"/>
      <c r="W31" s="7"/>
      <c r="X31" s="104"/>
      <c r="Y31" s="25"/>
      <c r="Z31" s="25"/>
      <c r="AA31" s="7"/>
      <c r="AB31" s="104"/>
      <c r="AC31" s="25"/>
      <c r="AD31" s="25"/>
      <c r="AE31" s="7"/>
      <c r="AF31" s="104"/>
      <c r="AG31" s="25"/>
      <c r="AH31" s="25"/>
      <c r="AI31" s="7"/>
      <c r="AJ31" s="104"/>
      <c r="AK31" s="25"/>
      <c r="AL31" s="25"/>
      <c r="AM31" s="7"/>
      <c r="AN31" s="104"/>
      <c r="AO31" s="25"/>
      <c r="AP31" s="25"/>
      <c r="AQ31" s="7"/>
      <c r="AR31" s="104"/>
      <c r="AS31" s="25"/>
      <c r="AT31" s="25"/>
      <c r="AU31" s="7"/>
      <c r="AV31" s="104"/>
      <c r="AW31" s="25"/>
      <c r="AX31" s="25"/>
      <c r="AY31" s="7"/>
      <c r="AZ31" s="104"/>
      <c r="BA31" s="25"/>
      <c r="BB31" s="25"/>
      <c r="BC31" s="7"/>
      <c r="BD31" s="104"/>
      <c r="BE31" s="25"/>
      <c r="BF31" s="25"/>
      <c r="BG31" s="7"/>
      <c r="BH31" s="104"/>
      <c r="BI31" s="25"/>
      <c r="BJ31" s="25"/>
      <c r="BK31" s="7"/>
      <c r="BL31" s="104"/>
      <c r="BM31" s="25"/>
      <c r="BN31" s="25"/>
      <c r="BO31" s="7"/>
      <c r="BP31" s="104"/>
      <c r="BQ31" s="25"/>
      <c r="BR31" s="25"/>
      <c r="BS31" s="7"/>
      <c r="BT31" s="104"/>
      <c r="BU31" s="25"/>
      <c r="BV31" s="25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5"/>
      <c r="R32" s="25"/>
      <c r="S32" s="7"/>
      <c r="T32" s="104"/>
      <c r="U32" s="25"/>
      <c r="V32" s="25"/>
      <c r="W32" s="7"/>
      <c r="X32" s="104"/>
      <c r="Y32" s="25"/>
      <c r="Z32" s="25"/>
      <c r="AA32" s="7"/>
      <c r="AB32" s="104"/>
      <c r="AC32" s="25"/>
      <c r="AD32" s="25"/>
      <c r="AE32" s="7"/>
      <c r="AF32" s="104"/>
      <c r="AG32" s="25"/>
      <c r="AH32" s="25"/>
      <c r="AI32" s="7"/>
      <c r="AJ32" s="104"/>
      <c r="AK32" s="25"/>
      <c r="AL32" s="25"/>
      <c r="AM32" s="7"/>
      <c r="AN32" s="104"/>
      <c r="AO32" s="25"/>
      <c r="AP32" s="25"/>
      <c r="AQ32" s="7"/>
      <c r="AR32" s="104"/>
      <c r="AS32" s="25"/>
      <c r="AT32" s="25"/>
      <c r="AU32" s="7"/>
      <c r="AV32" s="104"/>
      <c r="AW32" s="25"/>
      <c r="AX32" s="25"/>
      <c r="AY32" s="7"/>
      <c r="AZ32" s="104"/>
      <c r="BA32" s="25"/>
      <c r="BB32" s="25"/>
      <c r="BC32" s="7"/>
      <c r="BD32" s="104"/>
      <c r="BE32" s="25"/>
      <c r="BF32" s="25"/>
      <c r="BG32" s="7"/>
      <c r="BH32" s="104"/>
      <c r="BI32" s="25"/>
      <c r="BJ32" s="25"/>
      <c r="BK32" s="7"/>
      <c r="BL32" s="104"/>
      <c r="BM32" s="25"/>
      <c r="BN32" s="25"/>
      <c r="BO32" s="7"/>
      <c r="BP32" s="104"/>
      <c r="BQ32" s="25"/>
      <c r="BR32" s="25"/>
      <c r="BS32" s="7"/>
      <c r="BT32" s="104"/>
      <c r="BU32" s="25"/>
      <c r="BV32" s="25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5"/>
      <c r="R33" s="25"/>
      <c r="S33" s="7"/>
      <c r="T33" s="104"/>
      <c r="U33" s="25"/>
      <c r="V33" s="25"/>
      <c r="W33" s="7"/>
      <c r="X33" s="104"/>
      <c r="Y33" s="25"/>
      <c r="Z33" s="25"/>
      <c r="AA33" s="7"/>
      <c r="AB33" s="104"/>
      <c r="AC33" s="25"/>
      <c r="AD33" s="25"/>
      <c r="AE33" s="7"/>
      <c r="AF33" s="104"/>
      <c r="AG33" s="25"/>
      <c r="AH33" s="25"/>
      <c r="AI33" s="7"/>
      <c r="AJ33" s="104"/>
      <c r="AK33" s="25"/>
      <c r="AL33" s="25"/>
      <c r="AM33" s="7"/>
      <c r="AN33" s="104"/>
      <c r="AO33" s="25"/>
      <c r="AP33" s="25"/>
      <c r="AQ33" s="7"/>
      <c r="AR33" s="104"/>
      <c r="AS33" s="25"/>
      <c r="AT33" s="25"/>
      <c r="AU33" s="7"/>
      <c r="AV33" s="104"/>
      <c r="AW33" s="25"/>
      <c r="AX33" s="25"/>
      <c r="AY33" s="7"/>
      <c r="AZ33" s="104"/>
      <c r="BA33" s="25"/>
      <c r="BB33" s="25"/>
      <c r="BC33" s="7"/>
      <c r="BD33" s="104"/>
      <c r="BE33" s="25"/>
      <c r="BF33" s="25"/>
      <c r="BG33" s="7"/>
      <c r="BH33" s="104"/>
      <c r="BI33" s="25"/>
      <c r="BJ33" s="25"/>
      <c r="BK33" s="7"/>
      <c r="BL33" s="104"/>
      <c r="BM33" s="25"/>
      <c r="BN33" s="25"/>
      <c r="BO33" s="7"/>
      <c r="BP33" s="104"/>
      <c r="BQ33" s="25"/>
      <c r="BR33" s="25"/>
      <c r="BS33" s="7"/>
      <c r="BT33" s="104"/>
      <c r="BU33" s="25"/>
      <c r="BV33" s="25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5"/>
      <c r="R34" s="25"/>
      <c r="S34" s="7"/>
      <c r="T34" s="104"/>
      <c r="U34" s="25"/>
      <c r="V34" s="25"/>
      <c r="W34" s="7"/>
      <c r="X34" s="104"/>
      <c r="Y34" s="25"/>
      <c r="Z34" s="25"/>
      <c r="AA34" s="7"/>
      <c r="AB34" s="104"/>
      <c r="AC34" s="25"/>
      <c r="AD34" s="25"/>
      <c r="AE34" s="7"/>
      <c r="AF34" s="104"/>
      <c r="AG34" s="25"/>
      <c r="AH34" s="25"/>
      <c r="AI34" s="7"/>
      <c r="AJ34" s="104"/>
      <c r="AK34" s="25"/>
      <c r="AL34" s="25"/>
      <c r="AM34" s="7"/>
      <c r="AN34" s="104"/>
      <c r="AO34" s="25"/>
      <c r="AP34" s="25"/>
      <c r="AQ34" s="7"/>
      <c r="AR34" s="104"/>
      <c r="AS34" s="25"/>
      <c r="AT34" s="25"/>
      <c r="AU34" s="7"/>
      <c r="AV34" s="104"/>
      <c r="AW34" s="25"/>
      <c r="AX34" s="25"/>
      <c r="AY34" s="7"/>
      <c r="AZ34" s="104"/>
      <c r="BA34" s="25"/>
      <c r="BB34" s="25"/>
      <c r="BC34" s="7"/>
      <c r="BD34" s="104"/>
      <c r="BE34" s="25"/>
      <c r="BF34" s="25"/>
      <c r="BG34" s="7"/>
      <c r="BH34" s="104"/>
      <c r="BI34" s="25"/>
      <c r="BJ34" s="25"/>
      <c r="BK34" s="7"/>
      <c r="BL34" s="104"/>
      <c r="BM34" s="25"/>
      <c r="BN34" s="25"/>
      <c r="BO34" s="7"/>
      <c r="BP34" s="104"/>
      <c r="BQ34" s="25"/>
      <c r="BR34" s="25"/>
      <c r="BS34" s="7"/>
      <c r="BT34" s="104"/>
      <c r="BU34" s="25"/>
      <c r="BV34" s="25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5"/>
      <c r="R35" s="25"/>
      <c r="S35" s="7"/>
      <c r="T35" s="104"/>
      <c r="U35" s="25"/>
      <c r="V35" s="25"/>
      <c r="W35" s="7"/>
      <c r="X35" s="104"/>
      <c r="Y35" s="25"/>
      <c r="Z35" s="25"/>
      <c r="AA35" s="7"/>
      <c r="AB35" s="104"/>
      <c r="AC35" s="25"/>
      <c r="AD35" s="25"/>
      <c r="AE35" s="7"/>
      <c r="AF35" s="104"/>
      <c r="AG35" s="25"/>
      <c r="AH35" s="25"/>
      <c r="AI35" s="7"/>
      <c r="AJ35" s="104"/>
      <c r="AK35" s="25"/>
      <c r="AL35" s="25"/>
      <c r="AM35" s="7"/>
      <c r="AN35" s="104"/>
      <c r="AO35" s="25"/>
      <c r="AP35" s="25"/>
      <c r="AQ35" s="7"/>
      <c r="AR35" s="104"/>
      <c r="AS35" s="25"/>
      <c r="AT35" s="25"/>
      <c r="AU35" s="7"/>
      <c r="AV35" s="104"/>
      <c r="AW35" s="25"/>
      <c r="AX35" s="25"/>
      <c r="AY35" s="7"/>
      <c r="AZ35" s="104"/>
      <c r="BA35" s="25"/>
      <c r="BB35" s="25"/>
      <c r="BC35" s="7"/>
      <c r="BD35" s="104"/>
      <c r="BE35" s="25"/>
      <c r="BF35" s="25"/>
      <c r="BG35" s="7"/>
      <c r="BH35" s="104"/>
      <c r="BI35" s="25"/>
      <c r="BJ35" s="25"/>
      <c r="BK35" s="7"/>
      <c r="BL35" s="104"/>
      <c r="BM35" s="25"/>
      <c r="BN35" s="25"/>
      <c r="BO35" s="7"/>
      <c r="BP35" s="104"/>
      <c r="BQ35" s="25"/>
      <c r="BR35" s="25"/>
      <c r="BS35" s="7"/>
      <c r="BT35" s="104"/>
      <c r="BU35" s="25"/>
      <c r="BV35" s="25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5"/>
      <c r="R36" s="25"/>
      <c r="S36" s="7"/>
      <c r="T36" s="104"/>
      <c r="U36" s="25"/>
      <c r="V36" s="25"/>
      <c r="W36" s="7"/>
      <c r="X36" s="104"/>
      <c r="Y36" s="25"/>
      <c r="Z36" s="25"/>
      <c r="AA36" s="7"/>
      <c r="AB36" s="104"/>
      <c r="AC36" s="25"/>
      <c r="AD36" s="25"/>
      <c r="AE36" s="7"/>
      <c r="AF36" s="104"/>
      <c r="AG36" s="25"/>
      <c r="AH36" s="25"/>
      <c r="AI36" s="7"/>
      <c r="AJ36" s="104"/>
      <c r="AK36" s="25"/>
      <c r="AL36" s="25"/>
      <c r="AM36" s="7"/>
      <c r="AN36" s="104"/>
      <c r="AO36" s="25"/>
      <c r="AP36" s="25"/>
      <c r="AQ36" s="7"/>
      <c r="AR36" s="104"/>
      <c r="AS36" s="25"/>
      <c r="AT36" s="25"/>
      <c r="AU36" s="7"/>
      <c r="AV36" s="104"/>
      <c r="AW36" s="25"/>
      <c r="AX36" s="25"/>
      <c r="AY36" s="7"/>
      <c r="AZ36" s="104"/>
      <c r="BA36" s="25"/>
      <c r="BB36" s="25"/>
      <c r="BC36" s="7"/>
      <c r="BD36" s="104"/>
      <c r="BE36" s="25"/>
      <c r="BF36" s="25"/>
      <c r="BG36" s="7"/>
      <c r="BH36" s="104"/>
      <c r="BI36" s="25"/>
      <c r="BJ36" s="25"/>
      <c r="BK36" s="7"/>
      <c r="BL36" s="104"/>
      <c r="BM36" s="25"/>
      <c r="BN36" s="25"/>
      <c r="BO36" s="7"/>
      <c r="BP36" s="104"/>
      <c r="BQ36" s="25"/>
      <c r="BR36" s="25"/>
      <c r="BS36" s="7"/>
      <c r="BT36" s="104"/>
      <c r="BU36" s="25"/>
      <c r="BV36" s="25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5"/>
      <c r="R37" s="25"/>
      <c r="S37" s="7"/>
      <c r="T37" s="104"/>
      <c r="U37" s="25"/>
      <c r="V37" s="25"/>
      <c r="W37" s="7"/>
      <c r="X37" s="104"/>
      <c r="Y37" s="25"/>
      <c r="Z37" s="25"/>
      <c r="AA37" s="7"/>
      <c r="AB37" s="104"/>
      <c r="AC37" s="25"/>
      <c r="AD37" s="25"/>
      <c r="AE37" s="7"/>
      <c r="AF37" s="104"/>
      <c r="AG37" s="25"/>
      <c r="AH37" s="25"/>
      <c r="AI37" s="7"/>
      <c r="AJ37" s="104"/>
      <c r="AK37" s="25"/>
      <c r="AL37" s="25"/>
      <c r="AM37" s="7"/>
      <c r="AN37" s="104"/>
      <c r="AO37" s="25"/>
      <c r="AP37" s="25"/>
      <c r="AQ37" s="7"/>
      <c r="AR37" s="104"/>
      <c r="AS37" s="25"/>
      <c r="AT37" s="25"/>
      <c r="AU37" s="7"/>
      <c r="AV37" s="104"/>
      <c r="AW37" s="25"/>
      <c r="AX37" s="25"/>
      <c r="AY37" s="7"/>
      <c r="AZ37" s="104"/>
      <c r="BA37" s="25"/>
      <c r="BB37" s="25"/>
      <c r="BC37" s="7"/>
      <c r="BD37" s="104"/>
      <c r="BE37" s="25"/>
      <c r="BF37" s="25"/>
      <c r="BG37" s="7"/>
      <c r="BH37" s="104"/>
      <c r="BI37" s="25"/>
      <c r="BJ37" s="25"/>
      <c r="BK37" s="7"/>
      <c r="BL37" s="104"/>
      <c r="BM37" s="25"/>
      <c r="BN37" s="25"/>
      <c r="BO37" s="7"/>
      <c r="BP37" s="104"/>
      <c r="BQ37" s="25"/>
      <c r="BR37" s="25"/>
      <c r="BS37" s="7"/>
      <c r="BT37" s="104"/>
      <c r="BU37" s="25"/>
      <c r="BV37" s="25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5"/>
      <c r="R38" s="25"/>
      <c r="S38" s="7"/>
      <c r="T38" s="104"/>
      <c r="U38" s="25"/>
      <c r="V38" s="25"/>
      <c r="W38" s="7"/>
      <c r="X38" s="104"/>
      <c r="Y38" s="25"/>
      <c r="Z38" s="25"/>
      <c r="AA38" s="7"/>
      <c r="AB38" s="104"/>
      <c r="AC38" s="25"/>
      <c r="AD38" s="25"/>
      <c r="AE38" s="7"/>
      <c r="AF38" s="104"/>
      <c r="AG38" s="25"/>
      <c r="AH38" s="25"/>
      <c r="AI38" s="7"/>
      <c r="AJ38" s="104"/>
      <c r="AK38" s="25"/>
      <c r="AL38" s="25"/>
      <c r="AM38" s="7"/>
      <c r="AN38" s="104"/>
      <c r="AO38" s="25"/>
      <c r="AP38" s="25"/>
      <c r="AQ38" s="7"/>
      <c r="AR38" s="104"/>
      <c r="AS38" s="25"/>
      <c r="AT38" s="25"/>
      <c r="AU38" s="7"/>
      <c r="AV38" s="104"/>
      <c r="AW38" s="25"/>
      <c r="AX38" s="25"/>
      <c r="AY38" s="7"/>
      <c r="AZ38" s="104"/>
      <c r="BA38" s="25"/>
      <c r="BB38" s="25"/>
      <c r="BC38" s="7"/>
      <c r="BD38" s="104"/>
      <c r="BE38" s="25"/>
      <c r="BF38" s="25"/>
      <c r="BG38" s="7"/>
      <c r="BH38" s="104"/>
      <c r="BI38" s="25"/>
      <c r="BJ38" s="25"/>
      <c r="BK38" s="7"/>
      <c r="BL38" s="104"/>
      <c r="BM38" s="25"/>
      <c r="BN38" s="25"/>
      <c r="BO38" s="7"/>
      <c r="BP38" s="104"/>
      <c r="BQ38" s="25"/>
      <c r="BR38" s="25"/>
      <c r="BS38" s="7"/>
      <c r="BT38" s="104"/>
      <c r="BU38" s="25"/>
      <c r="BV38" s="25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5"/>
      <c r="R39" s="25"/>
      <c r="S39" s="7"/>
      <c r="T39" s="104"/>
      <c r="U39" s="25"/>
      <c r="V39" s="25"/>
      <c r="W39" s="7"/>
      <c r="X39" s="104"/>
      <c r="Y39" s="25"/>
      <c r="Z39" s="25"/>
      <c r="AA39" s="7"/>
      <c r="AB39" s="104"/>
      <c r="AC39" s="25"/>
      <c r="AD39" s="25"/>
      <c r="AE39" s="7"/>
      <c r="AF39" s="104"/>
      <c r="AG39" s="25"/>
      <c r="AH39" s="25"/>
      <c r="AI39" s="7"/>
      <c r="AJ39" s="104"/>
      <c r="AK39" s="25"/>
      <c r="AL39" s="25"/>
      <c r="AM39" s="7"/>
      <c r="AN39" s="104"/>
      <c r="AO39" s="25"/>
      <c r="AP39" s="25"/>
      <c r="AQ39" s="7"/>
      <c r="AR39" s="104"/>
      <c r="AS39" s="25"/>
      <c r="AT39" s="25"/>
      <c r="AU39" s="7"/>
      <c r="AV39" s="104"/>
      <c r="AW39" s="25"/>
      <c r="AX39" s="25"/>
      <c r="AY39" s="7"/>
      <c r="AZ39" s="104"/>
      <c r="BA39" s="25"/>
      <c r="BB39" s="25"/>
      <c r="BC39" s="7"/>
      <c r="BD39" s="104"/>
      <c r="BE39" s="25"/>
      <c r="BF39" s="25"/>
      <c r="BG39" s="7"/>
      <c r="BH39" s="104"/>
      <c r="BI39" s="25"/>
      <c r="BJ39" s="25"/>
      <c r="BK39" s="7"/>
      <c r="BL39" s="104"/>
      <c r="BM39" s="25"/>
      <c r="BN39" s="25"/>
      <c r="BO39" s="7"/>
      <c r="BP39" s="104"/>
      <c r="BQ39" s="25"/>
      <c r="BR39" s="25"/>
      <c r="BS39" s="7"/>
      <c r="BT39" s="104"/>
      <c r="BU39" s="25"/>
      <c r="BV39" s="25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5"/>
      <c r="R40" s="25"/>
      <c r="S40" s="7"/>
      <c r="T40" s="104"/>
      <c r="U40" s="25"/>
      <c r="V40" s="25"/>
      <c r="W40" s="7"/>
      <c r="X40" s="104"/>
      <c r="Y40" s="25"/>
      <c r="Z40" s="25"/>
      <c r="AA40" s="7"/>
      <c r="AB40" s="104"/>
      <c r="AC40" s="25"/>
      <c r="AD40" s="25"/>
      <c r="AE40" s="7"/>
      <c r="AF40" s="104"/>
      <c r="AG40" s="25"/>
      <c r="AH40" s="25"/>
      <c r="AI40" s="7"/>
      <c r="AJ40" s="104"/>
      <c r="AK40" s="25"/>
      <c r="AL40" s="25"/>
      <c r="AM40" s="7"/>
      <c r="AN40" s="104"/>
      <c r="AO40" s="25"/>
      <c r="AP40" s="25"/>
      <c r="AQ40" s="7"/>
      <c r="AR40" s="104"/>
      <c r="AS40" s="25"/>
      <c r="AT40" s="25"/>
      <c r="AU40" s="7"/>
      <c r="AV40" s="104"/>
      <c r="AW40" s="25"/>
      <c r="AX40" s="25"/>
      <c r="AY40" s="7"/>
      <c r="AZ40" s="104"/>
      <c r="BA40" s="25"/>
      <c r="BB40" s="25"/>
      <c r="BC40" s="7"/>
      <c r="BD40" s="104"/>
      <c r="BE40" s="25"/>
      <c r="BF40" s="25"/>
      <c r="BG40" s="7"/>
      <c r="BH40" s="104"/>
      <c r="BI40" s="25"/>
      <c r="BJ40" s="25"/>
      <c r="BK40" s="7"/>
      <c r="BL40" s="104"/>
      <c r="BM40" s="25"/>
      <c r="BN40" s="25"/>
      <c r="BO40" s="7"/>
      <c r="BP40" s="104"/>
      <c r="BQ40" s="25"/>
      <c r="BR40" s="25"/>
      <c r="BS40" s="7"/>
      <c r="BT40" s="104"/>
      <c r="BU40" s="25"/>
      <c r="BV40" s="25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5"/>
      <c r="R41" s="25"/>
      <c r="S41" s="7"/>
      <c r="T41" s="104"/>
      <c r="U41" s="25"/>
      <c r="V41" s="25"/>
      <c r="W41" s="7"/>
      <c r="X41" s="104"/>
      <c r="Y41" s="25"/>
      <c r="Z41" s="25"/>
      <c r="AA41" s="7"/>
      <c r="AB41" s="104"/>
      <c r="AC41" s="25"/>
      <c r="AD41" s="25"/>
      <c r="AE41" s="7"/>
      <c r="AF41" s="104"/>
      <c r="AG41" s="25"/>
      <c r="AH41" s="25"/>
      <c r="AI41" s="7"/>
      <c r="AJ41" s="104"/>
      <c r="AK41" s="25"/>
      <c r="AL41" s="25"/>
      <c r="AM41" s="7"/>
      <c r="AN41" s="104"/>
      <c r="AO41" s="25"/>
      <c r="AP41" s="25"/>
      <c r="AQ41" s="7"/>
      <c r="AR41" s="104"/>
      <c r="AS41" s="25"/>
      <c r="AT41" s="25"/>
      <c r="AU41" s="7"/>
      <c r="AV41" s="104"/>
      <c r="AW41" s="25"/>
      <c r="AX41" s="25"/>
      <c r="AY41" s="7"/>
      <c r="AZ41" s="104"/>
      <c r="BA41" s="25"/>
      <c r="BB41" s="25"/>
      <c r="BC41" s="7"/>
      <c r="BD41" s="104"/>
      <c r="BE41" s="25"/>
      <c r="BF41" s="25"/>
      <c r="BG41" s="7"/>
      <c r="BH41" s="104"/>
      <c r="BI41" s="25"/>
      <c r="BJ41" s="25"/>
      <c r="BK41" s="7"/>
      <c r="BL41" s="104"/>
      <c r="BM41" s="25"/>
      <c r="BN41" s="25"/>
      <c r="BO41" s="7"/>
      <c r="BP41" s="104"/>
      <c r="BQ41" s="25"/>
      <c r="BR41" s="25"/>
      <c r="BS41" s="7"/>
      <c r="BT41" s="104"/>
      <c r="BU41" s="25"/>
      <c r="BV41" s="25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5"/>
      <c r="R42" s="25"/>
      <c r="S42" s="7"/>
      <c r="T42" s="104"/>
      <c r="U42" s="25"/>
      <c r="V42" s="25"/>
      <c r="W42" s="7"/>
      <c r="X42" s="104"/>
      <c r="Y42" s="25"/>
      <c r="Z42" s="25"/>
      <c r="AA42" s="7"/>
      <c r="AB42" s="104"/>
      <c r="AC42" s="25"/>
      <c r="AD42" s="25"/>
      <c r="AE42" s="7"/>
      <c r="AF42" s="104"/>
      <c r="AG42" s="25"/>
      <c r="AH42" s="25"/>
      <c r="AI42" s="7"/>
      <c r="AJ42" s="104"/>
      <c r="AK42" s="25"/>
      <c r="AL42" s="25"/>
      <c r="AM42" s="7"/>
      <c r="AN42" s="104"/>
      <c r="AO42" s="25"/>
      <c r="AP42" s="25"/>
      <c r="AQ42" s="7"/>
      <c r="AR42" s="104"/>
      <c r="AS42" s="25"/>
      <c r="AT42" s="25"/>
      <c r="AU42" s="7"/>
      <c r="AV42" s="104"/>
      <c r="AW42" s="25"/>
      <c r="AX42" s="25"/>
      <c r="AY42" s="7"/>
      <c r="AZ42" s="104"/>
      <c r="BA42" s="25"/>
      <c r="BB42" s="25"/>
      <c r="BC42" s="7"/>
      <c r="BD42" s="104"/>
      <c r="BE42" s="25"/>
      <c r="BF42" s="25"/>
      <c r="BG42" s="7"/>
      <c r="BH42" s="104"/>
      <c r="BI42" s="25"/>
      <c r="BJ42" s="25"/>
      <c r="BK42" s="7"/>
      <c r="BL42" s="104"/>
      <c r="BM42" s="25"/>
      <c r="BN42" s="25"/>
      <c r="BO42" s="7"/>
      <c r="BP42" s="104"/>
      <c r="BQ42" s="25"/>
      <c r="BR42" s="25"/>
      <c r="BS42" s="7"/>
      <c r="BT42" s="104"/>
      <c r="BU42" s="25"/>
      <c r="BV42" s="25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5"/>
      <c r="R43" s="25"/>
      <c r="S43" s="7"/>
      <c r="T43" s="104"/>
      <c r="U43" s="25"/>
      <c r="V43" s="25"/>
      <c r="W43" s="7"/>
      <c r="X43" s="104"/>
      <c r="Y43" s="25"/>
      <c r="Z43" s="25"/>
      <c r="AA43" s="7"/>
      <c r="AB43" s="104"/>
      <c r="AC43" s="25"/>
      <c r="AD43" s="25"/>
      <c r="AE43" s="7"/>
      <c r="AF43" s="104"/>
      <c r="AG43" s="25"/>
      <c r="AH43" s="25"/>
      <c r="AI43" s="7"/>
      <c r="AJ43" s="104"/>
      <c r="AK43" s="25"/>
      <c r="AL43" s="25"/>
      <c r="AM43" s="7"/>
      <c r="AN43" s="104"/>
      <c r="AO43" s="25"/>
      <c r="AP43" s="25"/>
      <c r="AQ43" s="7"/>
      <c r="AR43" s="104"/>
      <c r="AS43" s="25"/>
      <c r="AT43" s="25"/>
      <c r="AU43" s="7"/>
      <c r="AV43" s="104"/>
      <c r="AW43" s="25"/>
      <c r="AX43" s="25"/>
      <c r="AY43" s="7"/>
      <c r="AZ43" s="104"/>
      <c r="BA43" s="25"/>
      <c r="BB43" s="25"/>
      <c r="BC43" s="7"/>
      <c r="BD43" s="104"/>
      <c r="BE43" s="25"/>
      <c r="BF43" s="25"/>
      <c r="BG43" s="7"/>
      <c r="BH43" s="104"/>
      <c r="BI43" s="25"/>
      <c r="BJ43" s="25"/>
      <c r="BK43" s="7"/>
      <c r="BL43" s="104"/>
      <c r="BM43" s="25"/>
      <c r="BN43" s="25"/>
      <c r="BO43" s="7"/>
      <c r="BP43" s="104"/>
      <c r="BQ43" s="25"/>
      <c r="BR43" s="25"/>
      <c r="BS43" s="7"/>
      <c r="BT43" s="104"/>
      <c r="BU43" s="25"/>
      <c r="BV43" s="25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5"/>
      <c r="R44" s="25"/>
      <c r="S44" s="7"/>
      <c r="T44" s="104"/>
      <c r="U44" s="25"/>
      <c r="V44" s="25"/>
      <c r="W44" s="7"/>
      <c r="X44" s="104"/>
      <c r="Y44" s="25"/>
      <c r="Z44" s="25"/>
      <c r="AA44" s="7"/>
      <c r="AB44" s="104"/>
      <c r="AC44" s="25"/>
      <c r="AD44" s="25"/>
      <c r="AE44" s="7"/>
      <c r="AF44" s="104"/>
      <c r="AG44" s="25"/>
      <c r="AH44" s="25"/>
      <c r="AI44" s="7"/>
      <c r="AJ44" s="104"/>
      <c r="AK44" s="25"/>
      <c r="AL44" s="25"/>
      <c r="AM44" s="7"/>
      <c r="AN44" s="104"/>
      <c r="AO44" s="25"/>
      <c r="AP44" s="25"/>
      <c r="AQ44" s="7"/>
      <c r="AR44" s="104"/>
      <c r="AS44" s="25"/>
      <c r="AT44" s="25"/>
      <c r="AU44" s="7"/>
      <c r="AV44" s="104"/>
      <c r="AW44" s="25"/>
      <c r="AX44" s="25"/>
      <c r="AY44" s="7"/>
      <c r="AZ44" s="104"/>
      <c r="BA44" s="25"/>
      <c r="BB44" s="25"/>
      <c r="BC44" s="7"/>
      <c r="BD44" s="104"/>
      <c r="BE44" s="25"/>
      <c r="BF44" s="25"/>
      <c r="BG44" s="7"/>
      <c r="BH44" s="104"/>
      <c r="BI44" s="25"/>
      <c r="BJ44" s="25"/>
      <c r="BK44" s="7"/>
      <c r="BL44" s="104"/>
      <c r="BM44" s="25"/>
      <c r="BN44" s="25"/>
      <c r="BO44" s="7"/>
      <c r="BP44" s="104"/>
      <c r="BQ44" s="25"/>
      <c r="BR44" s="25"/>
      <c r="BS44" s="7"/>
      <c r="BT44" s="104"/>
      <c r="BU44" s="25"/>
      <c r="BV44" s="25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5"/>
      <c r="R45" s="25"/>
      <c r="S45" s="7"/>
      <c r="T45" s="104"/>
      <c r="U45" s="25"/>
      <c r="V45" s="25"/>
      <c r="W45" s="7"/>
      <c r="X45" s="104"/>
      <c r="Y45" s="25"/>
      <c r="Z45" s="25"/>
      <c r="AA45" s="7"/>
      <c r="AB45" s="104"/>
      <c r="AC45" s="25"/>
      <c r="AD45" s="25"/>
      <c r="AE45" s="7"/>
      <c r="AF45" s="104"/>
      <c r="AG45" s="25"/>
      <c r="AH45" s="25"/>
      <c r="AI45" s="7"/>
      <c r="AJ45" s="104"/>
      <c r="AK45" s="25"/>
      <c r="AL45" s="25"/>
      <c r="AM45" s="7"/>
      <c r="AN45" s="104"/>
      <c r="AO45" s="25"/>
      <c r="AP45" s="25"/>
      <c r="AQ45" s="7"/>
      <c r="AR45" s="104"/>
      <c r="AS45" s="25"/>
      <c r="AT45" s="25"/>
      <c r="AU45" s="7"/>
      <c r="AV45" s="104"/>
      <c r="AW45" s="25"/>
      <c r="AX45" s="25"/>
      <c r="AY45" s="7"/>
      <c r="AZ45" s="104"/>
      <c r="BA45" s="25"/>
      <c r="BB45" s="25"/>
      <c r="BC45" s="7"/>
      <c r="BD45" s="104"/>
      <c r="BE45" s="25"/>
      <c r="BF45" s="25"/>
      <c r="BG45" s="7"/>
      <c r="BH45" s="104"/>
      <c r="BI45" s="25"/>
      <c r="BJ45" s="25"/>
      <c r="BK45" s="7"/>
      <c r="BL45" s="104"/>
      <c r="BM45" s="25"/>
      <c r="BN45" s="25"/>
      <c r="BO45" s="7"/>
      <c r="BP45" s="104"/>
      <c r="BQ45" s="25"/>
      <c r="BR45" s="25"/>
      <c r="BS45" s="7"/>
      <c r="BT45" s="104"/>
      <c r="BU45" s="25"/>
      <c r="BV45" s="25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5"/>
      <c r="R46" s="25"/>
      <c r="S46" s="7"/>
      <c r="T46" s="104"/>
      <c r="U46" s="25"/>
      <c r="V46" s="25"/>
      <c r="W46" s="7"/>
      <c r="X46" s="104"/>
      <c r="Y46" s="25"/>
      <c r="Z46" s="25"/>
      <c r="AA46" s="7"/>
      <c r="AB46" s="104"/>
      <c r="AC46" s="25"/>
      <c r="AD46" s="25"/>
      <c r="AE46" s="7"/>
      <c r="AF46" s="104"/>
      <c r="AG46" s="25"/>
      <c r="AH46" s="25"/>
      <c r="AI46" s="7"/>
      <c r="AJ46" s="104"/>
      <c r="AK46" s="25"/>
      <c r="AL46" s="25"/>
      <c r="AM46" s="7"/>
      <c r="AN46" s="104"/>
      <c r="AO46" s="25"/>
      <c r="AP46" s="25"/>
      <c r="AQ46" s="7"/>
      <c r="AR46" s="104"/>
      <c r="AS46" s="25"/>
      <c r="AT46" s="25"/>
      <c r="AU46" s="7"/>
      <c r="AV46" s="104"/>
      <c r="AW46" s="25"/>
      <c r="AX46" s="25"/>
      <c r="AY46" s="7"/>
      <c r="AZ46" s="104"/>
      <c r="BA46" s="25"/>
      <c r="BB46" s="25"/>
      <c r="BC46" s="7"/>
      <c r="BD46" s="104"/>
      <c r="BE46" s="25"/>
      <c r="BF46" s="25"/>
      <c r="BG46" s="7"/>
      <c r="BH46" s="104"/>
      <c r="BI46" s="25"/>
      <c r="BJ46" s="25"/>
      <c r="BK46" s="7"/>
      <c r="BL46" s="104"/>
      <c r="BM46" s="25"/>
      <c r="BN46" s="25"/>
      <c r="BO46" s="7"/>
      <c r="BP46" s="104"/>
      <c r="BQ46" s="25"/>
      <c r="BR46" s="25"/>
      <c r="BS46" s="7"/>
      <c r="BT46" s="104"/>
      <c r="BU46" s="25"/>
      <c r="BV46" s="25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5"/>
      <c r="R47" s="25"/>
      <c r="S47" s="7"/>
      <c r="T47" s="104"/>
      <c r="U47" s="25"/>
      <c r="V47" s="25"/>
      <c r="W47" s="7"/>
      <c r="X47" s="104"/>
      <c r="Y47" s="25"/>
      <c r="Z47" s="25"/>
      <c r="AA47" s="7"/>
      <c r="AB47" s="104"/>
      <c r="AC47" s="25"/>
      <c r="AD47" s="25"/>
      <c r="AE47" s="7"/>
      <c r="AF47" s="104"/>
      <c r="AG47" s="25"/>
      <c r="AH47" s="25"/>
      <c r="AI47" s="7"/>
      <c r="AJ47" s="104"/>
      <c r="AK47" s="25"/>
      <c r="AL47" s="25"/>
      <c r="AM47" s="7"/>
      <c r="AN47" s="104"/>
      <c r="AO47" s="25"/>
      <c r="AP47" s="25"/>
      <c r="AQ47" s="7"/>
      <c r="AR47" s="104"/>
      <c r="AS47" s="25"/>
      <c r="AT47" s="25"/>
      <c r="AU47" s="7"/>
      <c r="AV47" s="104"/>
      <c r="AW47" s="25"/>
      <c r="AX47" s="25"/>
      <c r="AY47" s="7"/>
      <c r="AZ47" s="104"/>
      <c r="BA47" s="25"/>
      <c r="BB47" s="25"/>
      <c r="BC47" s="7"/>
      <c r="BD47" s="104"/>
      <c r="BE47" s="25"/>
      <c r="BF47" s="25"/>
      <c r="BG47" s="7"/>
      <c r="BH47" s="104"/>
      <c r="BI47" s="25"/>
      <c r="BJ47" s="25"/>
      <c r="BK47" s="7"/>
      <c r="BL47" s="104"/>
      <c r="BM47" s="25"/>
      <c r="BN47" s="25"/>
      <c r="BO47" s="7"/>
      <c r="BP47" s="104"/>
      <c r="BQ47" s="25"/>
      <c r="BR47" s="25"/>
      <c r="BS47" s="7"/>
      <c r="BT47" s="104"/>
      <c r="BU47" s="25"/>
      <c r="BV47" s="25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5"/>
      <c r="R48" s="25"/>
      <c r="S48" s="7"/>
      <c r="T48" s="104"/>
      <c r="U48" s="25"/>
      <c r="V48" s="25"/>
      <c r="W48" s="7"/>
      <c r="X48" s="104"/>
      <c r="Y48" s="25"/>
      <c r="Z48" s="25"/>
      <c r="AA48" s="7"/>
      <c r="AB48" s="104"/>
      <c r="AC48" s="25"/>
      <c r="AD48" s="25"/>
      <c r="AE48" s="7"/>
      <c r="AF48" s="104"/>
      <c r="AG48" s="25"/>
      <c r="AH48" s="25"/>
      <c r="AI48" s="7"/>
      <c r="AJ48" s="104"/>
      <c r="AK48" s="25"/>
      <c r="AL48" s="25"/>
      <c r="AM48" s="7"/>
      <c r="AN48" s="104"/>
      <c r="AO48" s="25"/>
      <c r="AP48" s="25"/>
      <c r="AQ48" s="7"/>
      <c r="AR48" s="104"/>
      <c r="AS48" s="25"/>
      <c r="AT48" s="25"/>
      <c r="AU48" s="7"/>
      <c r="AV48" s="104"/>
      <c r="AW48" s="25"/>
      <c r="AX48" s="25"/>
      <c r="AY48" s="7"/>
      <c r="AZ48" s="104"/>
      <c r="BA48" s="25"/>
      <c r="BB48" s="25"/>
      <c r="BC48" s="7"/>
      <c r="BD48" s="104"/>
      <c r="BE48" s="25"/>
      <c r="BF48" s="25"/>
      <c r="BG48" s="7"/>
      <c r="BH48" s="104"/>
      <c r="BI48" s="25"/>
      <c r="BJ48" s="25"/>
      <c r="BK48" s="7"/>
      <c r="BL48" s="104"/>
      <c r="BM48" s="25"/>
      <c r="BN48" s="25"/>
      <c r="BO48" s="7"/>
      <c r="BP48" s="104"/>
      <c r="BQ48" s="25"/>
      <c r="BR48" s="25"/>
      <c r="BS48" s="7"/>
      <c r="BT48" s="104"/>
      <c r="BU48" s="25"/>
      <c r="BV48" s="25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5"/>
      <c r="R49" s="25"/>
      <c r="S49" s="7"/>
      <c r="T49" s="104"/>
      <c r="U49" s="25"/>
      <c r="V49" s="25"/>
      <c r="W49" s="7"/>
      <c r="X49" s="104"/>
      <c r="Y49" s="25"/>
      <c r="Z49" s="25"/>
      <c r="AA49" s="7"/>
      <c r="AB49" s="104"/>
      <c r="AC49" s="25"/>
      <c r="AD49" s="25"/>
      <c r="AE49" s="7"/>
      <c r="AF49" s="104"/>
      <c r="AG49" s="25"/>
      <c r="AH49" s="25"/>
      <c r="AI49" s="7"/>
      <c r="AJ49" s="104"/>
      <c r="AK49" s="25"/>
      <c r="AL49" s="25"/>
      <c r="AM49" s="7"/>
      <c r="AN49" s="104"/>
      <c r="AO49" s="25"/>
      <c r="AP49" s="25"/>
      <c r="AQ49" s="7"/>
      <c r="AR49" s="104"/>
      <c r="AS49" s="25"/>
      <c r="AT49" s="25"/>
      <c r="AU49" s="7"/>
      <c r="AV49" s="104"/>
      <c r="AW49" s="25"/>
      <c r="AX49" s="25"/>
      <c r="AY49" s="7"/>
      <c r="AZ49" s="104"/>
      <c r="BA49" s="25"/>
      <c r="BB49" s="25"/>
      <c r="BC49" s="7"/>
      <c r="BD49" s="104"/>
      <c r="BE49" s="25"/>
      <c r="BF49" s="25"/>
      <c r="BG49" s="7"/>
      <c r="BH49" s="104"/>
      <c r="BI49" s="25"/>
      <c r="BJ49" s="25"/>
      <c r="BK49" s="7"/>
      <c r="BL49" s="104"/>
      <c r="BM49" s="25"/>
      <c r="BN49" s="25"/>
      <c r="BO49" s="7"/>
      <c r="BP49" s="104"/>
      <c r="BQ49" s="25"/>
      <c r="BR49" s="25"/>
      <c r="BS49" s="7"/>
      <c r="BT49" s="104"/>
      <c r="BU49" s="25"/>
      <c r="BV49" s="25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5"/>
      <c r="R50" s="25"/>
      <c r="S50" s="7"/>
      <c r="T50" s="104"/>
      <c r="U50" s="25"/>
      <c r="V50" s="25"/>
      <c r="W50" s="7"/>
      <c r="X50" s="104"/>
      <c r="Y50" s="25"/>
      <c r="Z50" s="25"/>
      <c r="AA50" s="7"/>
      <c r="AB50" s="104"/>
      <c r="AC50" s="25"/>
      <c r="AD50" s="25"/>
      <c r="AE50" s="7"/>
      <c r="AF50" s="104"/>
      <c r="AG50" s="25"/>
      <c r="AH50" s="25"/>
      <c r="AI50" s="7"/>
      <c r="AJ50" s="104"/>
      <c r="AK50" s="25"/>
      <c r="AL50" s="25"/>
      <c r="AM50" s="7"/>
      <c r="AN50" s="104"/>
      <c r="AO50" s="25"/>
      <c r="AP50" s="25"/>
      <c r="AQ50" s="7"/>
      <c r="AR50" s="104"/>
      <c r="AS50" s="25"/>
      <c r="AT50" s="25"/>
      <c r="AU50" s="7"/>
      <c r="AV50" s="104"/>
      <c r="AW50" s="25"/>
      <c r="AX50" s="25"/>
      <c r="AY50" s="7"/>
      <c r="AZ50" s="104"/>
      <c r="BA50" s="25"/>
      <c r="BB50" s="25"/>
      <c r="BC50" s="7"/>
      <c r="BD50" s="104"/>
      <c r="BE50" s="25"/>
      <c r="BF50" s="25"/>
      <c r="BG50" s="7"/>
      <c r="BH50" s="104"/>
      <c r="BI50" s="25"/>
      <c r="BJ50" s="25"/>
      <c r="BK50" s="7"/>
      <c r="BL50" s="104"/>
      <c r="BM50" s="25"/>
      <c r="BN50" s="25"/>
      <c r="BO50" s="7"/>
      <c r="BP50" s="104"/>
      <c r="BQ50" s="25"/>
      <c r="BR50" s="25"/>
      <c r="BS50" s="7"/>
      <c r="BT50" s="104"/>
      <c r="BU50" s="25"/>
      <c r="BV50" s="25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5"/>
      <c r="R51" s="25"/>
      <c r="S51" s="7"/>
      <c r="T51" s="104"/>
      <c r="U51" s="25"/>
      <c r="V51" s="25"/>
      <c r="W51" s="7"/>
      <c r="X51" s="104"/>
      <c r="Y51" s="25"/>
      <c r="Z51" s="25"/>
      <c r="AA51" s="7"/>
      <c r="AB51" s="104"/>
      <c r="AC51" s="25"/>
      <c r="AD51" s="25"/>
      <c r="AE51" s="7"/>
      <c r="AF51" s="104"/>
      <c r="AG51" s="25"/>
      <c r="AH51" s="25"/>
      <c r="AI51" s="7"/>
      <c r="AJ51" s="104"/>
      <c r="AK51" s="25"/>
      <c r="AL51" s="25"/>
      <c r="AM51" s="7"/>
      <c r="AN51" s="104"/>
      <c r="AO51" s="25"/>
      <c r="AP51" s="25"/>
      <c r="AQ51" s="7"/>
      <c r="AR51" s="104"/>
      <c r="AS51" s="25"/>
      <c r="AT51" s="25"/>
      <c r="AU51" s="7"/>
      <c r="AV51" s="104"/>
      <c r="AW51" s="25"/>
      <c r="AX51" s="25"/>
      <c r="AY51" s="7"/>
      <c r="AZ51" s="104"/>
      <c r="BA51" s="25"/>
      <c r="BB51" s="25"/>
      <c r="BC51" s="7"/>
      <c r="BD51" s="104"/>
      <c r="BE51" s="25"/>
      <c r="BF51" s="25"/>
      <c r="BG51" s="7"/>
      <c r="BH51" s="104"/>
      <c r="BI51" s="25"/>
      <c r="BJ51" s="25"/>
      <c r="BK51" s="7"/>
      <c r="BL51" s="104"/>
      <c r="BM51" s="25"/>
      <c r="BN51" s="25"/>
      <c r="BO51" s="7"/>
      <c r="BP51" s="104"/>
      <c r="BQ51" s="25"/>
      <c r="BR51" s="25"/>
      <c r="BS51" s="7"/>
      <c r="BT51" s="104"/>
      <c r="BU51" s="25"/>
      <c r="BV51" s="25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5"/>
      <c r="R52" s="25"/>
      <c r="S52" s="7"/>
      <c r="T52" s="104"/>
      <c r="U52" s="25"/>
      <c r="V52" s="25"/>
      <c r="W52" s="7"/>
      <c r="X52" s="104"/>
      <c r="Y52" s="25"/>
      <c r="Z52" s="25"/>
      <c r="AA52" s="7"/>
      <c r="AB52" s="104"/>
      <c r="AC52" s="25"/>
      <c r="AD52" s="25"/>
      <c r="AE52" s="7"/>
      <c r="AF52" s="104"/>
      <c r="AG52" s="25"/>
      <c r="AH52" s="25"/>
      <c r="AI52" s="7"/>
      <c r="AJ52" s="104"/>
      <c r="AK52" s="25"/>
      <c r="AL52" s="25"/>
      <c r="AM52" s="7"/>
      <c r="AN52" s="104"/>
      <c r="AO52" s="25"/>
      <c r="AP52" s="25"/>
      <c r="AQ52" s="7"/>
      <c r="AR52" s="104"/>
      <c r="AS52" s="25"/>
      <c r="AT52" s="25"/>
      <c r="AU52" s="7"/>
      <c r="AV52" s="104"/>
      <c r="AW52" s="25"/>
      <c r="AX52" s="25"/>
      <c r="AY52" s="7"/>
      <c r="AZ52" s="104"/>
      <c r="BA52" s="25"/>
      <c r="BB52" s="25"/>
      <c r="BC52" s="7"/>
      <c r="BD52" s="104"/>
      <c r="BE52" s="25"/>
      <c r="BF52" s="25"/>
      <c r="BG52" s="7"/>
      <c r="BH52" s="104"/>
      <c r="BI52" s="25"/>
      <c r="BJ52" s="25"/>
      <c r="BK52" s="7"/>
      <c r="BL52" s="104"/>
      <c r="BM52" s="25"/>
      <c r="BN52" s="25"/>
      <c r="BO52" s="7"/>
      <c r="BP52" s="104"/>
      <c r="BQ52" s="25"/>
      <c r="BR52" s="25"/>
      <c r="BS52" s="7"/>
      <c r="BT52" s="104"/>
      <c r="BU52" s="25"/>
      <c r="BV52" s="25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5"/>
      <c r="R53" s="25"/>
      <c r="S53" s="7"/>
      <c r="T53" s="104"/>
      <c r="U53" s="25"/>
      <c r="V53" s="25"/>
      <c r="W53" s="7"/>
      <c r="X53" s="104"/>
      <c r="Y53" s="25"/>
      <c r="Z53" s="25"/>
      <c r="AA53" s="7"/>
      <c r="AB53" s="104"/>
      <c r="AC53" s="25"/>
      <c r="AD53" s="25"/>
      <c r="AE53" s="7"/>
      <c r="AF53" s="104"/>
      <c r="AG53" s="25"/>
      <c r="AH53" s="25"/>
      <c r="AI53" s="7"/>
      <c r="AJ53" s="104"/>
      <c r="AK53" s="25"/>
      <c r="AL53" s="25"/>
      <c r="AM53" s="7"/>
      <c r="AN53" s="104"/>
      <c r="AO53" s="25"/>
      <c r="AP53" s="25"/>
      <c r="AQ53" s="7"/>
      <c r="AR53" s="104"/>
      <c r="AS53" s="25"/>
      <c r="AT53" s="25"/>
      <c r="AU53" s="7"/>
      <c r="AV53" s="104"/>
      <c r="AW53" s="25"/>
      <c r="AX53" s="25"/>
      <c r="AY53" s="7"/>
      <c r="AZ53" s="104"/>
      <c r="BA53" s="25"/>
      <c r="BB53" s="25"/>
      <c r="BC53" s="7"/>
      <c r="BD53" s="104"/>
      <c r="BE53" s="25"/>
      <c r="BF53" s="25"/>
      <c r="BG53" s="7"/>
      <c r="BH53" s="104"/>
      <c r="BI53" s="25"/>
      <c r="BJ53" s="25"/>
      <c r="BK53" s="7"/>
      <c r="BL53" s="104"/>
      <c r="BM53" s="25"/>
      <c r="BN53" s="25"/>
      <c r="BO53" s="7"/>
      <c r="BP53" s="104"/>
      <c r="BQ53" s="25"/>
      <c r="BR53" s="25"/>
      <c r="BS53" s="7"/>
      <c r="BT53" s="104"/>
      <c r="BU53" s="25"/>
      <c r="BV53" s="25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5"/>
      <c r="R54" s="25"/>
      <c r="S54" s="7"/>
      <c r="T54" s="104"/>
      <c r="U54" s="25"/>
      <c r="V54" s="25"/>
      <c r="W54" s="7"/>
      <c r="X54" s="104"/>
      <c r="Y54" s="25"/>
      <c r="Z54" s="25"/>
      <c r="AA54" s="7"/>
      <c r="AB54" s="104"/>
      <c r="AC54" s="25"/>
      <c r="AD54" s="25"/>
      <c r="AE54" s="7"/>
      <c r="AF54" s="104"/>
      <c r="AG54" s="25"/>
      <c r="AH54" s="25"/>
      <c r="AI54" s="7"/>
      <c r="AJ54" s="104"/>
      <c r="AK54" s="25"/>
      <c r="AL54" s="25"/>
      <c r="AM54" s="7"/>
      <c r="AN54" s="104"/>
      <c r="AO54" s="25"/>
      <c r="AP54" s="25"/>
      <c r="AQ54" s="7"/>
      <c r="AR54" s="104"/>
      <c r="AS54" s="25"/>
      <c r="AT54" s="25"/>
      <c r="AU54" s="7"/>
      <c r="AV54" s="104"/>
      <c r="AW54" s="25"/>
      <c r="AX54" s="25"/>
      <c r="AY54" s="7"/>
      <c r="AZ54" s="104"/>
      <c r="BA54" s="25"/>
      <c r="BB54" s="25"/>
      <c r="BC54" s="7"/>
      <c r="BD54" s="104"/>
      <c r="BE54" s="25"/>
      <c r="BF54" s="25"/>
      <c r="BG54" s="7"/>
      <c r="BH54" s="104"/>
      <c r="BI54" s="25"/>
      <c r="BJ54" s="25"/>
      <c r="BK54" s="7"/>
      <c r="BL54" s="104"/>
      <c r="BM54" s="25"/>
      <c r="BN54" s="25"/>
      <c r="BO54" s="7"/>
      <c r="BP54" s="104"/>
      <c r="BQ54" s="25"/>
      <c r="BR54" s="25"/>
      <c r="BS54" s="7"/>
      <c r="BT54" s="104"/>
      <c r="BU54" s="25"/>
      <c r="BV54" s="25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5"/>
      <c r="R55" s="25"/>
      <c r="S55" s="7"/>
      <c r="T55" s="104"/>
      <c r="U55" s="25"/>
      <c r="V55" s="25"/>
      <c r="W55" s="7"/>
      <c r="X55" s="104"/>
      <c r="Y55" s="25"/>
      <c r="Z55" s="25"/>
      <c r="AA55" s="7"/>
      <c r="AB55" s="104"/>
      <c r="AC55" s="25"/>
      <c r="AD55" s="25"/>
      <c r="AE55" s="7"/>
      <c r="AF55" s="104"/>
      <c r="AG55" s="25"/>
      <c r="AH55" s="25"/>
      <c r="AI55" s="7"/>
      <c r="AJ55" s="104"/>
      <c r="AK55" s="25"/>
      <c r="AL55" s="25"/>
      <c r="AM55" s="7"/>
      <c r="AN55" s="104"/>
      <c r="AO55" s="25"/>
      <c r="AP55" s="25"/>
      <c r="AQ55" s="7"/>
      <c r="AR55" s="104"/>
      <c r="AS55" s="25"/>
      <c r="AT55" s="25"/>
      <c r="AU55" s="7"/>
      <c r="AV55" s="104"/>
      <c r="AW55" s="25"/>
      <c r="AX55" s="25"/>
      <c r="AY55" s="7"/>
      <c r="AZ55" s="104"/>
      <c r="BA55" s="25"/>
      <c r="BB55" s="25"/>
      <c r="BC55" s="7"/>
      <c r="BD55" s="104"/>
      <c r="BE55" s="25"/>
      <c r="BF55" s="25"/>
      <c r="BG55" s="7"/>
      <c r="BH55" s="104"/>
      <c r="BI55" s="25"/>
      <c r="BJ55" s="25"/>
      <c r="BK55" s="7"/>
      <c r="BL55" s="104"/>
      <c r="BM55" s="25"/>
      <c r="BN55" s="25"/>
      <c r="BO55" s="7"/>
      <c r="BP55" s="104"/>
      <c r="BQ55" s="25"/>
      <c r="BR55" s="25"/>
      <c r="BS55" s="7"/>
      <c r="BT55" s="104"/>
      <c r="BU55" s="25"/>
      <c r="BV55" s="25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5"/>
      <c r="R56" s="25"/>
      <c r="S56" s="7"/>
      <c r="T56" s="104"/>
      <c r="U56" s="25"/>
      <c r="V56" s="25"/>
      <c r="W56" s="7"/>
      <c r="X56" s="104"/>
      <c r="Y56" s="25"/>
      <c r="Z56" s="25"/>
      <c r="AA56" s="7"/>
      <c r="AB56" s="104"/>
      <c r="AC56" s="25"/>
      <c r="AD56" s="25"/>
      <c r="AE56" s="7"/>
      <c r="AF56" s="104"/>
      <c r="AG56" s="25"/>
      <c r="AH56" s="25"/>
      <c r="AI56" s="7"/>
      <c r="AJ56" s="104"/>
      <c r="AK56" s="25"/>
      <c r="AL56" s="25"/>
      <c r="AM56" s="7"/>
      <c r="AN56" s="104"/>
      <c r="AO56" s="25"/>
      <c r="AP56" s="25"/>
      <c r="AQ56" s="7"/>
      <c r="AR56" s="104"/>
      <c r="AS56" s="25"/>
      <c r="AT56" s="25"/>
      <c r="AU56" s="7"/>
      <c r="AV56" s="104"/>
      <c r="AW56" s="25"/>
      <c r="AX56" s="25"/>
      <c r="AY56" s="7"/>
      <c r="AZ56" s="104"/>
      <c r="BA56" s="25"/>
      <c r="BB56" s="25"/>
      <c r="BC56" s="7"/>
      <c r="BD56" s="104"/>
      <c r="BE56" s="25"/>
      <c r="BF56" s="25"/>
      <c r="BG56" s="7"/>
      <c r="BH56" s="104"/>
      <c r="BI56" s="25"/>
      <c r="BJ56" s="25"/>
      <c r="BK56" s="7"/>
      <c r="BL56" s="104"/>
      <c r="BM56" s="25"/>
      <c r="BN56" s="25"/>
      <c r="BO56" s="7"/>
      <c r="BP56" s="104"/>
      <c r="BQ56" s="25"/>
      <c r="BR56" s="25"/>
      <c r="BS56" s="7"/>
      <c r="BT56" s="104"/>
      <c r="BU56" s="25"/>
      <c r="BV56" s="25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5"/>
      <c r="R57" s="25"/>
      <c r="S57" s="7"/>
      <c r="T57" s="104"/>
      <c r="U57" s="25"/>
      <c r="V57" s="25"/>
      <c r="W57" s="7"/>
      <c r="X57" s="104"/>
      <c r="Y57" s="25"/>
      <c r="Z57" s="25"/>
      <c r="AA57" s="7"/>
      <c r="AB57" s="104"/>
      <c r="AC57" s="25"/>
      <c r="AD57" s="25"/>
      <c r="AE57" s="7"/>
      <c r="AF57" s="104"/>
      <c r="AG57" s="25"/>
      <c r="AH57" s="25"/>
      <c r="AI57" s="7"/>
      <c r="AJ57" s="104"/>
      <c r="AK57" s="25"/>
      <c r="AL57" s="25"/>
      <c r="AM57" s="7"/>
      <c r="AN57" s="104"/>
      <c r="AO57" s="25"/>
      <c r="AP57" s="25"/>
      <c r="AQ57" s="7"/>
      <c r="AR57" s="104"/>
      <c r="AS57" s="25"/>
      <c r="AT57" s="25"/>
      <c r="AU57" s="7"/>
      <c r="AV57" s="104"/>
      <c r="AW57" s="25"/>
      <c r="AX57" s="25"/>
      <c r="AY57" s="7"/>
      <c r="AZ57" s="104"/>
      <c r="BA57" s="25"/>
      <c r="BB57" s="25"/>
      <c r="BC57" s="7"/>
      <c r="BD57" s="104"/>
      <c r="BE57" s="25"/>
      <c r="BF57" s="25"/>
      <c r="BG57" s="7"/>
      <c r="BH57" s="104"/>
      <c r="BI57" s="25"/>
      <c r="BJ57" s="25"/>
      <c r="BK57" s="7"/>
      <c r="BL57" s="104"/>
      <c r="BM57" s="25"/>
      <c r="BN57" s="25"/>
      <c r="BO57" s="7"/>
      <c r="BP57" s="104"/>
      <c r="BQ57" s="25"/>
      <c r="BR57" s="25"/>
      <c r="BS57" s="7"/>
      <c r="BT57" s="104"/>
      <c r="BU57" s="25"/>
      <c r="BV57" s="25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5"/>
      <c r="R58" s="25"/>
      <c r="S58" s="7"/>
      <c r="T58" s="104"/>
      <c r="U58" s="25"/>
      <c r="V58" s="25"/>
      <c r="W58" s="7"/>
      <c r="X58" s="104"/>
      <c r="Y58" s="25"/>
      <c r="Z58" s="25"/>
      <c r="AA58" s="7"/>
      <c r="AB58" s="104"/>
      <c r="AC58" s="25"/>
      <c r="AD58" s="25"/>
      <c r="AE58" s="7"/>
      <c r="AF58" s="104"/>
      <c r="AG58" s="25"/>
      <c r="AH58" s="25"/>
      <c r="AI58" s="7"/>
      <c r="AJ58" s="104"/>
      <c r="AK58" s="25"/>
      <c r="AL58" s="25"/>
      <c r="AM58" s="7"/>
      <c r="AN58" s="104"/>
      <c r="AO58" s="25"/>
      <c r="AP58" s="25"/>
      <c r="AQ58" s="7"/>
      <c r="AR58" s="104"/>
      <c r="AS58" s="25"/>
      <c r="AT58" s="25"/>
      <c r="AU58" s="7"/>
      <c r="AV58" s="104"/>
      <c r="AW58" s="25"/>
      <c r="AX58" s="25"/>
      <c r="AY58" s="7"/>
      <c r="AZ58" s="104"/>
      <c r="BA58" s="25"/>
      <c r="BB58" s="25"/>
      <c r="BC58" s="7"/>
      <c r="BD58" s="104"/>
      <c r="BE58" s="25"/>
      <c r="BF58" s="25"/>
      <c r="BG58" s="7"/>
      <c r="BH58" s="104"/>
      <c r="BI58" s="25"/>
      <c r="BJ58" s="25"/>
      <c r="BK58" s="7"/>
      <c r="BL58" s="104"/>
      <c r="BM58" s="25"/>
      <c r="BN58" s="25"/>
      <c r="BO58" s="7"/>
      <c r="BP58" s="104"/>
      <c r="BQ58" s="25"/>
      <c r="BR58" s="25"/>
      <c r="BS58" s="7"/>
      <c r="BT58" s="104"/>
      <c r="BU58" s="25"/>
      <c r="BV58" s="25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5"/>
      <c r="R59" s="25"/>
      <c r="S59" s="7"/>
      <c r="T59" s="104"/>
      <c r="U59" s="25"/>
      <c r="V59" s="25"/>
      <c r="W59" s="7"/>
      <c r="X59" s="104"/>
      <c r="Y59" s="25"/>
      <c r="Z59" s="25"/>
      <c r="AA59" s="7"/>
      <c r="AB59" s="104"/>
      <c r="AC59" s="25"/>
      <c r="AD59" s="25"/>
      <c r="AE59" s="7"/>
      <c r="AF59" s="104"/>
      <c r="AG59" s="25"/>
      <c r="AH59" s="25"/>
      <c r="AI59" s="7"/>
      <c r="AJ59" s="104"/>
      <c r="AK59" s="25"/>
      <c r="AL59" s="25"/>
      <c r="AM59" s="7"/>
      <c r="AN59" s="104"/>
      <c r="AO59" s="25"/>
      <c r="AP59" s="25"/>
      <c r="AQ59" s="7"/>
      <c r="AR59" s="104"/>
      <c r="AS59" s="25"/>
      <c r="AT59" s="25"/>
      <c r="AU59" s="7"/>
      <c r="AV59" s="104"/>
      <c r="AW59" s="25"/>
      <c r="AX59" s="25"/>
      <c r="AY59" s="7"/>
      <c r="AZ59" s="104"/>
      <c r="BA59" s="25"/>
      <c r="BB59" s="25"/>
      <c r="BC59" s="7"/>
      <c r="BD59" s="104"/>
      <c r="BE59" s="25"/>
      <c r="BF59" s="25"/>
      <c r="BG59" s="7"/>
      <c r="BH59" s="104"/>
      <c r="BI59" s="25"/>
      <c r="BJ59" s="25"/>
      <c r="BK59" s="7"/>
      <c r="BL59" s="104"/>
      <c r="BM59" s="25"/>
      <c r="BN59" s="25"/>
      <c r="BO59" s="7"/>
      <c r="BP59" s="104"/>
      <c r="BQ59" s="25"/>
      <c r="BR59" s="25"/>
      <c r="BS59" s="7"/>
      <c r="BT59" s="104"/>
      <c r="BU59" s="25"/>
      <c r="BV59" s="25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5"/>
      <c r="R60" s="25"/>
      <c r="S60" s="7"/>
      <c r="T60" s="104"/>
      <c r="U60" s="25"/>
      <c r="V60" s="25"/>
      <c r="W60" s="7"/>
      <c r="X60" s="104"/>
      <c r="Y60" s="25"/>
      <c r="Z60" s="25"/>
      <c r="AA60" s="7"/>
      <c r="AB60" s="104"/>
      <c r="AC60" s="25"/>
      <c r="AD60" s="25"/>
      <c r="AE60" s="7"/>
      <c r="AF60" s="104"/>
      <c r="AG60" s="25"/>
      <c r="AH60" s="25"/>
      <c r="AI60" s="7"/>
      <c r="AJ60" s="104"/>
      <c r="AK60" s="25"/>
      <c r="AL60" s="25"/>
      <c r="AM60" s="7"/>
      <c r="AN60" s="104"/>
      <c r="AO60" s="25"/>
      <c r="AP60" s="25"/>
      <c r="AQ60" s="7"/>
      <c r="AR60" s="104"/>
      <c r="AS60" s="25"/>
      <c r="AT60" s="25"/>
      <c r="AU60" s="7"/>
      <c r="AV60" s="104"/>
      <c r="AW60" s="25"/>
      <c r="AX60" s="25"/>
      <c r="AY60" s="7"/>
      <c r="AZ60" s="104"/>
      <c r="BA60" s="25"/>
      <c r="BB60" s="25"/>
      <c r="BC60" s="7"/>
      <c r="BD60" s="104"/>
      <c r="BE60" s="25"/>
      <c r="BF60" s="25"/>
      <c r="BG60" s="7"/>
      <c r="BH60" s="104"/>
      <c r="BI60" s="25"/>
      <c r="BJ60" s="25"/>
      <c r="BK60" s="7"/>
      <c r="BL60" s="104"/>
      <c r="BM60" s="25"/>
      <c r="BN60" s="25"/>
      <c r="BO60" s="7"/>
      <c r="BP60" s="104"/>
      <c r="BQ60" s="25"/>
      <c r="BR60" s="25"/>
      <c r="BS60" s="7"/>
      <c r="BT60" s="104"/>
      <c r="BU60" s="25"/>
      <c r="BV60" s="25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5"/>
      <c r="R61" s="25"/>
      <c r="S61" s="7"/>
      <c r="T61" s="104"/>
      <c r="U61" s="25"/>
      <c r="V61" s="25"/>
      <c r="W61" s="7"/>
      <c r="X61" s="104"/>
      <c r="Y61" s="25"/>
      <c r="Z61" s="25"/>
      <c r="AA61" s="7"/>
      <c r="AB61" s="104"/>
      <c r="AC61" s="25"/>
      <c r="AD61" s="25"/>
      <c r="AE61" s="7"/>
      <c r="AF61" s="104"/>
      <c r="AG61" s="25"/>
      <c r="AH61" s="25"/>
      <c r="AI61" s="7"/>
      <c r="AJ61" s="104"/>
      <c r="AK61" s="25"/>
      <c r="AL61" s="25"/>
      <c r="AM61" s="7"/>
      <c r="AN61" s="104"/>
      <c r="AO61" s="25"/>
      <c r="AP61" s="25"/>
      <c r="AQ61" s="7"/>
      <c r="AR61" s="104"/>
      <c r="AS61" s="25"/>
      <c r="AT61" s="25"/>
      <c r="AU61" s="7"/>
      <c r="AV61" s="104"/>
      <c r="AW61" s="25"/>
      <c r="AX61" s="25"/>
      <c r="AY61" s="7"/>
      <c r="AZ61" s="104"/>
      <c r="BA61" s="25"/>
      <c r="BB61" s="25"/>
      <c r="BC61" s="7"/>
      <c r="BD61" s="104"/>
      <c r="BE61" s="25"/>
      <c r="BF61" s="25"/>
      <c r="BG61" s="7"/>
      <c r="BH61" s="104"/>
      <c r="BI61" s="25"/>
      <c r="BJ61" s="25"/>
      <c r="BK61" s="7"/>
      <c r="BL61" s="104"/>
      <c r="BM61" s="25"/>
      <c r="BN61" s="25"/>
      <c r="BO61" s="7"/>
      <c r="BP61" s="104"/>
      <c r="BQ61" s="25"/>
      <c r="BR61" s="25"/>
      <c r="BS61" s="7"/>
      <c r="BT61" s="104"/>
      <c r="BU61" s="25"/>
      <c r="BV61" s="25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5"/>
      <c r="R62" s="25"/>
      <c r="S62" s="7"/>
      <c r="T62" s="104"/>
      <c r="U62" s="25"/>
      <c r="V62" s="25"/>
      <c r="W62" s="7"/>
      <c r="X62" s="104"/>
      <c r="Y62" s="25"/>
      <c r="Z62" s="25"/>
      <c r="AA62" s="7"/>
      <c r="AB62" s="104"/>
      <c r="AC62" s="25"/>
      <c r="AD62" s="25"/>
      <c r="AE62" s="7"/>
      <c r="AF62" s="104"/>
      <c r="AG62" s="25"/>
      <c r="AH62" s="25"/>
      <c r="AI62" s="7"/>
      <c r="AJ62" s="104"/>
      <c r="AK62" s="25"/>
      <c r="AL62" s="25"/>
      <c r="AM62" s="7"/>
      <c r="AN62" s="104"/>
      <c r="AO62" s="25"/>
      <c r="AP62" s="25"/>
      <c r="AQ62" s="7"/>
      <c r="AR62" s="104"/>
      <c r="AS62" s="25"/>
      <c r="AT62" s="25"/>
      <c r="AU62" s="7"/>
      <c r="AV62" s="104"/>
      <c r="AW62" s="25"/>
      <c r="AX62" s="25"/>
      <c r="AY62" s="7"/>
      <c r="AZ62" s="104"/>
      <c r="BA62" s="25"/>
      <c r="BB62" s="25"/>
      <c r="BC62" s="7"/>
      <c r="BD62" s="104"/>
      <c r="BE62" s="25"/>
      <c r="BF62" s="25"/>
      <c r="BG62" s="7"/>
      <c r="BH62" s="104"/>
      <c r="BI62" s="25"/>
      <c r="BJ62" s="25"/>
      <c r="BK62" s="7"/>
      <c r="BL62" s="104"/>
      <c r="BM62" s="25"/>
      <c r="BN62" s="25"/>
      <c r="BO62" s="7"/>
      <c r="BP62" s="104"/>
      <c r="BQ62" s="25"/>
      <c r="BR62" s="25"/>
      <c r="BS62" s="7"/>
      <c r="BT62" s="104"/>
      <c r="BU62" s="25"/>
      <c r="BV62" s="25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5"/>
      <c r="R63" s="25"/>
      <c r="S63" s="7"/>
      <c r="T63" s="104"/>
      <c r="U63" s="25"/>
      <c r="V63" s="25"/>
      <c r="W63" s="7"/>
      <c r="X63" s="104"/>
      <c r="Y63" s="25"/>
      <c r="Z63" s="25"/>
      <c r="AA63" s="7"/>
      <c r="AB63" s="104"/>
      <c r="AC63" s="25"/>
      <c r="AD63" s="25"/>
      <c r="AE63" s="7"/>
      <c r="AF63" s="104"/>
      <c r="AG63" s="25"/>
      <c r="AH63" s="25"/>
      <c r="AI63" s="7"/>
      <c r="AJ63" s="104"/>
      <c r="AK63" s="25"/>
      <c r="AL63" s="25"/>
      <c r="AM63" s="7"/>
      <c r="AN63" s="104"/>
      <c r="AO63" s="25"/>
      <c r="AP63" s="25"/>
      <c r="AQ63" s="7"/>
      <c r="AR63" s="104"/>
      <c r="AS63" s="25"/>
      <c r="AT63" s="25"/>
      <c r="AU63" s="7"/>
      <c r="AV63" s="104"/>
      <c r="AW63" s="25"/>
      <c r="AX63" s="25"/>
      <c r="AY63" s="7"/>
      <c r="AZ63" s="104"/>
      <c r="BA63" s="25"/>
      <c r="BB63" s="25"/>
      <c r="BC63" s="7"/>
      <c r="BD63" s="104"/>
      <c r="BE63" s="25"/>
      <c r="BF63" s="25"/>
      <c r="BG63" s="7"/>
      <c r="BH63" s="104"/>
      <c r="BI63" s="25"/>
      <c r="BJ63" s="25"/>
      <c r="BK63" s="7"/>
      <c r="BL63" s="104"/>
      <c r="BM63" s="25"/>
      <c r="BN63" s="25"/>
      <c r="BO63" s="7"/>
      <c r="BP63" s="104"/>
      <c r="BQ63" s="25"/>
      <c r="BR63" s="25"/>
      <c r="BS63" s="7"/>
      <c r="BT63" s="104"/>
      <c r="BU63" s="25"/>
      <c r="BV63" s="25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5"/>
      <c r="R64" s="25"/>
      <c r="S64" s="7"/>
      <c r="T64" s="104"/>
      <c r="U64" s="25"/>
      <c r="V64" s="25"/>
      <c r="W64" s="7"/>
      <c r="X64" s="104"/>
      <c r="Y64" s="25"/>
      <c r="Z64" s="25"/>
      <c r="AA64" s="7"/>
      <c r="AB64" s="104"/>
      <c r="AC64" s="25"/>
      <c r="AD64" s="25"/>
      <c r="AE64" s="7"/>
      <c r="AF64" s="104"/>
      <c r="AG64" s="25"/>
      <c r="AH64" s="25"/>
      <c r="AI64" s="7"/>
      <c r="AJ64" s="104"/>
      <c r="AK64" s="25"/>
      <c r="AL64" s="25"/>
      <c r="AM64" s="7"/>
      <c r="AN64" s="104"/>
      <c r="AO64" s="25"/>
      <c r="AP64" s="25"/>
      <c r="AQ64" s="7"/>
      <c r="AR64" s="104"/>
      <c r="AS64" s="25"/>
      <c r="AT64" s="25"/>
      <c r="AU64" s="7"/>
      <c r="AV64" s="104"/>
      <c r="AW64" s="25"/>
      <c r="AX64" s="25"/>
      <c r="AY64" s="7"/>
      <c r="AZ64" s="104"/>
      <c r="BA64" s="25"/>
      <c r="BB64" s="25"/>
      <c r="BC64" s="7"/>
      <c r="BD64" s="104"/>
      <c r="BE64" s="25"/>
      <c r="BF64" s="25"/>
      <c r="BG64" s="7"/>
      <c r="BH64" s="104"/>
      <c r="BI64" s="25"/>
      <c r="BJ64" s="25"/>
      <c r="BK64" s="7"/>
      <c r="BL64" s="104"/>
      <c r="BM64" s="25"/>
      <c r="BN64" s="25"/>
      <c r="BO64" s="7"/>
      <c r="BP64" s="104"/>
      <c r="BQ64" s="25"/>
      <c r="BR64" s="25"/>
      <c r="BS64" s="7"/>
      <c r="BT64" s="104"/>
      <c r="BU64" s="25"/>
      <c r="BV64" s="25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5"/>
      <c r="R65" s="25"/>
      <c r="S65" s="7"/>
      <c r="T65" s="104"/>
      <c r="U65" s="25"/>
      <c r="V65" s="25"/>
      <c r="W65" s="7"/>
      <c r="X65" s="104"/>
      <c r="Y65" s="25"/>
      <c r="Z65" s="25"/>
      <c r="AA65" s="7"/>
      <c r="AB65" s="104"/>
      <c r="AC65" s="25"/>
      <c r="AD65" s="25"/>
      <c r="AE65" s="7"/>
      <c r="AF65" s="104"/>
      <c r="AG65" s="25"/>
      <c r="AH65" s="25"/>
      <c r="AI65" s="7"/>
      <c r="AJ65" s="104"/>
      <c r="AK65" s="25"/>
      <c r="AL65" s="25"/>
      <c r="AM65" s="7"/>
      <c r="AN65" s="104"/>
      <c r="AO65" s="25"/>
      <c r="AP65" s="25"/>
      <c r="AQ65" s="7"/>
      <c r="AR65" s="104"/>
      <c r="AS65" s="25"/>
      <c r="AT65" s="25"/>
      <c r="AU65" s="7"/>
      <c r="AV65" s="104"/>
      <c r="AW65" s="25"/>
      <c r="AX65" s="25"/>
      <c r="AY65" s="7"/>
      <c r="AZ65" s="104"/>
      <c r="BA65" s="25"/>
      <c r="BB65" s="25"/>
      <c r="BC65" s="7"/>
      <c r="BD65" s="104"/>
      <c r="BE65" s="25"/>
      <c r="BF65" s="25"/>
      <c r="BG65" s="7"/>
      <c r="BH65" s="104"/>
      <c r="BI65" s="25"/>
      <c r="BJ65" s="25"/>
      <c r="BK65" s="7"/>
      <c r="BL65" s="104"/>
      <c r="BM65" s="25"/>
      <c r="BN65" s="25"/>
      <c r="BO65" s="7"/>
      <c r="BP65" s="104"/>
      <c r="BQ65" s="25"/>
      <c r="BR65" s="25"/>
      <c r="BS65" s="7"/>
      <c r="BT65" s="104"/>
      <c r="BU65" s="25"/>
      <c r="BV65" s="25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5"/>
      <c r="R66" s="25"/>
      <c r="S66" s="7"/>
      <c r="T66" s="104"/>
      <c r="U66" s="25"/>
      <c r="V66" s="25"/>
      <c r="W66" s="7"/>
      <c r="X66" s="104"/>
      <c r="Y66" s="25"/>
      <c r="Z66" s="25"/>
      <c r="AA66" s="7"/>
      <c r="AB66" s="104"/>
      <c r="AC66" s="25"/>
      <c r="AD66" s="25"/>
      <c r="AE66" s="7"/>
      <c r="AF66" s="104"/>
      <c r="AG66" s="25"/>
      <c r="AH66" s="25"/>
      <c r="AI66" s="7"/>
      <c r="AJ66" s="104"/>
      <c r="AK66" s="25"/>
      <c r="AL66" s="25"/>
      <c r="AM66" s="7"/>
      <c r="AN66" s="104"/>
      <c r="AO66" s="25"/>
      <c r="AP66" s="25"/>
      <c r="AQ66" s="7"/>
      <c r="AR66" s="104"/>
      <c r="AS66" s="25"/>
      <c r="AT66" s="25"/>
      <c r="AU66" s="7"/>
      <c r="AV66" s="104"/>
      <c r="AW66" s="25"/>
      <c r="AX66" s="25"/>
      <c r="AY66" s="7"/>
      <c r="AZ66" s="104"/>
      <c r="BA66" s="25"/>
      <c r="BB66" s="25"/>
      <c r="BC66" s="7"/>
      <c r="BD66" s="104"/>
      <c r="BE66" s="25"/>
      <c r="BF66" s="25"/>
      <c r="BG66" s="7"/>
      <c r="BH66" s="104"/>
      <c r="BI66" s="25"/>
      <c r="BJ66" s="25"/>
      <c r="BK66" s="7"/>
      <c r="BL66" s="104"/>
      <c r="BM66" s="25"/>
      <c r="BN66" s="25"/>
      <c r="BO66" s="7"/>
      <c r="BP66" s="104"/>
      <c r="BQ66" s="25"/>
      <c r="BR66" s="25"/>
      <c r="BS66" s="7"/>
      <c r="BT66" s="104"/>
      <c r="BU66" s="25"/>
      <c r="BV66" s="25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5"/>
      <c r="R67" s="25"/>
      <c r="S67" s="7"/>
      <c r="T67" s="104"/>
      <c r="U67" s="25"/>
      <c r="V67" s="25"/>
      <c r="W67" s="7"/>
      <c r="X67" s="104"/>
      <c r="Y67" s="25"/>
      <c r="Z67" s="25"/>
      <c r="AA67" s="7"/>
      <c r="AB67" s="104"/>
      <c r="AC67" s="25"/>
      <c r="AD67" s="25"/>
      <c r="AE67" s="7"/>
      <c r="AF67" s="104"/>
      <c r="AG67" s="25"/>
      <c r="AH67" s="25"/>
      <c r="AI67" s="7"/>
      <c r="AJ67" s="104"/>
      <c r="AK67" s="25"/>
      <c r="AL67" s="25"/>
      <c r="AM67" s="7"/>
      <c r="AN67" s="104"/>
      <c r="AO67" s="25"/>
      <c r="AP67" s="25"/>
      <c r="AQ67" s="7"/>
      <c r="AR67" s="104"/>
      <c r="AS67" s="25"/>
      <c r="AT67" s="25"/>
      <c r="AU67" s="7"/>
      <c r="AV67" s="104"/>
      <c r="AW67" s="25"/>
      <c r="AX67" s="25"/>
      <c r="AY67" s="7"/>
      <c r="AZ67" s="104"/>
      <c r="BA67" s="25"/>
      <c r="BB67" s="25"/>
      <c r="BC67" s="7"/>
      <c r="BD67" s="104"/>
      <c r="BE67" s="25"/>
      <c r="BF67" s="25"/>
      <c r="BG67" s="7"/>
      <c r="BH67" s="104"/>
      <c r="BI67" s="25"/>
      <c r="BJ67" s="25"/>
      <c r="BK67" s="7"/>
      <c r="BL67" s="104"/>
      <c r="BM67" s="25"/>
      <c r="BN67" s="25"/>
      <c r="BO67" s="7"/>
      <c r="BP67" s="104"/>
      <c r="BQ67" s="25"/>
      <c r="BR67" s="25"/>
      <c r="BS67" s="7"/>
      <c r="BT67" s="104"/>
      <c r="BU67" s="25"/>
      <c r="BV67" s="25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5"/>
      <c r="R68" s="25"/>
      <c r="S68" s="7"/>
      <c r="T68" s="104"/>
      <c r="U68" s="25"/>
      <c r="V68" s="25"/>
      <c r="W68" s="7"/>
      <c r="X68" s="104"/>
      <c r="Y68" s="25"/>
      <c r="Z68" s="25"/>
      <c r="AA68" s="7"/>
      <c r="AB68" s="104"/>
      <c r="AC68" s="25"/>
      <c r="AD68" s="25"/>
      <c r="AE68" s="7"/>
      <c r="AF68" s="104"/>
      <c r="AG68" s="25"/>
      <c r="AH68" s="25"/>
      <c r="AI68" s="7"/>
      <c r="AJ68" s="104"/>
      <c r="AK68" s="25"/>
      <c r="AL68" s="25"/>
      <c r="AM68" s="7"/>
      <c r="AN68" s="104"/>
      <c r="AO68" s="25"/>
      <c r="AP68" s="25"/>
      <c r="AQ68" s="7"/>
      <c r="AR68" s="104"/>
      <c r="AS68" s="25"/>
      <c r="AT68" s="25"/>
      <c r="AU68" s="7"/>
      <c r="AV68" s="104"/>
      <c r="AW68" s="25"/>
      <c r="AX68" s="25"/>
      <c r="AY68" s="7"/>
      <c r="AZ68" s="104"/>
      <c r="BA68" s="25"/>
      <c r="BB68" s="25"/>
      <c r="BC68" s="7"/>
      <c r="BD68" s="104"/>
      <c r="BE68" s="25"/>
      <c r="BF68" s="25"/>
      <c r="BG68" s="7"/>
      <c r="BH68" s="104"/>
      <c r="BI68" s="25"/>
      <c r="BJ68" s="25"/>
      <c r="BK68" s="7"/>
      <c r="BL68" s="104"/>
      <c r="BM68" s="25"/>
      <c r="BN68" s="25"/>
      <c r="BO68" s="7"/>
      <c r="BP68" s="104"/>
      <c r="BQ68" s="25"/>
      <c r="BR68" s="25"/>
      <c r="BS68" s="7"/>
      <c r="BT68" s="104"/>
      <c r="BU68" s="25"/>
      <c r="BV68" s="25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5"/>
      <c r="R69" s="25"/>
      <c r="S69" s="7"/>
      <c r="T69" s="104"/>
      <c r="U69" s="25"/>
      <c r="V69" s="25"/>
      <c r="W69" s="7"/>
      <c r="X69" s="104"/>
      <c r="Y69" s="25"/>
      <c r="Z69" s="25"/>
      <c r="AA69" s="7"/>
      <c r="AB69" s="104"/>
      <c r="AC69" s="25"/>
      <c r="AD69" s="25"/>
      <c r="AE69" s="7"/>
      <c r="AF69" s="104"/>
      <c r="AG69" s="25"/>
      <c r="AH69" s="25"/>
      <c r="AI69" s="7"/>
      <c r="AJ69" s="104"/>
      <c r="AK69" s="25"/>
      <c r="AL69" s="25"/>
      <c r="AM69" s="7"/>
      <c r="AN69" s="104"/>
      <c r="AO69" s="25"/>
      <c r="AP69" s="25"/>
      <c r="AQ69" s="7"/>
      <c r="AR69" s="104"/>
      <c r="AS69" s="25"/>
      <c r="AT69" s="25"/>
      <c r="AU69" s="7"/>
      <c r="AV69" s="104"/>
      <c r="AW69" s="25"/>
      <c r="AX69" s="25"/>
      <c r="AY69" s="7"/>
      <c r="AZ69" s="104"/>
      <c r="BA69" s="25"/>
      <c r="BB69" s="25"/>
      <c r="BC69" s="7"/>
      <c r="BD69" s="104"/>
      <c r="BE69" s="25"/>
      <c r="BF69" s="25"/>
      <c r="BG69" s="7"/>
      <c r="BH69" s="104"/>
      <c r="BI69" s="25"/>
      <c r="BJ69" s="25"/>
      <c r="BK69" s="7"/>
      <c r="BL69" s="104"/>
      <c r="BM69" s="25"/>
      <c r="BN69" s="25"/>
      <c r="BO69" s="7"/>
      <c r="BP69" s="104"/>
      <c r="BQ69" s="25"/>
      <c r="BR69" s="25"/>
      <c r="BS69" s="7"/>
      <c r="BT69" s="104"/>
      <c r="BU69" s="25"/>
      <c r="BV69" s="25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5"/>
      <c r="R70" s="25"/>
      <c r="S70" s="7"/>
      <c r="T70" s="104"/>
      <c r="U70" s="25"/>
      <c r="V70" s="25"/>
      <c r="W70" s="7"/>
      <c r="X70" s="104"/>
      <c r="Y70" s="25"/>
      <c r="Z70" s="25"/>
      <c r="AA70" s="7"/>
      <c r="AB70" s="104"/>
      <c r="AC70" s="25"/>
      <c r="AD70" s="25"/>
      <c r="AE70" s="7"/>
      <c r="AF70" s="104"/>
      <c r="AG70" s="25"/>
      <c r="AH70" s="25"/>
      <c r="AI70" s="7"/>
      <c r="AJ70" s="104"/>
      <c r="AK70" s="25"/>
      <c r="AL70" s="25"/>
      <c r="AM70" s="7"/>
      <c r="AN70" s="104"/>
      <c r="AO70" s="25"/>
      <c r="AP70" s="25"/>
      <c r="AQ70" s="7"/>
      <c r="AR70" s="104"/>
      <c r="AS70" s="25"/>
      <c r="AT70" s="25"/>
      <c r="AU70" s="7"/>
      <c r="AV70" s="104"/>
      <c r="AW70" s="25"/>
      <c r="AX70" s="25"/>
      <c r="AY70" s="7"/>
      <c r="AZ70" s="104"/>
      <c r="BA70" s="25"/>
      <c r="BB70" s="25"/>
      <c r="BC70" s="7"/>
      <c r="BD70" s="104"/>
      <c r="BE70" s="25"/>
      <c r="BF70" s="25"/>
      <c r="BG70" s="7"/>
      <c r="BH70" s="104"/>
      <c r="BI70" s="25"/>
      <c r="BJ70" s="25"/>
      <c r="BK70" s="7"/>
      <c r="BL70" s="104"/>
      <c r="BM70" s="25"/>
      <c r="BN70" s="25"/>
      <c r="BO70" s="7"/>
      <c r="BP70" s="104"/>
      <c r="BQ70" s="25"/>
      <c r="BR70" s="25"/>
      <c r="BS70" s="7"/>
      <c r="BT70" s="104"/>
      <c r="BU70" s="25"/>
      <c r="BV70" s="25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5"/>
      <c r="R71" s="25"/>
      <c r="S71" s="7"/>
      <c r="T71" s="104"/>
      <c r="U71" s="25"/>
      <c r="V71" s="25"/>
      <c r="W71" s="7"/>
      <c r="X71" s="104"/>
      <c r="Y71" s="25"/>
      <c r="Z71" s="25"/>
      <c r="AA71" s="7"/>
      <c r="AB71" s="104"/>
      <c r="AC71" s="25"/>
      <c r="AD71" s="25"/>
      <c r="AE71" s="7"/>
      <c r="AF71" s="104"/>
      <c r="AG71" s="25"/>
      <c r="AH71" s="25"/>
      <c r="AI71" s="7"/>
      <c r="AJ71" s="104"/>
      <c r="AK71" s="25"/>
      <c r="AL71" s="25"/>
      <c r="AM71" s="7"/>
      <c r="AN71" s="104"/>
      <c r="AO71" s="25"/>
      <c r="AP71" s="25"/>
      <c r="AQ71" s="7"/>
      <c r="AR71" s="104"/>
      <c r="AS71" s="25"/>
      <c r="AT71" s="25"/>
      <c r="AU71" s="7"/>
      <c r="AV71" s="104"/>
      <c r="AW71" s="25"/>
      <c r="AX71" s="25"/>
      <c r="AY71" s="7"/>
      <c r="AZ71" s="104"/>
      <c r="BA71" s="25"/>
      <c r="BB71" s="25"/>
      <c r="BC71" s="7"/>
      <c r="BD71" s="104"/>
      <c r="BE71" s="25"/>
      <c r="BF71" s="25"/>
      <c r="BG71" s="7"/>
      <c r="BH71" s="104"/>
      <c r="BI71" s="25"/>
      <c r="BJ71" s="25"/>
      <c r="BK71" s="7"/>
      <c r="BL71" s="104"/>
      <c r="BM71" s="25"/>
      <c r="BN71" s="25"/>
      <c r="BO71" s="7"/>
      <c r="BP71" s="104"/>
      <c r="BQ71" s="25"/>
      <c r="BR71" s="25"/>
      <c r="BS71" s="7"/>
      <c r="BT71" s="104"/>
      <c r="BU71" s="25"/>
      <c r="BV71" s="25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5"/>
      <c r="R72" s="25"/>
      <c r="S72" s="7"/>
      <c r="T72" s="104"/>
      <c r="U72" s="25"/>
      <c r="V72" s="25"/>
      <c r="W72" s="7"/>
      <c r="X72" s="104"/>
      <c r="Y72" s="25"/>
      <c r="Z72" s="25"/>
      <c r="AA72" s="7"/>
      <c r="AB72" s="104"/>
      <c r="AC72" s="25"/>
      <c r="AD72" s="25"/>
      <c r="AE72" s="7"/>
      <c r="AF72" s="104"/>
      <c r="AG72" s="25"/>
      <c r="AH72" s="25"/>
      <c r="AI72" s="7"/>
      <c r="AJ72" s="104"/>
      <c r="AK72" s="25"/>
      <c r="AL72" s="25"/>
      <c r="AM72" s="7"/>
      <c r="AN72" s="104"/>
      <c r="AO72" s="25"/>
      <c r="AP72" s="25"/>
      <c r="AQ72" s="7"/>
      <c r="AR72" s="104"/>
      <c r="AS72" s="25"/>
      <c r="AT72" s="25"/>
      <c r="AU72" s="7"/>
      <c r="AV72" s="104"/>
      <c r="AW72" s="25"/>
      <c r="AX72" s="25"/>
      <c r="AY72" s="7"/>
      <c r="AZ72" s="104"/>
      <c r="BA72" s="25"/>
      <c r="BB72" s="25"/>
      <c r="BC72" s="7"/>
      <c r="BD72" s="104"/>
      <c r="BE72" s="25"/>
      <c r="BF72" s="25"/>
      <c r="BG72" s="7"/>
      <c r="BH72" s="104"/>
      <c r="BI72" s="25"/>
      <c r="BJ72" s="25"/>
      <c r="BK72" s="7"/>
      <c r="BL72" s="104"/>
      <c r="BM72" s="25"/>
      <c r="BN72" s="25"/>
      <c r="BO72" s="7"/>
      <c r="BP72" s="104"/>
      <c r="BQ72" s="25"/>
      <c r="BR72" s="25"/>
      <c r="BS72" s="7"/>
      <c r="BT72" s="104"/>
      <c r="BU72" s="25"/>
      <c r="BV72" s="25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5"/>
      <c r="R73" s="25"/>
      <c r="S73" s="7"/>
      <c r="T73" s="104"/>
      <c r="U73" s="25"/>
      <c r="V73" s="25"/>
      <c r="W73" s="7"/>
      <c r="X73" s="104"/>
      <c r="Y73" s="25"/>
      <c r="Z73" s="25"/>
      <c r="AA73" s="7"/>
      <c r="AB73" s="104"/>
      <c r="AC73" s="25"/>
      <c r="AD73" s="25"/>
      <c r="AE73" s="7"/>
      <c r="AF73" s="104"/>
      <c r="AG73" s="25"/>
      <c r="AH73" s="25"/>
      <c r="AI73" s="7"/>
      <c r="AJ73" s="104"/>
      <c r="AK73" s="25"/>
      <c r="AL73" s="25"/>
      <c r="AM73" s="7"/>
      <c r="AN73" s="104"/>
      <c r="AO73" s="25"/>
      <c r="AP73" s="25"/>
      <c r="AQ73" s="7"/>
      <c r="AR73" s="104"/>
      <c r="AS73" s="25"/>
      <c r="AT73" s="25"/>
      <c r="AU73" s="7"/>
      <c r="AV73" s="104"/>
      <c r="AW73" s="25"/>
      <c r="AX73" s="25"/>
      <c r="AY73" s="7"/>
      <c r="AZ73" s="104"/>
      <c r="BA73" s="25"/>
      <c r="BB73" s="25"/>
      <c r="BC73" s="7"/>
      <c r="BD73" s="104"/>
      <c r="BE73" s="25"/>
      <c r="BF73" s="25"/>
      <c r="BG73" s="7"/>
      <c r="BH73" s="104"/>
      <c r="BI73" s="25"/>
      <c r="BJ73" s="25"/>
      <c r="BK73" s="7"/>
      <c r="BL73" s="104"/>
      <c r="BM73" s="25"/>
      <c r="BN73" s="25"/>
      <c r="BO73" s="7"/>
      <c r="BP73" s="104"/>
      <c r="BQ73" s="25"/>
      <c r="BR73" s="25"/>
      <c r="BS73" s="7"/>
      <c r="BT73" s="104"/>
      <c r="BU73" s="25"/>
      <c r="BV73" s="25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5"/>
      <c r="R74" s="25"/>
      <c r="S74" s="7"/>
      <c r="T74" s="104"/>
      <c r="U74" s="25"/>
      <c r="V74" s="25"/>
      <c r="W74" s="7"/>
      <c r="X74" s="104"/>
      <c r="Y74" s="25"/>
      <c r="Z74" s="25"/>
      <c r="AA74" s="7"/>
      <c r="AB74" s="104"/>
      <c r="AC74" s="25"/>
      <c r="AD74" s="25"/>
      <c r="AE74" s="7"/>
      <c r="AF74" s="104"/>
      <c r="AG74" s="25"/>
      <c r="AH74" s="25"/>
      <c r="AI74" s="7"/>
      <c r="AJ74" s="104"/>
      <c r="AK74" s="25"/>
      <c r="AL74" s="25"/>
      <c r="AM74" s="7"/>
      <c r="AN74" s="104"/>
      <c r="AO74" s="25"/>
      <c r="AP74" s="25"/>
      <c r="AQ74" s="7"/>
      <c r="AR74" s="104"/>
      <c r="AS74" s="25"/>
      <c r="AT74" s="25"/>
      <c r="AU74" s="7"/>
      <c r="AV74" s="104"/>
      <c r="AW74" s="25"/>
      <c r="AX74" s="25"/>
      <c r="AY74" s="7"/>
      <c r="AZ74" s="104"/>
      <c r="BA74" s="25"/>
      <c r="BB74" s="25"/>
      <c r="BC74" s="7"/>
      <c r="BD74" s="104"/>
      <c r="BE74" s="25"/>
      <c r="BF74" s="25"/>
      <c r="BG74" s="7"/>
      <c r="BH74" s="104"/>
      <c r="BI74" s="25"/>
      <c r="BJ74" s="25"/>
      <c r="BK74" s="7"/>
      <c r="BL74" s="104"/>
      <c r="BM74" s="25"/>
      <c r="BN74" s="25"/>
      <c r="BO74" s="7"/>
      <c r="BP74" s="104"/>
      <c r="BQ74" s="25"/>
      <c r="BR74" s="25"/>
      <c r="BS74" s="7"/>
      <c r="BT74" s="104"/>
      <c r="BU74" s="25"/>
      <c r="BV74" s="25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5"/>
      <c r="R75" s="25"/>
      <c r="S75" s="7"/>
      <c r="T75" s="104"/>
      <c r="U75" s="25"/>
      <c r="V75" s="25"/>
      <c r="W75" s="7"/>
      <c r="X75" s="104"/>
      <c r="Y75" s="25"/>
      <c r="Z75" s="25"/>
      <c r="AA75" s="7"/>
      <c r="AB75" s="104"/>
      <c r="AC75" s="25"/>
      <c r="AD75" s="25"/>
      <c r="AE75" s="7"/>
      <c r="AF75" s="104"/>
      <c r="AG75" s="25"/>
      <c r="AH75" s="25"/>
      <c r="AI75" s="7"/>
      <c r="AJ75" s="104"/>
      <c r="AK75" s="25"/>
      <c r="AL75" s="25"/>
      <c r="AM75" s="7"/>
      <c r="AN75" s="104"/>
      <c r="AO75" s="25"/>
      <c r="AP75" s="25"/>
      <c r="AQ75" s="7"/>
      <c r="AR75" s="104"/>
      <c r="AS75" s="25"/>
      <c r="AT75" s="25"/>
      <c r="AU75" s="7"/>
      <c r="AV75" s="104"/>
      <c r="AW75" s="25"/>
      <c r="AX75" s="25"/>
      <c r="AY75" s="7"/>
      <c r="AZ75" s="104"/>
      <c r="BA75" s="25"/>
      <c r="BB75" s="25"/>
      <c r="BC75" s="7"/>
      <c r="BD75" s="104"/>
      <c r="BE75" s="25"/>
      <c r="BF75" s="25"/>
      <c r="BG75" s="7"/>
      <c r="BH75" s="104"/>
      <c r="BI75" s="25"/>
      <c r="BJ75" s="25"/>
      <c r="BK75" s="7"/>
      <c r="BL75" s="104"/>
      <c r="BM75" s="25"/>
      <c r="BN75" s="25"/>
      <c r="BO75" s="7"/>
      <c r="BP75" s="104"/>
      <c r="BQ75" s="25"/>
      <c r="BR75" s="25"/>
      <c r="BS75" s="7"/>
      <c r="BT75" s="104"/>
      <c r="BU75" s="25"/>
      <c r="BV75" s="25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5"/>
      <c r="R76" s="25"/>
      <c r="S76" s="7"/>
      <c r="T76" s="104"/>
      <c r="U76" s="25"/>
      <c r="V76" s="25"/>
      <c r="W76" s="7"/>
      <c r="X76" s="104"/>
      <c r="Y76" s="25"/>
      <c r="Z76" s="25"/>
      <c r="AA76" s="7"/>
      <c r="AB76" s="104"/>
      <c r="AC76" s="25"/>
      <c r="AD76" s="25"/>
      <c r="AE76" s="7"/>
      <c r="AF76" s="104"/>
      <c r="AG76" s="25"/>
      <c r="AH76" s="25"/>
      <c r="AI76" s="7"/>
      <c r="AJ76" s="104"/>
      <c r="AK76" s="25"/>
      <c r="AL76" s="25"/>
      <c r="AM76" s="7"/>
      <c r="AN76" s="104"/>
      <c r="AO76" s="25"/>
      <c r="AP76" s="25"/>
      <c r="AQ76" s="7"/>
      <c r="AR76" s="104"/>
      <c r="AS76" s="25"/>
      <c r="AT76" s="25"/>
      <c r="AU76" s="7"/>
      <c r="AV76" s="104"/>
      <c r="AW76" s="25"/>
      <c r="AX76" s="25"/>
      <c r="AY76" s="7"/>
      <c r="AZ76" s="104"/>
      <c r="BA76" s="25"/>
      <c r="BB76" s="25"/>
      <c r="BC76" s="7"/>
      <c r="BD76" s="104"/>
      <c r="BE76" s="25"/>
      <c r="BF76" s="25"/>
      <c r="BG76" s="7"/>
      <c r="BH76" s="104"/>
      <c r="BI76" s="25"/>
      <c r="BJ76" s="25"/>
      <c r="BK76" s="7"/>
      <c r="BL76" s="104"/>
      <c r="BM76" s="25"/>
      <c r="BN76" s="25"/>
      <c r="BO76" s="7"/>
      <c r="BP76" s="104"/>
      <c r="BQ76" s="25"/>
      <c r="BR76" s="25"/>
      <c r="BS76" s="7"/>
      <c r="BT76" s="104"/>
      <c r="BU76" s="25"/>
      <c r="BV76" s="25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5"/>
      <c r="R77" s="25"/>
      <c r="S77" s="7"/>
      <c r="T77" s="104"/>
      <c r="U77" s="25"/>
      <c r="V77" s="25"/>
      <c r="W77" s="7"/>
      <c r="X77" s="104"/>
      <c r="Y77" s="25"/>
      <c r="Z77" s="25"/>
      <c r="AA77" s="7"/>
      <c r="AB77" s="104"/>
      <c r="AC77" s="25"/>
      <c r="AD77" s="25"/>
      <c r="AE77" s="7"/>
      <c r="AF77" s="104"/>
      <c r="AG77" s="25"/>
      <c r="AH77" s="25"/>
      <c r="AI77" s="7"/>
      <c r="AJ77" s="104"/>
      <c r="AK77" s="25"/>
      <c r="AL77" s="25"/>
      <c r="AM77" s="7"/>
      <c r="AN77" s="104"/>
      <c r="AO77" s="25"/>
      <c r="AP77" s="25"/>
      <c r="AQ77" s="7"/>
      <c r="AR77" s="104"/>
      <c r="AS77" s="25"/>
      <c r="AT77" s="25"/>
      <c r="AU77" s="7"/>
      <c r="AV77" s="104"/>
      <c r="AW77" s="25"/>
      <c r="AX77" s="25"/>
      <c r="AY77" s="7"/>
      <c r="AZ77" s="104"/>
      <c r="BA77" s="25"/>
      <c r="BB77" s="25"/>
      <c r="BC77" s="7"/>
      <c r="BD77" s="104"/>
      <c r="BE77" s="25"/>
      <c r="BF77" s="25"/>
      <c r="BG77" s="7"/>
      <c r="BH77" s="104"/>
      <c r="BI77" s="25"/>
      <c r="BJ77" s="25"/>
      <c r="BK77" s="7"/>
      <c r="BL77" s="104"/>
      <c r="BM77" s="25"/>
      <c r="BN77" s="25"/>
      <c r="BO77" s="7"/>
      <c r="BP77" s="104"/>
      <c r="BQ77" s="25"/>
      <c r="BR77" s="25"/>
      <c r="BS77" s="7"/>
      <c r="BT77" s="104"/>
      <c r="BU77" s="25"/>
      <c r="BV77" s="25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5"/>
      <c r="R78" s="25"/>
      <c r="S78" s="7"/>
      <c r="T78" s="104"/>
      <c r="U78" s="25"/>
      <c r="V78" s="25"/>
      <c r="W78" s="7"/>
      <c r="X78" s="104"/>
      <c r="Y78" s="25"/>
      <c r="Z78" s="25"/>
      <c r="AA78" s="7"/>
      <c r="AB78" s="104"/>
      <c r="AC78" s="25"/>
      <c r="AD78" s="25"/>
      <c r="AE78" s="7"/>
      <c r="AF78" s="104"/>
      <c r="AG78" s="25"/>
      <c r="AH78" s="25"/>
      <c r="AI78" s="7"/>
      <c r="AJ78" s="104"/>
      <c r="AK78" s="25"/>
      <c r="AL78" s="25"/>
      <c r="AM78" s="7"/>
      <c r="AN78" s="104"/>
      <c r="AO78" s="25"/>
      <c r="AP78" s="25"/>
      <c r="AQ78" s="7"/>
      <c r="AR78" s="104"/>
      <c r="AS78" s="25"/>
      <c r="AT78" s="25"/>
      <c r="AU78" s="7"/>
      <c r="AV78" s="104"/>
      <c r="AW78" s="25"/>
      <c r="AX78" s="25"/>
      <c r="AY78" s="7"/>
      <c r="AZ78" s="104"/>
      <c r="BA78" s="25"/>
      <c r="BB78" s="25"/>
      <c r="BC78" s="7"/>
      <c r="BD78" s="104"/>
      <c r="BE78" s="25"/>
      <c r="BF78" s="25"/>
      <c r="BG78" s="7"/>
      <c r="BH78" s="104"/>
      <c r="BI78" s="25"/>
      <c r="BJ78" s="25"/>
      <c r="BK78" s="7"/>
      <c r="BL78" s="104"/>
      <c r="BM78" s="25"/>
      <c r="BN78" s="25"/>
      <c r="BO78" s="7"/>
      <c r="BP78" s="104"/>
      <c r="BQ78" s="25"/>
      <c r="BR78" s="25"/>
      <c r="BS78" s="7"/>
      <c r="BT78" s="104"/>
      <c r="BU78" s="25"/>
      <c r="BV78" s="25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5"/>
      <c r="R79" s="25"/>
      <c r="S79" s="7"/>
      <c r="T79" s="104"/>
      <c r="U79" s="25"/>
      <c r="V79" s="25"/>
      <c r="W79" s="7"/>
      <c r="X79" s="104"/>
      <c r="Y79" s="25"/>
      <c r="Z79" s="25"/>
      <c r="AA79" s="7"/>
      <c r="AB79" s="104"/>
      <c r="AC79" s="25"/>
      <c r="AD79" s="25"/>
      <c r="AE79" s="7"/>
      <c r="AF79" s="104"/>
      <c r="AG79" s="25"/>
      <c r="AH79" s="25"/>
      <c r="AI79" s="7"/>
      <c r="AJ79" s="104"/>
      <c r="AK79" s="25"/>
      <c r="AL79" s="25"/>
      <c r="AM79" s="7"/>
      <c r="AN79" s="104"/>
      <c r="AO79" s="25"/>
      <c r="AP79" s="25"/>
      <c r="AQ79" s="7"/>
      <c r="AR79" s="104"/>
      <c r="AS79" s="25"/>
      <c r="AT79" s="25"/>
      <c r="AU79" s="7"/>
      <c r="AV79" s="104"/>
      <c r="AW79" s="25"/>
      <c r="AX79" s="25"/>
      <c r="AY79" s="7"/>
      <c r="AZ79" s="104"/>
      <c r="BA79" s="25"/>
      <c r="BB79" s="25"/>
      <c r="BC79" s="7"/>
      <c r="BD79" s="104"/>
      <c r="BE79" s="25"/>
      <c r="BF79" s="25"/>
      <c r="BG79" s="7"/>
      <c r="BH79" s="104"/>
      <c r="BI79" s="25"/>
      <c r="BJ79" s="25"/>
      <c r="BK79" s="7"/>
      <c r="BL79" s="104"/>
      <c r="BM79" s="25"/>
      <c r="BN79" s="25"/>
      <c r="BO79" s="7"/>
      <c r="BP79" s="104"/>
      <c r="BQ79" s="25"/>
      <c r="BR79" s="25"/>
      <c r="BS79" s="7"/>
      <c r="BT79" s="104"/>
      <c r="BU79" s="25"/>
      <c r="BV79" s="25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5"/>
      <c r="R80" s="25"/>
      <c r="S80" s="7"/>
      <c r="T80" s="104"/>
      <c r="U80" s="25"/>
      <c r="V80" s="25"/>
      <c r="W80" s="7"/>
      <c r="X80" s="104"/>
      <c r="Y80" s="25"/>
      <c r="Z80" s="25"/>
      <c r="AA80" s="7"/>
      <c r="AB80" s="104"/>
      <c r="AC80" s="25"/>
      <c r="AD80" s="25"/>
      <c r="AE80" s="7"/>
      <c r="AF80" s="104"/>
      <c r="AG80" s="25"/>
      <c r="AH80" s="25"/>
      <c r="AI80" s="7"/>
      <c r="AJ80" s="104"/>
      <c r="AK80" s="25"/>
      <c r="AL80" s="25"/>
      <c r="AM80" s="7"/>
      <c r="AN80" s="104"/>
      <c r="AO80" s="25"/>
      <c r="AP80" s="25"/>
      <c r="AQ80" s="7"/>
      <c r="AR80" s="104"/>
      <c r="AS80" s="25"/>
      <c r="AT80" s="25"/>
      <c r="AU80" s="7"/>
      <c r="AV80" s="104"/>
      <c r="AW80" s="25"/>
      <c r="AX80" s="25"/>
      <c r="AY80" s="7"/>
      <c r="AZ80" s="104"/>
      <c r="BA80" s="25"/>
      <c r="BB80" s="25"/>
      <c r="BC80" s="7"/>
      <c r="BD80" s="104"/>
      <c r="BE80" s="25"/>
      <c r="BF80" s="25"/>
      <c r="BG80" s="7"/>
      <c r="BH80" s="104"/>
      <c r="BI80" s="25"/>
      <c r="BJ80" s="25"/>
      <c r="BK80" s="7"/>
      <c r="BL80" s="104"/>
      <c r="BM80" s="25"/>
      <c r="BN80" s="25"/>
      <c r="BO80" s="7"/>
      <c r="BP80" s="104"/>
      <c r="BQ80" s="25"/>
      <c r="BR80" s="25"/>
      <c r="BS80" s="7"/>
      <c r="BT80" s="104"/>
      <c r="BU80" s="25"/>
      <c r="BV80" s="25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5"/>
      <c r="R81" s="25"/>
      <c r="S81" s="7"/>
      <c r="T81" s="104"/>
      <c r="U81" s="25"/>
      <c r="V81" s="25"/>
      <c r="W81" s="7"/>
      <c r="X81" s="104"/>
      <c r="Y81" s="25"/>
      <c r="Z81" s="25"/>
      <c r="AA81" s="7"/>
      <c r="AB81" s="104"/>
      <c r="AC81" s="25"/>
      <c r="AD81" s="25"/>
      <c r="AE81" s="7"/>
      <c r="AF81" s="104"/>
      <c r="AG81" s="25"/>
      <c r="AH81" s="25"/>
      <c r="AI81" s="7"/>
      <c r="AJ81" s="104"/>
      <c r="AK81" s="25"/>
      <c r="AL81" s="25"/>
      <c r="AM81" s="7"/>
      <c r="AN81" s="104"/>
      <c r="AO81" s="25"/>
      <c r="AP81" s="25"/>
      <c r="AQ81" s="7"/>
      <c r="AR81" s="104"/>
      <c r="AS81" s="25"/>
      <c r="AT81" s="25"/>
      <c r="AU81" s="7"/>
      <c r="AV81" s="104"/>
      <c r="AW81" s="25"/>
      <c r="AX81" s="25"/>
      <c r="AY81" s="7"/>
      <c r="AZ81" s="104"/>
      <c r="BA81" s="25"/>
      <c r="BB81" s="25"/>
      <c r="BC81" s="7"/>
      <c r="BD81" s="104"/>
      <c r="BE81" s="25"/>
      <c r="BF81" s="25"/>
      <c r="BG81" s="7"/>
      <c r="BH81" s="104"/>
      <c r="BI81" s="25"/>
      <c r="BJ81" s="25"/>
      <c r="BK81" s="7"/>
      <c r="BL81" s="104"/>
      <c r="BM81" s="25"/>
      <c r="BN81" s="25"/>
      <c r="BO81" s="7"/>
      <c r="BP81" s="104"/>
      <c r="BQ81" s="25"/>
      <c r="BR81" s="25"/>
      <c r="BS81" s="7"/>
      <c r="BT81" s="104"/>
      <c r="BU81" s="25"/>
      <c r="BV81" s="25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5"/>
      <c r="R82" s="25"/>
      <c r="S82" s="7"/>
      <c r="T82" s="104"/>
      <c r="U82" s="25"/>
      <c r="V82" s="25"/>
      <c r="W82" s="7"/>
      <c r="X82" s="104"/>
      <c r="Y82" s="25"/>
      <c r="Z82" s="25"/>
      <c r="AA82" s="7"/>
      <c r="AB82" s="104"/>
      <c r="AC82" s="25"/>
      <c r="AD82" s="25"/>
      <c r="AE82" s="7"/>
      <c r="AF82" s="104"/>
      <c r="AG82" s="25"/>
      <c r="AH82" s="25"/>
      <c r="AI82" s="7"/>
      <c r="AJ82" s="104"/>
      <c r="AK82" s="25"/>
      <c r="AL82" s="25"/>
      <c r="AM82" s="7"/>
      <c r="AN82" s="104"/>
      <c r="AO82" s="25"/>
      <c r="AP82" s="25"/>
      <c r="AQ82" s="7"/>
      <c r="AR82" s="104"/>
      <c r="AS82" s="25"/>
      <c r="AT82" s="25"/>
      <c r="AU82" s="7"/>
      <c r="AV82" s="104"/>
      <c r="AW82" s="25"/>
      <c r="AX82" s="25"/>
      <c r="AY82" s="7"/>
      <c r="AZ82" s="104"/>
      <c r="BA82" s="25"/>
      <c r="BB82" s="25"/>
      <c r="BC82" s="7"/>
      <c r="BD82" s="104"/>
      <c r="BE82" s="25"/>
      <c r="BF82" s="25"/>
      <c r="BG82" s="7"/>
      <c r="BH82" s="104"/>
      <c r="BI82" s="25"/>
      <c r="BJ82" s="25"/>
      <c r="BK82" s="7"/>
      <c r="BL82" s="104"/>
      <c r="BM82" s="25"/>
      <c r="BN82" s="25"/>
      <c r="BO82" s="7"/>
      <c r="BP82" s="104"/>
      <c r="BQ82" s="25"/>
      <c r="BR82" s="25"/>
      <c r="BS82" s="7"/>
      <c r="BT82" s="104"/>
      <c r="BU82" s="25"/>
      <c r="BV82" s="25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105"/>
      <c r="D85" s="126"/>
      <c r="E85" s="126"/>
      <c r="F85" s="290"/>
      <c r="G85" s="290"/>
      <c r="H85" s="105"/>
      <c r="I85" s="105"/>
      <c r="J85" s="105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105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L5:N6">
    <cfRule type="expression" dxfId="1519" priority="220">
      <formula>$K$5=1</formula>
    </cfRule>
  </conditionalFormatting>
  <conditionalFormatting sqref="L7:N82">
    <cfRule type="expression" dxfId="1518" priority="221">
      <formula>$K$5=1</formula>
    </cfRule>
  </conditionalFormatting>
  <conditionalFormatting sqref="P5:R6">
    <cfRule type="expression" dxfId="1517" priority="224">
      <formula>$O$5=1</formula>
    </cfRule>
  </conditionalFormatting>
  <conditionalFormatting sqref="P7:R82">
    <cfRule type="expression" dxfId="1516" priority="225">
      <formula>$O$5=1</formula>
    </cfRule>
  </conditionalFormatting>
  <conditionalFormatting sqref="T5:V6">
    <cfRule type="expression" dxfId="1515" priority="227">
      <formula>$S$5=1</formula>
    </cfRule>
  </conditionalFormatting>
  <conditionalFormatting sqref="T7:V82">
    <cfRule type="expression" dxfId="1514" priority="228">
      <formula>$S$5=1</formula>
    </cfRule>
  </conditionalFormatting>
  <conditionalFormatting sqref="X5:Z6">
    <cfRule type="expression" dxfId="1513" priority="230">
      <formula>$W$5=1</formula>
    </cfRule>
  </conditionalFormatting>
  <conditionalFormatting sqref="X7:Z82">
    <cfRule type="expression" dxfId="1512" priority="231">
      <formula>$W$5=1</formula>
    </cfRule>
  </conditionalFormatting>
  <conditionalFormatting sqref="AB5:AD6">
    <cfRule type="expression" dxfId="1511" priority="233">
      <formula>$AA$5=1</formula>
    </cfRule>
  </conditionalFormatting>
  <conditionalFormatting sqref="AB7:AD82">
    <cfRule type="expression" dxfId="1510" priority="234">
      <formula>$AA$5=1</formula>
    </cfRule>
  </conditionalFormatting>
  <conditionalFormatting sqref="J2:J3">
    <cfRule type="expression" dxfId="1509" priority="235">
      <formula>$F$1=1</formula>
    </cfRule>
    <cfRule type="expression" priority="236">
      <formula>$F$1</formula>
    </cfRule>
  </conditionalFormatting>
  <conditionalFormatting sqref="J4">
    <cfRule type="expression" dxfId="1508" priority="237">
      <formula>$F$1=1</formula>
    </cfRule>
  </conditionalFormatting>
  <conditionalFormatting sqref="M4:N4">
    <cfRule type="expression" dxfId="1507" priority="179">
      <formula>$K$5=1</formula>
    </cfRule>
  </conditionalFormatting>
  <conditionalFormatting sqref="Q4:R4">
    <cfRule type="expression" dxfId="1506" priority="178">
      <formula>$O$5=1</formula>
    </cfRule>
  </conditionalFormatting>
  <conditionalFormatting sqref="U4:V4">
    <cfRule type="expression" dxfId="1505" priority="177">
      <formula>$S$5=1</formula>
    </cfRule>
  </conditionalFormatting>
  <conditionalFormatting sqref="Y4:Z4">
    <cfRule type="expression" dxfId="1504" priority="176">
      <formula>$W$5=1</formula>
    </cfRule>
  </conditionalFormatting>
  <conditionalFormatting sqref="AC4:AD4">
    <cfRule type="expression" dxfId="1503" priority="175">
      <formula>$AA$5=1</formula>
    </cfRule>
  </conditionalFormatting>
  <conditionalFormatting sqref="AF5:AH6">
    <cfRule type="expression" dxfId="1502" priority="173">
      <formula>$AE$5=1</formula>
    </cfRule>
  </conditionalFormatting>
  <conditionalFormatting sqref="AF7:AH82">
    <cfRule type="expression" dxfId="1501" priority="174">
      <formula>$AE$5=1</formula>
    </cfRule>
  </conditionalFormatting>
  <conditionalFormatting sqref="AG4:AH4">
    <cfRule type="expression" dxfId="1500" priority="172">
      <formula>$AE$5=1</formula>
    </cfRule>
  </conditionalFormatting>
  <conditionalFormatting sqref="AJ7:AL82">
    <cfRule type="expression" dxfId="1499" priority="171">
      <formula>$AI$5=1</formula>
    </cfRule>
  </conditionalFormatting>
  <conditionalFormatting sqref="AK4:AL4">
    <cfRule type="expression" dxfId="1498" priority="169">
      <formula>$AI$5=1</formula>
    </cfRule>
  </conditionalFormatting>
  <conditionalFormatting sqref="AN7:AP82">
    <cfRule type="expression" dxfId="1497" priority="168">
      <formula>$AM$5=1</formula>
    </cfRule>
  </conditionalFormatting>
  <conditionalFormatting sqref="AO4:AP4">
    <cfRule type="expression" dxfId="1496" priority="166">
      <formula>AM$5=1</formula>
    </cfRule>
  </conditionalFormatting>
  <conditionalFormatting sqref="AR7:AT82">
    <cfRule type="expression" dxfId="1495" priority="165">
      <formula>$AQ$5=1</formula>
    </cfRule>
  </conditionalFormatting>
  <conditionalFormatting sqref="AV7:AX82">
    <cfRule type="expression" dxfId="1494" priority="162">
      <formula>$AU$5=1</formula>
    </cfRule>
  </conditionalFormatting>
  <conditionalFormatting sqref="AZ7:BB82">
    <cfRule type="expression" dxfId="1493" priority="159">
      <formula>$AY$5=1</formula>
    </cfRule>
  </conditionalFormatting>
  <conditionalFormatting sqref="BD7:BF82">
    <cfRule type="expression" dxfId="1492" priority="156">
      <formula>$BC$5=1</formula>
    </cfRule>
  </conditionalFormatting>
  <conditionalFormatting sqref="BH7:BJ82">
    <cfRule type="expression" dxfId="1491" priority="153">
      <formula>$BG$5=1</formula>
    </cfRule>
  </conditionalFormatting>
  <conditionalFormatting sqref="BL7:BN82">
    <cfRule type="expression" dxfId="1490" priority="150">
      <formula>$BK$5=1</formula>
    </cfRule>
  </conditionalFormatting>
  <conditionalFormatting sqref="BP7:BR82">
    <cfRule type="expression" dxfId="1489" priority="147">
      <formula>$BO$5=1</formula>
    </cfRule>
  </conditionalFormatting>
  <conditionalFormatting sqref="BT7:BV82">
    <cfRule type="expression" dxfId="1488" priority="144">
      <formula>$BS$5=1</formula>
    </cfRule>
  </conditionalFormatting>
  <conditionalFormatting sqref="AS4:AT4">
    <cfRule type="expression" dxfId="1487" priority="138">
      <formula>AQ$5=1</formula>
    </cfRule>
  </conditionalFormatting>
  <conditionalFormatting sqref="AW4:AX4">
    <cfRule type="expression" dxfId="1486" priority="137">
      <formula>AU$5=1</formula>
    </cfRule>
  </conditionalFormatting>
  <conditionalFormatting sqref="BA4:BB4">
    <cfRule type="expression" dxfId="1485" priority="136">
      <formula>AY$5=1</formula>
    </cfRule>
  </conditionalFormatting>
  <conditionalFormatting sqref="BE4:BF4">
    <cfRule type="expression" dxfId="1484" priority="135">
      <formula>BC$5=1</formula>
    </cfRule>
  </conditionalFormatting>
  <conditionalFormatting sqref="BI4:BJ4">
    <cfRule type="expression" dxfId="1483" priority="134">
      <formula>BG$5=1</formula>
    </cfRule>
  </conditionalFormatting>
  <conditionalFormatting sqref="BM4:BN4">
    <cfRule type="expression" dxfId="1482" priority="133">
      <formula>BK$5=1</formula>
    </cfRule>
  </conditionalFormatting>
  <conditionalFormatting sqref="BQ4:BR4">
    <cfRule type="expression" dxfId="1481" priority="132">
      <formula>BO$5=1</formula>
    </cfRule>
  </conditionalFormatting>
  <conditionalFormatting sqref="BU4:BV4">
    <cfRule type="expression" dxfId="1480" priority="131">
      <formula>BS$5=1</formula>
    </cfRule>
  </conditionalFormatting>
  <conditionalFormatting sqref="AJ5:AL6">
    <cfRule type="expression" dxfId="1479" priority="127">
      <formula>$AI$5=1</formula>
    </cfRule>
  </conditionalFormatting>
  <conditionalFormatting sqref="AN5:AP6">
    <cfRule type="expression" dxfId="1478" priority="126">
      <formula>$AM$5=1</formula>
    </cfRule>
  </conditionalFormatting>
  <conditionalFormatting sqref="AR5:AT6">
    <cfRule type="expression" dxfId="1477" priority="125">
      <formula>$AQ$5=1</formula>
    </cfRule>
  </conditionalFormatting>
  <conditionalFormatting sqref="AZ5:BB6">
    <cfRule type="expression" dxfId="1476" priority="124">
      <formula>$AY$5=1</formula>
    </cfRule>
  </conditionalFormatting>
  <conditionalFormatting sqref="BD5:BF6">
    <cfRule type="expression" dxfId="1475" priority="123">
      <formula>$BC$5=1</formula>
    </cfRule>
  </conditionalFormatting>
  <conditionalFormatting sqref="BH5:BJ6">
    <cfRule type="expression" dxfId="1474" priority="122">
      <formula>$BG$5=1</formula>
    </cfRule>
  </conditionalFormatting>
  <conditionalFormatting sqref="BL5:BN6">
    <cfRule type="expression" dxfId="1473" priority="121">
      <formula>$BK$5=1</formula>
    </cfRule>
  </conditionalFormatting>
  <conditionalFormatting sqref="BP5:BR6">
    <cfRule type="expression" dxfId="1472" priority="120">
      <formula>$BO$5=1</formula>
    </cfRule>
  </conditionalFormatting>
  <conditionalFormatting sqref="BT5:BV6">
    <cfRule type="expression" dxfId="1471" priority="119">
      <formula>$BS$5=1</formula>
    </cfRule>
  </conditionalFormatting>
  <conditionalFormatting sqref="AV5:AX6">
    <cfRule type="expression" dxfId="1470" priority="118">
      <formula>$AU$5=1</formula>
    </cfRule>
  </conditionalFormatting>
  <conditionalFormatting sqref="C7:H82">
    <cfRule type="expression" dxfId="1469" priority="1">
      <formula>$B7="v"</formula>
    </cfRule>
  </conditionalFormatting>
  <conditionalFormatting sqref="I7:I82">
    <cfRule type="expression" dxfId="1468" priority="104">
      <formula>$B7="v"</formula>
    </cfRule>
  </conditionalFormatting>
  <conditionalFormatting sqref="N7:N82">
    <cfRule type="expression" dxfId="1467" priority="103">
      <formula>$B7="v"</formula>
    </cfRule>
  </conditionalFormatting>
  <conditionalFormatting sqref="M7:M82">
    <cfRule type="expression" dxfId="1466" priority="102">
      <formula>$B7="v"</formula>
    </cfRule>
  </conditionalFormatting>
  <conditionalFormatting sqref="L7:L82">
    <cfRule type="expression" dxfId="1465" priority="101">
      <formula>$B7="v"</formula>
    </cfRule>
  </conditionalFormatting>
  <conditionalFormatting sqref="P7:Q82">
    <cfRule type="expression" dxfId="1464" priority="100">
      <formula>$B7="v"</formula>
    </cfRule>
  </conditionalFormatting>
  <conditionalFormatting sqref="R7:R82">
    <cfRule type="expression" dxfId="1463" priority="99">
      <formula>$B7="v"</formula>
    </cfRule>
  </conditionalFormatting>
  <conditionalFormatting sqref="Z7:Z82 V7:V82 AL7:AL82 AH7:AH82 AD7:AD82 AX7:AX82 AT7:AT82 AP7:AP82 BJ7:BJ82 BF7:BF82 BB7:BB82 BV7:BV82 BR7:BR82 BN7:BN82">
    <cfRule type="expression" dxfId="1462" priority="98">
      <formula>$B7="v"</formula>
    </cfRule>
  </conditionalFormatting>
  <conditionalFormatting sqref="X7:Y82 T7:U82 AJ7:AK82 AF7:AG82 AB7:AC82 AR7:AS82 AN7:AO82 BH7:BI82 BD7:BE82 AZ7:BA82 BT7:BU82 BP7:BQ82 BL7:BM82">
    <cfRule type="expression" dxfId="1461" priority="97">
      <formula>$B7="v"</formula>
    </cfRule>
  </conditionalFormatting>
  <conditionalFormatting sqref="AV7:AW82">
    <cfRule type="expression" dxfId="1460" priority="96">
      <formula>$B7="v"</formula>
    </cfRule>
  </conditionalFormatting>
  <conditionalFormatting sqref="X7:Z82">
    <cfRule type="expression" dxfId="1459" priority="95">
      <formula>$W$5=""</formula>
    </cfRule>
  </conditionalFormatting>
  <conditionalFormatting sqref="T7:V82">
    <cfRule type="expression" dxfId="1458" priority="94">
      <formula>$S$5=""</formula>
    </cfRule>
  </conditionalFormatting>
  <conditionalFormatting sqref="P7:R82">
    <cfRule type="expression" dxfId="1457" priority="93">
      <formula>$O$5=""</formula>
    </cfRule>
  </conditionalFormatting>
  <conditionalFormatting sqref="L7:N82">
    <cfRule type="expression" dxfId="1456" priority="92">
      <formula>$K$5=""</formula>
    </cfRule>
  </conditionalFormatting>
  <conditionalFormatting sqref="AB7:AD82">
    <cfRule type="expression" dxfId="1455" priority="91">
      <formula>$AA$5=""</formula>
    </cfRule>
  </conditionalFormatting>
  <conditionalFormatting sqref="AF7:AH82">
    <cfRule type="expression" dxfId="1454" priority="90">
      <formula>$AE$5=""</formula>
    </cfRule>
  </conditionalFormatting>
  <conditionalFormatting sqref="AJ7:AL82">
    <cfRule type="expression" dxfId="1453" priority="89">
      <formula>$AI$5=""</formula>
    </cfRule>
  </conditionalFormatting>
  <conditionalFormatting sqref="AN7:AP82">
    <cfRule type="expression" dxfId="1452" priority="88">
      <formula>$AM$5=""</formula>
    </cfRule>
  </conditionalFormatting>
  <conditionalFormatting sqref="AR7:AT82">
    <cfRule type="expression" dxfId="1451" priority="87">
      <formula>$AQ$5=""</formula>
    </cfRule>
  </conditionalFormatting>
  <conditionalFormatting sqref="AV7:AX82">
    <cfRule type="expression" dxfId="1450" priority="86">
      <formula>$AU$5=""</formula>
    </cfRule>
  </conditionalFormatting>
  <conditionalFormatting sqref="AZ7:BB82">
    <cfRule type="expression" dxfId="1449" priority="85">
      <formula>$AY$5=""</formula>
    </cfRule>
  </conditionalFormatting>
  <conditionalFormatting sqref="BD7:BF82">
    <cfRule type="expression" dxfId="1448" priority="84">
      <formula>$BC$5=""</formula>
    </cfRule>
  </conditionalFormatting>
  <conditionalFormatting sqref="BH7:BJ82">
    <cfRule type="expression" dxfId="1447" priority="83">
      <formula>$BG$5=""</formula>
    </cfRule>
  </conditionalFormatting>
  <conditionalFormatting sqref="BL7:BN82">
    <cfRule type="expression" dxfId="1446" priority="82">
      <formula>$BK$5=""</formula>
    </cfRule>
  </conditionalFormatting>
  <conditionalFormatting sqref="BP7:BR82">
    <cfRule type="expression" dxfId="1445" priority="81">
      <formula>$BO$5=""</formula>
    </cfRule>
  </conditionalFormatting>
  <conditionalFormatting sqref="BT7:BV82">
    <cfRule type="expression" dxfId="1444" priority="80">
      <formula>$BS$5=""</formula>
    </cfRule>
  </conditionalFormatting>
  <conditionalFormatting sqref="F25">
    <cfRule type="expression" dxfId="1443" priority="76">
      <formula>$E$25="n/a"</formula>
    </cfRule>
  </conditionalFormatting>
  <conditionalFormatting sqref="F7">
    <cfRule type="expression" dxfId="1442" priority="75">
      <formula>$E$7="n/a"</formula>
    </cfRule>
  </conditionalFormatting>
  <conditionalFormatting sqref="F8">
    <cfRule type="expression" dxfId="1441" priority="105">
      <formula>$E$8="n/a"</formula>
    </cfRule>
  </conditionalFormatting>
  <conditionalFormatting sqref="F9">
    <cfRule type="expression" dxfId="1440" priority="74">
      <formula>$E$9="n/a"</formula>
    </cfRule>
  </conditionalFormatting>
  <conditionalFormatting sqref="F10">
    <cfRule type="expression" dxfId="1439" priority="73">
      <formula>$E$10="n/a"</formula>
    </cfRule>
  </conditionalFormatting>
  <conditionalFormatting sqref="F11">
    <cfRule type="expression" dxfId="1438" priority="72">
      <formula>$E$11="n/a"</formula>
    </cfRule>
  </conditionalFormatting>
  <conditionalFormatting sqref="F12">
    <cfRule type="expression" dxfId="1437" priority="71">
      <formula>$E$12="n/a"</formula>
    </cfRule>
  </conditionalFormatting>
  <conditionalFormatting sqref="F13">
    <cfRule type="expression" dxfId="1436" priority="70">
      <formula>$E$13="n/a"</formula>
    </cfRule>
  </conditionalFormatting>
  <conditionalFormatting sqref="F14">
    <cfRule type="expression" dxfId="1435" priority="69">
      <formula>$E$14="n/a"</formula>
    </cfRule>
  </conditionalFormatting>
  <conditionalFormatting sqref="F15">
    <cfRule type="expression" dxfId="1434" priority="68">
      <formula>$E$15="n/a"</formula>
    </cfRule>
  </conditionalFormatting>
  <conditionalFormatting sqref="F16">
    <cfRule type="expression" dxfId="1433" priority="67">
      <formula>$E$16="n/a"</formula>
    </cfRule>
  </conditionalFormatting>
  <conditionalFormatting sqref="F17">
    <cfRule type="expression" dxfId="1432" priority="66">
      <formula>$E$17="n/a"</formula>
    </cfRule>
  </conditionalFormatting>
  <conditionalFormatting sqref="F18">
    <cfRule type="expression" dxfId="1431" priority="65">
      <formula>$E$18="n/a"</formula>
    </cfRule>
  </conditionalFormatting>
  <conditionalFormatting sqref="F19">
    <cfRule type="expression" dxfId="1430" priority="64">
      <formula>$E$19="n/a"</formula>
    </cfRule>
  </conditionalFormatting>
  <conditionalFormatting sqref="F20">
    <cfRule type="expression" dxfId="1429" priority="63">
      <formula>$E$20="n/a"</formula>
    </cfRule>
  </conditionalFormatting>
  <conditionalFormatting sqref="F21">
    <cfRule type="expression" dxfId="1428" priority="62">
      <formula>$E$21="n/a"</formula>
    </cfRule>
  </conditionalFormatting>
  <conditionalFormatting sqref="F22">
    <cfRule type="expression" dxfId="1427" priority="61">
      <formula>$E$22="n/a"</formula>
    </cfRule>
  </conditionalFormatting>
  <conditionalFormatting sqref="F23">
    <cfRule type="expression" dxfId="1426" priority="60">
      <formula>$E$23="n/a"</formula>
    </cfRule>
  </conditionalFormatting>
  <conditionalFormatting sqref="F24">
    <cfRule type="expression" dxfId="1425" priority="59">
      <formula>$E$24="n/a"</formula>
    </cfRule>
  </conditionalFormatting>
  <conditionalFormatting sqref="F26">
    <cfRule type="expression" dxfId="1424" priority="58">
      <formula>$E$26="n/a"</formula>
    </cfRule>
  </conditionalFormatting>
  <conditionalFormatting sqref="F27">
    <cfRule type="expression" dxfId="1423" priority="57">
      <formula>$E$27="n/a"</formula>
    </cfRule>
  </conditionalFormatting>
  <conditionalFormatting sqref="F28">
    <cfRule type="expression" dxfId="1422" priority="56">
      <formula>$E$28="n/a"</formula>
    </cfRule>
  </conditionalFormatting>
  <conditionalFormatting sqref="F29">
    <cfRule type="expression" dxfId="1421" priority="55">
      <formula>$E$29="n/a"</formula>
    </cfRule>
  </conditionalFormatting>
  <conditionalFormatting sqref="F30">
    <cfRule type="expression" dxfId="1420" priority="54">
      <formula>$E$30="n/a"</formula>
    </cfRule>
  </conditionalFormatting>
  <conditionalFormatting sqref="F31">
    <cfRule type="expression" dxfId="1419" priority="53">
      <formula>$E$31="n/a"</formula>
    </cfRule>
  </conditionalFormatting>
  <conditionalFormatting sqref="F32">
    <cfRule type="expression" dxfId="1418" priority="52">
      <formula>$E$32="n/a"</formula>
    </cfRule>
  </conditionalFormatting>
  <conditionalFormatting sqref="F33">
    <cfRule type="expression" dxfId="1417" priority="51">
      <formula>$E$33="n/a"</formula>
    </cfRule>
  </conditionalFormatting>
  <conditionalFormatting sqref="F34">
    <cfRule type="expression" dxfId="1416" priority="50">
      <formula>$E$34="n/a"</formula>
    </cfRule>
  </conditionalFormatting>
  <conditionalFormatting sqref="F35">
    <cfRule type="expression" dxfId="1415" priority="49">
      <formula>$E$35="n/a"</formula>
    </cfRule>
  </conditionalFormatting>
  <conditionalFormatting sqref="F36">
    <cfRule type="expression" dxfId="1414" priority="48">
      <formula>$E$36="n/a"</formula>
    </cfRule>
  </conditionalFormatting>
  <conditionalFormatting sqref="F37">
    <cfRule type="expression" dxfId="1413" priority="47">
      <formula>$E$37="n/a"</formula>
    </cfRule>
  </conditionalFormatting>
  <conditionalFormatting sqref="F38">
    <cfRule type="expression" dxfId="1412" priority="46">
      <formula>$E$38="n/a"</formula>
    </cfRule>
  </conditionalFormatting>
  <conditionalFormatting sqref="F39">
    <cfRule type="expression" dxfId="1411" priority="45">
      <formula>$E$39="n/a"</formula>
    </cfRule>
  </conditionalFormatting>
  <conditionalFormatting sqref="F40">
    <cfRule type="expression" dxfId="1410" priority="44">
      <formula>$E$40="n/a"</formula>
    </cfRule>
  </conditionalFormatting>
  <conditionalFormatting sqref="F41">
    <cfRule type="expression" dxfId="1409" priority="43">
      <formula>$E$41="n/a"</formula>
    </cfRule>
  </conditionalFormatting>
  <conditionalFormatting sqref="F42">
    <cfRule type="expression" dxfId="1408" priority="42">
      <formula>$E$42="n/a"</formula>
    </cfRule>
  </conditionalFormatting>
  <conditionalFormatting sqref="F43">
    <cfRule type="expression" dxfId="1407" priority="41">
      <formula>$E$43="n/a"</formula>
    </cfRule>
  </conditionalFormatting>
  <conditionalFormatting sqref="F44">
    <cfRule type="expression" dxfId="1406" priority="40">
      <formula>$E$44="n/a"</formula>
    </cfRule>
  </conditionalFormatting>
  <conditionalFormatting sqref="F45">
    <cfRule type="expression" dxfId="1405" priority="39">
      <formula>$E$45="n/a"</formula>
    </cfRule>
  </conditionalFormatting>
  <conditionalFormatting sqref="F46">
    <cfRule type="expression" dxfId="1404" priority="38">
      <formula>$E$46="n/a"</formula>
    </cfRule>
  </conditionalFormatting>
  <conditionalFormatting sqref="F82">
    <cfRule type="expression" dxfId="1403" priority="36">
      <formula>$E$82="n/a"</formula>
    </cfRule>
  </conditionalFormatting>
  <conditionalFormatting sqref="F81">
    <cfRule type="expression" dxfId="1402" priority="35">
      <formula>$E$81="n/a"</formula>
    </cfRule>
  </conditionalFormatting>
  <conditionalFormatting sqref="F80">
    <cfRule type="expression" dxfId="1401" priority="34">
      <formula>$E$80="n/a"</formula>
    </cfRule>
  </conditionalFormatting>
  <conditionalFormatting sqref="F79">
    <cfRule type="expression" dxfId="1400" priority="33">
      <formula>$E$79="n/a"</formula>
    </cfRule>
  </conditionalFormatting>
  <conditionalFormatting sqref="F78">
    <cfRule type="expression" dxfId="1399" priority="32">
      <formula>$E$78="n/a"</formula>
    </cfRule>
  </conditionalFormatting>
  <conditionalFormatting sqref="F77">
    <cfRule type="expression" dxfId="1398" priority="31">
      <formula>$E$77="n/a"</formula>
    </cfRule>
  </conditionalFormatting>
  <conditionalFormatting sqref="F76">
    <cfRule type="expression" dxfId="1397" priority="30">
      <formula>$E$76="n/a"</formula>
    </cfRule>
  </conditionalFormatting>
  <conditionalFormatting sqref="F75">
    <cfRule type="expression" dxfId="1396" priority="29">
      <formula>$E$75="n/a"</formula>
    </cfRule>
  </conditionalFormatting>
  <conditionalFormatting sqref="F74">
    <cfRule type="expression" dxfId="1395" priority="28">
      <formula>$E$74="n/a"</formula>
    </cfRule>
  </conditionalFormatting>
  <conditionalFormatting sqref="F73">
    <cfRule type="expression" dxfId="1394" priority="26">
      <formula>$E$73="n/a"</formula>
    </cfRule>
  </conditionalFormatting>
  <conditionalFormatting sqref="F72">
    <cfRule type="expression" dxfId="1393" priority="2">
      <formula>$E$72="n/a"</formula>
    </cfRule>
  </conditionalFormatting>
  <conditionalFormatting sqref="F47">
    <cfRule type="expression" dxfId="1392" priority="37">
      <formula>$E$47="n/a"</formula>
    </cfRule>
  </conditionalFormatting>
  <conditionalFormatting sqref="F48">
    <cfRule type="expression" dxfId="1391" priority="27">
      <formula>$E$48="n/a"</formula>
    </cfRule>
  </conditionalFormatting>
  <conditionalFormatting sqref="F49">
    <cfRule type="expression" dxfId="1390" priority="25">
      <formula>$E$49="n/a"</formula>
    </cfRule>
  </conditionalFormatting>
  <conditionalFormatting sqref="F50">
    <cfRule type="expression" dxfId="1389" priority="24">
      <formula>$E$50="n/a"</formula>
    </cfRule>
  </conditionalFormatting>
  <conditionalFormatting sqref="F51">
    <cfRule type="expression" dxfId="1388" priority="23">
      <formula>$E$51="n/a"</formula>
    </cfRule>
  </conditionalFormatting>
  <conditionalFormatting sqref="F52">
    <cfRule type="expression" dxfId="1387" priority="22">
      <formula>$E$52="n/a"</formula>
    </cfRule>
  </conditionalFormatting>
  <conditionalFormatting sqref="F53">
    <cfRule type="expression" dxfId="1386" priority="21">
      <formula>$E$53="n/a"</formula>
    </cfRule>
  </conditionalFormatting>
  <conditionalFormatting sqref="F54">
    <cfRule type="expression" dxfId="1385" priority="20">
      <formula>$E$54="n/a"</formula>
    </cfRule>
  </conditionalFormatting>
  <conditionalFormatting sqref="F55">
    <cfRule type="expression" dxfId="1384" priority="19">
      <formula>$E$55="n/a"</formula>
    </cfRule>
  </conditionalFormatting>
  <conditionalFormatting sqref="F56">
    <cfRule type="expression" dxfId="1383" priority="18">
      <formula>$E$56="n/a"</formula>
    </cfRule>
  </conditionalFormatting>
  <conditionalFormatting sqref="F57">
    <cfRule type="expression" dxfId="1382" priority="17">
      <formula>$E$57="n/a"</formula>
    </cfRule>
  </conditionalFormatting>
  <conditionalFormatting sqref="F58">
    <cfRule type="expression" dxfId="1381" priority="16">
      <formula>$E$58="n/a"</formula>
    </cfRule>
  </conditionalFormatting>
  <conditionalFormatting sqref="F59">
    <cfRule type="expression" dxfId="1380" priority="15">
      <formula>$E$59="n/a"</formula>
    </cfRule>
  </conditionalFormatting>
  <conditionalFormatting sqref="F60">
    <cfRule type="expression" dxfId="1379" priority="14">
      <formula>$E$60="n/a"</formula>
    </cfRule>
  </conditionalFormatting>
  <conditionalFormatting sqref="F61">
    <cfRule type="expression" dxfId="1378" priority="13">
      <formula>$E$61="n/a"</formula>
    </cfRule>
  </conditionalFormatting>
  <conditionalFormatting sqref="F62">
    <cfRule type="expression" dxfId="1377" priority="12">
      <formula>$E$62="n/a"</formula>
    </cfRule>
  </conditionalFormatting>
  <conditionalFormatting sqref="F63">
    <cfRule type="expression" dxfId="1376" priority="11">
      <formula>$E$63="n/a"</formula>
    </cfRule>
  </conditionalFormatting>
  <conditionalFormatting sqref="F64">
    <cfRule type="expression" dxfId="1375" priority="10">
      <formula>$E$64="n/a"</formula>
    </cfRule>
  </conditionalFormatting>
  <conditionalFormatting sqref="F65">
    <cfRule type="expression" dxfId="1374" priority="9">
      <formula>$E$65="n/a"</formula>
    </cfRule>
  </conditionalFormatting>
  <conditionalFormatting sqref="F66">
    <cfRule type="expression" dxfId="1373" priority="8">
      <formula>$E$66="n/a"</formula>
    </cfRule>
  </conditionalFormatting>
  <conditionalFormatting sqref="F67">
    <cfRule type="expression" dxfId="1372" priority="7">
      <formula>$E$67="n/a"</formula>
    </cfRule>
  </conditionalFormatting>
  <conditionalFormatting sqref="F68">
    <cfRule type="expression" dxfId="1371" priority="6">
      <formula>$E$68="n/a"</formula>
    </cfRule>
  </conditionalFormatting>
  <conditionalFormatting sqref="F69">
    <cfRule type="expression" dxfId="1370" priority="5">
      <formula>$E$69="n/a"</formula>
    </cfRule>
  </conditionalFormatting>
  <conditionalFormatting sqref="F70">
    <cfRule type="expression" dxfId="1369" priority="4">
      <formula>$E$70="n/a"</formula>
    </cfRule>
  </conditionalFormatting>
  <conditionalFormatting sqref="F71">
    <cfRule type="expression" dxfId="1368" priority="3">
      <formula>$E$71="n/a"</formula>
    </cfRule>
  </conditionalFormatting>
  <dataValidations count="34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AAACB10D-120A-41F8-B71D-8EDE9E0DF5DE}">
      <formula1>"* ,[OTHER] Visual"</formula1>
    </dataValidation>
    <dataValidation type="list" allowBlank="1" showInputMessage="1" showErrorMessage="1" sqref="D8 D9" xr:uid="{FA1F7A96-5D2B-4456-B456-18A3B5EF02E7}">
      <formula1>"* ,[ASTM] D6839"</formula1>
    </dataValidation>
    <dataValidation type="list" allowBlank="1" showInputMessage="1" showErrorMessage="1" sqref="D11" xr:uid="{EF38E870-5823-42FB-B85B-44AC97054D2C}">
      <formula1>"* ,[ASTM] D130"</formula1>
    </dataValidation>
    <dataValidation type="list" allowBlank="1" showInputMessage="1" showErrorMessage="1" sqref="D12" xr:uid="{6D21A31C-9382-4900-8535-A0130C017AF9}">
      <formula1>"* ,[ASTM] D1298,[ASTM] D4052"</formula1>
    </dataValidation>
    <dataValidation type="list" allowBlank="1" showInputMessage="1" showErrorMessage="1" sqref="D13 D14 D15 D16 D17 D18" xr:uid="{93197B44-4693-4174-B212-43DBC849CCE8}">
      <formula1>"* ,[ASTM] D86"</formula1>
    </dataValidation>
    <dataValidation type="list" allowBlank="1" showInputMessage="1" showErrorMessage="1" sqref="D19" xr:uid="{73C59A82-E9AE-4C22-8572-DCA2A2CACFBA}">
      <formula1>"* ,[ASTM] D4815-04"</formula1>
    </dataValidation>
    <dataValidation type="list" allowBlank="1" showInputMessage="1" showErrorMessage="1" sqref="D20 D21" xr:uid="{38BA2D2B-08B0-4A08-8F25-C8917DEDD21E}">
      <formula1>"* ,[ASTM] D381"</formula1>
    </dataValidation>
    <dataValidation type="list" allowBlank="1" showInputMessage="1" showErrorMessage="1" sqref="D22" xr:uid="{83CDAEB0-88CF-4ABF-A206-E299D77D6E29}">
      <formula1>"* ,[ASTM] D5059,[ASTM] D3237"</formula1>
    </dataValidation>
    <dataValidation type="list" allowBlank="1" showInputMessage="1" showErrorMessage="1" sqref="D23" xr:uid="{1BB412A2-C2AC-478C-91EC-50263DC65A8E}">
      <formula1>"* ,[ASTM] D4814 Appendix X1"</formula1>
    </dataValidation>
    <dataValidation type="list" allowBlank="1" showInputMessage="1" showErrorMessage="1" sqref="D24" xr:uid="{5CDDFC54-77C7-44F9-ABF7-53070A9BA2CE}">
      <formula1>"* ,[ASTM] D2699"</formula1>
    </dataValidation>
    <dataValidation type="list" allowBlank="1" showInputMessage="1" showErrorMessage="1" sqref="D25" xr:uid="{02862366-ECC7-4F2C-8751-932C4F4FA95A}">
      <formula1>"* ,[ASTM] D4815"</formula1>
    </dataValidation>
    <dataValidation type="list" allowBlank="1" showInputMessage="1" showErrorMessage="1" sqref="D26" xr:uid="{48F8619E-9A60-4F67-AB37-EF5556CB75B9}">
      <formula1>"[ASTM] D5453"</formula1>
    </dataValidation>
    <dataValidation type="list" allowBlank="1" showInputMessage="1" showErrorMessage="1" sqref="D27" xr:uid="{A6F32B23-E3C1-409F-973D-1B50A557C867}">
      <formula1>"* ,[ASTM] D5191 (ASTM),[ASTM] D5482,[ASTM] D4953"</formula1>
    </dataValidation>
    <dataValidation type="list" allowBlank="1" showInputMessage="1" showErrorMessage="1" sqref="D28" xr:uid="{C6C54B70-C7B8-4B1F-AD25-E4EE8DD10934}">
      <formula1>"* ,[ASTM] E203"</formula1>
    </dataValidation>
    <dataValidation type="list" allowBlank="1" showInputMessage="1" showErrorMessage="1" sqref="H7" xr:uid="{13C9CC8B-4750-487A-8D49-9FBAFB2A75F7}">
      <formula1>"pass/fail,visual"</formula1>
    </dataValidation>
    <dataValidation type="list" allowBlank="1" showInputMessage="1" showErrorMessage="1" sqref="H8" xr:uid="{EFAE2772-77A3-4B0C-950B-B4411CE71711}">
      <formula1>"ppm,%liq vol,%m/m,%mole,%vol"</formula1>
    </dataValidation>
    <dataValidation type="list" allowBlank="1" showInputMessage="1" showErrorMessage="1" sqref="H9" xr:uid="{F4D5CFDD-1CD4-45FB-B052-CE45D153A3E7}">
      <formula1>"mg/kg,ppm v/v,ppm w/w,%wt,%vol"</formula1>
    </dataValidation>
    <dataValidation type="list" allowBlank="1" showInputMessage="1" showErrorMessage="1" sqref="H10" xr:uid="{C0A59897-2696-472C-830D-23F4584272F7}">
      <formula1>"haze no,Pt/Co scale,pass/fail,rating,visual"</formula1>
    </dataValidation>
    <dataValidation type="list" allowBlank="1" showInputMessage="1" showErrorMessage="1" sqref="H11" xr:uid="{F4755F30-5D9B-4C6A-86E8-7A9F7B239657}">
      <formula1>"rating"</formula1>
    </dataValidation>
    <dataValidation type="list" allowBlank="1" showInputMessage="1" showErrorMessage="1" sqref="H12" xr:uid="{FC5AC632-7AFD-4C64-9351-919FF3C575F7}">
      <formula1>"g/ cc,g/l,g/cm³,g/ml,kg/m³,kg/l,n/a,tonne/m³"</formula1>
    </dataValidation>
    <dataValidation type="list" allowBlank="1" showInputMessage="1" showErrorMessage="1" sqref="H13 H14 H15 H16 H17 H18" xr:uid="{2D903D7B-992A-431B-BE63-6C5850FFB7B8}">
      <formula1>"°C,°F,%,%vol"</formula1>
    </dataValidation>
    <dataValidation type="list" allowBlank="1" showInputMessage="1" showErrorMessage="1" sqref="H19" xr:uid="{D7E1F87D-DF85-47DD-AF86-87E1889892F5}">
      <formula1>"ppm,%vol"</formula1>
    </dataValidation>
    <dataValidation type="list" allowBlank="1" showInputMessage="1" showErrorMessage="1" sqref="H20 H21" xr:uid="{374D425F-659E-4B08-AF0A-66A4D1D43238}">
      <formula1>"g/m³,mg/100ml,mg/l"</formula1>
    </dataValidation>
    <dataValidation type="list" allowBlank="1" showInputMessage="1" showErrorMessage="1" sqref="H22" xr:uid="{5BC79076-89AA-401F-8518-5322A8CA269E}">
      <formula1>"g Pb/l,g Pb/US gal,g/US gal,mg/kg,mg/l,ppb,ppm,ppm w/w,%vol"</formula1>
    </dataValidation>
    <dataValidation type="list" allowBlank="1" showInputMessage="1" showErrorMessage="1" sqref="H23" xr:uid="{751247D4-3452-4D86-962C-CC08BE20C6F6}">
      <formula1>"calc,rating"</formula1>
    </dataValidation>
    <dataValidation type="list" allowBlank="1" showInputMessage="1" showErrorMessage="1" sqref="H24" xr:uid="{F839753F-DA8C-4222-93D7-CFC31AD704E7}">
      <formula1>"mg/kg,mg/l,ppm,ppm w/w,%wt,rating"</formula1>
    </dataValidation>
    <dataValidation type="list" allowBlank="1" showInputMessage="1" showErrorMessage="1" sqref="H25" xr:uid="{F96AAEDE-145C-4A64-A3EB-C765C1F36D3B}">
      <formula1>"mg/100ml,mg/kg,ppm,ppm v/v,%m/m,%mole,%wt,%vol"</formula1>
    </dataValidation>
    <dataValidation type="list" allowBlank="1" showInputMessage="1" showErrorMessage="1" sqref="H26" xr:uid="{EBF09A94-2F09-42D9-9555-BE0D81B348B3}">
      <formula1>"μg/g,mg/kg,mg/l,ppm,%m,%m/m,%wt"</formula1>
    </dataValidation>
    <dataValidation type="list" allowBlank="1" showInputMessage="1" showErrorMessage="1" sqref="H27" xr:uid="{BB9EA4CC-99DB-40DE-93D1-1735B09C96AA}">
      <formula1>"kg/cm²,kPa,mm Hg,psi"</formula1>
    </dataValidation>
    <dataValidation type="list" allowBlank="1" showInputMessage="1" showErrorMessage="1" sqref="H28" xr:uid="{F80FCFA6-3A89-479D-B1B4-73EE49286593}">
      <formula1>"mg/kg,ppm,%wt,%vol"</formula1>
    </dataValidation>
    <dataValidation type="list" allowBlank="1" showInputMessage="1" showErrorMessage="1" sqref="F8 F9 F11 F12 F13 F14 F15 F16 F17 F18 F19 F20 F21 F22 F23 F24 F25 F26 F27 F28" xr:uid="{0918EE2F-8981-45EA-B4C9-6EE07FC69919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0ECFE-4D4A-4544-A491-5033080C358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230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367" priority="141">
      <formula>$K$5=1</formula>
    </cfRule>
  </conditionalFormatting>
  <conditionalFormatting sqref="L7:N82">
    <cfRule type="expression" dxfId="1366" priority="142">
      <formula>$K$5=1</formula>
    </cfRule>
  </conditionalFormatting>
  <conditionalFormatting sqref="P5:R6">
    <cfRule type="expression" dxfId="1365" priority="143">
      <formula>$O$5=1</formula>
    </cfRule>
  </conditionalFormatting>
  <conditionalFormatting sqref="P7:R82">
    <cfRule type="expression" dxfId="1364" priority="144">
      <formula>$O$5=1</formula>
    </cfRule>
  </conditionalFormatting>
  <conditionalFormatting sqref="T5:V6">
    <cfRule type="expression" dxfId="1363" priority="145">
      <formula>$S$5=1</formula>
    </cfRule>
  </conditionalFormatting>
  <conditionalFormatting sqref="T7:V82">
    <cfRule type="expression" dxfId="1362" priority="146">
      <formula>$S$5=1</formula>
    </cfRule>
  </conditionalFormatting>
  <conditionalFormatting sqref="X5:Z6">
    <cfRule type="expression" dxfId="1361" priority="147">
      <formula>$W$5=1</formula>
    </cfRule>
  </conditionalFormatting>
  <conditionalFormatting sqref="X7:Z82">
    <cfRule type="expression" dxfId="1360" priority="148">
      <formula>$W$5=1</formula>
    </cfRule>
  </conditionalFormatting>
  <conditionalFormatting sqref="AB5:AD6">
    <cfRule type="expression" dxfId="1359" priority="149">
      <formula>$AA$5=1</formula>
    </cfRule>
  </conditionalFormatting>
  <conditionalFormatting sqref="AB7:AD82">
    <cfRule type="expression" dxfId="1358" priority="150">
      <formula>$AA$5=1</formula>
    </cfRule>
  </conditionalFormatting>
  <conditionalFormatting sqref="J2:J3">
    <cfRule type="expression" dxfId="1357" priority="151">
      <formula>$F$1=1</formula>
    </cfRule>
    <cfRule type="expression" priority="152">
      <formula>$F$1</formula>
    </cfRule>
  </conditionalFormatting>
  <conditionalFormatting sqref="J4">
    <cfRule type="expression" dxfId="1356" priority="153">
      <formula>$F$1=1</formula>
    </cfRule>
  </conditionalFormatting>
  <conditionalFormatting sqref="M4:N4">
    <cfRule type="expression" dxfId="1355" priority="140">
      <formula>$K$5=1</formula>
    </cfRule>
  </conditionalFormatting>
  <conditionalFormatting sqref="Q4:R4">
    <cfRule type="expression" dxfId="1354" priority="139">
      <formula>$O$5=1</formula>
    </cfRule>
  </conditionalFormatting>
  <conditionalFormatting sqref="U4:V4">
    <cfRule type="expression" dxfId="1353" priority="138">
      <formula>$S$5=1</formula>
    </cfRule>
  </conditionalFormatting>
  <conditionalFormatting sqref="Y4:Z4">
    <cfRule type="expression" dxfId="1352" priority="137">
      <formula>$W$5=1</formula>
    </cfRule>
  </conditionalFormatting>
  <conditionalFormatting sqref="AC4:AD4">
    <cfRule type="expression" dxfId="1351" priority="136">
      <formula>$AA$5=1</formula>
    </cfRule>
  </conditionalFormatting>
  <conditionalFormatting sqref="AF5:AH6">
    <cfRule type="expression" dxfId="1350" priority="134">
      <formula>$AE$5=1</formula>
    </cfRule>
  </conditionalFormatting>
  <conditionalFormatting sqref="AF7:AH82">
    <cfRule type="expression" dxfId="1349" priority="135">
      <formula>$AE$5=1</formula>
    </cfRule>
  </conditionalFormatting>
  <conditionalFormatting sqref="AG4:AH4">
    <cfRule type="expression" dxfId="1348" priority="133">
      <formula>$AE$5=1</formula>
    </cfRule>
  </conditionalFormatting>
  <conditionalFormatting sqref="AJ7:AL82">
    <cfRule type="expression" dxfId="1347" priority="132">
      <formula>$AI$5=1</formula>
    </cfRule>
  </conditionalFormatting>
  <conditionalFormatting sqref="AK4:AL4">
    <cfRule type="expression" dxfId="1346" priority="131">
      <formula>$AI$5=1</formula>
    </cfRule>
  </conditionalFormatting>
  <conditionalFormatting sqref="AN7:AP82">
    <cfRule type="expression" dxfId="1345" priority="130">
      <formula>$AM$5=1</formula>
    </cfRule>
  </conditionalFormatting>
  <conditionalFormatting sqref="AO4:AP4">
    <cfRule type="expression" dxfId="1344" priority="129">
      <formula>AM$5=1</formula>
    </cfRule>
  </conditionalFormatting>
  <conditionalFormatting sqref="AR7:AT82">
    <cfRule type="expression" dxfId="1343" priority="128">
      <formula>$AQ$5=1</formula>
    </cfRule>
  </conditionalFormatting>
  <conditionalFormatting sqref="AV7:AX82">
    <cfRule type="expression" dxfId="1342" priority="127">
      <formula>$AU$5=1</formula>
    </cfRule>
  </conditionalFormatting>
  <conditionalFormatting sqref="AZ7:BB82">
    <cfRule type="expression" dxfId="1341" priority="126">
      <formula>$AY$5=1</formula>
    </cfRule>
  </conditionalFormatting>
  <conditionalFormatting sqref="BD7:BF82">
    <cfRule type="expression" dxfId="1340" priority="125">
      <formula>$BC$5=1</formula>
    </cfRule>
  </conditionalFormatting>
  <conditionalFormatting sqref="BH7:BJ82">
    <cfRule type="expression" dxfId="1339" priority="124">
      <formula>$BG$5=1</formula>
    </cfRule>
  </conditionalFormatting>
  <conditionalFormatting sqref="BL7:BN82">
    <cfRule type="expression" dxfId="1338" priority="123">
      <formula>$BK$5=1</formula>
    </cfRule>
  </conditionalFormatting>
  <conditionalFormatting sqref="BP7:BR82">
    <cfRule type="expression" dxfId="1337" priority="122">
      <formula>$BO$5=1</formula>
    </cfRule>
  </conditionalFormatting>
  <conditionalFormatting sqref="BT7:BV82">
    <cfRule type="expression" dxfId="1336" priority="121">
      <formula>$BS$5=1</formula>
    </cfRule>
  </conditionalFormatting>
  <conditionalFormatting sqref="AS4:AT4">
    <cfRule type="expression" dxfId="1335" priority="120">
      <formula>AQ$5=1</formula>
    </cfRule>
  </conditionalFormatting>
  <conditionalFormatting sqref="AW4:AX4">
    <cfRule type="expression" dxfId="1334" priority="119">
      <formula>AU$5=1</formula>
    </cfRule>
  </conditionalFormatting>
  <conditionalFormatting sqref="BA4:BB4">
    <cfRule type="expression" dxfId="1333" priority="118">
      <formula>AY$5=1</formula>
    </cfRule>
  </conditionalFormatting>
  <conditionalFormatting sqref="BE4:BF4">
    <cfRule type="expression" dxfId="1332" priority="117">
      <formula>BC$5=1</formula>
    </cfRule>
  </conditionalFormatting>
  <conditionalFormatting sqref="BI4:BJ4">
    <cfRule type="expression" dxfId="1331" priority="116">
      <formula>BG$5=1</formula>
    </cfRule>
  </conditionalFormatting>
  <conditionalFormatting sqref="BM4:BN4">
    <cfRule type="expression" dxfId="1330" priority="115">
      <formula>BK$5=1</formula>
    </cfRule>
  </conditionalFormatting>
  <conditionalFormatting sqref="BQ4:BR4">
    <cfRule type="expression" dxfId="1329" priority="114">
      <formula>BO$5=1</formula>
    </cfRule>
  </conditionalFormatting>
  <conditionalFormatting sqref="BU4:BV4">
    <cfRule type="expression" dxfId="1328" priority="113">
      <formula>BS$5=1</formula>
    </cfRule>
  </conditionalFormatting>
  <conditionalFormatting sqref="AJ5:AL6">
    <cfRule type="expression" dxfId="1327" priority="112">
      <formula>$AI$5=1</formula>
    </cfRule>
  </conditionalFormatting>
  <conditionalFormatting sqref="AN5:AP6">
    <cfRule type="expression" dxfId="1326" priority="111">
      <formula>$AM$5=1</formula>
    </cfRule>
  </conditionalFormatting>
  <conditionalFormatting sqref="AR5:AT6">
    <cfRule type="expression" dxfId="1325" priority="110">
      <formula>$AQ$5=1</formula>
    </cfRule>
  </conditionalFormatting>
  <conditionalFormatting sqref="AZ5:BB6">
    <cfRule type="expression" dxfId="1324" priority="109">
      <formula>$AY$5=1</formula>
    </cfRule>
  </conditionalFormatting>
  <conditionalFormatting sqref="BD5:BF6">
    <cfRule type="expression" dxfId="1323" priority="108">
      <formula>$BC$5=1</formula>
    </cfRule>
  </conditionalFormatting>
  <conditionalFormatting sqref="BH5:BJ6">
    <cfRule type="expression" dxfId="1322" priority="107">
      <formula>$BG$5=1</formula>
    </cfRule>
  </conditionalFormatting>
  <conditionalFormatting sqref="BL5:BN6">
    <cfRule type="expression" dxfId="1321" priority="106">
      <formula>$BK$5=1</formula>
    </cfRule>
  </conditionalFormatting>
  <conditionalFormatting sqref="BP5:BR6">
    <cfRule type="expression" dxfId="1320" priority="105">
      <formula>$BO$5=1</formula>
    </cfRule>
  </conditionalFormatting>
  <conditionalFormatting sqref="BT5:BV6">
    <cfRule type="expression" dxfId="1319" priority="104">
      <formula>$BS$5=1</formula>
    </cfRule>
  </conditionalFormatting>
  <conditionalFormatting sqref="AV5:AX6">
    <cfRule type="expression" dxfId="1318" priority="103">
      <formula>$AU$5=1</formula>
    </cfRule>
  </conditionalFormatting>
  <conditionalFormatting sqref="C7:H82">
    <cfRule type="expression" dxfId="1317" priority="1">
      <formula>$B7="v"</formula>
    </cfRule>
  </conditionalFormatting>
  <conditionalFormatting sqref="I7:I82">
    <cfRule type="expression" dxfId="1316" priority="101">
      <formula>$B7="v"</formula>
    </cfRule>
  </conditionalFormatting>
  <conditionalFormatting sqref="N7:N82">
    <cfRule type="expression" dxfId="1315" priority="100">
      <formula>$B7="v"</formula>
    </cfRule>
  </conditionalFormatting>
  <conditionalFormatting sqref="M7:M82">
    <cfRule type="expression" dxfId="1314" priority="99">
      <formula>$B7="v"</formula>
    </cfRule>
  </conditionalFormatting>
  <conditionalFormatting sqref="L7:L82">
    <cfRule type="expression" dxfId="1313" priority="98">
      <formula>$B7="v"</formula>
    </cfRule>
  </conditionalFormatting>
  <conditionalFormatting sqref="P7:Q82">
    <cfRule type="expression" dxfId="1312" priority="97">
      <formula>$B7="v"</formula>
    </cfRule>
  </conditionalFormatting>
  <conditionalFormatting sqref="R7:R82">
    <cfRule type="expression" dxfId="131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310" priority="95">
      <formula>$B7="v"</formula>
    </cfRule>
  </conditionalFormatting>
  <conditionalFormatting sqref="X7:Y82 T7:U82 AJ7:AK82 AF7:AG82 AB7:AC82 AR7:AS82 AN7:AO82 BH7:BI82 BD7:BE82 AZ7:BA82 BT7:BU82 BP7:BQ82 BL7:BM82">
    <cfRule type="expression" dxfId="1309" priority="94">
      <formula>$B7="v"</formula>
    </cfRule>
  </conditionalFormatting>
  <conditionalFormatting sqref="AV7:AW82">
    <cfRule type="expression" dxfId="1308" priority="93">
      <formula>$B7="v"</formula>
    </cfRule>
  </conditionalFormatting>
  <conditionalFormatting sqref="X7:Z82">
    <cfRule type="expression" dxfId="1307" priority="92">
      <formula>$W$5=""</formula>
    </cfRule>
  </conditionalFormatting>
  <conditionalFormatting sqref="T7:V82">
    <cfRule type="expression" dxfId="1306" priority="91">
      <formula>$S$5=""</formula>
    </cfRule>
  </conditionalFormatting>
  <conditionalFormatting sqref="P7:R82">
    <cfRule type="expression" dxfId="1305" priority="90">
      <formula>$O$5=""</formula>
    </cfRule>
  </conditionalFormatting>
  <conditionalFormatting sqref="L7:N82">
    <cfRule type="expression" dxfId="1304" priority="89">
      <formula>$K$5=""</formula>
    </cfRule>
  </conditionalFormatting>
  <conditionalFormatting sqref="AB7:AD82">
    <cfRule type="expression" dxfId="1303" priority="88">
      <formula>$AA$5=""</formula>
    </cfRule>
  </conditionalFormatting>
  <conditionalFormatting sqref="AF7:AH82">
    <cfRule type="expression" dxfId="1302" priority="87">
      <formula>$AE$5=""</formula>
    </cfRule>
  </conditionalFormatting>
  <conditionalFormatting sqref="AJ7:AL82">
    <cfRule type="expression" dxfId="1301" priority="86">
      <formula>$AI$5=""</formula>
    </cfRule>
  </conditionalFormatting>
  <conditionalFormatting sqref="AN7:AP82">
    <cfRule type="expression" dxfId="1300" priority="85">
      <formula>$AM$5=""</formula>
    </cfRule>
  </conditionalFormatting>
  <conditionalFormatting sqref="AR7:AT82">
    <cfRule type="expression" dxfId="1299" priority="84">
      <formula>$AQ$5=""</formula>
    </cfRule>
  </conditionalFormatting>
  <conditionalFormatting sqref="AV7:AX82">
    <cfRule type="expression" dxfId="1298" priority="83">
      <formula>$AU$5=""</formula>
    </cfRule>
  </conditionalFormatting>
  <conditionalFormatting sqref="AZ7:BB82">
    <cfRule type="expression" dxfId="1297" priority="82">
      <formula>$AY$5=""</formula>
    </cfRule>
  </conditionalFormatting>
  <conditionalFormatting sqref="BD7:BF82">
    <cfRule type="expression" dxfId="1296" priority="81">
      <formula>$BC$5=""</formula>
    </cfRule>
  </conditionalFormatting>
  <conditionalFormatting sqref="BH7:BJ82">
    <cfRule type="expression" dxfId="1295" priority="80">
      <formula>$BG$5=""</formula>
    </cfRule>
  </conditionalFormatting>
  <conditionalFormatting sqref="BL7:BN82">
    <cfRule type="expression" dxfId="1294" priority="79">
      <formula>$BK$5=""</formula>
    </cfRule>
  </conditionalFormatting>
  <conditionalFormatting sqref="BP7:BR82">
    <cfRule type="expression" dxfId="1293" priority="78">
      <formula>$BO$5=""</formula>
    </cfRule>
  </conditionalFormatting>
  <conditionalFormatting sqref="BT7:BV82">
    <cfRule type="expression" dxfId="1292" priority="77">
      <formula>$BS$5=""</formula>
    </cfRule>
  </conditionalFormatting>
  <conditionalFormatting sqref="F25">
    <cfRule type="expression" dxfId="1291" priority="76">
      <formula>$E$25="n/a"</formula>
    </cfRule>
  </conditionalFormatting>
  <conditionalFormatting sqref="F7">
    <cfRule type="expression" dxfId="1290" priority="75">
      <formula>$E$7="n/a"</formula>
    </cfRule>
  </conditionalFormatting>
  <conditionalFormatting sqref="F8">
    <cfRule type="expression" dxfId="1289" priority="102">
      <formula>$E$8="n/a"</formula>
    </cfRule>
  </conditionalFormatting>
  <conditionalFormatting sqref="F9">
    <cfRule type="expression" dxfId="1288" priority="74">
      <formula>$E$9="n/a"</formula>
    </cfRule>
  </conditionalFormatting>
  <conditionalFormatting sqref="F10">
    <cfRule type="expression" dxfId="1287" priority="73">
      <formula>$E$10="n/a"</formula>
    </cfRule>
  </conditionalFormatting>
  <conditionalFormatting sqref="F11">
    <cfRule type="expression" dxfId="1286" priority="72">
      <formula>$E$11="n/a"</formula>
    </cfRule>
  </conditionalFormatting>
  <conditionalFormatting sqref="F12">
    <cfRule type="expression" dxfId="1285" priority="71">
      <formula>$E$12="n/a"</formula>
    </cfRule>
  </conditionalFormatting>
  <conditionalFormatting sqref="F13">
    <cfRule type="expression" dxfId="1284" priority="70">
      <formula>$E$13="n/a"</formula>
    </cfRule>
  </conditionalFormatting>
  <conditionalFormatting sqref="F14">
    <cfRule type="expression" dxfId="1283" priority="69">
      <formula>$E$14="n/a"</formula>
    </cfRule>
  </conditionalFormatting>
  <conditionalFormatting sqref="F15">
    <cfRule type="expression" dxfId="1282" priority="68">
      <formula>$E$15="n/a"</formula>
    </cfRule>
  </conditionalFormatting>
  <conditionalFormatting sqref="F16">
    <cfRule type="expression" dxfId="1281" priority="67">
      <formula>$E$16="n/a"</formula>
    </cfRule>
  </conditionalFormatting>
  <conditionalFormatting sqref="F17">
    <cfRule type="expression" dxfId="1280" priority="66">
      <formula>$E$17="n/a"</formula>
    </cfRule>
  </conditionalFormatting>
  <conditionalFormatting sqref="F18">
    <cfRule type="expression" dxfId="1279" priority="65">
      <formula>$E$18="n/a"</formula>
    </cfRule>
  </conditionalFormatting>
  <conditionalFormatting sqref="F19">
    <cfRule type="expression" dxfId="1278" priority="64">
      <formula>$E$19="n/a"</formula>
    </cfRule>
  </conditionalFormatting>
  <conditionalFormatting sqref="F20">
    <cfRule type="expression" dxfId="1277" priority="63">
      <formula>$E$20="n/a"</formula>
    </cfRule>
  </conditionalFormatting>
  <conditionalFormatting sqref="F21">
    <cfRule type="expression" dxfId="1276" priority="62">
      <formula>$E$21="n/a"</formula>
    </cfRule>
  </conditionalFormatting>
  <conditionalFormatting sqref="F22">
    <cfRule type="expression" dxfId="1275" priority="61">
      <formula>$E$22="n/a"</formula>
    </cfRule>
  </conditionalFormatting>
  <conditionalFormatting sqref="F23">
    <cfRule type="expression" dxfId="1274" priority="60">
      <formula>$E$23="n/a"</formula>
    </cfRule>
  </conditionalFormatting>
  <conditionalFormatting sqref="F24">
    <cfRule type="expression" dxfId="1273" priority="59">
      <formula>$E$24="n/a"</formula>
    </cfRule>
  </conditionalFormatting>
  <conditionalFormatting sqref="F26">
    <cfRule type="expression" dxfId="1272" priority="58">
      <formula>$E$26="n/a"</formula>
    </cfRule>
  </conditionalFormatting>
  <conditionalFormatting sqref="F27">
    <cfRule type="expression" dxfId="1271" priority="57">
      <formula>$E$27="n/a"</formula>
    </cfRule>
  </conditionalFormatting>
  <conditionalFormatting sqref="F28">
    <cfRule type="expression" dxfId="1270" priority="56">
      <formula>$E$28="n/a"</formula>
    </cfRule>
  </conditionalFormatting>
  <conditionalFormatting sqref="F29">
    <cfRule type="expression" dxfId="1269" priority="55">
      <formula>$E$29="n/a"</formula>
    </cfRule>
  </conditionalFormatting>
  <conditionalFormatting sqref="F30">
    <cfRule type="expression" dxfId="1268" priority="54">
      <formula>$E$30="n/a"</formula>
    </cfRule>
  </conditionalFormatting>
  <conditionalFormatting sqref="F31">
    <cfRule type="expression" dxfId="1267" priority="53">
      <formula>$E$31="n/a"</formula>
    </cfRule>
  </conditionalFormatting>
  <conditionalFormatting sqref="F32">
    <cfRule type="expression" dxfId="1266" priority="52">
      <formula>$E$32="n/a"</formula>
    </cfRule>
  </conditionalFormatting>
  <conditionalFormatting sqref="F33">
    <cfRule type="expression" dxfId="1265" priority="51">
      <formula>$E$33="n/a"</formula>
    </cfRule>
  </conditionalFormatting>
  <conditionalFormatting sqref="F34">
    <cfRule type="expression" dxfId="1264" priority="50">
      <formula>$E$34="n/a"</formula>
    </cfRule>
  </conditionalFormatting>
  <conditionalFormatting sqref="F35">
    <cfRule type="expression" dxfId="1263" priority="49">
      <formula>$E$35="n/a"</formula>
    </cfRule>
  </conditionalFormatting>
  <conditionalFormatting sqref="F36">
    <cfRule type="expression" dxfId="1262" priority="48">
      <formula>$E$36="n/a"</formula>
    </cfRule>
  </conditionalFormatting>
  <conditionalFormatting sqref="F37">
    <cfRule type="expression" dxfId="1261" priority="47">
      <formula>$E$37="n/a"</formula>
    </cfRule>
  </conditionalFormatting>
  <conditionalFormatting sqref="F38">
    <cfRule type="expression" dxfId="1260" priority="46">
      <formula>$E$38="n/a"</formula>
    </cfRule>
  </conditionalFormatting>
  <conditionalFormatting sqref="F39">
    <cfRule type="expression" dxfId="1259" priority="45">
      <formula>$E$39="n/a"</formula>
    </cfRule>
  </conditionalFormatting>
  <conditionalFormatting sqref="F40">
    <cfRule type="expression" dxfId="1258" priority="44">
      <formula>$E$40="n/a"</formula>
    </cfRule>
  </conditionalFormatting>
  <conditionalFormatting sqref="F41">
    <cfRule type="expression" dxfId="1257" priority="43">
      <formula>$E$41="n/a"</formula>
    </cfRule>
  </conditionalFormatting>
  <conditionalFormatting sqref="F42">
    <cfRule type="expression" dxfId="1256" priority="42">
      <formula>$E$42="n/a"</formula>
    </cfRule>
  </conditionalFormatting>
  <conditionalFormatting sqref="F43">
    <cfRule type="expression" dxfId="1255" priority="41">
      <formula>$E$43="n/a"</formula>
    </cfRule>
  </conditionalFormatting>
  <conditionalFormatting sqref="F44">
    <cfRule type="expression" dxfId="1254" priority="40">
      <formula>$E$44="n/a"</formula>
    </cfRule>
  </conditionalFormatting>
  <conditionalFormatting sqref="F45">
    <cfRule type="expression" dxfId="1253" priority="39">
      <formula>$E$45="n/a"</formula>
    </cfRule>
  </conditionalFormatting>
  <conditionalFormatting sqref="F46">
    <cfRule type="expression" dxfId="1252" priority="38">
      <formula>$E$46="n/a"</formula>
    </cfRule>
  </conditionalFormatting>
  <conditionalFormatting sqref="F82">
    <cfRule type="expression" dxfId="1251" priority="36">
      <formula>$E$82="n/a"</formula>
    </cfRule>
  </conditionalFormatting>
  <conditionalFormatting sqref="F81">
    <cfRule type="expression" dxfId="1250" priority="35">
      <formula>$E$81="n/a"</formula>
    </cfRule>
  </conditionalFormatting>
  <conditionalFormatting sqref="F80">
    <cfRule type="expression" dxfId="1249" priority="34">
      <formula>$E$80="n/a"</formula>
    </cfRule>
  </conditionalFormatting>
  <conditionalFormatting sqref="F79">
    <cfRule type="expression" dxfId="1248" priority="33">
      <formula>$E$79="n/a"</formula>
    </cfRule>
  </conditionalFormatting>
  <conditionalFormatting sqref="F78">
    <cfRule type="expression" dxfId="1247" priority="32">
      <formula>$E$78="n/a"</formula>
    </cfRule>
  </conditionalFormatting>
  <conditionalFormatting sqref="F77">
    <cfRule type="expression" dxfId="1246" priority="31">
      <formula>$E$77="n/a"</formula>
    </cfRule>
  </conditionalFormatting>
  <conditionalFormatting sqref="F76">
    <cfRule type="expression" dxfId="1245" priority="30">
      <formula>$E$76="n/a"</formula>
    </cfRule>
  </conditionalFormatting>
  <conditionalFormatting sqref="F75">
    <cfRule type="expression" dxfId="1244" priority="29">
      <formula>$E$75="n/a"</formula>
    </cfRule>
  </conditionalFormatting>
  <conditionalFormatting sqref="F74">
    <cfRule type="expression" dxfId="1243" priority="28">
      <formula>$E$74="n/a"</formula>
    </cfRule>
  </conditionalFormatting>
  <conditionalFormatting sqref="F73">
    <cfRule type="expression" dxfId="1242" priority="26">
      <formula>$E$73="n/a"</formula>
    </cfRule>
  </conditionalFormatting>
  <conditionalFormatting sqref="F72">
    <cfRule type="expression" dxfId="1241" priority="2">
      <formula>$E$72="n/a"</formula>
    </cfRule>
  </conditionalFormatting>
  <conditionalFormatting sqref="F47">
    <cfRule type="expression" dxfId="1240" priority="37">
      <formula>$E$47="n/a"</formula>
    </cfRule>
  </conditionalFormatting>
  <conditionalFormatting sqref="F48">
    <cfRule type="expression" dxfId="1239" priority="27">
      <formula>$E$48="n/a"</formula>
    </cfRule>
  </conditionalFormatting>
  <conditionalFormatting sqref="F49">
    <cfRule type="expression" dxfId="1238" priority="25">
      <formula>$E$49="n/a"</formula>
    </cfRule>
  </conditionalFormatting>
  <conditionalFormatting sqref="F50">
    <cfRule type="expression" dxfId="1237" priority="24">
      <formula>$E$50="n/a"</formula>
    </cfRule>
  </conditionalFormatting>
  <conditionalFormatting sqref="F51">
    <cfRule type="expression" dxfId="1236" priority="23">
      <formula>$E$51="n/a"</formula>
    </cfRule>
  </conditionalFormatting>
  <conditionalFormatting sqref="F52">
    <cfRule type="expression" dxfId="1235" priority="22">
      <formula>$E$52="n/a"</formula>
    </cfRule>
  </conditionalFormatting>
  <conditionalFormatting sqref="F53">
    <cfRule type="expression" dxfId="1234" priority="21">
      <formula>$E$53="n/a"</formula>
    </cfRule>
  </conditionalFormatting>
  <conditionalFormatting sqref="F54">
    <cfRule type="expression" dxfId="1233" priority="20">
      <formula>$E$54="n/a"</formula>
    </cfRule>
  </conditionalFormatting>
  <conditionalFormatting sqref="F55">
    <cfRule type="expression" dxfId="1232" priority="19">
      <formula>$E$55="n/a"</formula>
    </cfRule>
  </conditionalFormatting>
  <conditionalFormatting sqref="F56">
    <cfRule type="expression" dxfId="1231" priority="18">
      <formula>$E$56="n/a"</formula>
    </cfRule>
  </conditionalFormatting>
  <conditionalFormatting sqref="F57">
    <cfRule type="expression" dxfId="1230" priority="17">
      <formula>$E$57="n/a"</formula>
    </cfRule>
  </conditionalFormatting>
  <conditionalFormatting sqref="F58">
    <cfRule type="expression" dxfId="1229" priority="16">
      <formula>$E$58="n/a"</formula>
    </cfRule>
  </conditionalFormatting>
  <conditionalFormatting sqref="F59">
    <cfRule type="expression" dxfId="1228" priority="15">
      <formula>$E$59="n/a"</formula>
    </cfRule>
  </conditionalFormatting>
  <conditionalFormatting sqref="F60">
    <cfRule type="expression" dxfId="1227" priority="14">
      <formula>$E$60="n/a"</formula>
    </cfRule>
  </conditionalFormatting>
  <conditionalFormatting sqref="F61">
    <cfRule type="expression" dxfId="1226" priority="13">
      <formula>$E$61="n/a"</formula>
    </cfRule>
  </conditionalFormatting>
  <conditionalFormatting sqref="F62">
    <cfRule type="expression" dxfId="1225" priority="12">
      <formula>$E$62="n/a"</formula>
    </cfRule>
  </conditionalFormatting>
  <conditionalFormatting sqref="F63">
    <cfRule type="expression" dxfId="1224" priority="11">
      <formula>$E$63="n/a"</formula>
    </cfRule>
  </conditionalFormatting>
  <conditionalFormatting sqref="F64">
    <cfRule type="expression" dxfId="1223" priority="10">
      <formula>$E$64="n/a"</formula>
    </cfRule>
  </conditionalFormatting>
  <conditionalFormatting sqref="F65">
    <cfRule type="expression" dxfId="1222" priority="9">
      <formula>$E$65="n/a"</formula>
    </cfRule>
  </conditionalFormatting>
  <conditionalFormatting sqref="F66">
    <cfRule type="expression" dxfId="1221" priority="8">
      <formula>$E$66="n/a"</formula>
    </cfRule>
  </conditionalFormatting>
  <conditionalFormatting sqref="F67">
    <cfRule type="expression" dxfId="1220" priority="7">
      <formula>$E$67="n/a"</formula>
    </cfRule>
  </conditionalFormatting>
  <conditionalFormatting sqref="F68">
    <cfRule type="expression" dxfId="1219" priority="6">
      <formula>$E$68="n/a"</formula>
    </cfRule>
  </conditionalFormatting>
  <conditionalFormatting sqref="F69">
    <cfRule type="expression" dxfId="1218" priority="5">
      <formula>$E$69="n/a"</formula>
    </cfRule>
  </conditionalFormatting>
  <conditionalFormatting sqref="F70">
    <cfRule type="expression" dxfId="1217" priority="4">
      <formula>$E$70="n/a"</formula>
    </cfRule>
  </conditionalFormatting>
  <conditionalFormatting sqref="F71">
    <cfRule type="expression" dxfId="1216" priority="3">
      <formula>$E$71="n/a"</formula>
    </cfRule>
  </conditionalFormatting>
  <dataValidations count="3">
    <dataValidation type="list" allowBlank="1" showInputMessage="1" showErrorMessage="1" sqref="F2" xr:uid="{00AB253C-B418-4DE0-B2EA-FE8130FA2A83}">
      <formula1>"1, 2, 3, 4, 5, 6, 7, 8, 9, 10, 11, 12, 13, 14, 15, 16, 17"</formula1>
    </dataValidation>
    <dataValidation type="list" allowBlank="1" showInputMessage="1" showErrorMessage="1" sqref="B7:B82" xr:uid="{6468B224-E1DE-4CAE-9760-85F43B2C7CF3}">
      <formula1>"v"</formula1>
    </dataValidation>
    <dataValidation type="list" allowBlank="1" showInputMessage="1" showErrorMessage="1" sqref="BP7:BP82 AV7:AV82 BL7:BL82 BT7:BT82 BH7:BH82 BD7:BD82 AZ7:AZ82" xr:uid="{016A5902-A051-482F-9AC8-71A2BB90D46F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DA23F8-2774-43EC-AF42-2167337A2311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3A03FB7-FB2D-472C-B273-D6AA982A30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6F66-3CC7-435B-8555-C5CFFAB7CCD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232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215" priority="141">
      <formula>$K$5=1</formula>
    </cfRule>
  </conditionalFormatting>
  <conditionalFormatting sqref="L7:N82">
    <cfRule type="expression" dxfId="1214" priority="142">
      <formula>$K$5=1</formula>
    </cfRule>
  </conditionalFormatting>
  <conditionalFormatting sqref="P5:R6">
    <cfRule type="expression" dxfId="1213" priority="143">
      <formula>$O$5=1</formula>
    </cfRule>
  </conditionalFormatting>
  <conditionalFormatting sqref="P7:R82">
    <cfRule type="expression" dxfId="1212" priority="144">
      <formula>$O$5=1</formula>
    </cfRule>
  </conditionalFormatting>
  <conditionalFormatting sqref="T5:V6">
    <cfRule type="expression" dxfId="1211" priority="145">
      <formula>$S$5=1</formula>
    </cfRule>
  </conditionalFormatting>
  <conditionalFormatting sqref="T7:V82">
    <cfRule type="expression" dxfId="1210" priority="146">
      <formula>$S$5=1</formula>
    </cfRule>
  </conditionalFormatting>
  <conditionalFormatting sqref="X5:Z6">
    <cfRule type="expression" dxfId="1209" priority="147">
      <formula>$W$5=1</formula>
    </cfRule>
  </conditionalFormatting>
  <conditionalFormatting sqref="X7:Z82">
    <cfRule type="expression" dxfId="1208" priority="148">
      <formula>$W$5=1</formula>
    </cfRule>
  </conditionalFormatting>
  <conditionalFormatting sqref="AB5:AD6">
    <cfRule type="expression" dxfId="1207" priority="149">
      <formula>$AA$5=1</formula>
    </cfRule>
  </conditionalFormatting>
  <conditionalFormatting sqref="AB7:AD82">
    <cfRule type="expression" dxfId="1206" priority="150">
      <formula>$AA$5=1</formula>
    </cfRule>
  </conditionalFormatting>
  <conditionalFormatting sqref="J2:J3">
    <cfRule type="expression" dxfId="1205" priority="151">
      <formula>$F$1=1</formula>
    </cfRule>
    <cfRule type="expression" priority="152">
      <formula>$F$1</formula>
    </cfRule>
  </conditionalFormatting>
  <conditionalFormatting sqref="J4">
    <cfRule type="expression" dxfId="1204" priority="153">
      <formula>$F$1=1</formula>
    </cfRule>
  </conditionalFormatting>
  <conditionalFormatting sqref="M4:N4">
    <cfRule type="expression" dxfId="1203" priority="140">
      <formula>$K$5=1</formula>
    </cfRule>
  </conditionalFormatting>
  <conditionalFormatting sqref="Q4:R4">
    <cfRule type="expression" dxfId="1202" priority="139">
      <formula>$O$5=1</formula>
    </cfRule>
  </conditionalFormatting>
  <conditionalFormatting sqref="U4:V4">
    <cfRule type="expression" dxfId="1201" priority="138">
      <formula>$S$5=1</formula>
    </cfRule>
  </conditionalFormatting>
  <conditionalFormatting sqref="Y4:Z4">
    <cfRule type="expression" dxfId="1200" priority="137">
      <formula>$W$5=1</formula>
    </cfRule>
  </conditionalFormatting>
  <conditionalFormatting sqref="AC4:AD4">
    <cfRule type="expression" dxfId="1199" priority="136">
      <formula>$AA$5=1</formula>
    </cfRule>
  </conditionalFormatting>
  <conditionalFormatting sqref="AF5:AH6">
    <cfRule type="expression" dxfId="1198" priority="134">
      <formula>$AE$5=1</formula>
    </cfRule>
  </conditionalFormatting>
  <conditionalFormatting sqref="AF7:AH82">
    <cfRule type="expression" dxfId="1197" priority="135">
      <formula>$AE$5=1</formula>
    </cfRule>
  </conditionalFormatting>
  <conditionalFormatting sqref="AG4:AH4">
    <cfRule type="expression" dxfId="1196" priority="133">
      <formula>$AE$5=1</formula>
    </cfRule>
  </conditionalFormatting>
  <conditionalFormatting sqref="AJ7:AL82">
    <cfRule type="expression" dxfId="1195" priority="132">
      <formula>$AI$5=1</formula>
    </cfRule>
  </conditionalFormatting>
  <conditionalFormatting sqref="AK4:AL4">
    <cfRule type="expression" dxfId="1194" priority="131">
      <formula>$AI$5=1</formula>
    </cfRule>
  </conditionalFormatting>
  <conditionalFormatting sqref="AN7:AP82">
    <cfRule type="expression" dxfId="1193" priority="130">
      <formula>$AM$5=1</formula>
    </cfRule>
  </conditionalFormatting>
  <conditionalFormatting sqref="AO4:AP4">
    <cfRule type="expression" dxfId="1192" priority="129">
      <formula>AM$5=1</formula>
    </cfRule>
  </conditionalFormatting>
  <conditionalFormatting sqref="AR7:AT82">
    <cfRule type="expression" dxfId="1191" priority="128">
      <formula>$AQ$5=1</formula>
    </cfRule>
  </conditionalFormatting>
  <conditionalFormatting sqref="AV7:AX82">
    <cfRule type="expression" dxfId="1190" priority="127">
      <formula>$AU$5=1</formula>
    </cfRule>
  </conditionalFormatting>
  <conditionalFormatting sqref="AZ7:BB82">
    <cfRule type="expression" dxfId="1189" priority="126">
      <formula>$AY$5=1</formula>
    </cfRule>
  </conditionalFormatting>
  <conditionalFormatting sqref="BD7:BF82">
    <cfRule type="expression" dxfId="1188" priority="125">
      <formula>$BC$5=1</formula>
    </cfRule>
  </conditionalFormatting>
  <conditionalFormatting sqref="BH7:BJ82">
    <cfRule type="expression" dxfId="1187" priority="124">
      <formula>$BG$5=1</formula>
    </cfRule>
  </conditionalFormatting>
  <conditionalFormatting sqref="BL7:BN82">
    <cfRule type="expression" dxfId="1186" priority="123">
      <formula>$BK$5=1</formula>
    </cfRule>
  </conditionalFormatting>
  <conditionalFormatting sqref="BP7:BR82">
    <cfRule type="expression" dxfId="1185" priority="122">
      <formula>$BO$5=1</formula>
    </cfRule>
  </conditionalFormatting>
  <conditionalFormatting sqref="BT7:BV82">
    <cfRule type="expression" dxfId="1184" priority="121">
      <formula>$BS$5=1</formula>
    </cfRule>
  </conditionalFormatting>
  <conditionalFormatting sqref="AS4:AT4">
    <cfRule type="expression" dxfId="1183" priority="120">
      <formula>AQ$5=1</formula>
    </cfRule>
  </conditionalFormatting>
  <conditionalFormatting sqref="AW4:AX4">
    <cfRule type="expression" dxfId="1182" priority="119">
      <formula>AU$5=1</formula>
    </cfRule>
  </conditionalFormatting>
  <conditionalFormatting sqref="BA4:BB4">
    <cfRule type="expression" dxfId="1181" priority="118">
      <formula>AY$5=1</formula>
    </cfRule>
  </conditionalFormatting>
  <conditionalFormatting sqref="BE4:BF4">
    <cfRule type="expression" dxfId="1180" priority="117">
      <formula>BC$5=1</formula>
    </cfRule>
  </conditionalFormatting>
  <conditionalFormatting sqref="BI4:BJ4">
    <cfRule type="expression" dxfId="1179" priority="116">
      <formula>BG$5=1</formula>
    </cfRule>
  </conditionalFormatting>
  <conditionalFormatting sqref="BM4:BN4">
    <cfRule type="expression" dxfId="1178" priority="115">
      <formula>BK$5=1</formula>
    </cfRule>
  </conditionalFormatting>
  <conditionalFormatting sqref="BQ4:BR4">
    <cfRule type="expression" dxfId="1177" priority="114">
      <formula>BO$5=1</formula>
    </cfRule>
  </conditionalFormatting>
  <conditionalFormatting sqref="BU4:BV4">
    <cfRule type="expression" dxfId="1176" priority="113">
      <formula>BS$5=1</formula>
    </cfRule>
  </conditionalFormatting>
  <conditionalFormatting sqref="AJ5:AL6">
    <cfRule type="expression" dxfId="1175" priority="112">
      <formula>$AI$5=1</formula>
    </cfRule>
  </conditionalFormatting>
  <conditionalFormatting sqref="AN5:AP6">
    <cfRule type="expression" dxfId="1174" priority="111">
      <formula>$AM$5=1</formula>
    </cfRule>
  </conditionalFormatting>
  <conditionalFormatting sqref="AR5:AT6">
    <cfRule type="expression" dxfId="1173" priority="110">
      <formula>$AQ$5=1</formula>
    </cfRule>
  </conditionalFormatting>
  <conditionalFormatting sqref="AZ5:BB6">
    <cfRule type="expression" dxfId="1172" priority="109">
      <formula>$AY$5=1</formula>
    </cfRule>
  </conditionalFormatting>
  <conditionalFormatting sqref="BD5:BF6">
    <cfRule type="expression" dxfId="1171" priority="108">
      <formula>$BC$5=1</formula>
    </cfRule>
  </conditionalFormatting>
  <conditionalFormatting sqref="BH5:BJ6">
    <cfRule type="expression" dxfId="1170" priority="107">
      <formula>$BG$5=1</formula>
    </cfRule>
  </conditionalFormatting>
  <conditionalFormatting sqref="BL5:BN6">
    <cfRule type="expression" dxfId="1169" priority="106">
      <formula>$BK$5=1</formula>
    </cfRule>
  </conditionalFormatting>
  <conditionalFormatting sqref="BP5:BR6">
    <cfRule type="expression" dxfId="1168" priority="105">
      <formula>$BO$5=1</formula>
    </cfRule>
  </conditionalFormatting>
  <conditionalFormatting sqref="BT5:BV6">
    <cfRule type="expression" dxfId="1167" priority="104">
      <formula>$BS$5=1</formula>
    </cfRule>
  </conditionalFormatting>
  <conditionalFormatting sqref="AV5:AX6">
    <cfRule type="expression" dxfId="1166" priority="103">
      <formula>$AU$5=1</formula>
    </cfRule>
  </conditionalFormatting>
  <conditionalFormatting sqref="C7:H82">
    <cfRule type="expression" dxfId="1165" priority="1">
      <formula>$B7="v"</formula>
    </cfRule>
  </conditionalFormatting>
  <conditionalFormatting sqref="I7:I82">
    <cfRule type="expression" dxfId="1164" priority="101">
      <formula>$B7="v"</formula>
    </cfRule>
  </conditionalFormatting>
  <conditionalFormatting sqref="N7:N82">
    <cfRule type="expression" dxfId="1163" priority="100">
      <formula>$B7="v"</formula>
    </cfRule>
  </conditionalFormatting>
  <conditionalFormatting sqref="M7:M82">
    <cfRule type="expression" dxfId="1162" priority="99">
      <formula>$B7="v"</formula>
    </cfRule>
  </conditionalFormatting>
  <conditionalFormatting sqref="L7:L82">
    <cfRule type="expression" dxfId="1161" priority="98">
      <formula>$B7="v"</formula>
    </cfRule>
  </conditionalFormatting>
  <conditionalFormatting sqref="P7:Q82">
    <cfRule type="expression" dxfId="1160" priority="97">
      <formula>$B7="v"</formula>
    </cfRule>
  </conditionalFormatting>
  <conditionalFormatting sqref="R7:R82">
    <cfRule type="expression" dxfId="115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158" priority="95">
      <formula>$B7="v"</formula>
    </cfRule>
  </conditionalFormatting>
  <conditionalFormatting sqref="X7:Y82 T7:U82 AJ7:AK82 AF7:AG82 AB7:AC82 AR7:AS82 AN7:AO82 BH7:BI82 BD7:BE82 AZ7:BA82 BT7:BU82 BP7:BQ82 BL7:BM82">
    <cfRule type="expression" dxfId="1157" priority="94">
      <formula>$B7="v"</formula>
    </cfRule>
  </conditionalFormatting>
  <conditionalFormatting sqref="AV7:AW82">
    <cfRule type="expression" dxfId="1156" priority="93">
      <formula>$B7="v"</formula>
    </cfRule>
  </conditionalFormatting>
  <conditionalFormatting sqref="X7:Z82">
    <cfRule type="expression" dxfId="1155" priority="92">
      <formula>$W$5=""</formula>
    </cfRule>
  </conditionalFormatting>
  <conditionalFormatting sqref="T7:V82">
    <cfRule type="expression" dxfId="1154" priority="91">
      <formula>$S$5=""</formula>
    </cfRule>
  </conditionalFormatting>
  <conditionalFormatting sqref="P7:R82">
    <cfRule type="expression" dxfId="1153" priority="90">
      <formula>$O$5=""</formula>
    </cfRule>
  </conditionalFormatting>
  <conditionalFormatting sqref="L7:N82">
    <cfRule type="expression" dxfId="1152" priority="89">
      <formula>$K$5=""</formula>
    </cfRule>
  </conditionalFormatting>
  <conditionalFormatting sqref="AB7:AD82">
    <cfRule type="expression" dxfId="1151" priority="88">
      <formula>$AA$5=""</formula>
    </cfRule>
  </conditionalFormatting>
  <conditionalFormatting sqref="AF7:AH82">
    <cfRule type="expression" dxfId="1150" priority="87">
      <formula>$AE$5=""</formula>
    </cfRule>
  </conditionalFormatting>
  <conditionalFormatting sqref="AJ7:AL82">
    <cfRule type="expression" dxfId="1149" priority="86">
      <formula>$AI$5=""</formula>
    </cfRule>
  </conditionalFormatting>
  <conditionalFormatting sqref="AN7:AP82">
    <cfRule type="expression" dxfId="1148" priority="85">
      <formula>$AM$5=""</formula>
    </cfRule>
  </conditionalFormatting>
  <conditionalFormatting sqref="AR7:AT82">
    <cfRule type="expression" dxfId="1147" priority="84">
      <formula>$AQ$5=""</formula>
    </cfRule>
  </conditionalFormatting>
  <conditionalFormatting sqref="AV7:AX82">
    <cfRule type="expression" dxfId="1146" priority="83">
      <formula>$AU$5=""</formula>
    </cfRule>
  </conditionalFormatting>
  <conditionalFormatting sqref="AZ7:BB82">
    <cfRule type="expression" dxfId="1145" priority="82">
      <formula>$AY$5=""</formula>
    </cfRule>
  </conditionalFormatting>
  <conditionalFormatting sqref="BD7:BF82">
    <cfRule type="expression" dxfId="1144" priority="81">
      <formula>$BC$5=""</formula>
    </cfRule>
  </conditionalFormatting>
  <conditionalFormatting sqref="BH7:BJ82">
    <cfRule type="expression" dxfId="1143" priority="80">
      <formula>$BG$5=""</formula>
    </cfRule>
  </conditionalFormatting>
  <conditionalFormatting sqref="BL7:BN82">
    <cfRule type="expression" dxfId="1142" priority="79">
      <formula>$BK$5=""</formula>
    </cfRule>
  </conditionalFormatting>
  <conditionalFormatting sqref="BP7:BR82">
    <cfRule type="expression" dxfId="1141" priority="78">
      <formula>$BO$5=""</formula>
    </cfRule>
  </conditionalFormatting>
  <conditionalFormatting sqref="BT7:BV82">
    <cfRule type="expression" dxfId="1140" priority="77">
      <formula>$BS$5=""</formula>
    </cfRule>
  </conditionalFormatting>
  <conditionalFormatting sqref="F25">
    <cfRule type="expression" dxfId="1139" priority="76">
      <formula>$E$25="n/a"</formula>
    </cfRule>
  </conditionalFormatting>
  <conditionalFormatting sqref="F7">
    <cfRule type="expression" dxfId="1138" priority="75">
      <formula>$E$7="n/a"</formula>
    </cfRule>
  </conditionalFormatting>
  <conditionalFormatting sqref="F8">
    <cfRule type="expression" dxfId="1137" priority="102">
      <formula>$E$8="n/a"</formula>
    </cfRule>
  </conditionalFormatting>
  <conditionalFormatting sqref="F9">
    <cfRule type="expression" dxfId="1136" priority="74">
      <formula>$E$9="n/a"</formula>
    </cfRule>
  </conditionalFormatting>
  <conditionalFormatting sqref="F10">
    <cfRule type="expression" dxfId="1135" priority="73">
      <formula>$E$10="n/a"</formula>
    </cfRule>
  </conditionalFormatting>
  <conditionalFormatting sqref="F11">
    <cfRule type="expression" dxfId="1134" priority="72">
      <formula>$E$11="n/a"</formula>
    </cfRule>
  </conditionalFormatting>
  <conditionalFormatting sqref="F12">
    <cfRule type="expression" dxfId="1133" priority="71">
      <formula>$E$12="n/a"</formula>
    </cfRule>
  </conditionalFormatting>
  <conditionalFormatting sqref="F13">
    <cfRule type="expression" dxfId="1132" priority="70">
      <formula>$E$13="n/a"</formula>
    </cfRule>
  </conditionalFormatting>
  <conditionalFormatting sqref="F14">
    <cfRule type="expression" dxfId="1131" priority="69">
      <formula>$E$14="n/a"</formula>
    </cfRule>
  </conditionalFormatting>
  <conditionalFormatting sqref="F15">
    <cfRule type="expression" dxfId="1130" priority="68">
      <formula>$E$15="n/a"</formula>
    </cfRule>
  </conditionalFormatting>
  <conditionalFormatting sqref="F16">
    <cfRule type="expression" dxfId="1129" priority="67">
      <formula>$E$16="n/a"</formula>
    </cfRule>
  </conditionalFormatting>
  <conditionalFormatting sqref="F17">
    <cfRule type="expression" dxfId="1128" priority="66">
      <formula>$E$17="n/a"</formula>
    </cfRule>
  </conditionalFormatting>
  <conditionalFormatting sqref="F18">
    <cfRule type="expression" dxfId="1127" priority="65">
      <formula>$E$18="n/a"</formula>
    </cfRule>
  </conditionalFormatting>
  <conditionalFormatting sqref="F19">
    <cfRule type="expression" dxfId="1126" priority="64">
      <formula>$E$19="n/a"</formula>
    </cfRule>
  </conditionalFormatting>
  <conditionalFormatting sqref="F20">
    <cfRule type="expression" dxfId="1125" priority="63">
      <formula>$E$20="n/a"</formula>
    </cfRule>
  </conditionalFormatting>
  <conditionalFormatting sqref="F21">
    <cfRule type="expression" dxfId="1124" priority="62">
      <formula>$E$21="n/a"</formula>
    </cfRule>
  </conditionalFormatting>
  <conditionalFormatting sqref="F22">
    <cfRule type="expression" dxfId="1123" priority="61">
      <formula>$E$22="n/a"</formula>
    </cfRule>
  </conditionalFormatting>
  <conditionalFormatting sqref="F23">
    <cfRule type="expression" dxfId="1122" priority="60">
      <formula>$E$23="n/a"</formula>
    </cfRule>
  </conditionalFormatting>
  <conditionalFormatting sqref="F24">
    <cfRule type="expression" dxfId="1121" priority="59">
      <formula>$E$24="n/a"</formula>
    </cfRule>
  </conditionalFormatting>
  <conditionalFormatting sqref="F26">
    <cfRule type="expression" dxfId="1120" priority="58">
      <formula>$E$26="n/a"</formula>
    </cfRule>
  </conditionalFormatting>
  <conditionalFormatting sqref="F27">
    <cfRule type="expression" dxfId="1119" priority="57">
      <formula>$E$27="n/a"</formula>
    </cfRule>
  </conditionalFormatting>
  <conditionalFormatting sqref="F28">
    <cfRule type="expression" dxfId="1118" priority="56">
      <formula>$E$28="n/a"</formula>
    </cfRule>
  </conditionalFormatting>
  <conditionalFormatting sqref="F29">
    <cfRule type="expression" dxfId="1117" priority="55">
      <formula>$E$29="n/a"</formula>
    </cfRule>
  </conditionalFormatting>
  <conditionalFormatting sqref="F30">
    <cfRule type="expression" dxfId="1116" priority="54">
      <formula>$E$30="n/a"</formula>
    </cfRule>
  </conditionalFormatting>
  <conditionalFormatting sqref="F31">
    <cfRule type="expression" dxfId="1115" priority="53">
      <formula>$E$31="n/a"</formula>
    </cfRule>
  </conditionalFormatting>
  <conditionalFormatting sqref="F32">
    <cfRule type="expression" dxfId="1114" priority="52">
      <formula>$E$32="n/a"</formula>
    </cfRule>
  </conditionalFormatting>
  <conditionalFormatting sqref="F33">
    <cfRule type="expression" dxfId="1113" priority="51">
      <formula>$E$33="n/a"</formula>
    </cfRule>
  </conditionalFormatting>
  <conditionalFormatting sqref="F34">
    <cfRule type="expression" dxfId="1112" priority="50">
      <formula>$E$34="n/a"</formula>
    </cfRule>
  </conditionalFormatting>
  <conditionalFormatting sqref="F35">
    <cfRule type="expression" dxfId="1111" priority="49">
      <formula>$E$35="n/a"</formula>
    </cfRule>
  </conditionalFormatting>
  <conditionalFormatting sqref="F36">
    <cfRule type="expression" dxfId="1110" priority="48">
      <formula>$E$36="n/a"</formula>
    </cfRule>
  </conditionalFormatting>
  <conditionalFormatting sqref="F37">
    <cfRule type="expression" dxfId="1109" priority="47">
      <formula>$E$37="n/a"</formula>
    </cfRule>
  </conditionalFormatting>
  <conditionalFormatting sqref="F38">
    <cfRule type="expression" dxfId="1108" priority="46">
      <formula>$E$38="n/a"</formula>
    </cfRule>
  </conditionalFormatting>
  <conditionalFormatting sqref="F39">
    <cfRule type="expression" dxfId="1107" priority="45">
      <formula>$E$39="n/a"</formula>
    </cfRule>
  </conditionalFormatting>
  <conditionalFormatting sqref="F40">
    <cfRule type="expression" dxfId="1106" priority="44">
      <formula>$E$40="n/a"</formula>
    </cfRule>
  </conditionalFormatting>
  <conditionalFormatting sqref="F41">
    <cfRule type="expression" dxfId="1105" priority="43">
      <formula>$E$41="n/a"</formula>
    </cfRule>
  </conditionalFormatting>
  <conditionalFormatting sqref="F42">
    <cfRule type="expression" dxfId="1104" priority="42">
      <formula>$E$42="n/a"</formula>
    </cfRule>
  </conditionalFormatting>
  <conditionalFormatting sqref="F43">
    <cfRule type="expression" dxfId="1103" priority="41">
      <formula>$E$43="n/a"</formula>
    </cfRule>
  </conditionalFormatting>
  <conditionalFormatting sqref="F44">
    <cfRule type="expression" dxfId="1102" priority="40">
      <formula>$E$44="n/a"</formula>
    </cfRule>
  </conditionalFormatting>
  <conditionalFormatting sqref="F45">
    <cfRule type="expression" dxfId="1101" priority="39">
      <formula>$E$45="n/a"</formula>
    </cfRule>
  </conditionalFormatting>
  <conditionalFormatting sqref="F46">
    <cfRule type="expression" dxfId="1100" priority="38">
      <formula>$E$46="n/a"</formula>
    </cfRule>
  </conditionalFormatting>
  <conditionalFormatting sqref="F82">
    <cfRule type="expression" dxfId="1099" priority="36">
      <formula>$E$82="n/a"</formula>
    </cfRule>
  </conditionalFormatting>
  <conditionalFormatting sqref="F81">
    <cfRule type="expression" dxfId="1098" priority="35">
      <formula>$E$81="n/a"</formula>
    </cfRule>
  </conditionalFormatting>
  <conditionalFormatting sqref="F80">
    <cfRule type="expression" dxfId="1097" priority="34">
      <formula>$E$80="n/a"</formula>
    </cfRule>
  </conditionalFormatting>
  <conditionalFormatting sqref="F79">
    <cfRule type="expression" dxfId="1096" priority="33">
      <formula>$E$79="n/a"</formula>
    </cfRule>
  </conditionalFormatting>
  <conditionalFormatting sqref="F78">
    <cfRule type="expression" dxfId="1095" priority="32">
      <formula>$E$78="n/a"</formula>
    </cfRule>
  </conditionalFormatting>
  <conditionalFormatting sqref="F77">
    <cfRule type="expression" dxfId="1094" priority="31">
      <formula>$E$77="n/a"</formula>
    </cfRule>
  </conditionalFormatting>
  <conditionalFormatting sqref="F76">
    <cfRule type="expression" dxfId="1093" priority="30">
      <formula>$E$76="n/a"</formula>
    </cfRule>
  </conditionalFormatting>
  <conditionalFormatting sqref="F75">
    <cfRule type="expression" dxfId="1092" priority="29">
      <formula>$E$75="n/a"</formula>
    </cfRule>
  </conditionalFormatting>
  <conditionalFormatting sqref="F74">
    <cfRule type="expression" dxfId="1091" priority="28">
      <formula>$E$74="n/a"</formula>
    </cfRule>
  </conditionalFormatting>
  <conditionalFormatting sqref="F73">
    <cfRule type="expression" dxfId="1090" priority="26">
      <formula>$E$73="n/a"</formula>
    </cfRule>
  </conditionalFormatting>
  <conditionalFormatting sqref="F72">
    <cfRule type="expression" dxfId="1089" priority="2">
      <formula>$E$72="n/a"</formula>
    </cfRule>
  </conditionalFormatting>
  <conditionalFormatting sqref="F47">
    <cfRule type="expression" dxfId="1088" priority="37">
      <formula>$E$47="n/a"</formula>
    </cfRule>
  </conditionalFormatting>
  <conditionalFormatting sqref="F48">
    <cfRule type="expression" dxfId="1087" priority="27">
      <formula>$E$48="n/a"</formula>
    </cfRule>
  </conditionalFormatting>
  <conditionalFormatting sqref="F49">
    <cfRule type="expression" dxfId="1086" priority="25">
      <formula>$E$49="n/a"</formula>
    </cfRule>
  </conditionalFormatting>
  <conditionalFormatting sqref="F50">
    <cfRule type="expression" dxfId="1085" priority="24">
      <formula>$E$50="n/a"</formula>
    </cfRule>
  </conditionalFormatting>
  <conditionalFormatting sqref="F51">
    <cfRule type="expression" dxfId="1084" priority="23">
      <formula>$E$51="n/a"</formula>
    </cfRule>
  </conditionalFormatting>
  <conditionalFormatting sqref="F52">
    <cfRule type="expression" dxfId="1083" priority="22">
      <formula>$E$52="n/a"</formula>
    </cfRule>
  </conditionalFormatting>
  <conditionalFormatting sqref="F53">
    <cfRule type="expression" dxfId="1082" priority="21">
      <formula>$E$53="n/a"</formula>
    </cfRule>
  </conditionalFormatting>
  <conditionalFormatting sqref="F54">
    <cfRule type="expression" dxfId="1081" priority="20">
      <formula>$E$54="n/a"</formula>
    </cfRule>
  </conditionalFormatting>
  <conditionalFormatting sqref="F55">
    <cfRule type="expression" dxfId="1080" priority="19">
      <formula>$E$55="n/a"</formula>
    </cfRule>
  </conditionalFormatting>
  <conditionalFormatting sqref="F56">
    <cfRule type="expression" dxfId="1079" priority="18">
      <formula>$E$56="n/a"</formula>
    </cfRule>
  </conditionalFormatting>
  <conditionalFormatting sqref="F57">
    <cfRule type="expression" dxfId="1078" priority="17">
      <formula>$E$57="n/a"</formula>
    </cfRule>
  </conditionalFormatting>
  <conditionalFormatting sqref="F58">
    <cfRule type="expression" dxfId="1077" priority="16">
      <formula>$E$58="n/a"</formula>
    </cfRule>
  </conditionalFormatting>
  <conditionalFormatting sqref="F59">
    <cfRule type="expression" dxfId="1076" priority="15">
      <formula>$E$59="n/a"</formula>
    </cfRule>
  </conditionalFormatting>
  <conditionalFormatting sqref="F60">
    <cfRule type="expression" dxfId="1075" priority="14">
      <formula>$E$60="n/a"</formula>
    </cfRule>
  </conditionalFormatting>
  <conditionalFormatting sqref="F61">
    <cfRule type="expression" dxfId="1074" priority="13">
      <formula>$E$61="n/a"</formula>
    </cfRule>
  </conditionalFormatting>
  <conditionalFormatting sqref="F62">
    <cfRule type="expression" dxfId="1073" priority="12">
      <formula>$E$62="n/a"</formula>
    </cfRule>
  </conditionalFormatting>
  <conditionalFormatting sqref="F63">
    <cfRule type="expression" dxfId="1072" priority="11">
      <formula>$E$63="n/a"</formula>
    </cfRule>
  </conditionalFormatting>
  <conditionalFormatting sqref="F64">
    <cfRule type="expression" dxfId="1071" priority="10">
      <formula>$E$64="n/a"</formula>
    </cfRule>
  </conditionalFormatting>
  <conditionalFormatting sqref="F65">
    <cfRule type="expression" dxfId="1070" priority="9">
      <formula>$E$65="n/a"</formula>
    </cfRule>
  </conditionalFormatting>
  <conditionalFormatting sqref="F66">
    <cfRule type="expression" dxfId="1069" priority="8">
      <formula>$E$66="n/a"</formula>
    </cfRule>
  </conditionalFormatting>
  <conditionalFormatting sqref="F67">
    <cfRule type="expression" dxfId="1068" priority="7">
      <formula>$E$67="n/a"</formula>
    </cfRule>
  </conditionalFormatting>
  <conditionalFormatting sqref="F68">
    <cfRule type="expression" dxfId="1067" priority="6">
      <formula>$E$68="n/a"</formula>
    </cfRule>
  </conditionalFormatting>
  <conditionalFormatting sqref="F69">
    <cfRule type="expression" dxfId="1066" priority="5">
      <formula>$E$69="n/a"</formula>
    </cfRule>
  </conditionalFormatting>
  <conditionalFormatting sqref="F70">
    <cfRule type="expression" dxfId="1065" priority="4">
      <formula>$E$70="n/a"</formula>
    </cfRule>
  </conditionalFormatting>
  <conditionalFormatting sqref="F71">
    <cfRule type="expression" dxfId="1064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ABDF6F1-6311-491C-BAAB-849654A7EDEF}">
      <formula1>"&lt;, &lt;=, &gt;, &gt;=, ="</formula1>
    </dataValidation>
    <dataValidation type="list" allowBlank="1" showInputMessage="1" showErrorMessage="1" sqref="B7:B82" xr:uid="{B8B31349-59E0-4E77-A262-35A744464134}">
      <formula1>"v"</formula1>
    </dataValidation>
    <dataValidation type="list" allowBlank="1" showInputMessage="1" showErrorMessage="1" sqref="F2" xr:uid="{6DC3E48F-721A-40CF-B1D2-9AB276A8DF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67A229-0409-41E5-A143-63DDF85A24C6}">
          <x14:formula1>
            <xm:f>Sheet3!$A$2:$A$49</xm:f>
          </x14:formula1>
          <xm:sqref>F3</xm:sqref>
        </x14:dataValidation>
        <x14:dataValidation type="list" allowBlank="1" showInputMessage="1" xr:uid="{23932697-F438-4ECC-9419-7B8EC5B4B24C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0171-94CA-44F4-8195-09CC0E083FCA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233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063" priority="141">
      <formula>$K$5=1</formula>
    </cfRule>
  </conditionalFormatting>
  <conditionalFormatting sqref="L7:N82">
    <cfRule type="expression" dxfId="1062" priority="142">
      <formula>$K$5=1</formula>
    </cfRule>
  </conditionalFormatting>
  <conditionalFormatting sqref="P5:R6">
    <cfRule type="expression" dxfId="1061" priority="143">
      <formula>$O$5=1</formula>
    </cfRule>
  </conditionalFormatting>
  <conditionalFormatting sqref="P7:R82">
    <cfRule type="expression" dxfId="1060" priority="144">
      <formula>$O$5=1</formula>
    </cfRule>
  </conditionalFormatting>
  <conditionalFormatting sqref="T5:V6">
    <cfRule type="expression" dxfId="1059" priority="145">
      <formula>$S$5=1</formula>
    </cfRule>
  </conditionalFormatting>
  <conditionalFormatting sqref="T7:V82">
    <cfRule type="expression" dxfId="1058" priority="146">
      <formula>$S$5=1</formula>
    </cfRule>
  </conditionalFormatting>
  <conditionalFormatting sqref="X5:Z6">
    <cfRule type="expression" dxfId="1057" priority="147">
      <formula>$W$5=1</formula>
    </cfRule>
  </conditionalFormatting>
  <conditionalFormatting sqref="X7:Z82">
    <cfRule type="expression" dxfId="1056" priority="148">
      <formula>$W$5=1</formula>
    </cfRule>
  </conditionalFormatting>
  <conditionalFormatting sqref="AB5:AD6">
    <cfRule type="expression" dxfId="1055" priority="149">
      <formula>$AA$5=1</formula>
    </cfRule>
  </conditionalFormatting>
  <conditionalFormatting sqref="AB7:AD82">
    <cfRule type="expression" dxfId="1054" priority="150">
      <formula>$AA$5=1</formula>
    </cfRule>
  </conditionalFormatting>
  <conditionalFormatting sqref="J2:J3">
    <cfRule type="expression" dxfId="1053" priority="151">
      <formula>$F$1=1</formula>
    </cfRule>
    <cfRule type="expression" priority="152">
      <formula>$F$1</formula>
    </cfRule>
  </conditionalFormatting>
  <conditionalFormatting sqref="J4">
    <cfRule type="expression" dxfId="1052" priority="153">
      <formula>$F$1=1</formula>
    </cfRule>
  </conditionalFormatting>
  <conditionalFormatting sqref="M4:N4">
    <cfRule type="expression" dxfId="1051" priority="140">
      <formula>$K$5=1</formula>
    </cfRule>
  </conditionalFormatting>
  <conditionalFormatting sqref="Q4:R4">
    <cfRule type="expression" dxfId="1050" priority="139">
      <formula>$O$5=1</formula>
    </cfRule>
  </conditionalFormatting>
  <conditionalFormatting sqref="U4:V4">
    <cfRule type="expression" dxfId="1049" priority="138">
      <formula>$S$5=1</formula>
    </cfRule>
  </conditionalFormatting>
  <conditionalFormatting sqref="Y4:Z4">
    <cfRule type="expression" dxfId="1048" priority="137">
      <formula>$W$5=1</formula>
    </cfRule>
  </conditionalFormatting>
  <conditionalFormatting sqref="AC4:AD4">
    <cfRule type="expression" dxfId="1047" priority="136">
      <formula>$AA$5=1</formula>
    </cfRule>
  </conditionalFormatting>
  <conditionalFormatting sqref="AF5:AH6">
    <cfRule type="expression" dxfId="1046" priority="134">
      <formula>$AE$5=1</formula>
    </cfRule>
  </conditionalFormatting>
  <conditionalFormatting sqref="AF7:AH82">
    <cfRule type="expression" dxfId="1045" priority="135">
      <formula>$AE$5=1</formula>
    </cfRule>
  </conditionalFormatting>
  <conditionalFormatting sqref="AG4:AH4">
    <cfRule type="expression" dxfId="1044" priority="133">
      <formula>$AE$5=1</formula>
    </cfRule>
  </conditionalFormatting>
  <conditionalFormatting sqref="AJ7:AL82">
    <cfRule type="expression" dxfId="1043" priority="132">
      <formula>$AI$5=1</formula>
    </cfRule>
  </conditionalFormatting>
  <conditionalFormatting sqref="AK4:AL4">
    <cfRule type="expression" dxfId="1042" priority="131">
      <formula>$AI$5=1</formula>
    </cfRule>
  </conditionalFormatting>
  <conditionalFormatting sqref="AN7:AP82">
    <cfRule type="expression" dxfId="1041" priority="130">
      <formula>$AM$5=1</formula>
    </cfRule>
  </conditionalFormatting>
  <conditionalFormatting sqref="AO4:AP4">
    <cfRule type="expression" dxfId="1040" priority="129">
      <formula>AM$5=1</formula>
    </cfRule>
  </conditionalFormatting>
  <conditionalFormatting sqref="AR7:AT82">
    <cfRule type="expression" dxfId="1039" priority="128">
      <formula>$AQ$5=1</formula>
    </cfRule>
  </conditionalFormatting>
  <conditionalFormatting sqref="AV7:AX82">
    <cfRule type="expression" dxfId="1038" priority="127">
      <formula>$AU$5=1</formula>
    </cfRule>
  </conditionalFormatting>
  <conditionalFormatting sqref="AZ7:BB82">
    <cfRule type="expression" dxfId="1037" priority="126">
      <formula>$AY$5=1</formula>
    </cfRule>
  </conditionalFormatting>
  <conditionalFormatting sqref="BD7:BF82">
    <cfRule type="expression" dxfId="1036" priority="125">
      <formula>$BC$5=1</formula>
    </cfRule>
  </conditionalFormatting>
  <conditionalFormatting sqref="BH7:BJ82">
    <cfRule type="expression" dxfId="1035" priority="124">
      <formula>$BG$5=1</formula>
    </cfRule>
  </conditionalFormatting>
  <conditionalFormatting sqref="BL7:BN82">
    <cfRule type="expression" dxfId="1034" priority="123">
      <formula>$BK$5=1</formula>
    </cfRule>
  </conditionalFormatting>
  <conditionalFormatting sqref="BP7:BR82">
    <cfRule type="expression" dxfId="1033" priority="122">
      <formula>$BO$5=1</formula>
    </cfRule>
  </conditionalFormatting>
  <conditionalFormatting sqref="BT7:BV82">
    <cfRule type="expression" dxfId="1032" priority="121">
      <formula>$BS$5=1</formula>
    </cfRule>
  </conditionalFormatting>
  <conditionalFormatting sqref="AS4:AT4">
    <cfRule type="expression" dxfId="1031" priority="120">
      <formula>AQ$5=1</formula>
    </cfRule>
  </conditionalFormatting>
  <conditionalFormatting sqref="AW4:AX4">
    <cfRule type="expression" dxfId="1030" priority="119">
      <formula>AU$5=1</formula>
    </cfRule>
  </conditionalFormatting>
  <conditionalFormatting sqref="BA4:BB4">
    <cfRule type="expression" dxfId="1029" priority="118">
      <formula>AY$5=1</formula>
    </cfRule>
  </conditionalFormatting>
  <conditionalFormatting sqref="BE4:BF4">
    <cfRule type="expression" dxfId="1028" priority="117">
      <formula>BC$5=1</formula>
    </cfRule>
  </conditionalFormatting>
  <conditionalFormatting sqref="BI4:BJ4">
    <cfRule type="expression" dxfId="1027" priority="116">
      <formula>BG$5=1</formula>
    </cfRule>
  </conditionalFormatting>
  <conditionalFormatting sqref="BM4:BN4">
    <cfRule type="expression" dxfId="1026" priority="115">
      <formula>BK$5=1</formula>
    </cfRule>
  </conditionalFormatting>
  <conditionalFormatting sqref="BQ4:BR4">
    <cfRule type="expression" dxfId="1025" priority="114">
      <formula>BO$5=1</formula>
    </cfRule>
  </conditionalFormatting>
  <conditionalFormatting sqref="BU4:BV4">
    <cfRule type="expression" dxfId="1024" priority="113">
      <formula>BS$5=1</formula>
    </cfRule>
  </conditionalFormatting>
  <conditionalFormatting sqref="AJ5:AL6">
    <cfRule type="expression" dxfId="1023" priority="112">
      <formula>$AI$5=1</formula>
    </cfRule>
  </conditionalFormatting>
  <conditionalFormatting sqref="AN5:AP6">
    <cfRule type="expression" dxfId="1022" priority="111">
      <formula>$AM$5=1</formula>
    </cfRule>
  </conditionalFormatting>
  <conditionalFormatting sqref="AR5:AT6">
    <cfRule type="expression" dxfId="1021" priority="110">
      <formula>$AQ$5=1</formula>
    </cfRule>
  </conditionalFormatting>
  <conditionalFormatting sqref="AZ5:BB6">
    <cfRule type="expression" dxfId="1020" priority="109">
      <formula>$AY$5=1</formula>
    </cfRule>
  </conditionalFormatting>
  <conditionalFormatting sqref="BD5:BF6">
    <cfRule type="expression" dxfId="1019" priority="108">
      <formula>$BC$5=1</formula>
    </cfRule>
  </conditionalFormatting>
  <conditionalFormatting sqref="BH5:BJ6">
    <cfRule type="expression" dxfId="1018" priority="107">
      <formula>$BG$5=1</formula>
    </cfRule>
  </conditionalFormatting>
  <conditionalFormatting sqref="BL5:BN6">
    <cfRule type="expression" dxfId="1017" priority="106">
      <formula>$BK$5=1</formula>
    </cfRule>
  </conditionalFormatting>
  <conditionalFormatting sqref="BP5:BR6">
    <cfRule type="expression" dxfId="1016" priority="105">
      <formula>$BO$5=1</formula>
    </cfRule>
  </conditionalFormatting>
  <conditionalFormatting sqref="BT5:BV6">
    <cfRule type="expression" dxfId="1015" priority="104">
      <formula>$BS$5=1</formula>
    </cfRule>
  </conditionalFormatting>
  <conditionalFormatting sqref="AV5:AX6">
    <cfRule type="expression" dxfId="1014" priority="103">
      <formula>$AU$5=1</formula>
    </cfRule>
  </conditionalFormatting>
  <conditionalFormatting sqref="C7:H82">
    <cfRule type="expression" dxfId="1013" priority="1">
      <formula>$B7="v"</formula>
    </cfRule>
  </conditionalFormatting>
  <conditionalFormatting sqref="I7:I82">
    <cfRule type="expression" dxfId="1012" priority="101">
      <formula>$B7="v"</formula>
    </cfRule>
  </conditionalFormatting>
  <conditionalFormatting sqref="N7:N82">
    <cfRule type="expression" dxfId="1011" priority="100">
      <formula>$B7="v"</formula>
    </cfRule>
  </conditionalFormatting>
  <conditionalFormatting sqref="M7:M82">
    <cfRule type="expression" dxfId="1010" priority="99">
      <formula>$B7="v"</formula>
    </cfRule>
  </conditionalFormatting>
  <conditionalFormatting sqref="L7:L82">
    <cfRule type="expression" dxfId="1009" priority="98">
      <formula>$B7="v"</formula>
    </cfRule>
  </conditionalFormatting>
  <conditionalFormatting sqref="P7:Q82">
    <cfRule type="expression" dxfId="1008" priority="97">
      <formula>$B7="v"</formula>
    </cfRule>
  </conditionalFormatting>
  <conditionalFormatting sqref="R7:R82">
    <cfRule type="expression" dxfId="100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1006" priority="95">
      <formula>$B7="v"</formula>
    </cfRule>
  </conditionalFormatting>
  <conditionalFormatting sqref="X7:Y82 T7:U82 AJ7:AK82 AF7:AG82 AB7:AC82 AR7:AS82 AN7:AO82 BH7:BI82 BD7:BE82 AZ7:BA82 BT7:BU82 BP7:BQ82 BL7:BM82">
    <cfRule type="expression" dxfId="1005" priority="94">
      <formula>$B7="v"</formula>
    </cfRule>
  </conditionalFormatting>
  <conditionalFormatting sqref="AV7:AW82">
    <cfRule type="expression" dxfId="1004" priority="93">
      <formula>$B7="v"</formula>
    </cfRule>
  </conditionalFormatting>
  <conditionalFormatting sqref="X7:Z82">
    <cfRule type="expression" dxfId="1003" priority="92">
      <formula>$W$5=""</formula>
    </cfRule>
  </conditionalFormatting>
  <conditionalFormatting sqref="T7:V82">
    <cfRule type="expression" dxfId="1002" priority="91">
      <formula>$S$5=""</formula>
    </cfRule>
  </conditionalFormatting>
  <conditionalFormatting sqref="P7:R82">
    <cfRule type="expression" dxfId="1001" priority="90">
      <formula>$O$5=""</formula>
    </cfRule>
  </conditionalFormatting>
  <conditionalFormatting sqref="L7:N82">
    <cfRule type="expression" dxfId="1000" priority="89">
      <formula>$K$5=""</formula>
    </cfRule>
  </conditionalFormatting>
  <conditionalFormatting sqref="AB7:AD82">
    <cfRule type="expression" dxfId="999" priority="88">
      <formula>$AA$5=""</formula>
    </cfRule>
  </conditionalFormatting>
  <conditionalFormatting sqref="AF7:AH82">
    <cfRule type="expression" dxfId="998" priority="87">
      <formula>$AE$5=""</formula>
    </cfRule>
  </conditionalFormatting>
  <conditionalFormatting sqref="AJ7:AL82">
    <cfRule type="expression" dxfId="997" priority="86">
      <formula>$AI$5=""</formula>
    </cfRule>
  </conditionalFormatting>
  <conditionalFormatting sqref="AN7:AP82">
    <cfRule type="expression" dxfId="996" priority="85">
      <formula>$AM$5=""</formula>
    </cfRule>
  </conditionalFormatting>
  <conditionalFormatting sqref="AR7:AT82">
    <cfRule type="expression" dxfId="995" priority="84">
      <formula>$AQ$5=""</formula>
    </cfRule>
  </conditionalFormatting>
  <conditionalFormatting sqref="AV7:AX82">
    <cfRule type="expression" dxfId="994" priority="83">
      <formula>$AU$5=""</formula>
    </cfRule>
  </conditionalFormatting>
  <conditionalFormatting sqref="AZ7:BB82">
    <cfRule type="expression" dxfId="993" priority="82">
      <formula>$AY$5=""</formula>
    </cfRule>
  </conditionalFormatting>
  <conditionalFormatting sqref="BD7:BF82">
    <cfRule type="expression" dxfId="992" priority="81">
      <formula>$BC$5=""</formula>
    </cfRule>
  </conditionalFormatting>
  <conditionalFormatting sqref="BH7:BJ82">
    <cfRule type="expression" dxfId="991" priority="80">
      <formula>$BG$5=""</formula>
    </cfRule>
  </conditionalFormatting>
  <conditionalFormatting sqref="BL7:BN82">
    <cfRule type="expression" dxfId="990" priority="79">
      <formula>$BK$5=""</formula>
    </cfRule>
  </conditionalFormatting>
  <conditionalFormatting sqref="BP7:BR82">
    <cfRule type="expression" dxfId="989" priority="78">
      <formula>$BO$5=""</formula>
    </cfRule>
  </conditionalFormatting>
  <conditionalFormatting sqref="BT7:BV82">
    <cfRule type="expression" dxfId="988" priority="77">
      <formula>$BS$5=""</formula>
    </cfRule>
  </conditionalFormatting>
  <conditionalFormatting sqref="F25">
    <cfRule type="expression" dxfId="987" priority="76">
      <formula>$E$25="n/a"</formula>
    </cfRule>
  </conditionalFormatting>
  <conditionalFormatting sqref="F7">
    <cfRule type="expression" dxfId="986" priority="75">
      <formula>$E$7="n/a"</formula>
    </cfRule>
  </conditionalFormatting>
  <conditionalFormatting sqref="F8">
    <cfRule type="expression" dxfId="985" priority="102">
      <formula>$E$8="n/a"</formula>
    </cfRule>
  </conditionalFormatting>
  <conditionalFormatting sqref="F9">
    <cfRule type="expression" dxfId="984" priority="74">
      <formula>$E$9="n/a"</formula>
    </cfRule>
  </conditionalFormatting>
  <conditionalFormatting sqref="F10">
    <cfRule type="expression" dxfId="983" priority="73">
      <formula>$E$10="n/a"</formula>
    </cfRule>
  </conditionalFormatting>
  <conditionalFormatting sqref="F11">
    <cfRule type="expression" dxfId="982" priority="72">
      <formula>$E$11="n/a"</formula>
    </cfRule>
  </conditionalFormatting>
  <conditionalFormatting sqref="F12">
    <cfRule type="expression" dxfId="981" priority="71">
      <formula>$E$12="n/a"</formula>
    </cfRule>
  </conditionalFormatting>
  <conditionalFormatting sqref="F13">
    <cfRule type="expression" dxfId="980" priority="70">
      <formula>$E$13="n/a"</formula>
    </cfRule>
  </conditionalFormatting>
  <conditionalFormatting sqref="F14">
    <cfRule type="expression" dxfId="979" priority="69">
      <formula>$E$14="n/a"</formula>
    </cfRule>
  </conditionalFormatting>
  <conditionalFormatting sqref="F15">
    <cfRule type="expression" dxfId="978" priority="68">
      <formula>$E$15="n/a"</formula>
    </cfRule>
  </conditionalFormatting>
  <conditionalFormatting sqref="F16">
    <cfRule type="expression" dxfId="977" priority="67">
      <formula>$E$16="n/a"</formula>
    </cfRule>
  </conditionalFormatting>
  <conditionalFormatting sqref="F17">
    <cfRule type="expression" dxfId="976" priority="66">
      <formula>$E$17="n/a"</formula>
    </cfRule>
  </conditionalFormatting>
  <conditionalFormatting sqref="F18">
    <cfRule type="expression" dxfId="975" priority="65">
      <formula>$E$18="n/a"</formula>
    </cfRule>
  </conditionalFormatting>
  <conditionalFormatting sqref="F19">
    <cfRule type="expression" dxfId="974" priority="64">
      <formula>$E$19="n/a"</formula>
    </cfRule>
  </conditionalFormatting>
  <conditionalFormatting sqref="F20">
    <cfRule type="expression" dxfId="973" priority="63">
      <formula>$E$20="n/a"</formula>
    </cfRule>
  </conditionalFormatting>
  <conditionalFormatting sqref="F21">
    <cfRule type="expression" dxfId="972" priority="62">
      <formula>$E$21="n/a"</formula>
    </cfRule>
  </conditionalFormatting>
  <conditionalFormatting sqref="F22">
    <cfRule type="expression" dxfId="971" priority="61">
      <formula>$E$22="n/a"</formula>
    </cfRule>
  </conditionalFormatting>
  <conditionalFormatting sqref="F23">
    <cfRule type="expression" dxfId="970" priority="60">
      <formula>$E$23="n/a"</formula>
    </cfRule>
  </conditionalFormatting>
  <conditionalFormatting sqref="F24">
    <cfRule type="expression" dxfId="969" priority="59">
      <formula>$E$24="n/a"</formula>
    </cfRule>
  </conditionalFormatting>
  <conditionalFormatting sqref="F26">
    <cfRule type="expression" dxfId="968" priority="58">
      <formula>$E$26="n/a"</formula>
    </cfRule>
  </conditionalFormatting>
  <conditionalFormatting sqref="F27">
    <cfRule type="expression" dxfId="967" priority="57">
      <formula>$E$27="n/a"</formula>
    </cfRule>
  </conditionalFormatting>
  <conditionalFormatting sqref="F28">
    <cfRule type="expression" dxfId="966" priority="56">
      <formula>$E$28="n/a"</formula>
    </cfRule>
  </conditionalFormatting>
  <conditionalFormatting sqref="F29">
    <cfRule type="expression" dxfId="965" priority="55">
      <formula>$E$29="n/a"</formula>
    </cfRule>
  </conditionalFormatting>
  <conditionalFormatting sqref="F30">
    <cfRule type="expression" dxfId="964" priority="54">
      <formula>$E$30="n/a"</formula>
    </cfRule>
  </conditionalFormatting>
  <conditionalFormatting sqref="F31">
    <cfRule type="expression" dxfId="963" priority="53">
      <formula>$E$31="n/a"</formula>
    </cfRule>
  </conditionalFormatting>
  <conditionalFormatting sqref="F32">
    <cfRule type="expression" dxfId="962" priority="52">
      <formula>$E$32="n/a"</formula>
    </cfRule>
  </conditionalFormatting>
  <conditionalFormatting sqref="F33">
    <cfRule type="expression" dxfId="961" priority="51">
      <formula>$E$33="n/a"</formula>
    </cfRule>
  </conditionalFormatting>
  <conditionalFormatting sqref="F34">
    <cfRule type="expression" dxfId="960" priority="50">
      <formula>$E$34="n/a"</formula>
    </cfRule>
  </conditionalFormatting>
  <conditionalFormatting sqref="F35">
    <cfRule type="expression" dxfId="959" priority="49">
      <formula>$E$35="n/a"</formula>
    </cfRule>
  </conditionalFormatting>
  <conditionalFormatting sqref="F36">
    <cfRule type="expression" dxfId="958" priority="48">
      <formula>$E$36="n/a"</formula>
    </cfRule>
  </conditionalFormatting>
  <conditionalFormatting sqref="F37">
    <cfRule type="expression" dxfId="957" priority="47">
      <formula>$E$37="n/a"</formula>
    </cfRule>
  </conditionalFormatting>
  <conditionalFormatting sqref="F38">
    <cfRule type="expression" dxfId="956" priority="46">
      <formula>$E$38="n/a"</formula>
    </cfRule>
  </conditionalFormatting>
  <conditionalFormatting sqref="F39">
    <cfRule type="expression" dxfId="955" priority="45">
      <formula>$E$39="n/a"</formula>
    </cfRule>
  </conditionalFormatting>
  <conditionalFormatting sqref="F40">
    <cfRule type="expression" dxfId="954" priority="44">
      <formula>$E$40="n/a"</formula>
    </cfRule>
  </conditionalFormatting>
  <conditionalFormatting sqref="F41">
    <cfRule type="expression" dxfId="953" priority="43">
      <formula>$E$41="n/a"</formula>
    </cfRule>
  </conditionalFormatting>
  <conditionalFormatting sqref="F42">
    <cfRule type="expression" dxfId="952" priority="42">
      <formula>$E$42="n/a"</formula>
    </cfRule>
  </conditionalFormatting>
  <conditionalFormatting sqref="F43">
    <cfRule type="expression" dxfId="951" priority="41">
      <formula>$E$43="n/a"</formula>
    </cfRule>
  </conditionalFormatting>
  <conditionalFormatting sqref="F44">
    <cfRule type="expression" dxfId="950" priority="40">
      <formula>$E$44="n/a"</formula>
    </cfRule>
  </conditionalFormatting>
  <conditionalFormatting sqref="F45">
    <cfRule type="expression" dxfId="949" priority="39">
      <formula>$E$45="n/a"</formula>
    </cfRule>
  </conditionalFormatting>
  <conditionalFormatting sqref="F46">
    <cfRule type="expression" dxfId="948" priority="38">
      <formula>$E$46="n/a"</formula>
    </cfRule>
  </conditionalFormatting>
  <conditionalFormatting sqref="F82">
    <cfRule type="expression" dxfId="947" priority="36">
      <formula>$E$82="n/a"</formula>
    </cfRule>
  </conditionalFormatting>
  <conditionalFormatting sqref="F81">
    <cfRule type="expression" dxfId="946" priority="35">
      <formula>$E$81="n/a"</formula>
    </cfRule>
  </conditionalFormatting>
  <conditionalFormatting sqref="F80">
    <cfRule type="expression" dxfId="945" priority="34">
      <formula>$E$80="n/a"</formula>
    </cfRule>
  </conditionalFormatting>
  <conditionalFormatting sqref="F79">
    <cfRule type="expression" dxfId="944" priority="33">
      <formula>$E$79="n/a"</formula>
    </cfRule>
  </conditionalFormatting>
  <conditionalFormatting sqref="F78">
    <cfRule type="expression" dxfId="943" priority="32">
      <formula>$E$78="n/a"</formula>
    </cfRule>
  </conditionalFormatting>
  <conditionalFormatting sqref="F77">
    <cfRule type="expression" dxfId="942" priority="31">
      <formula>$E$77="n/a"</formula>
    </cfRule>
  </conditionalFormatting>
  <conditionalFormatting sqref="F76">
    <cfRule type="expression" dxfId="941" priority="30">
      <formula>$E$76="n/a"</formula>
    </cfRule>
  </conditionalFormatting>
  <conditionalFormatting sqref="F75">
    <cfRule type="expression" dxfId="940" priority="29">
      <formula>$E$75="n/a"</formula>
    </cfRule>
  </conditionalFormatting>
  <conditionalFormatting sqref="F74">
    <cfRule type="expression" dxfId="939" priority="28">
      <formula>$E$74="n/a"</formula>
    </cfRule>
  </conditionalFormatting>
  <conditionalFormatting sqref="F73">
    <cfRule type="expression" dxfId="938" priority="26">
      <formula>$E$73="n/a"</formula>
    </cfRule>
  </conditionalFormatting>
  <conditionalFormatting sqref="F72">
    <cfRule type="expression" dxfId="937" priority="2">
      <formula>$E$72="n/a"</formula>
    </cfRule>
  </conditionalFormatting>
  <conditionalFormatting sqref="F47">
    <cfRule type="expression" dxfId="936" priority="37">
      <formula>$E$47="n/a"</formula>
    </cfRule>
  </conditionalFormatting>
  <conditionalFormatting sqref="F48">
    <cfRule type="expression" dxfId="935" priority="27">
      <formula>$E$48="n/a"</formula>
    </cfRule>
  </conditionalFormatting>
  <conditionalFormatting sqref="F49">
    <cfRule type="expression" dxfId="934" priority="25">
      <formula>$E$49="n/a"</formula>
    </cfRule>
  </conditionalFormatting>
  <conditionalFormatting sqref="F50">
    <cfRule type="expression" dxfId="933" priority="24">
      <formula>$E$50="n/a"</formula>
    </cfRule>
  </conditionalFormatting>
  <conditionalFormatting sqref="F51">
    <cfRule type="expression" dxfId="932" priority="23">
      <formula>$E$51="n/a"</formula>
    </cfRule>
  </conditionalFormatting>
  <conditionalFormatting sqref="F52">
    <cfRule type="expression" dxfId="931" priority="22">
      <formula>$E$52="n/a"</formula>
    </cfRule>
  </conditionalFormatting>
  <conditionalFormatting sqref="F53">
    <cfRule type="expression" dxfId="930" priority="21">
      <formula>$E$53="n/a"</formula>
    </cfRule>
  </conditionalFormatting>
  <conditionalFormatting sqref="F54">
    <cfRule type="expression" dxfId="929" priority="20">
      <formula>$E$54="n/a"</formula>
    </cfRule>
  </conditionalFormatting>
  <conditionalFormatting sqref="F55">
    <cfRule type="expression" dxfId="928" priority="19">
      <formula>$E$55="n/a"</formula>
    </cfRule>
  </conditionalFormatting>
  <conditionalFormatting sqref="F56">
    <cfRule type="expression" dxfId="927" priority="18">
      <formula>$E$56="n/a"</formula>
    </cfRule>
  </conditionalFormatting>
  <conditionalFormatting sqref="F57">
    <cfRule type="expression" dxfId="926" priority="17">
      <formula>$E$57="n/a"</formula>
    </cfRule>
  </conditionalFormatting>
  <conditionalFormatting sqref="F58">
    <cfRule type="expression" dxfId="925" priority="16">
      <formula>$E$58="n/a"</formula>
    </cfRule>
  </conditionalFormatting>
  <conditionalFormatting sqref="F59">
    <cfRule type="expression" dxfId="924" priority="15">
      <formula>$E$59="n/a"</formula>
    </cfRule>
  </conditionalFormatting>
  <conditionalFormatting sqref="F60">
    <cfRule type="expression" dxfId="923" priority="14">
      <formula>$E$60="n/a"</formula>
    </cfRule>
  </conditionalFormatting>
  <conditionalFormatting sqref="F61">
    <cfRule type="expression" dxfId="922" priority="13">
      <formula>$E$61="n/a"</formula>
    </cfRule>
  </conditionalFormatting>
  <conditionalFormatting sqref="F62">
    <cfRule type="expression" dxfId="921" priority="12">
      <formula>$E$62="n/a"</formula>
    </cfRule>
  </conditionalFormatting>
  <conditionalFormatting sqref="F63">
    <cfRule type="expression" dxfId="920" priority="11">
      <formula>$E$63="n/a"</formula>
    </cfRule>
  </conditionalFormatting>
  <conditionalFormatting sqref="F64">
    <cfRule type="expression" dxfId="919" priority="10">
      <formula>$E$64="n/a"</formula>
    </cfRule>
  </conditionalFormatting>
  <conditionalFormatting sqref="F65">
    <cfRule type="expression" dxfId="918" priority="9">
      <formula>$E$65="n/a"</formula>
    </cfRule>
  </conditionalFormatting>
  <conditionalFormatting sqref="F66">
    <cfRule type="expression" dxfId="917" priority="8">
      <formula>$E$66="n/a"</formula>
    </cfRule>
  </conditionalFormatting>
  <conditionalFormatting sqref="F67">
    <cfRule type="expression" dxfId="916" priority="7">
      <formula>$E$67="n/a"</formula>
    </cfRule>
  </conditionalFormatting>
  <conditionalFormatting sqref="F68">
    <cfRule type="expression" dxfId="915" priority="6">
      <formula>$E$68="n/a"</formula>
    </cfRule>
  </conditionalFormatting>
  <conditionalFormatting sqref="F69">
    <cfRule type="expression" dxfId="914" priority="5">
      <formula>$E$69="n/a"</formula>
    </cfRule>
  </conditionalFormatting>
  <conditionalFormatting sqref="F70">
    <cfRule type="expression" dxfId="913" priority="4">
      <formula>$E$70="n/a"</formula>
    </cfRule>
  </conditionalFormatting>
  <conditionalFormatting sqref="F71">
    <cfRule type="expression" dxfId="912" priority="3">
      <formula>$E$71="n/a"</formula>
    </cfRule>
  </conditionalFormatting>
  <dataValidations count="3">
    <dataValidation type="list" allowBlank="1" showInputMessage="1" showErrorMessage="1" sqref="F2" xr:uid="{BFFFE924-AAC3-41E2-9BDE-9D1BC49B70D5}">
      <formula1>"1, 2, 3, 4, 5, 6, 7, 8, 9, 10, 11, 12, 13, 14, 15, 16, 17"</formula1>
    </dataValidation>
    <dataValidation type="list" allowBlank="1" showInputMessage="1" showErrorMessage="1" sqref="B7:B82" xr:uid="{BD0F1F64-DC7A-497C-9D72-7E917F00C7F5}">
      <formula1>"v"</formula1>
    </dataValidation>
    <dataValidation type="list" allowBlank="1" showInputMessage="1" showErrorMessage="1" sqref="BP7:BP82 AV7:AV82 BL7:BL82 BT7:BT82 BH7:BH82 BD7:BD82 AZ7:AZ82" xr:uid="{D06A2CBC-DA74-4252-8AE1-8899D4EDDC38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DECE60-50D6-45B6-BFBF-E69B5C246FE7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82E396FF-23DE-4009-A304-932FBA5003AF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B903D-7EA7-4C50-9442-FEDD207986D9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234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911" priority="141">
      <formula>$K$5=1</formula>
    </cfRule>
  </conditionalFormatting>
  <conditionalFormatting sqref="L7:N82">
    <cfRule type="expression" dxfId="910" priority="142">
      <formula>$K$5=1</formula>
    </cfRule>
  </conditionalFormatting>
  <conditionalFormatting sqref="P5:R6">
    <cfRule type="expression" dxfId="909" priority="143">
      <formula>$O$5=1</formula>
    </cfRule>
  </conditionalFormatting>
  <conditionalFormatting sqref="P7:R82">
    <cfRule type="expression" dxfId="908" priority="144">
      <formula>$O$5=1</formula>
    </cfRule>
  </conditionalFormatting>
  <conditionalFormatting sqref="T5:V6">
    <cfRule type="expression" dxfId="907" priority="145">
      <formula>$S$5=1</formula>
    </cfRule>
  </conditionalFormatting>
  <conditionalFormatting sqref="T7:V82">
    <cfRule type="expression" dxfId="906" priority="146">
      <formula>$S$5=1</formula>
    </cfRule>
  </conditionalFormatting>
  <conditionalFormatting sqref="X5:Z6">
    <cfRule type="expression" dxfId="905" priority="147">
      <formula>$W$5=1</formula>
    </cfRule>
  </conditionalFormatting>
  <conditionalFormatting sqref="X7:Z82">
    <cfRule type="expression" dxfId="904" priority="148">
      <formula>$W$5=1</formula>
    </cfRule>
  </conditionalFormatting>
  <conditionalFormatting sqref="AB5:AD6">
    <cfRule type="expression" dxfId="903" priority="149">
      <formula>$AA$5=1</formula>
    </cfRule>
  </conditionalFormatting>
  <conditionalFormatting sqref="AB7:AD82">
    <cfRule type="expression" dxfId="902" priority="150">
      <formula>$AA$5=1</formula>
    </cfRule>
  </conditionalFormatting>
  <conditionalFormatting sqref="J2:J3">
    <cfRule type="expression" dxfId="901" priority="151">
      <formula>$F$1=1</formula>
    </cfRule>
    <cfRule type="expression" priority="152">
      <formula>$F$1</formula>
    </cfRule>
  </conditionalFormatting>
  <conditionalFormatting sqref="J4">
    <cfRule type="expression" dxfId="900" priority="153">
      <formula>$F$1=1</formula>
    </cfRule>
  </conditionalFormatting>
  <conditionalFormatting sqref="M4:N4">
    <cfRule type="expression" dxfId="899" priority="140">
      <formula>$K$5=1</formula>
    </cfRule>
  </conditionalFormatting>
  <conditionalFormatting sqref="Q4:R4">
    <cfRule type="expression" dxfId="898" priority="139">
      <formula>$O$5=1</formula>
    </cfRule>
  </conditionalFormatting>
  <conditionalFormatting sqref="U4:V4">
    <cfRule type="expression" dxfId="897" priority="138">
      <formula>$S$5=1</formula>
    </cfRule>
  </conditionalFormatting>
  <conditionalFormatting sqref="Y4:Z4">
    <cfRule type="expression" dxfId="896" priority="137">
      <formula>$W$5=1</formula>
    </cfRule>
  </conditionalFormatting>
  <conditionalFormatting sqref="AC4:AD4">
    <cfRule type="expression" dxfId="895" priority="136">
      <formula>$AA$5=1</formula>
    </cfRule>
  </conditionalFormatting>
  <conditionalFormatting sqref="AF5:AH6">
    <cfRule type="expression" dxfId="894" priority="134">
      <formula>$AE$5=1</formula>
    </cfRule>
  </conditionalFormatting>
  <conditionalFormatting sqref="AF7:AH82">
    <cfRule type="expression" dxfId="893" priority="135">
      <formula>$AE$5=1</formula>
    </cfRule>
  </conditionalFormatting>
  <conditionalFormatting sqref="AG4:AH4">
    <cfRule type="expression" dxfId="892" priority="133">
      <formula>$AE$5=1</formula>
    </cfRule>
  </conditionalFormatting>
  <conditionalFormatting sqref="AJ7:AL82">
    <cfRule type="expression" dxfId="891" priority="132">
      <formula>$AI$5=1</formula>
    </cfRule>
  </conditionalFormatting>
  <conditionalFormatting sqref="AK4:AL4">
    <cfRule type="expression" dxfId="890" priority="131">
      <formula>$AI$5=1</formula>
    </cfRule>
  </conditionalFormatting>
  <conditionalFormatting sqref="AN7:AP82">
    <cfRule type="expression" dxfId="889" priority="130">
      <formula>$AM$5=1</formula>
    </cfRule>
  </conditionalFormatting>
  <conditionalFormatting sqref="AO4:AP4">
    <cfRule type="expression" dxfId="888" priority="129">
      <formula>AM$5=1</formula>
    </cfRule>
  </conditionalFormatting>
  <conditionalFormatting sqref="AR7:AT82">
    <cfRule type="expression" dxfId="887" priority="128">
      <formula>$AQ$5=1</formula>
    </cfRule>
  </conditionalFormatting>
  <conditionalFormatting sqref="AV7:AX82">
    <cfRule type="expression" dxfId="886" priority="127">
      <formula>$AU$5=1</formula>
    </cfRule>
  </conditionalFormatting>
  <conditionalFormatting sqref="AZ7:BB82">
    <cfRule type="expression" dxfId="885" priority="126">
      <formula>$AY$5=1</formula>
    </cfRule>
  </conditionalFormatting>
  <conditionalFormatting sqref="BD7:BF82">
    <cfRule type="expression" dxfId="884" priority="125">
      <formula>$BC$5=1</formula>
    </cfRule>
  </conditionalFormatting>
  <conditionalFormatting sqref="BH7:BJ82">
    <cfRule type="expression" dxfId="883" priority="124">
      <formula>$BG$5=1</formula>
    </cfRule>
  </conditionalFormatting>
  <conditionalFormatting sqref="BL7:BN82">
    <cfRule type="expression" dxfId="882" priority="123">
      <formula>$BK$5=1</formula>
    </cfRule>
  </conditionalFormatting>
  <conditionalFormatting sqref="BP7:BR82">
    <cfRule type="expression" dxfId="881" priority="122">
      <formula>$BO$5=1</formula>
    </cfRule>
  </conditionalFormatting>
  <conditionalFormatting sqref="BT7:BV82">
    <cfRule type="expression" dxfId="880" priority="121">
      <formula>$BS$5=1</formula>
    </cfRule>
  </conditionalFormatting>
  <conditionalFormatting sqref="AS4:AT4">
    <cfRule type="expression" dxfId="879" priority="120">
      <formula>AQ$5=1</formula>
    </cfRule>
  </conditionalFormatting>
  <conditionalFormatting sqref="AW4:AX4">
    <cfRule type="expression" dxfId="878" priority="119">
      <formula>AU$5=1</formula>
    </cfRule>
  </conditionalFormatting>
  <conditionalFormatting sqref="BA4:BB4">
    <cfRule type="expression" dxfId="877" priority="118">
      <formula>AY$5=1</formula>
    </cfRule>
  </conditionalFormatting>
  <conditionalFormatting sqref="BE4:BF4">
    <cfRule type="expression" dxfId="876" priority="117">
      <formula>BC$5=1</formula>
    </cfRule>
  </conditionalFormatting>
  <conditionalFormatting sqref="BI4:BJ4">
    <cfRule type="expression" dxfId="875" priority="116">
      <formula>BG$5=1</formula>
    </cfRule>
  </conditionalFormatting>
  <conditionalFormatting sqref="BM4:BN4">
    <cfRule type="expression" dxfId="874" priority="115">
      <formula>BK$5=1</formula>
    </cfRule>
  </conditionalFormatting>
  <conditionalFormatting sqref="BQ4:BR4">
    <cfRule type="expression" dxfId="873" priority="114">
      <formula>BO$5=1</formula>
    </cfRule>
  </conditionalFormatting>
  <conditionalFormatting sqref="BU4:BV4">
    <cfRule type="expression" dxfId="872" priority="113">
      <formula>BS$5=1</formula>
    </cfRule>
  </conditionalFormatting>
  <conditionalFormatting sqref="AJ5:AL6">
    <cfRule type="expression" dxfId="871" priority="112">
      <formula>$AI$5=1</formula>
    </cfRule>
  </conditionalFormatting>
  <conditionalFormatting sqref="AN5:AP6">
    <cfRule type="expression" dxfId="870" priority="111">
      <formula>$AM$5=1</formula>
    </cfRule>
  </conditionalFormatting>
  <conditionalFormatting sqref="AR5:AT6">
    <cfRule type="expression" dxfId="869" priority="110">
      <formula>$AQ$5=1</formula>
    </cfRule>
  </conditionalFormatting>
  <conditionalFormatting sqref="AZ5:BB6">
    <cfRule type="expression" dxfId="868" priority="109">
      <formula>$AY$5=1</formula>
    </cfRule>
  </conditionalFormatting>
  <conditionalFormatting sqref="BD5:BF6">
    <cfRule type="expression" dxfId="867" priority="108">
      <formula>$BC$5=1</formula>
    </cfRule>
  </conditionalFormatting>
  <conditionalFormatting sqref="BH5:BJ6">
    <cfRule type="expression" dxfId="866" priority="107">
      <formula>$BG$5=1</formula>
    </cfRule>
  </conditionalFormatting>
  <conditionalFormatting sqref="BL5:BN6">
    <cfRule type="expression" dxfId="865" priority="106">
      <formula>$BK$5=1</formula>
    </cfRule>
  </conditionalFormatting>
  <conditionalFormatting sqref="BP5:BR6">
    <cfRule type="expression" dxfId="864" priority="105">
      <formula>$BO$5=1</formula>
    </cfRule>
  </conditionalFormatting>
  <conditionalFormatting sqref="BT5:BV6">
    <cfRule type="expression" dxfId="863" priority="104">
      <formula>$BS$5=1</formula>
    </cfRule>
  </conditionalFormatting>
  <conditionalFormatting sqref="AV5:AX6">
    <cfRule type="expression" dxfId="862" priority="103">
      <formula>$AU$5=1</formula>
    </cfRule>
  </conditionalFormatting>
  <conditionalFormatting sqref="C7:H82">
    <cfRule type="expression" dxfId="861" priority="1">
      <formula>$B7="v"</formula>
    </cfRule>
  </conditionalFormatting>
  <conditionalFormatting sqref="I7:I82">
    <cfRule type="expression" dxfId="860" priority="101">
      <formula>$B7="v"</formula>
    </cfRule>
  </conditionalFormatting>
  <conditionalFormatting sqref="N7:N82">
    <cfRule type="expression" dxfId="859" priority="100">
      <formula>$B7="v"</formula>
    </cfRule>
  </conditionalFormatting>
  <conditionalFormatting sqref="M7:M82">
    <cfRule type="expression" dxfId="858" priority="99">
      <formula>$B7="v"</formula>
    </cfRule>
  </conditionalFormatting>
  <conditionalFormatting sqref="L7:L82">
    <cfRule type="expression" dxfId="857" priority="98">
      <formula>$B7="v"</formula>
    </cfRule>
  </conditionalFormatting>
  <conditionalFormatting sqref="P7:Q82">
    <cfRule type="expression" dxfId="856" priority="97">
      <formula>$B7="v"</formula>
    </cfRule>
  </conditionalFormatting>
  <conditionalFormatting sqref="R7:R82">
    <cfRule type="expression" dxfId="85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854" priority="95">
      <formula>$B7="v"</formula>
    </cfRule>
  </conditionalFormatting>
  <conditionalFormatting sqref="X7:Y82 T7:U82 AJ7:AK82 AF7:AG82 AB7:AC82 AR7:AS82 AN7:AO82 BH7:BI82 BD7:BE82 AZ7:BA82 BT7:BU82 BP7:BQ82 BL7:BM82">
    <cfRule type="expression" dxfId="853" priority="94">
      <formula>$B7="v"</formula>
    </cfRule>
  </conditionalFormatting>
  <conditionalFormatting sqref="AV7:AW82">
    <cfRule type="expression" dxfId="852" priority="93">
      <formula>$B7="v"</formula>
    </cfRule>
  </conditionalFormatting>
  <conditionalFormatting sqref="X7:Z82">
    <cfRule type="expression" dxfId="851" priority="92">
      <formula>$W$5=""</formula>
    </cfRule>
  </conditionalFormatting>
  <conditionalFormatting sqref="T7:V82">
    <cfRule type="expression" dxfId="850" priority="91">
      <formula>$S$5=""</formula>
    </cfRule>
  </conditionalFormatting>
  <conditionalFormatting sqref="P7:R82">
    <cfRule type="expression" dxfId="849" priority="90">
      <formula>$O$5=""</formula>
    </cfRule>
  </conditionalFormatting>
  <conditionalFormatting sqref="L7:N82">
    <cfRule type="expression" dxfId="848" priority="89">
      <formula>$K$5=""</formula>
    </cfRule>
  </conditionalFormatting>
  <conditionalFormatting sqref="AB7:AD82">
    <cfRule type="expression" dxfId="847" priority="88">
      <formula>$AA$5=""</formula>
    </cfRule>
  </conditionalFormatting>
  <conditionalFormatting sqref="AF7:AH82">
    <cfRule type="expression" dxfId="846" priority="87">
      <formula>$AE$5=""</formula>
    </cfRule>
  </conditionalFormatting>
  <conditionalFormatting sqref="AJ7:AL82">
    <cfRule type="expression" dxfId="845" priority="86">
      <formula>$AI$5=""</formula>
    </cfRule>
  </conditionalFormatting>
  <conditionalFormatting sqref="AN7:AP82">
    <cfRule type="expression" dxfId="844" priority="85">
      <formula>$AM$5=""</formula>
    </cfRule>
  </conditionalFormatting>
  <conditionalFormatting sqref="AR7:AT82">
    <cfRule type="expression" dxfId="843" priority="84">
      <formula>$AQ$5=""</formula>
    </cfRule>
  </conditionalFormatting>
  <conditionalFormatting sqref="AV7:AX82">
    <cfRule type="expression" dxfId="842" priority="83">
      <formula>$AU$5=""</formula>
    </cfRule>
  </conditionalFormatting>
  <conditionalFormatting sqref="AZ7:BB82">
    <cfRule type="expression" dxfId="841" priority="82">
      <formula>$AY$5=""</formula>
    </cfRule>
  </conditionalFormatting>
  <conditionalFormatting sqref="BD7:BF82">
    <cfRule type="expression" dxfId="840" priority="81">
      <formula>$BC$5=""</formula>
    </cfRule>
  </conditionalFormatting>
  <conditionalFormatting sqref="BH7:BJ82">
    <cfRule type="expression" dxfId="839" priority="80">
      <formula>$BG$5=""</formula>
    </cfRule>
  </conditionalFormatting>
  <conditionalFormatting sqref="BL7:BN82">
    <cfRule type="expression" dxfId="838" priority="79">
      <formula>$BK$5=""</formula>
    </cfRule>
  </conditionalFormatting>
  <conditionalFormatting sqref="BP7:BR82">
    <cfRule type="expression" dxfId="837" priority="78">
      <formula>$BO$5=""</formula>
    </cfRule>
  </conditionalFormatting>
  <conditionalFormatting sqref="BT7:BV82">
    <cfRule type="expression" dxfId="836" priority="77">
      <formula>$BS$5=""</formula>
    </cfRule>
  </conditionalFormatting>
  <conditionalFormatting sqref="F25">
    <cfRule type="expression" dxfId="835" priority="76">
      <formula>$E$25="n/a"</formula>
    </cfRule>
  </conditionalFormatting>
  <conditionalFormatting sqref="F7">
    <cfRule type="expression" dxfId="834" priority="75">
      <formula>$E$7="n/a"</formula>
    </cfRule>
  </conditionalFormatting>
  <conditionalFormatting sqref="F8">
    <cfRule type="expression" dxfId="833" priority="102">
      <formula>$E$8="n/a"</formula>
    </cfRule>
  </conditionalFormatting>
  <conditionalFormatting sqref="F9">
    <cfRule type="expression" dxfId="832" priority="74">
      <formula>$E$9="n/a"</formula>
    </cfRule>
  </conditionalFormatting>
  <conditionalFormatting sqref="F10">
    <cfRule type="expression" dxfId="831" priority="73">
      <formula>$E$10="n/a"</formula>
    </cfRule>
  </conditionalFormatting>
  <conditionalFormatting sqref="F11">
    <cfRule type="expression" dxfId="830" priority="72">
      <formula>$E$11="n/a"</formula>
    </cfRule>
  </conditionalFormatting>
  <conditionalFormatting sqref="F12">
    <cfRule type="expression" dxfId="829" priority="71">
      <formula>$E$12="n/a"</formula>
    </cfRule>
  </conditionalFormatting>
  <conditionalFormatting sqref="F13">
    <cfRule type="expression" dxfId="828" priority="70">
      <formula>$E$13="n/a"</formula>
    </cfRule>
  </conditionalFormatting>
  <conditionalFormatting sqref="F14">
    <cfRule type="expression" dxfId="827" priority="69">
      <formula>$E$14="n/a"</formula>
    </cfRule>
  </conditionalFormatting>
  <conditionalFormatting sqref="F15">
    <cfRule type="expression" dxfId="826" priority="68">
      <formula>$E$15="n/a"</formula>
    </cfRule>
  </conditionalFormatting>
  <conditionalFormatting sqref="F16">
    <cfRule type="expression" dxfId="825" priority="67">
      <formula>$E$16="n/a"</formula>
    </cfRule>
  </conditionalFormatting>
  <conditionalFormatting sqref="F17">
    <cfRule type="expression" dxfId="824" priority="66">
      <formula>$E$17="n/a"</formula>
    </cfRule>
  </conditionalFormatting>
  <conditionalFormatting sqref="F18">
    <cfRule type="expression" dxfId="823" priority="65">
      <formula>$E$18="n/a"</formula>
    </cfRule>
  </conditionalFormatting>
  <conditionalFormatting sqref="F19">
    <cfRule type="expression" dxfId="822" priority="64">
      <formula>$E$19="n/a"</formula>
    </cfRule>
  </conditionalFormatting>
  <conditionalFormatting sqref="F20">
    <cfRule type="expression" dxfId="821" priority="63">
      <formula>$E$20="n/a"</formula>
    </cfRule>
  </conditionalFormatting>
  <conditionalFormatting sqref="F21">
    <cfRule type="expression" dxfId="820" priority="62">
      <formula>$E$21="n/a"</formula>
    </cfRule>
  </conditionalFormatting>
  <conditionalFormatting sqref="F22">
    <cfRule type="expression" dxfId="819" priority="61">
      <formula>$E$22="n/a"</formula>
    </cfRule>
  </conditionalFormatting>
  <conditionalFormatting sqref="F23">
    <cfRule type="expression" dxfId="818" priority="60">
      <formula>$E$23="n/a"</formula>
    </cfRule>
  </conditionalFormatting>
  <conditionalFormatting sqref="F24">
    <cfRule type="expression" dxfId="817" priority="59">
      <formula>$E$24="n/a"</formula>
    </cfRule>
  </conditionalFormatting>
  <conditionalFormatting sqref="F26">
    <cfRule type="expression" dxfId="816" priority="58">
      <formula>$E$26="n/a"</formula>
    </cfRule>
  </conditionalFormatting>
  <conditionalFormatting sqref="F27">
    <cfRule type="expression" dxfId="815" priority="57">
      <formula>$E$27="n/a"</formula>
    </cfRule>
  </conditionalFormatting>
  <conditionalFormatting sqref="F28">
    <cfRule type="expression" dxfId="814" priority="56">
      <formula>$E$28="n/a"</formula>
    </cfRule>
  </conditionalFormatting>
  <conditionalFormatting sqref="F29">
    <cfRule type="expression" dxfId="813" priority="55">
      <formula>$E$29="n/a"</formula>
    </cfRule>
  </conditionalFormatting>
  <conditionalFormatting sqref="F30">
    <cfRule type="expression" dxfId="812" priority="54">
      <formula>$E$30="n/a"</formula>
    </cfRule>
  </conditionalFormatting>
  <conditionalFormatting sqref="F31">
    <cfRule type="expression" dxfId="811" priority="53">
      <formula>$E$31="n/a"</formula>
    </cfRule>
  </conditionalFormatting>
  <conditionalFormatting sqref="F32">
    <cfRule type="expression" dxfId="810" priority="52">
      <formula>$E$32="n/a"</formula>
    </cfRule>
  </conditionalFormatting>
  <conditionalFormatting sqref="F33">
    <cfRule type="expression" dxfId="809" priority="51">
      <formula>$E$33="n/a"</formula>
    </cfRule>
  </conditionalFormatting>
  <conditionalFormatting sqref="F34">
    <cfRule type="expression" dxfId="808" priority="50">
      <formula>$E$34="n/a"</formula>
    </cfRule>
  </conditionalFormatting>
  <conditionalFormatting sqref="F35">
    <cfRule type="expression" dxfId="807" priority="49">
      <formula>$E$35="n/a"</formula>
    </cfRule>
  </conditionalFormatting>
  <conditionalFormatting sqref="F36">
    <cfRule type="expression" dxfId="806" priority="48">
      <formula>$E$36="n/a"</formula>
    </cfRule>
  </conditionalFormatting>
  <conditionalFormatting sqref="F37">
    <cfRule type="expression" dxfId="805" priority="47">
      <formula>$E$37="n/a"</formula>
    </cfRule>
  </conditionalFormatting>
  <conditionalFormatting sqref="F38">
    <cfRule type="expression" dxfId="804" priority="46">
      <formula>$E$38="n/a"</formula>
    </cfRule>
  </conditionalFormatting>
  <conditionalFormatting sqref="F39">
    <cfRule type="expression" dxfId="803" priority="45">
      <formula>$E$39="n/a"</formula>
    </cfRule>
  </conditionalFormatting>
  <conditionalFormatting sqref="F40">
    <cfRule type="expression" dxfId="802" priority="44">
      <formula>$E$40="n/a"</formula>
    </cfRule>
  </conditionalFormatting>
  <conditionalFormatting sqref="F41">
    <cfRule type="expression" dxfId="801" priority="43">
      <formula>$E$41="n/a"</formula>
    </cfRule>
  </conditionalFormatting>
  <conditionalFormatting sqref="F42">
    <cfRule type="expression" dxfId="800" priority="42">
      <formula>$E$42="n/a"</formula>
    </cfRule>
  </conditionalFormatting>
  <conditionalFormatting sqref="F43">
    <cfRule type="expression" dxfId="799" priority="41">
      <formula>$E$43="n/a"</formula>
    </cfRule>
  </conditionalFormatting>
  <conditionalFormatting sqref="F44">
    <cfRule type="expression" dxfId="798" priority="40">
      <formula>$E$44="n/a"</formula>
    </cfRule>
  </conditionalFormatting>
  <conditionalFormatting sqref="F45">
    <cfRule type="expression" dxfId="797" priority="39">
      <formula>$E$45="n/a"</formula>
    </cfRule>
  </conditionalFormatting>
  <conditionalFormatting sqref="F46">
    <cfRule type="expression" dxfId="796" priority="38">
      <formula>$E$46="n/a"</formula>
    </cfRule>
  </conditionalFormatting>
  <conditionalFormatting sqref="F82">
    <cfRule type="expression" dxfId="795" priority="36">
      <formula>$E$82="n/a"</formula>
    </cfRule>
  </conditionalFormatting>
  <conditionalFormatting sqref="F81">
    <cfRule type="expression" dxfId="794" priority="35">
      <formula>$E$81="n/a"</formula>
    </cfRule>
  </conditionalFormatting>
  <conditionalFormatting sqref="F80">
    <cfRule type="expression" dxfId="793" priority="34">
      <formula>$E$80="n/a"</formula>
    </cfRule>
  </conditionalFormatting>
  <conditionalFormatting sqref="F79">
    <cfRule type="expression" dxfId="792" priority="33">
      <formula>$E$79="n/a"</formula>
    </cfRule>
  </conditionalFormatting>
  <conditionalFormatting sqref="F78">
    <cfRule type="expression" dxfId="791" priority="32">
      <formula>$E$78="n/a"</formula>
    </cfRule>
  </conditionalFormatting>
  <conditionalFormatting sqref="F77">
    <cfRule type="expression" dxfId="790" priority="31">
      <formula>$E$77="n/a"</formula>
    </cfRule>
  </conditionalFormatting>
  <conditionalFormatting sqref="F76">
    <cfRule type="expression" dxfId="789" priority="30">
      <formula>$E$76="n/a"</formula>
    </cfRule>
  </conditionalFormatting>
  <conditionalFormatting sqref="F75">
    <cfRule type="expression" dxfId="788" priority="29">
      <formula>$E$75="n/a"</formula>
    </cfRule>
  </conditionalFormatting>
  <conditionalFormatting sqref="F74">
    <cfRule type="expression" dxfId="787" priority="28">
      <formula>$E$74="n/a"</formula>
    </cfRule>
  </conditionalFormatting>
  <conditionalFormatting sqref="F73">
    <cfRule type="expression" dxfId="786" priority="26">
      <formula>$E$73="n/a"</formula>
    </cfRule>
  </conditionalFormatting>
  <conditionalFormatting sqref="F72">
    <cfRule type="expression" dxfId="785" priority="2">
      <formula>$E$72="n/a"</formula>
    </cfRule>
  </conditionalFormatting>
  <conditionalFormatting sqref="F47">
    <cfRule type="expression" dxfId="784" priority="37">
      <formula>$E$47="n/a"</formula>
    </cfRule>
  </conditionalFormatting>
  <conditionalFormatting sqref="F48">
    <cfRule type="expression" dxfId="783" priority="27">
      <formula>$E$48="n/a"</formula>
    </cfRule>
  </conditionalFormatting>
  <conditionalFormatting sqref="F49">
    <cfRule type="expression" dxfId="782" priority="25">
      <formula>$E$49="n/a"</formula>
    </cfRule>
  </conditionalFormatting>
  <conditionalFormatting sqref="F50">
    <cfRule type="expression" dxfId="781" priority="24">
      <formula>$E$50="n/a"</formula>
    </cfRule>
  </conditionalFormatting>
  <conditionalFormatting sqref="F51">
    <cfRule type="expression" dxfId="780" priority="23">
      <formula>$E$51="n/a"</formula>
    </cfRule>
  </conditionalFormatting>
  <conditionalFormatting sqref="F52">
    <cfRule type="expression" dxfId="779" priority="22">
      <formula>$E$52="n/a"</formula>
    </cfRule>
  </conditionalFormatting>
  <conditionalFormatting sqref="F53">
    <cfRule type="expression" dxfId="778" priority="21">
      <formula>$E$53="n/a"</formula>
    </cfRule>
  </conditionalFormatting>
  <conditionalFormatting sqref="F54">
    <cfRule type="expression" dxfId="777" priority="20">
      <formula>$E$54="n/a"</formula>
    </cfRule>
  </conditionalFormatting>
  <conditionalFormatting sqref="F55">
    <cfRule type="expression" dxfId="776" priority="19">
      <formula>$E$55="n/a"</formula>
    </cfRule>
  </conditionalFormatting>
  <conditionalFormatting sqref="F56">
    <cfRule type="expression" dxfId="775" priority="18">
      <formula>$E$56="n/a"</formula>
    </cfRule>
  </conditionalFormatting>
  <conditionalFormatting sqref="F57">
    <cfRule type="expression" dxfId="774" priority="17">
      <formula>$E$57="n/a"</formula>
    </cfRule>
  </conditionalFormatting>
  <conditionalFormatting sqref="F58">
    <cfRule type="expression" dxfId="773" priority="16">
      <formula>$E$58="n/a"</formula>
    </cfRule>
  </conditionalFormatting>
  <conditionalFormatting sqref="F59">
    <cfRule type="expression" dxfId="772" priority="15">
      <formula>$E$59="n/a"</formula>
    </cfRule>
  </conditionalFormatting>
  <conditionalFormatting sqref="F60">
    <cfRule type="expression" dxfId="771" priority="14">
      <formula>$E$60="n/a"</formula>
    </cfRule>
  </conditionalFormatting>
  <conditionalFormatting sqref="F61">
    <cfRule type="expression" dxfId="770" priority="13">
      <formula>$E$61="n/a"</formula>
    </cfRule>
  </conditionalFormatting>
  <conditionalFormatting sqref="F62">
    <cfRule type="expression" dxfId="769" priority="12">
      <formula>$E$62="n/a"</formula>
    </cfRule>
  </conditionalFormatting>
  <conditionalFormatting sqref="F63">
    <cfRule type="expression" dxfId="768" priority="11">
      <formula>$E$63="n/a"</formula>
    </cfRule>
  </conditionalFormatting>
  <conditionalFormatting sqref="F64">
    <cfRule type="expression" dxfId="767" priority="10">
      <formula>$E$64="n/a"</formula>
    </cfRule>
  </conditionalFormatting>
  <conditionalFormatting sqref="F65">
    <cfRule type="expression" dxfId="766" priority="9">
      <formula>$E$65="n/a"</formula>
    </cfRule>
  </conditionalFormatting>
  <conditionalFormatting sqref="F66">
    <cfRule type="expression" dxfId="765" priority="8">
      <formula>$E$66="n/a"</formula>
    </cfRule>
  </conditionalFormatting>
  <conditionalFormatting sqref="F67">
    <cfRule type="expression" dxfId="764" priority="7">
      <formula>$E$67="n/a"</formula>
    </cfRule>
  </conditionalFormatting>
  <conditionalFormatting sqref="F68">
    <cfRule type="expression" dxfId="763" priority="6">
      <formula>$E$68="n/a"</formula>
    </cfRule>
  </conditionalFormatting>
  <conditionalFormatting sqref="F69">
    <cfRule type="expression" dxfId="762" priority="5">
      <formula>$E$69="n/a"</formula>
    </cfRule>
  </conditionalFormatting>
  <conditionalFormatting sqref="F70">
    <cfRule type="expression" dxfId="761" priority="4">
      <formula>$E$70="n/a"</formula>
    </cfRule>
  </conditionalFormatting>
  <conditionalFormatting sqref="F71">
    <cfRule type="expression" dxfId="760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E79C7EE6-BA6A-4DD6-8EE0-62F5EE245A5B}">
      <formula1>"&lt;, &lt;=, &gt;, &gt;=, ="</formula1>
    </dataValidation>
    <dataValidation type="list" allowBlank="1" showInputMessage="1" showErrorMessage="1" sqref="B7:B82" xr:uid="{08B302AB-64AC-4F09-84A6-2D52AA5AEE28}">
      <formula1>"v"</formula1>
    </dataValidation>
    <dataValidation type="list" allowBlank="1" showInputMessage="1" showErrorMessage="1" sqref="F2" xr:uid="{8D37ECB7-1A56-4AD6-BA18-B081A65A88C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9241A-AFCD-45E0-85CF-D581E7CED5C9}">
          <x14:formula1>
            <xm:f>Sheet3!$A$2:$A$49</xm:f>
          </x14:formula1>
          <xm:sqref>F3</xm:sqref>
        </x14:dataValidation>
        <x14:dataValidation type="list" allowBlank="1" showInputMessage="1" xr:uid="{A46B6999-4088-4475-8D32-B33854C818D9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4826-9CDF-4070-9647-394865783DFF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235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759" priority="141">
      <formula>$K$5=1</formula>
    </cfRule>
  </conditionalFormatting>
  <conditionalFormatting sqref="L7:N82">
    <cfRule type="expression" dxfId="758" priority="142">
      <formula>$K$5=1</formula>
    </cfRule>
  </conditionalFormatting>
  <conditionalFormatting sqref="P5:R6">
    <cfRule type="expression" dxfId="757" priority="143">
      <formula>$O$5=1</formula>
    </cfRule>
  </conditionalFormatting>
  <conditionalFormatting sqref="P7:R82">
    <cfRule type="expression" dxfId="756" priority="144">
      <formula>$O$5=1</formula>
    </cfRule>
  </conditionalFormatting>
  <conditionalFormatting sqref="T5:V6">
    <cfRule type="expression" dxfId="755" priority="145">
      <formula>$S$5=1</formula>
    </cfRule>
  </conditionalFormatting>
  <conditionalFormatting sqref="T7:V82">
    <cfRule type="expression" dxfId="754" priority="146">
      <formula>$S$5=1</formula>
    </cfRule>
  </conditionalFormatting>
  <conditionalFormatting sqref="X5:Z6">
    <cfRule type="expression" dxfId="753" priority="147">
      <formula>$W$5=1</formula>
    </cfRule>
  </conditionalFormatting>
  <conditionalFormatting sqref="X7:Z82">
    <cfRule type="expression" dxfId="752" priority="148">
      <formula>$W$5=1</formula>
    </cfRule>
  </conditionalFormatting>
  <conditionalFormatting sqref="AB5:AD6">
    <cfRule type="expression" dxfId="751" priority="149">
      <formula>$AA$5=1</formula>
    </cfRule>
  </conditionalFormatting>
  <conditionalFormatting sqref="AB7:AD82">
    <cfRule type="expression" dxfId="750" priority="150">
      <formula>$AA$5=1</formula>
    </cfRule>
  </conditionalFormatting>
  <conditionalFormatting sqref="J2:J3">
    <cfRule type="expression" dxfId="749" priority="151">
      <formula>$F$1=1</formula>
    </cfRule>
    <cfRule type="expression" priority="152">
      <formula>$F$1</formula>
    </cfRule>
  </conditionalFormatting>
  <conditionalFormatting sqref="J4">
    <cfRule type="expression" dxfId="748" priority="153">
      <formula>$F$1=1</formula>
    </cfRule>
  </conditionalFormatting>
  <conditionalFormatting sqref="M4:N4">
    <cfRule type="expression" dxfId="747" priority="140">
      <formula>$K$5=1</formula>
    </cfRule>
  </conditionalFormatting>
  <conditionalFormatting sqref="Q4:R4">
    <cfRule type="expression" dxfId="746" priority="139">
      <formula>$O$5=1</formula>
    </cfRule>
  </conditionalFormatting>
  <conditionalFormatting sqref="U4:V4">
    <cfRule type="expression" dxfId="745" priority="138">
      <formula>$S$5=1</formula>
    </cfRule>
  </conditionalFormatting>
  <conditionalFormatting sqref="Y4:Z4">
    <cfRule type="expression" dxfId="744" priority="137">
      <formula>$W$5=1</formula>
    </cfRule>
  </conditionalFormatting>
  <conditionalFormatting sqref="AC4:AD4">
    <cfRule type="expression" dxfId="743" priority="136">
      <formula>$AA$5=1</formula>
    </cfRule>
  </conditionalFormatting>
  <conditionalFormatting sqref="AF5:AH6">
    <cfRule type="expression" dxfId="742" priority="134">
      <formula>$AE$5=1</formula>
    </cfRule>
  </conditionalFormatting>
  <conditionalFormatting sqref="AF7:AH82">
    <cfRule type="expression" dxfId="741" priority="135">
      <formula>$AE$5=1</formula>
    </cfRule>
  </conditionalFormatting>
  <conditionalFormatting sqref="AG4:AH4">
    <cfRule type="expression" dxfId="740" priority="133">
      <formula>$AE$5=1</formula>
    </cfRule>
  </conditionalFormatting>
  <conditionalFormatting sqref="AJ7:AL82">
    <cfRule type="expression" dxfId="739" priority="132">
      <formula>$AI$5=1</formula>
    </cfRule>
  </conditionalFormatting>
  <conditionalFormatting sqref="AK4:AL4">
    <cfRule type="expression" dxfId="738" priority="131">
      <formula>$AI$5=1</formula>
    </cfRule>
  </conditionalFormatting>
  <conditionalFormatting sqref="AN7:AP82">
    <cfRule type="expression" dxfId="737" priority="130">
      <formula>$AM$5=1</formula>
    </cfRule>
  </conditionalFormatting>
  <conditionalFormatting sqref="AO4:AP4">
    <cfRule type="expression" dxfId="736" priority="129">
      <formula>AM$5=1</formula>
    </cfRule>
  </conditionalFormatting>
  <conditionalFormatting sqref="AR7:AT82">
    <cfRule type="expression" dxfId="735" priority="128">
      <formula>$AQ$5=1</formula>
    </cfRule>
  </conditionalFormatting>
  <conditionalFormatting sqref="AV7:AX82">
    <cfRule type="expression" dxfId="734" priority="127">
      <formula>$AU$5=1</formula>
    </cfRule>
  </conditionalFormatting>
  <conditionalFormatting sqref="AZ7:BB82">
    <cfRule type="expression" dxfId="733" priority="126">
      <formula>$AY$5=1</formula>
    </cfRule>
  </conditionalFormatting>
  <conditionalFormatting sqref="BD7:BF82">
    <cfRule type="expression" dxfId="732" priority="125">
      <formula>$BC$5=1</formula>
    </cfRule>
  </conditionalFormatting>
  <conditionalFormatting sqref="BH7:BJ82">
    <cfRule type="expression" dxfId="731" priority="124">
      <formula>$BG$5=1</formula>
    </cfRule>
  </conditionalFormatting>
  <conditionalFormatting sqref="BL7:BN82">
    <cfRule type="expression" dxfId="730" priority="123">
      <formula>$BK$5=1</formula>
    </cfRule>
  </conditionalFormatting>
  <conditionalFormatting sqref="BP7:BR82">
    <cfRule type="expression" dxfId="729" priority="122">
      <formula>$BO$5=1</formula>
    </cfRule>
  </conditionalFormatting>
  <conditionalFormatting sqref="BT7:BV82">
    <cfRule type="expression" dxfId="728" priority="121">
      <formula>$BS$5=1</formula>
    </cfRule>
  </conditionalFormatting>
  <conditionalFormatting sqref="AS4:AT4">
    <cfRule type="expression" dxfId="727" priority="120">
      <formula>AQ$5=1</formula>
    </cfRule>
  </conditionalFormatting>
  <conditionalFormatting sqref="AW4:AX4">
    <cfRule type="expression" dxfId="726" priority="119">
      <formula>AU$5=1</formula>
    </cfRule>
  </conditionalFormatting>
  <conditionalFormatting sqref="BA4:BB4">
    <cfRule type="expression" dxfId="725" priority="118">
      <formula>AY$5=1</formula>
    </cfRule>
  </conditionalFormatting>
  <conditionalFormatting sqref="BE4:BF4">
    <cfRule type="expression" dxfId="724" priority="117">
      <formula>BC$5=1</formula>
    </cfRule>
  </conditionalFormatting>
  <conditionalFormatting sqref="BI4:BJ4">
    <cfRule type="expression" dxfId="723" priority="116">
      <formula>BG$5=1</formula>
    </cfRule>
  </conditionalFormatting>
  <conditionalFormatting sqref="BM4:BN4">
    <cfRule type="expression" dxfId="722" priority="115">
      <formula>BK$5=1</formula>
    </cfRule>
  </conditionalFormatting>
  <conditionalFormatting sqref="BQ4:BR4">
    <cfRule type="expression" dxfId="721" priority="114">
      <formula>BO$5=1</formula>
    </cfRule>
  </conditionalFormatting>
  <conditionalFormatting sqref="BU4:BV4">
    <cfRule type="expression" dxfId="720" priority="113">
      <formula>BS$5=1</formula>
    </cfRule>
  </conditionalFormatting>
  <conditionalFormatting sqref="AJ5:AL6">
    <cfRule type="expression" dxfId="719" priority="112">
      <formula>$AI$5=1</formula>
    </cfRule>
  </conditionalFormatting>
  <conditionalFormatting sqref="AN5:AP6">
    <cfRule type="expression" dxfId="718" priority="111">
      <formula>$AM$5=1</formula>
    </cfRule>
  </conditionalFormatting>
  <conditionalFormatting sqref="AR5:AT6">
    <cfRule type="expression" dxfId="717" priority="110">
      <formula>$AQ$5=1</formula>
    </cfRule>
  </conditionalFormatting>
  <conditionalFormatting sqref="AZ5:BB6">
    <cfRule type="expression" dxfId="716" priority="109">
      <formula>$AY$5=1</formula>
    </cfRule>
  </conditionalFormatting>
  <conditionalFormatting sqref="BD5:BF6">
    <cfRule type="expression" dxfId="715" priority="108">
      <formula>$BC$5=1</formula>
    </cfRule>
  </conditionalFormatting>
  <conditionalFormatting sqref="BH5:BJ6">
    <cfRule type="expression" dxfId="714" priority="107">
      <formula>$BG$5=1</formula>
    </cfRule>
  </conditionalFormatting>
  <conditionalFormatting sqref="BL5:BN6">
    <cfRule type="expression" dxfId="713" priority="106">
      <formula>$BK$5=1</formula>
    </cfRule>
  </conditionalFormatting>
  <conditionalFormatting sqref="BP5:BR6">
    <cfRule type="expression" dxfId="712" priority="105">
      <formula>$BO$5=1</formula>
    </cfRule>
  </conditionalFormatting>
  <conditionalFormatting sqref="BT5:BV6">
    <cfRule type="expression" dxfId="711" priority="104">
      <formula>$BS$5=1</formula>
    </cfRule>
  </conditionalFormatting>
  <conditionalFormatting sqref="AV5:AX6">
    <cfRule type="expression" dxfId="710" priority="103">
      <formula>$AU$5=1</formula>
    </cfRule>
  </conditionalFormatting>
  <conditionalFormatting sqref="C7:H82">
    <cfRule type="expression" dxfId="709" priority="1">
      <formula>$B7="v"</formula>
    </cfRule>
  </conditionalFormatting>
  <conditionalFormatting sqref="I7:I82">
    <cfRule type="expression" dxfId="708" priority="101">
      <formula>$B7="v"</formula>
    </cfRule>
  </conditionalFormatting>
  <conditionalFormatting sqref="N7:N82">
    <cfRule type="expression" dxfId="707" priority="100">
      <formula>$B7="v"</formula>
    </cfRule>
  </conditionalFormatting>
  <conditionalFormatting sqref="M7:M82">
    <cfRule type="expression" dxfId="706" priority="99">
      <formula>$B7="v"</formula>
    </cfRule>
  </conditionalFormatting>
  <conditionalFormatting sqref="L7:L82">
    <cfRule type="expression" dxfId="705" priority="98">
      <formula>$B7="v"</formula>
    </cfRule>
  </conditionalFormatting>
  <conditionalFormatting sqref="P7:Q82">
    <cfRule type="expression" dxfId="704" priority="97">
      <formula>$B7="v"</formula>
    </cfRule>
  </conditionalFormatting>
  <conditionalFormatting sqref="R7:R82">
    <cfRule type="expression" dxfId="703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702" priority="95">
      <formula>$B7="v"</formula>
    </cfRule>
  </conditionalFormatting>
  <conditionalFormatting sqref="X7:Y82 T7:U82 AJ7:AK82 AF7:AG82 AB7:AC82 AR7:AS82 AN7:AO82 BH7:BI82 BD7:BE82 AZ7:BA82 BT7:BU82 BP7:BQ82 BL7:BM82">
    <cfRule type="expression" dxfId="701" priority="94">
      <formula>$B7="v"</formula>
    </cfRule>
  </conditionalFormatting>
  <conditionalFormatting sqref="AV7:AW82">
    <cfRule type="expression" dxfId="700" priority="93">
      <formula>$B7="v"</formula>
    </cfRule>
  </conditionalFormatting>
  <conditionalFormatting sqref="X7:Z82">
    <cfRule type="expression" dxfId="699" priority="92">
      <formula>$W$5=""</formula>
    </cfRule>
  </conditionalFormatting>
  <conditionalFormatting sqref="T7:V82">
    <cfRule type="expression" dxfId="698" priority="91">
      <formula>$S$5=""</formula>
    </cfRule>
  </conditionalFormatting>
  <conditionalFormatting sqref="P7:R82">
    <cfRule type="expression" dxfId="697" priority="90">
      <formula>$O$5=""</formula>
    </cfRule>
  </conditionalFormatting>
  <conditionalFormatting sqref="L7:N82">
    <cfRule type="expression" dxfId="696" priority="89">
      <formula>$K$5=""</formula>
    </cfRule>
  </conditionalFormatting>
  <conditionalFormatting sqref="AB7:AD82">
    <cfRule type="expression" dxfId="695" priority="88">
      <formula>$AA$5=""</formula>
    </cfRule>
  </conditionalFormatting>
  <conditionalFormatting sqref="AF7:AH82">
    <cfRule type="expression" dxfId="694" priority="87">
      <formula>$AE$5=""</formula>
    </cfRule>
  </conditionalFormatting>
  <conditionalFormatting sqref="AJ7:AL82">
    <cfRule type="expression" dxfId="693" priority="86">
      <formula>$AI$5=""</formula>
    </cfRule>
  </conditionalFormatting>
  <conditionalFormatting sqref="AN7:AP82">
    <cfRule type="expression" dxfId="692" priority="85">
      <formula>$AM$5=""</formula>
    </cfRule>
  </conditionalFormatting>
  <conditionalFormatting sqref="AR7:AT82">
    <cfRule type="expression" dxfId="691" priority="84">
      <formula>$AQ$5=""</formula>
    </cfRule>
  </conditionalFormatting>
  <conditionalFormatting sqref="AV7:AX82">
    <cfRule type="expression" dxfId="690" priority="83">
      <formula>$AU$5=""</formula>
    </cfRule>
  </conditionalFormatting>
  <conditionalFormatting sqref="AZ7:BB82">
    <cfRule type="expression" dxfId="689" priority="82">
      <formula>$AY$5=""</formula>
    </cfRule>
  </conditionalFormatting>
  <conditionalFormatting sqref="BD7:BF82">
    <cfRule type="expression" dxfId="688" priority="81">
      <formula>$BC$5=""</formula>
    </cfRule>
  </conditionalFormatting>
  <conditionalFormatting sqref="BH7:BJ82">
    <cfRule type="expression" dxfId="687" priority="80">
      <formula>$BG$5=""</formula>
    </cfRule>
  </conditionalFormatting>
  <conditionalFormatting sqref="BL7:BN82">
    <cfRule type="expression" dxfId="686" priority="79">
      <formula>$BK$5=""</formula>
    </cfRule>
  </conditionalFormatting>
  <conditionalFormatting sqref="BP7:BR82">
    <cfRule type="expression" dxfId="685" priority="78">
      <formula>$BO$5=""</formula>
    </cfRule>
  </conditionalFormatting>
  <conditionalFormatting sqref="BT7:BV82">
    <cfRule type="expression" dxfId="684" priority="77">
      <formula>$BS$5=""</formula>
    </cfRule>
  </conditionalFormatting>
  <conditionalFormatting sqref="F25">
    <cfRule type="expression" dxfId="683" priority="76">
      <formula>$E$25="n/a"</formula>
    </cfRule>
  </conditionalFormatting>
  <conditionalFormatting sqref="F7">
    <cfRule type="expression" dxfId="682" priority="75">
      <formula>$E$7="n/a"</formula>
    </cfRule>
  </conditionalFormatting>
  <conditionalFormatting sqref="F8">
    <cfRule type="expression" dxfId="681" priority="102">
      <formula>$E$8="n/a"</formula>
    </cfRule>
  </conditionalFormatting>
  <conditionalFormatting sqref="F9">
    <cfRule type="expression" dxfId="680" priority="74">
      <formula>$E$9="n/a"</formula>
    </cfRule>
  </conditionalFormatting>
  <conditionalFormatting sqref="F10">
    <cfRule type="expression" dxfId="679" priority="73">
      <formula>$E$10="n/a"</formula>
    </cfRule>
  </conditionalFormatting>
  <conditionalFormatting sqref="F11">
    <cfRule type="expression" dxfId="678" priority="72">
      <formula>$E$11="n/a"</formula>
    </cfRule>
  </conditionalFormatting>
  <conditionalFormatting sqref="F12">
    <cfRule type="expression" dxfId="677" priority="71">
      <formula>$E$12="n/a"</formula>
    </cfRule>
  </conditionalFormatting>
  <conditionalFormatting sqref="F13">
    <cfRule type="expression" dxfId="676" priority="70">
      <formula>$E$13="n/a"</formula>
    </cfRule>
  </conditionalFormatting>
  <conditionalFormatting sqref="F14">
    <cfRule type="expression" dxfId="675" priority="69">
      <formula>$E$14="n/a"</formula>
    </cfRule>
  </conditionalFormatting>
  <conditionalFormatting sqref="F15">
    <cfRule type="expression" dxfId="674" priority="68">
      <formula>$E$15="n/a"</formula>
    </cfRule>
  </conditionalFormatting>
  <conditionalFormatting sqref="F16">
    <cfRule type="expression" dxfId="673" priority="67">
      <formula>$E$16="n/a"</formula>
    </cfRule>
  </conditionalFormatting>
  <conditionalFormatting sqref="F17">
    <cfRule type="expression" dxfId="672" priority="66">
      <formula>$E$17="n/a"</formula>
    </cfRule>
  </conditionalFormatting>
  <conditionalFormatting sqref="F18">
    <cfRule type="expression" dxfId="671" priority="65">
      <formula>$E$18="n/a"</formula>
    </cfRule>
  </conditionalFormatting>
  <conditionalFormatting sqref="F19">
    <cfRule type="expression" dxfId="670" priority="64">
      <formula>$E$19="n/a"</formula>
    </cfRule>
  </conditionalFormatting>
  <conditionalFormatting sqref="F20">
    <cfRule type="expression" dxfId="669" priority="63">
      <formula>$E$20="n/a"</formula>
    </cfRule>
  </conditionalFormatting>
  <conditionalFormatting sqref="F21">
    <cfRule type="expression" dxfId="668" priority="62">
      <formula>$E$21="n/a"</formula>
    </cfRule>
  </conditionalFormatting>
  <conditionalFormatting sqref="F22">
    <cfRule type="expression" dxfId="667" priority="61">
      <formula>$E$22="n/a"</formula>
    </cfRule>
  </conditionalFormatting>
  <conditionalFormatting sqref="F23">
    <cfRule type="expression" dxfId="666" priority="60">
      <formula>$E$23="n/a"</formula>
    </cfRule>
  </conditionalFormatting>
  <conditionalFormatting sqref="F24">
    <cfRule type="expression" dxfId="665" priority="59">
      <formula>$E$24="n/a"</formula>
    </cfRule>
  </conditionalFormatting>
  <conditionalFormatting sqref="F26">
    <cfRule type="expression" dxfId="664" priority="58">
      <formula>$E$26="n/a"</formula>
    </cfRule>
  </conditionalFormatting>
  <conditionalFormatting sqref="F27">
    <cfRule type="expression" dxfId="663" priority="57">
      <formula>$E$27="n/a"</formula>
    </cfRule>
  </conditionalFormatting>
  <conditionalFormatting sqref="F28">
    <cfRule type="expression" dxfId="662" priority="56">
      <formula>$E$28="n/a"</formula>
    </cfRule>
  </conditionalFormatting>
  <conditionalFormatting sqref="F29">
    <cfRule type="expression" dxfId="661" priority="55">
      <formula>$E$29="n/a"</formula>
    </cfRule>
  </conditionalFormatting>
  <conditionalFormatting sqref="F30">
    <cfRule type="expression" dxfId="660" priority="54">
      <formula>$E$30="n/a"</formula>
    </cfRule>
  </conditionalFormatting>
  <conditionalFormatting sqref="F31">
    <cfRule type="expression" dxfId="659" priority="53">
      <formula>$E$31="n/a"</formula>
    </cfRule>
  </conditionalFormatting>
  <conditionalFormatting sqref="F32">
    <cfRule type="expression" dxfId="658" priority="52">
      <formula>$E$32="n/a"</formula>
    </cfRule>
  </conditionalFormatting>
  <conditionalFormatting sqref="F33">
    <cfRule type="expression" dxfId="657" priority="51">
      <formula>$E$33="n/a"</formula>
    </cfRule>
  </conditionalFormatting>
  <conditionalFormatting sqref="F34">
    <cfRule type="expression" dxfId="656" priority="50">
      <formula>$E$34="n/a"</formula>
    </cfRule>
  </conditionalFormatting>
  <conditionalFormatting sqref="F35">
    <cfRule type="expression" dxfId="655" priority="49">
      <formula>$E$35="n/a"</formula>
    </cfRule>
  </conditionalFormatting>
  <conditionalFormatting sqref="F36">
    <cfRule type="expression" dxfId="654" priority="48">
      <formula>$E$36="n/a"</formula>
    </cfRule>
  </conditionalFormatting>
  <conditionalFormatting sqref="F37">
    <cfRule type="expression" dxfId="653" priority="47">
      <formula>$E$37="n/a"</formula>
    </cfRule>
  </conditionalFormatting>
  <conditionalFormatting sqref="F38">
    <cfRule type="expression" dxfId="652" priority="46">
      <formula>$E$38="n/a"</formula>
    </cfRule>
  </conditionalFormatting>
  <conditionalFormatting sqref="F39">
    <cfRule type="expression" dxfId="651" priority="45">
      <formula>$E$39="n/a"</formula>
    </cfRule>
  </conditionalFormatting>
  <conditionalFormatting sqref="F40">
    <cfRule type="expression" dxfId="650" priority="44">
      <formula>$E$40="n/a"</formula>
    </cfRule>
  </conditionalFormatting>
  <conditionalFormatting sqref="F41">
    <cfRule type="expression" dxfId="649" priority="43">
      <formula>$E$41="n/a"</formula>
    </cfRule>
  </conditionalFormatting>
  <conditionalFormatting sqref="F42">
    <cfRule type="expression" dxfId="648" priority="42">
      <formula>$E$42="n/a"</formula>
    </cfRule>
  </conditionalFormatting>
  <conditionalFormatting sqref="F43">
    <cfRule type="expression" dxfId="647" priority="41">
      <formula>$E$43="n/a"</formula>
    </cfRule>
  </conditionalFormatting>
  <conditionalFormatting sqref="F44">
    <cfRule type="expression" dxfId="646" priority="40">
      <formula>$E$44="n/a"</formula>
    </cfRule>
  </conditionalFormatting>
  <conditionalFormatting sqref="F45">
    <cfRule type="expression" dxfId="645" priority="39">
      <formula>$E$45="n/a"</formula>
    </cfRule>
  </conditionalFormatting>
  <conditionalFormatting sqref="F46">
    <cfRule type="expression" dxfId="644" priority="38">
      <formula>$E$46="n/a"</formula>
    </cfRule>
  </conditionalFormatting>
  <conditionalFormatting sqref="F82">
    <cfRule type="expression" dxfId="643" priority="36">
      <formula>$E$82="n/a"</formula>
    </cfRule>
  </conditionalFormatting>
  <conditionalFormatting sqref="F81">
    <cfRule type="expression" dxfId="642" priority="35">
      <formula>$E$81="n/a"</formula>
    </cfRule>
  </conditionalFormatting>
  <conditionalFormatting sqref="F80">
    <cfRule type="expression" dxfId="641" priority="34">
      <formula>$E$80="n/a"</formula>
    </cfRule>
  </conditionalFormatting>
  <conditionalFormatting sqref="F79">
    <cfRule type="expression" dxfId="640" priority="33">
      <formula>$E$79="n/a"</formula>
    </cfRule>
  </conditionalFormatting>
  <conditionalFormatting sqref="F78">
    <cfRule type="expression" dxfId="639" priority="32">
      <formula>$E$78="n/a"</formula>
    </cfRule>
  </conditionalFormatting>
  <conditionalFormatting sqref="F77">
    <cfRule type="expression" dxfId="638" priority="31">
      <formula>$E$77="n/a"</formula>
    </cfRule>
  </conditionalFormatting>
  <conditionalFormatting sqref="F76">
    <cfRule type="expression" dxfId="637" priority="30">
      <formula>$E$76="n/a"</formula>
    </cfRule>
  </conditionalFormatting>
  <conditionalFormatting sqref="F75">
    <cfRule type="expression" dxfId="636" priority="29">
      <formula>$E$75="n/a"</formula>
    </cfRule>
  </conditionalFormatting>
  <conditionalFormatting sqref="F74">
    <cfRule type="expression" dxfId="635" priority="28">
      <formula>$E$74="n/a"</formula>
    </cfRule>
  </conditionalFormatting>
  <conditionalFormatting sqref="F73">
    <cfRule type="expression" dxfId="634" priority="26">
      <formula>$E$73="n/a"</formula>
    </cfRule>
  </conditionalFormatting>
  <conditionalFormatting sqref="F72">
    <cfRule type="expression" dxfId="633" priority="2">
      <formula>$E$72="n/a"</formula>
    </cfRule>
  </conditionalFormatting>
  <conditionalFormatting sqref="F47">
    <cfRule type="expression" dxfId="632" priority="37">
      <formula>$E$47="n/a"</formula>
    </cfRule>
  </conditionalFormatting>
  <conditionalFormatting sqref="F48">
    <cfRule type="expression" dxfId="631" priority="27">
      <formula>$E$48="n/a"</formula>
    </cfRule>
  </conditionalFormatting>
  <conditionalFormatting sqref="F49">
    <cfRule type="expression" dxfId="630" priority="25">
      <formula>$E$49="n/a"</formula>
    </cfRule>
  </conditionalFormatting>
  <conditionalFormatting sqref="F50">
    <cfRule type="expression" dxfId="629" priority="24">
      <formula>$E$50="n/a"</formula>
    </cfRule>
  </conditionalFormatting>
  <conditionalFormatting sqref="F51">
    <cfRule type="expression" dxfId="628" priority="23">
      <formula>$E$51="n/a"</formula>
    </cfRule>
  </conditionalFormatting>
  <conditionalFormatting sqref="F52">
    <cfRule type="expression" dxfId="627" priority="22">
      <formula>$E$52="n/a"</formula>
    </cfRule>
  </conditionalFormatting>
  <conditionalFormatting sqref="F53">
    <cfRule type="expression" dxfId="626" priority="21">
      <formula>$E$53="n/a"</formula>
    </cfRule>
  </conditionalFormatting>
  <conditionalFormatting sqref="F54">
    <cfRule type="expression" dxfId="625" priority="20">
      <formula>$E$54="n/a"</formula>
    </cfRule>
  </conditionalFormatting>
  <conditionalFormatting sqref="F55">
    <cfRule type="expression" dxfId="624" priority="19">
      <formula>$E$55="n/a"</formula>
    </cfRule>
  </conditionalFormatting>
  <conditionalFormatting sqref="F56">
    <cfRule type="expression" dxfId="623" priority="18">
      <formula>$E$56="n/a"</formula>
    </cfRule>
  </conditionalFormatting>
  <conditionalFormatting sqref="F57">
    <cfRule type="expression" dxfId="622" priority="17">
      <formula>$E$57="n/a"</formula>
    </cfRule>
  </conditionalFormatting>
  <conditionalFormatting sqref="F58">
    <cfRule type="expression" dxfId="621" priority="16">
      <formula>$E$58="n/a"</formula>
    </cfRule>
  </conditionalFormatting>
  <conditionalFormatting sqref="F59">
    <cfRule type="expression" dxfId="620" priority="15">
      <formula>$E$59="n/a"</formula>
    </cfRule>
  </conditionalFormatting>
  <conditionalFormatting sqref="F60">
    <cfRule type="expression" dxfId="619" priority="14">
      <formula>$E$60="n/a"</formula>
    </cfRule>
  </conditionalFormatting>
  <conditionalFormatting sqref="F61">
    <cfRule type="expression" dxfId="618" priority="13">
      <formula>$E$61="n/a"</formula>
    </cfRule>
  </conditionalFormatting>
  <conditionalFormatting sqref="F62">
    <cfRule type="expression" dxfId="617" priority="12">
      <formula>$E$62="n/a"</formula>
    </cfRule>
  </conditionalFormatting>
  <conditionalFormatting sqref="F63">
    <cfRule type="expression" dxfId="616" priority="11">
      <formula>$E$63="n/a"</formula>
    </cfRule>
  </conditionalFormatting>
  <conditionalFormatting sqref="F64">
    <cfRule type="expression" dxfId="615" priority="10">
      <formula>$E$64="n/a"</formula>
    </cfRule>
  </conditionalFormatting>
  <conditionalFormatting sqref="F65">
    <cfRule type="expression" dxfId="614" priority="9">
      <formula>$E$65="n/a"</formula>
    </cfRule>
  </conditionalFormatting>
  <conditionalFormatting sqref="F66">
    <cfRule type="expression" dxfId="613" priority="8">
      <formula>$E$66="n/a"</formula>
    </cfRule>
  </conditionalFormatting>
  <conditionalFormatting sqref="F67">
    <cfRule type="expression" dxfId="612" priority="7">
      <formula>$E$67="n/a"</formula>
    </cfRule>
  </conditionalFormatting>
  <conditionalFormatting sqref="F68">
    <cfRule type="expression" dxfId="611" priority="6">
      <formula>$E$68="n/a"</formula>
    </cfRule>
  </conditionalFormatting>
  <conditionalFormatting sqref="F69">
    <cfRule type="expression" dxfId="610" priority="5">
      <formula>$E$69="n/a"</formula>
    </cfRule>
  </conditionalFormatting>
  <conditionalFormatting sqref="F70">
    <cfRule type="expression" dxfId="609" priority="4">
      <formula>$E$70="n/a"</formula>
    </cfRule>
  </conditionalFormatting>
  <conditionalFormatting sqref="F71">
    <cfRule type="expression" dxfId="608" priority="3">
      <formula>$E$71="n/a"</formula>
    </cfRule>
  </conditionalFormatting>
  <dataValidations count="3">
    <dataValidation type="list" allowBlank="1" showInputMessage="1" showErrorMessage="1" sqref="F2" xr:uid="{E67AF2DD-86B5-4F69-9E5A-59682CED97D6}">
      <formula1>"1, 2, 3, 4, 5, 6, 7, 8, 9, 10, 11, 12, 13, 14, 15, 16, 17"</formula1>
    </dataValidation>
    <dataValidation type="list" allowBlank="1" showInputMessage="1" showErrorMessage="1" sqref="B7:B82" xr:uid="{6781256F-E3BB-492F-A5E9-2FEEF44B47C6}">
      <formula1>"v"</formula1>
    </dataValidation>
    <dataValidation type="list" allowBlank="1" showInputMessage="1" showErrorMessage="1" sqref="BP7:BP82 AV7:AV82 BL7:BL82 BT7:BT82 BH7:BH82 BD7:BD82 AZ7:AZ82" xr:uid="{AFA182F1-D669-4EBA-A581-5095DDA195E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72F3B75-E4EE-4132-A943-A5CFDC04E66E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BC134DE-25B5-4EC5-827D-FFA122BB59CC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D21C-EC06-48CF-8B77-08F757C55591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236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607" priority="141">
      <formula>$K$5=1</formula>
    </cfRule>
  </conditionalFormatting>
  <conditionalFormatting sqref="L7:N82">
    <cfRule type="expression" dxfId="606" priority="142">
      <formula>$K$5=1</formula>
    </cfRule>
  </conditionalFormatting>
  <conditionalFormatting sqref="P5:R6">
    <cfRule type="expression" dxfId="605" priority="143">
      <formula>$O$5=1</formula>
    </cfRule>
  </conditionalFormatting>
  <conditionalFormatting sqref="P7:R82">
    <cfRule type="expression" dxfId="604" priority="144">
      <formula>$O$5=1</formula>
    </cfRule>
  </conditionalFormatting>
  <conditionalFormatting sqref="T5:V6">
    <cfRule type="expression" dxfId="603" priority="145">
      <formula>$S$5=1</formula>
    </cfRule>
  </conditionalFormatting>
  <conditionalFormatting sqref="T7:V82">
    <cfRule type="expression" dxfId="602" priority="146">
      <formula>$S$5=1</formula>
    </cfRule>
  </conditionalFormatting>
  <conditionalFormatting sqref="X5:Z6">
    <cfRule type="expression" dxfId="601" priority="147">
      <formula>$W$5=1</formula>
    </cfRule>
  </conditionalFormatting>
  <conditionalFormatting sqref="X7:Z82">
    <cfRule type="expression" dxfId="600" priority="148">
      <formula>$W$5=1</formula>
    </cfRule>
  </conditionalFormatting>
  <conditionalFormatting sqref="AB5:AD6">
    <cfRule type="expression" dxfId="599" priority="149">
      <formula>$AA$5=1</formula>
    </cfRule>
  </conditionalFormatting>
  <conditionalFormatting sqref="AB7:AD82">
    <cfRule type="expression" dxfId="598" priority="150">
      <formula>$AA$5=1</formula>
    </cfRule>
  </conditionalFormatting>
  <conditionalFormatting sqref="J2:J3">
    <cfRule type="expression" dxfId="597" priority="151">
      <formula>$F$1=1</formula>
    </cfRule>
    <cfRule type="expression" priority="152">
      <formula>$F$1</formula>
    </cfRule>
  </conditionalFormatting>
  <conditionalFormatting sqref="J4">
    <cfRule type="expression" dxfId="596" priority="153">
      <formula>$F$1=1</formula>
    </cfRule>
  </conditionalFormatting>
  <conditionalFormatting sqref="M4:N4">
    <cfRule type="expression" dxfId="595" priority="140">
      <formula>$K$5=1</formula>
    </cfRule>
  </conditionalFormatting>
  <conditionalFormatting sqref="Q4:R4">
    <cfRule type="expression" dxfId="594" priority="139">
      <formula>$O$5=1</formula>
    </cfRule>
  </conditionalFormatting>
  <conditionalFormatting sqref="U4:V4">
    <cfRule type="expression" dxfId="593" priority="138">
      <formula>$S$5=1</formula>
    </cfRule>
  </conditionalFormatting>
  <conditionalFormatting sqref="Y4:Z4">
    <cfRule type="expression" dxfId="592" priority="137">
      <formula>$W$5=1</formula>
    </cfRule>
  </conditionalFormatting>
  <conditionalFormatting sqref="AC4:AD4">
    <cfRule type="expression" dxfId="591" priority="136">
      <formula>$AA$5=1</formula>
    </cfRule>
  </conditionalFormatting>
  <conditionalFormatting sqref="AF5:AH6">
    <cfRule type="expression" dxfId="590" priority="134">
      <formula>$AE$5=1</formula>
    </cfRule>
  </conditionalFormatting>
  <conditionalFormatting sqref="AF7:AH82">
    <cfRule type="expression" dxfId="589" priority="135">
      <formula>$AE$5=1</formula>
    </cfRule>
  </conditionalFormatting>
  <conditionalFormatting sqref="AG4:AH4">
    <cfRule type="expression" dxfId="588" priority="133">
      <formula>$AE$5=1</formula>
    </cfRule>
  </conditionalFormatting>
  <conditionalFormatting sqref="AJ7:AL82">
    <cfRule type="expression" dxfId="587" priority="132">
      <formula>$AI$5=1</formula>
    </cfRule>
  </conditionalFormatting>
  <conditionalFormatting sqref="AK4:AL4">
    <cfRule type="expression" dxfId="586" priority="131">
      <formula>$AI$5=1</formula>
    </cfRule>
  </conditionalFormatting>
  <conditionalFormatting sqref="AN7:AP82">
    <cfRule type="expression" dxfId="585" priority="130">
      <formula>$AM$5=1</formula>
    </cfRule>
  </conditionalFormatting>
  <conditionalFormatting sqref="AO4:AP4">
    <cfRule type="expression" dxfId="584" priority="129">
      <formula>AM$5=1</formula>
    </cfRule>
  </conditionalFormatting>
  <conditionalFormatting sqref="AR7:AT82">
    <cfRule type="expression" dxfId="583" priority="128">
      <formula>$AQ$5=1</formula>
    </cfRule>
  </conditionalFormatting>
  <conditionalFormatting sqref="AV7:AX82">
    <cfRule type="expression" dxfId="582" priority="127">
      <formula>$AU$5=1</formula>
    </cfRule>
  </conditionalFormatting>
  <conditionalFormatting sqref="AZ7:BB82">
    <cfRule type="expression" dxfId="581" priority="126">
      <formula>$AY$5=1</formula>
    </cfRule>
  </conditionalFormatting>
  <conditionalFormatting sqref="BD7:BF82">
    <cfRule type="expression" dxfId="580" priority="125">
      <formula>$BC$5=1</formula>
    </cfRule>
  </conditionalFormatting>
  <conditionalFormatting sqref="BH7:BJ82">
    <cfRule type="expression" dxfId="579" priority="124">
      <formula>$BG$5=1</formula>
    </cfRule>
  </conditionalFormatting>
  <conditionalFormatting sqref="BL7:BN82">
    <cfRule type="expression" dxfId="578" priority="123">
      <formula>$BK$5=1</formula>
    </cfRule>
  </conditionalFormatting>
  <conditionalFormatting sqref="BP7:BR82">
    <cfRule type="expression" dxfId="577" priority="122">
      <formula>$BO$5=1</formula>
    </cfRule>
  </conditionalFormatting>
  <conditionalFormatting sqref="BT7:BV82">
    <cfRule type="expression" dxfId="576" priority="121">
      <formula>$BS$5=1</formula>
    </cfRule>
  </conditionalFormatting>
  <conditionalFormatting sqref="AS4:AT4">
    <cfRule type="expression" dxfId="575" priority="120">
      <formula>AQ$5=1</formula>
    </cfRule>
  </conditionalFormatting>
  <conditionalFormatting sqref="AW4:AX4">
    <cfRule type="expression" dxfId="574" priority="119">
      <formula>AU$5=1</formula>
    </cfRule>
  </conditionalFormatting>
  <conditionalFormatting sqref="BA4:BB4">
    <cfRule type="expression" dxfId="573" priority="118">
      <formula>AY$5=1</formula>
    </cfRule>
  </conditionalFormatting>
  <conditionalFormatting sqref="BE4:BF4">
    <cfRule type="expression" dxfId="572" priority="117">
      <formula>BC$5=1</formula>
    </cfRule>
  </conditionalFormatting>
  <conditionalFormatting sqref="BI4:BJ4">
    <cfRule type="expression" dxfId="571" priority="116">
      <formula>BG$5=1</formula>
    </cfRule>
  </conditionalFormatting>
  <conditionalFormatting sqref="BM4:BN4">
    <cfRule type="expression" dxfId="570" priority="115">
      <formula>BK$5=1</formula>
    </cfRule>
  </conditionalFormatting>
  <conditionalFormatting sqref="BQ4:BR4">
    <cfRule type="expression" dxfId="569" priority="114">
      <formula>BO$5=1</formula>
    </cfRule>
  </conditionalFormatting>
  <conditionalFormatting sqref="BU4:BV4">
    <cfRule type="expression" dxfId="568" priority="113">
      <formula>BS$5=1</formula>
    </cfRule>
  </conditionalFormatting>
  <conditionalFormatting sqref="AJ5:AL6">
    <cfRule type="expression" dxfId="567" priority="112">
      <formula>$AI$5=1</formula>
    </cfRule>
  </conditionalFormatting>
  <conditionalFormatting sqref="AN5:AP6">
    <cfRule type="expression" dxfId="566" priority="111">
      <formula>$AM$5=1</formula>
    </cfRule>
  </conditionalFormatting>
  <conditionalFormatting sqref="AR5:AT6">
    <cfRule type="expression" dxfId="565" priority="110">
      <formula>$AQ$5=1</formula>
    </cfRule>
  </conditionalFormatting>
  <conditionalFormatting sqref="AZ5:BB6">
    <cfRule type="expression" dxfId="564" priority="109">
      <formula>$AY$5=1</formula>
    </cfRule>
  </conditionalFormatting>
  <conditionalFormatting sqref="BD5:BF6">
    <cfRule type="expression" dxfId="563" priority="108">
      <formula>$BC$5=1</formula>
    </cfRule>
  </conditionalFormatting>
  <conditionalFormatting sqref="BH5:BJ6">
    <cfRule type="expression" dxfId="562" priority="107">
      <formula>$BG$5=1</formula>
    </cfRule>
  </conditionalFormatting>
  <conditionalFormatting sqref="BL5:BN6">
    <cfRule type="expression" dxfId="561" priority="106">
      <formula>$BK$5=1</formula>
    </cfRule>
  </conditionalFormatting>
  <conditionalFormatting sqref="BP5:BR6">
    <cfRule type="expression" dxfId="560" priority="105">
      <formula>$BO$5=1</formula>
    </cfRule>
  </conditionalFormatting>
  <conditionalFormatting sqref="BT5:BV6">
    <cfRule type="expression" dxfId="559" priority="104">
      <formula>$BS$5=1</formula>
    </cfRule>
  </conditionalFormatting>
  <conditionalFormatting sqref="AV5:AX6">
    <cfRule type="expression" dxfId="558" priority="103">
      <formula>$AU$5=1</formula>
    </cfRule>
  </conditionalFormatting>
  <conditionalFormatting sqref="C7:H82">
    <cfRule type="expression" dxfId="557" priority="1">
      <formula>$B7="v"</formula>
    </cfRule>
  </conditionalFormatting>
  <conditionalFormatting sqref="I7:I82">
    <cfRule type="expression" dxfId="556" priority="101">
      <formula>$B7="v"</formula>
    </cfRule>
  </conditionalFormatting>
  <conditionalFormatting sqref="N7:N82">
    <cfRule type="expression" dxfId="555" priority="100">
      <formula>$B7="v"</formula>
    </cfRule>
  </conditionalFormatting>
  <conditionalFormatting sqref="M7:M82">
    <cfRule type="expression" dxfId="554" priority="99">
      <formula>$B7="v"</formula>
    </cfRule>
  </conditionalFormatting>
  <conditionalFormatting sqref="L7:L82">
    <cfRule type="expression" dxfId="553" priority="98">
      <formula>$B7="v"</formula>
    </cfRule>
  </conditionalFormatting>
  <conditionalFormatting sqref="P7:Q82">
    <cfRule type="expression" dxfId="552" priority="97">
      <formula>$B7="v"</formula>
    </cfRule>
  </conditionalFormatting>
  <conditionalFormatting sqref="R7:R82">
    <cfRule type="expression" dxfId="551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550" priority="95">
      <formula>$B7="v"</formula>
    </cfRule>
  </conditionalFormatting>
  <conditionalFormatting sqref="X7:Y82 T7:U82 AJ7:AK82 AF7:AG82 AB7:AC82 AR7:AS82 AN7:AO82 BH7:BI82 BD7:BE82 AZ7:BA82 BT7:BU82 BP7:BQ82 BL7:BM82">
    <cfRule type="expression" dxfId="549" priority="94">
      <formula>$B7="v"</formula>
    </cfRule>
  </conditionalFormatting>
  <conditionalFormatting sqref="AV7:AW82">
    <cfRule type="expression" dxfId="548" priority="93">
      <formula>$B7="v"</formula>
    </cfRule>
  </conditionalFormatting>
  <conditionalFormatting sqref="X7:Z82">
    <cfRule type="expression" dxfId="547" priority="92">
      <formula>$W$5=""</formula>
    </cfRule>
  </conditionalFormatting>
  <conditionalFormatting sqref="T7:V82">
    <cfRule type="expression" dxfId="546" priority="91">
      <formula>$S$5=""</formula>
    </cfRule>
  </conditionalFormatting>
  <conditionalFormatting sqref="P7:R82">
    <cfRule type="expression" dxfId="545" priority="90">
      <formula>$O$5=""</formula>
    </cfRule>
  </conditionalFormatting>
  <conditionalFormatting sqref="L7:N82">
    <cfRule type="expression" dxfId="544" priority="89">
      <formula>$K$5=""</formula>
    </cfRule>
  </conditionalFormatting>
  <conditionalFormatting sqref="AB7:AD82">
    <cfRule type="expression" dxfId="543" priority="88">
      <formula>$AA$5=""</formula>
    </cfRule>
  </conditionalFormatting>
  <conditionalFormatting sqref="AF7:AH82">
    <cfRule type="expression" dxfId="542" priority="87">
      <formula>$AE$5=""</formula>
    </cfRule>
  </conditionalFormatting>
  <conditionalFormatting sqref="AJ7:AL82">
    <cfRule type="expression" dxfId="541" priority="86">
      <formula>$AI$5=""</formula>
    </cfRule>
  </conditionalFormatting>
  <conditionalFormatting sqref="AN7:AP82">
    <cfRule type="expression" dxfId="540" priority="85">
      <formula>$AM$5=""</formula>
    </cfRule>
  </conditionalFormatting>
  <conditionalFormatting sqref="AR7:AT82">
    <cfRule type="expression" dxfId="539" priority="84">
      <formula>$AQ$5=""</formula>
    </cfRule>
  </conditionalFormatting>
  <conditionalFormatting sqref="AV7:AX82">
    <cfRule type="expression" dxfId="538" priority="83">
      <formula>$AU$5=""</formula>
    </cfRule>
  </conditionalFormatting>
  <conditionalFormatting sqref="AZ7:BB82">
    <cfRule type="expression" dxfId="537" priority="82">
      <formula>$AY$5=""</formula>
    </cfRule>
  </conditionalFormatting>
  <conditionalFormatting sqref="BD7:BF82">
    <cfRule type="expression" dxfId="536" priority="81">
      <formula>$BC$5=""</formula>
    </cfRule>
  </conditionalFormatting>
  <conditionalFormatting sqref="BH7:BJ82">
    <cfRule type="expression" dxfId="535" priority="80">
      <formula>$BG$5=""</formula>
    </cfRule>
  </conditionalFormatting>
  <conditionalFormatting sqref="BL7:BN82">
    <cfRule type="expression" dxfId="534" priority="79">
      <formula>$BK$5=""</formula>
    </cfRule>
  </conditionalFormatting>
  <conditionalFormatting sqref="BP7:BR82">
    <cfRule type="expression" dxfId="533" priority="78">
      <formula>$BO$5=""</formula>
    </cfRule>
  </conditionalFormatting>
  <conditionalFormatting sqref="BT7:BV82">
    <cfRule type="expression" dxfId="532" priority="77">
      <formula>$BS$5=""</formula>
    </cfRule>
  </conditionalFormatting>
  <conditionalFormatting sqref="F25">
    <cfRule type="expression" dxfId="531" priority="76">
      <formula>$E$25="n/a"</formula>
    </cfRule>
  </conditionalFormatting>
  <conditionalFormatting sqref="F7">
    <cfRule type="expression" dxfId="530" priority="75">
      <formula>$E$7="n/a"</formula>
    </cfRule>
  </conditionalFormatting>
  <conditionalFormatting sqref="F8">
    <cfRule type="expression" dxfId="529" priority="102">
      <formula>$E$8="n/a"</formula>
    </cfRule>
  </conditionalFormatting>
  <conditionalFormatting sqref="F9">
    <cfRule type="expression" dxfId="528" priority="74">
      <formula>$E$9="n/a"</formula>
    </cfRule>
  </conditionalFormatting>
  <conditionalFormatting sqref="F10">
    <cfRule type="expression" dxfId="527" priority="73">
      <formula>$E$10="n/a"</formula>
    </cfRule>
  </conditionalFormatting>
  <conditionalFormatting sqref="F11">
    <cfRule type="expression" dxfId="526" priority="72">
      <formula>$E$11="n/a"</formula>
    </cfRule>
  </conditionalFormatting>
  <conditionalFormatting sqref="F12">
    <cfRule type="expression" dxfId="525" priority="71">
      <formula>$E$12="n/a"</formula>
    </cfRule>
  </conditionalFormatting>
  <conditionalFormatting sqref="F13">
    <cfRule type="expression" dxfId="524" priority="70">
      <formula>$E$13="n/a"</formula>
    </cfRule>
  </conditionalFormatting>
  <conditionalFormatting sqref="F14">
    <cfRule type="expression" dxfId="523" priority="69">
      <formula>$E$14="n/a"</formula>
    </cfRule>
  </conditionalFormatting>
  <conditionalFormatting sqref="F15">
    <cfRule type="expression" dxfId="522" priority="68">
      <formula>$E$15="n/a"</formula>
    </cfRule>
  </conditionalFormatting>
  <conditionalFormatting sqref="F16">
    <cfRule type="expression" dxfId="521" priority="67">
      <formula>$E$16="n/a"</formula>
    </cfRule>
  </conditionalFormatting>
  <conditionalFormatting sqref="F17">
    <cfRule type="expression" dxfId="520" priority="66">
      <formula>$E$17="n/a"</formula>
    </cfRule>
  </conditionalFormatting>
  <conditionalFormatting sqref="F18">
    <cfRule type="expression" dxfId="519" priority="65">
      <formula>$E$18="n/a"</formula>
    </cfRule>
  </conditionalFormatting>
  <conditionalFormatting sqref="F19">
    <cfRule type="expression" dxfId="518" priority="64">
      <formula>$E$19="n/a"</formula>
    </cfRule>
  </conditionalFormatting>
  <conditionalFormatting sqref="F20">
    <cfRule type="expression" dxfId="517" priority="63">
      <formula>$E$20="n/a"</formula>
    </cfRule>
  </conditionalFormatting>
  <conditionalFormatting sqref="F21">
    <cfRule type="expression" dxfId="516" priority="62">
      <formula>$E$21="n/a"</formula>
    </cfRule>
  </conditionalFormatting>
  <conditionalFormatting sqref="F22">
    <cfRule type="expression" dxfId="515" priority="61">
      <formula>$E$22="n/a"</formula>
    </cfRule>
  </conditionalFormatting>
  <conditionalFormatting sqref="F23">
    <cfRule type="expression" dxfId="514" priority="60">
      <formula>$E$23="n/a"</formula>
    </cfRule>
  </conditionalFormatting>
  <conditionalFormatting sqref="F24">
    <cfRule type="expression" dxfId="513" priority="59">
      <formula>$E$24="n/a"</formula>
    </cfRule>
  </conditionalFormatting>
  <conditionalFormatting sqref="F26">
    <cfRule type="expression" dxfId="512" priority="58">
      <formula>$E$26="n/a"</formula>
    </cfRule>
  </conditionalFormatting>
  <conditionalFormatting sqref="F27">
    <cfRule type="expression" dxfId="511" priority="57">
      <formula>$E$27="n/a"</formula>
    </cfRule>
  </conditionalFormatting>
  <conditionalFormatting sqref="F28">
    <cfRule type="expression" dxfId="510" priority="56">
      <formula>$E$28="n/a"</formula>
    </cfRule>
  </conditionalFormatting>
  <conditionalFormatting sqref="F29">
    <cfRule type="expression" dxfId="509" priority="55">
      <formula>$E$29="n/a"</formula>
    </cfRule>
  </conditionalFormatting>
  <conditionalFormatting sqref="F30">
    <cfRule type="expression" dxfId="508" priority="54">
      <formula>$E$30="n/a"</formula>
    </cfRule>
  </conditionalFormatting>
  <conditionalFormatting sqref="F31">
    <cfRule type="expression" dxfId="507" priority="53">
      <formula>$E$31="n/a"</formula>
    </cfRule>
  </conditionalFormatting>
  <conditionalFormatting sqref="F32">
    <cfRule type="expression" dxfId="506" priority="52">
      <formula>$E$32="n/a"</formula>
    </cfRule>
  </conditionalFormatting>
  <conditionalFormatting sqref="F33">
    <cfRule type="expression" dxfId="505" priority="51">
      <formula>$E$33="n/a"</formula>
    </cfRule>
  </conditionalFormatting>
  <conditionalFormatting sqref="F34">
    <cfRule type="expression" dxfId="504" priority="50">
      <formula>$E$34="n/a"</formula>
    </cfRule>
  </conditionalFormatting>
  <conditionalFormatting sqref="F35">
    <cfRule type="expression" dxfId="503" priority="49">
      <formula>$E$35="n/a"</formula>
    </cfRule>
  </conditionalFormatting>
  <conditionalFormatting sqref="F36">
    <cfRule type="expression" dxfId="502" priority="48">
      <formula>$E$36="n/a"</formula>
    </cfRule>
  </conditionalFormatting>
  <conditionalFormatting sqref="F37">
    <cfRule type="expression" dxfId="501" priority="47">
      <formula>$E$37="n/a"</formula>
    </cfRule>
  </conditionalFormatting>
  <conditionalFormatting sqref="F38">
    <cfRule type="expression" dxfId="500" priority="46">
      <formula>$E$38="n/a"</formula>
    </cfRule>
  </conditionalFormatting>
  <conditionalFormatting sqref="F39">
    <cfRule type="expression" dxfId="499" priority="45">
      <formula>$E$39="n/a"</formula>
    </cfRule>
  </conditionalFormatting>
  <conditionalFormatting sqref="F40">
    <cfRule type="expression" dxfId="498" priority="44">
      <formula>$E$40="n/a"</formula>
    </cfRule>
  </conditionalFormatting>
  <conditionalFormatting sqref="F41">
    <cfRule type="expression" dxfId="497" priority="43">
      <formula>$E$41="n/a"</formula>
    </cfRule>
  </conditionalFormatting>
  <conditionalFormatting sqref="F42">
    <cfRule type="expression" dxfId="496" priority="42">
      <formula>$E$42="n/a"</formula>
    </cfRule>
  </conditionalFormatting>
  <conditionalFormatting sqref="F43">
    <cfRule type="expression" dxfId="495" priority="41">
      <formula>$E$43="n/a"</formula>
    </cfRule>
  </conditionalFormatting>
  <conditionalFormatting sqref="F44">
    <cfRule type="expression" dxfId="494" priority="40">
      <formula>$E$44="n/a"</formula>
    </cfRule>
  </conditionalFormatting>
  <conditionalFormatting sqref="F45">
    <cfRule type="expression" dxfId="493" priority="39">
      <formula>$E$45="n/a"</formula>
    </cfRule>
  </conditionalFormatting>
  <conditionalFormatting sqref="F46">
    <cfRule type="expression" dxfId="492" priority="38">
      <formula>$E$46="n/a"</formula>
    </cfRule>
  </conditionalFormatting>
  <conditionalFormatting sqref="F82">
    <cfRule type="expression" dxfId="491" priority="36">
      <formula>$E$82="n/a"</formula>
    </cfRule>
  </conditionalFormatting>
  <conditionalFormatting sqref="F81">
    <cfRule type="expression" dxfId="490" priority="35">
      <formula>$E$81="n/a"</formula>
    </cfRule>
  </conditionalFormatting>
  <conditionalFormatting sqref="F80">
    <cfRule type="expression" dxfId="489" priority="34">
      <formula>$E$80="n/a"</formula>
    </cfRule>
  </conditionalFormatting>
  <conditionalFormatting sqref="F79">
    <cfRule type="expression" dxfId="488" priority="33">
      <formula>$E$79="n/a"</formula>
    </cfRule>
  </conditionalFormatting>
  <conditionalFormatting sqref="F78">
    <cfRule type="expression" dxfId="487" priority="32">
      <formula>$E$78="n/a"</formula>
    </cfRule>
  </conditionalFormatting>
  <conditionalFormatting sqref="F77">
    <cfRule type="expression" dxfId="486" priority="31">
      <formula>$E$77="n/a"</formula>
    </cfRule>
  </conditionalFormatting>
  <conditionalFormatting sqref="F76">
    <cfRule type="expression" dxfId="485" priority="30">
      <formula>$E$76="n/a"</formula>
    </cfRule>
  </conditionalFormatting>
  <conditionalFormatting sqref="F75">
    <cfRule type="expression" dxfId="484" priority="29">
      <formula>$E$75="n/a"</formula>
    </cfRule>
  </conditionalFormatting>
  <conditionalFormatting sqref="F74">
    <cfRule type="expression" dxfId="483" priority="28">
      <formula>$E$74="n/a"</formula>
    </cfRule>
  </conditionalFormatting>
  <conditionalFormatting sqref="F73">
    <cfRule type="expression" dxfId="482" priority="26">
      <formula>$E$73="n/a"</formula>
    </cfRule>
  </conditionalFormatting>
  <conditionalFormatting sqref="F72">
    <cfRule type="expression" dxfId="481" priority="2">
      <formula>$E$72="n/a"</formula>
    </cfRule>
  </conditionalFormatting>
  <conditionalFormatting sqref="F47">
    <cfRule type="expression" dxfId="480" priority="37">
      <formula>$E$47="n/a"</formula>
    </cfRule>
  </conditionalFormatting>
  <conditionalFormatting sqref="F48">
    <cfRule type="expression" dxfId="479" priority="27">
      <formula>$E$48="n/a"</formula>
    </cfRule>
  </conditionalFormatting>
  <conditionalFormatting sqref="F49">
    <cfRule type="expression" dxfId="478" priority="25">
      <formula>$E$49="n/a"</formula>
    </cfRule>
  </conditionalFormatting>
  <conditionalFormatting sqref="F50">
    <cfRule type="expression" dxfId="477" priority="24">
      <formula>$E$50="n/a"</formula>
    </cfRule>
  </conditionalFormatting>
  <conditionalFormatting sqref="F51">
    <cfRule type="expression" dxfId="476" priority="23">
      <formula>$E$51="n/a"</formula>
    </cfRule>
  </conditionalFormatting>
  <conditionalFormatting sqref="F52">
    <cfRule type="expression" dxfId="475" priority="22">
      <formula>$E$52="n/a"</formula>
    </cfRule>
  </conditionalFormatting>
  <conditionalFormatting sqref="F53">
    <cfRule type="expression" dxfId="474" priority="21">
      <formula>$E$53="n/a"</formula>
    </cfRule>
  </conditionalFormatting>
  <conditionalFormatting sqref="F54">
    <cfRule type="expression" dxfId="473" priority="20">
      <formula>$E$54="n/a"</formula>
    </cfRule>
  </conditionalFormatting>
  <conditionalFormatting sqref="F55">
    <cfRule type="expression" dxfId="472" priority="19">
      <formula>$E$55="n/a"</formula>
    </cfRule>
  </conditionalFormatting>
  <conditionalFormatting sqref="F56">
    <cfRule type="expression" dxfId="471" priority="18">
      <formula>$E$56="n/a"</formula>
    </cfRule>
  </conditionalFormatting>
  <conditionalFormatting sqref="F57">
    <cfRule type="expression" dxfId="470" priority="17">
      <formula>$E$57="n/a"</formula>
    </cfRule>
  </conditionalFormatting>
  <conditionalFormatting sqref="F58">
    <cfRule type="expression" dxfId="469" priority="16">
      <formula>$E$58="n/a"</formula>
    </cfRule>
  </conditionalFormatting>
  <conditionalFormatting sqref="F59">
    <cfRule type="expression" dxfId="468" priority="15">
      <formula>$E$59="n/a"</formula>
    </cfRule>
  </conditionalFormatting>
  <conditionalFormatting sqref="F60">
    <cfRule type="expression" dxfId="467" priority="14">
      <formula>$E$60="n/a"</formula>
    </cfRule>
  </conditionalFormatting>
  <conditionalFormatting sqref="F61">
    <cfRule type="expression" dxfId="466" priority="13">
      <formula>$E$61="n/a"</formula>
    </cfRule>
  </conditionalFormatting>
  <conditionalFormatting sqref="F62">
    <cfRule type="expression" dxfId="465" priority="12">
      <formula>$E$62="n/a"</formula>
    </cfRule>
  </conditionalFormatting>
  <conditionalFormatting sqref="F63">
    <cfRule type="expression" dxfId="464" priority="11">
      <formula>$E$63="n/a"</formula>
    </cfRule>
  </conditionalFormatting>
  <conditionalFormatting sqref="F64">
    <cfRule type="expression" dxfId="463" priority="10">
      <formula>$E$64="n/a"</formula>
    </cfRule>
  </conditionalFormatting>
  <conditionalFormatting sqref="F65">
    <cfRule type="expression" dxfId="462" priority="9">
      <formula>$E$65="n/a"</formula>
    </cfRule>
  </conditionalFormatting>
  <conditionalFormatting sqref="F66">
    <cfRule type="expression" dxfId="461" priority="8">
      <formula>$E$66="n/a"</formula>
    </cfRule>
  </conditionalFormatting>
  <conditionalFormatting sqref="F67">
    <cfRule type="expression" dxfId="460" priority="7">
      <formula>$E$67="n/a"</formula>
    </cfRule>
  </conditionalFormatting>
  <conditionalFormatting sqref="F68">
    <cfRule type="expression" dxfId="459" priority="6">
      <formula>$E$68="n/a"</formula>
    </cfRule>
  </conditionalFormatting>
  <conditionalFormatting sqref="F69">
    <cfRule type="expression" dxfId="458" priority="5">
      <formula>$E$69="n/a"</formula>
    </cfRule>
  </conditionalFormatting>
  <conditionalFormatting sqref="F70">
    <cfRule type="expression" dxfId="457" priority="4">
      <formula>$E$70="n/a"</formula>
    </cfRule>
  </conditionalFormatting>
  <conditionalFormatting sqref="F71">
    <cfRule type="expression" dxfId="456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DABB3CA5-11D5-41E8-A18E-2F1EA06269AF}">
      <formula1>"&lt;, &lt;=, &gt;, &gt;=, ="</formula1>
    </dataValidation>
    <dataValidation type="list" allowBlank="1" showInputMessage="1" showErrorMessage="1" sqref="B7:B82" xr:uid="{005FE1B4-4A2F-4456-B4C5-4A10B55ED58E}">
      <formula1>"v"</formula1>
    </dataValidation>
    <dataValidation type="list" allowBlank="1" showInputMessage="1" showErrorMessage="1" sqref="F2" xr:uid="{4D7E77EF-83FC-486B-A04D-5FA2AAA6A1E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439E4A-931B-4035-9EBF-A97BDA06E18F}">
          <x14:formula1>
            <xm:f>Sheet3!$A$2:$A$49</xm:f>
          </x14:formula1>
          <xm:sqref>F3</xm:sqref>
        </x14:dataValidation>
        <x14:dataValidation type="list" allowBlank="1" showInputMessage="1" xr:uid="{DD58DAC4-154C-49FF-A161-F0587E820033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01E23-46EA-42F0-87A3-9FC2569A39E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237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455" priority="141">
      <formula>$K$5=1</formula>
    </cfRule>
  </conditionalFormatting>
  <conditionalFormatting sqref="L7:N82">
    <cfRule type="expression" dxfId="454" priority="142">
      <formula>$K$5=1</formula>
    </cfRule>
  </conditionalFormatting>
  <conditionalFormatting sqref="P5:R6">
    <cfRule type="expression" dxfId="453" priority="143">
      <formula>$O$5=1</formula>
    </cfRule>
  </conditionalFormatting>
  <conditionalFormatting sqref="P7:R82">
    <cfRule type="expression" dxfId="452" priority="144">
      <formula>$O$5=1</formula>
    </cfRule>
  </conditionalFormatting>
  <conditionalFormatting sqref="T5:V6">
    <cfRule type="expression" dxfId="451" priority="145">
      <formula>$S$5=1</formula>
    </cfRule>
  </conditionalFormatting>
  <conditionalFormatting sqref="T7:V82">
    <cfRule type="expression" dxfId="450" priority="146">
      <formula>$S$5=1</formula>
    </cfRule>
  </conditionalFormatting>
  <conditionalFormatting sqref="X5:Z6">
    <cfRule type="expression" dxfId="449" priority="147">
      <formula>$W$5=1</formula>
    </cfRule>
  </conditionalFormatting>
  <conditionalFormatting sqref="X7:Z82">
    <cfRule type="expression" dxfId="448" priority="148">
      <formula>$W$5=1</formula>
    </cfRule>
  </conditionalFormatting>
  <conditionalFormatting sqref="AB5:AD6">
    <cfRule type="expression" dxfId="447" priority="149">
      <formula>$AA$5=1</formula>
    </cfRule>
  </conditionalFormatting>
  <conditionalFormatting sqref="AB7:AD82">
    <cfRule type="expression" dxfId="446" priority="150">
      <formula>$AA$5=1</formula>
    </cfRule>
  </conditionalFormatting>
  <conditionalFormatting sqref="J2:J3">
    <cfRule type="expression" dxfId="445" priority="151">
      <formula>$F$1=1</formula>
    </cfRule>
    <cfRule type="expression" priority="152">
      <formula>$F$1</formula>
    </cfRule>
  </conditionalFormatting>
  <conditionalFormatting sqref="J4">
    <cfRule type="expression" dxfId="444" priority="153">
      <formula>$F$1=1</formula>
    </cfRule>
  </conditionalFormatting>
  <conditionalFormatting sqref="M4:N4">
    <cfRule type="expression" dxfId="443" priority="140">
      <formula>$K$5=1</formula>
    </cfRule>
  </conditionalFormatting>
  <conditionalFormatting sqref="Q4:R4">
    <cfRule type="expression" dxfId="442" priority="139">
      <formula>$O$5=1</formula>
    </cfRule>
  </conditionalFormatting>
  <conditionalFormatting sqref="U4:V4">
    <cfRule type="expression" dxfId="441" priority="138">
      <formula>$S$5=1</formula>
    </cfRule>
  </conditionalFormatting>
  <conditionalFormatting sqref="Y4:Z4">
    <cfRule type="expression" dxfId="440" priority="137">
      <formula>$W$5=1</formula>
    </cfRule>
  </conditionalFormatting>
  <conditionalFormatting sqref="AC4:AD4">
    <cfRule type="expression" dxfId="439" priority="136">
      <formula>$AA$5=1</formula>
    </cfRule>
  </conditionalFormatting>
  <conditionalFormatting sqref="AF5:AH6">
    <cfRule type="expression" dxfId="438" priority="134">
      <formula>$AE$5=1</formula>
    </cfRule>
  </conditionalFormatting>
  <conditionalFormatting sqref="AF7:AH82">
    <cfRule type="expression" dxfId="437" priority="135">
      <formula>$AE$5=1</formula>
    </cfRule>
  </conditionalFormatting>
  <conditionalFormatting sqref="AG4:AH4">
    <cfRule type="expression" dxfId="436" priority="133">
      <formula>$AE$5=1</formula>
    </cfRule>
  </conditionalFormatting>
  <conditionalFormatting sqref="AJ7:AL82">
    <cfRule type="expression" dxfId="435" priority="132">
      <formula>$AI$5=1</formula>
    </cfRule>
  </conditionalFormatting>
  <conditionalFormatting sqref="AK4:AL4">
    <cfRule type="expression" dxfId="434" priority="131">
      <formula>$AI$5=1</formula>
    </cfRule>
  </conditionalFormatting>
  <conditionalFormatting sqref="AN7:AP82">
    <cfRule type="expression" dxfId="433" priority="130">
      <formula>$AM$5=1</formula>
    </cfRule>
  </conditionalFormatting>
  <conditionalFormatting sqref="AO4:AP4">
    <cfRule type="expression" dxfId="432" priority="129">
      <formula>AM$5=1</formula>
    </cfRule>
  </conditionalFormatting>
  <conditionalFormatting sqref="AR7:AT82">
    <cfRule type="expression" dxfId="431" priority="128">
      <formula>$AQ$5=1</formula>
    </cfRule>
  </conditionalFormatting>
  <conditionalFormatting sqref="AV7:AX82">
    <cfRule type="expression" dxfId="430" priority="127">
      <formula>$AU$5=1</formula>
    </cfRule>
  </conditionalFormatting>
  <conditionalFormatting sqref="AZ7:BB82">
    <cfRule type="expression" dxfId="429" priority="126">
      <formula>$AY$5=1</formula>
    </cfRule>
  </conditionalFormatting>
  <conditionalFormatting sqref="BD7:BF82">
    <cfRule type="expression" dxfId="428" priority="125">
      <formula>$BC$5=1</formula>
    </cfRule>
  </conditionalFormatting>
  <conditionalFormatting sqref="BH7:BJ82">
    <cfRule type="expression" dxfId="427" priority="124">
      <formula>$BG$5=1</formula>
    </cfRule>
  </conditionalFormatting>
  <conditionalFormatting sqref="BL7:BN82">
    <cfRule type="expression" dxfId="426" priority="123">
      <formula>$BK$5=1</formula>
    </cfRule>
  </conditionalFormatting>
  <conditionalFormatting sqref="BP7:BR82">
    <cfRule type="expression" dxfId="425" priority="122">
      <formula>$BO$5=1</formula>
    </cfRule>
  </conditionalFormatting>
  <conditionalFormatting sqref="BT7:BV82">
    <cfRule type="expression" dxfId="424" priority="121">
      <formula>$BS$5=1</formula>
    </cfRule>
  </conditionalFormatting>
  <conditionalFormatting sqref="AS4:AT4">
    <cfRule type="expression" dxfId="423" priority="120">
      <formula>AQ$5=1</formula>
    </cfRule>
  </conditionalFormatting>
  <conditionalFormatting sqref="AW4:AX4">
    <cfRule type="expression" dxfId="422" priority="119">
      <formula>AU$5=1</formula>
    </cfRule>
  </conditionalFormatting>
  <conditionalFormatting sqref="BA4:BB4">
    <cfRule type="expression" dxfId="421" priority="118">
      <formula>AY$5=1</formula>
    </cfRule>
  </conditionalFormatting>
  <conditionalFormatting sqref="BE4:BF4">
    <cfRule type="expression" dxfId="420" priority="117">
      <formula>BC$5=1</formula>
    </cfRule>
  </conditionalFormatting>
  <conditionalFormatting sqref="BI4:BJ4">
    <cfRule type="expression" dxfId="419" priority="116">
      <formula>BG$5=1</formula>
    </cfRule>
  </conditionalFormatting>
  <conditionalFormatting sqref="BM4:BN4">
    <cfRule type="expression" dxfId="418" priority="115">
      <formula>BK$5=1</formula>
    </cfRule>
  </conditionalFormatting>
  <conditionalFormatting sqref="BQ4:BR4">
    <cfRule type="expression" dxfId="417" priority="114">
      <formula>BO$5=1</formula>
    </cfRule>
  </conditionalFormatting>
  <conditionalFormatting sqref="BU4:BV4">
    <cfRule type="expression" dxfId="416" priority="113">
      <formula>BS$5=1</formula>
    </cfRule>
  </conditionalFormatting>
  <conditionalFormatting sqref="AJ5:AL6">
    <cfRule type="expression" dxfId="415" priority="112">
      <formula>$AI$5=1</formula>
    </cfRule>
  </conditionalFormatting>
  <conditionalFormatting sqref="AN5:AP6">
    <cfRule type="expression" dxfId="414" priority="111">
      <formula>$AM$5=1</formula>
    </cfRule>
  </conditionalFormatting>
  <conditionalFormatting sqref="AR5:AT6">
    <cfRule type="expression" dxfId="413" priority="110">
      <formula>$AQ$5=1</formula>
    </cfRule>
  </conditionalFormatting>
  <conditionalFormatting sqref="AZ5:BB6">
    <cfRule type="expression" dxfId="412" priority="109">
      <formula>$AY$5=1</formula>
    </cfRule>
  </conditionalFormatting>
  <conditionalFormatting sqref="BD5:BF6">
    <cfRule type="expression" dxfId="411" priority="108">
      <formula>$BC$5=1</formula>
    </cfRule>
  </conditionalFormatting>
  <conditionalFormatting sqref="BH5:BJ6">
    <cfRule type="expression" dxfId="410" priority="107">
      <formula>$BG$5=1</formula>
    </cfRule>
  </conditionalFormatting>
  <conditionalFormatting sqref="BL5:BN6">
    <cfRule type="expression" dxfId="409" priority="106">
      <formula>$BK$5=1</formula>
    </cfRule>
  </conditionalFormatting>
  <conditionalFormatting sqref="BP5:BR6">
    <cfRule type="expression" dxfId="408" priority="105">
      <formula>$BO$5=1</formula>
    </cfRule>
  </conditionalFormatting>
  <conditionalFormatting sqref="BT5:BV6">
    <cfRule type="expression" dxfId="407" priority="104">
      <formula>$BS$5=1</formula>
    </cfRule>
  </conditionalFormatting>
  <conditionalFormatting sqref="AV5:AX6">
    <cfRule type="expression" dxfId="406" priority="103">
      <formula>$AU$5=1</formula>
    </cfRule>
  </conditionalFormatting>
  <conditionalFormatting sqref="C7:H82">
    <cfRule type="expression" dxfId="405" priority="1">
      <formula>$B7="v"</formula>
    </cfRule>
  </conditionalFormatting>
  <conditionalFormatting sqref="I7:I82">
    <cfRule type="expression" dxfId="404" priority="101">
      <formula>$B7="v"</formula>
    </cfRule>
  </conditionalFormatting>
  <conditionalFormatting sqref="N7:N82">
    <cfRule type="expression" dxfId="403" priority="100">
      <formula>$B7="v"</formula>
    </cfRule>
  </conditionalFormatting>
  <conditionalFormatting sqref="M7:M82">
    <cfRule type="expression" dxfId="402" priority="99">
      <formula>$B7="v"</formula>
    </cfRule>
  </conditionalFormatting>
  <conditionalFormatting sqref="L7:L82">
    <cfRule type="expression" dxfId="401" priority="98">
      <formula>$B7="v"</formula>
    </cfRule>
  </conditionalFormatting>
  <conditionalFormatting sqref="P7:Q82">
    <cfRule type="expression" dxfId="400" priority="97">
      <formula>$B7="v"</formula>
    </cfRule>
  </conditionalFormatting>
  <conditionalFormatting sqref="R7:R82">
    <cfRule type="expression" dxfId="399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398" priority="95">
      <formula>$B7="v"</formula>
    </cfRule>
  </conditionalFormatting>
  <conditionalFormatting sqref="X7:Y82 T7:U82 AJ7:AK82 AF7:AG82 AB7:AC82 AR7:AS82 AN7:AO82 BH7:BI82 BD7:BE82 AZ7:BA82 BT7:BU82 BP7:BQ82 BL7:BM82">
    <cfRule type="expression" dxfId="397" priority="94">
      <formula>$B7="v"</formula>
    </cfRule>
  </conditionalFormatting>
  <conditionalFormatting sqref="AV7:AW82">
    <cfRule type="expression" dxfId="396" priority="93">
      <formula>$B7="v"</formula>
    </cfRule>
  </conditionalFormatting>
  <conditionalFormatting sqref="X7:Z82">
    <cfRule type="expression" dxfId="395" priority="92">
      <formula>$W$5=""</formula>
    </cfRule>
  </conditionalFormatting>
  <conditionalFormatting sqref="T7:V82">
    <cfRule type="expression" dxfId="394" priority="91">
      <formula>$S$5=""</formula>
    </cfRule>
  </conditionalFormatting>
  <conditionalFormatting sqref="P7:R82">
    <cfRule type="expression" dxfId="393" priority="90">
      <formula>$O$5=""</formula>
    </cfRule>
  </conditionalFormatting>
  <conditionalFormatting sqref="L7:N82">
    <cfRule type="expression" dxfId="392" priority="89">
      <formula>$K$5=""</formula>
    </cfRule>
  </conditionalFormatting>
  <conditionalFormatting sqref="AB7:AD82">
    <cfRule type="expression" dxfId="391" priority="88">
      <formula>$AA$5=""</formula>
    </cfRule>
  </conditionalFormatting>
  <conditionalFormatting sqref="AF7:AH82">
    <cfRule type="expression" dxfId="390" priority="87">
      <formula>$AE$5=""</formula>
    </cfRule>
  </conditionalFormatting>
  <conditionalFormatting sqref="AJ7:AL82">
    <cfRule type="expression" dxfId="389" priority="86">
      <formula>$AI$5=""</formula>
    </cfRule>
  </conditionalFormatting>
  <conditionalFormatting sqref="AN7:AP82">
    <cfRule type="expression" dxfId="388" priority="85">
      <formula>$AM$5=""</formula>
    </cfRule>
  </conditionalFormatting>
  <conditionalFormatting sqref="AR7:AT82">
    <cfRule type="expression" dxfId="387" priority="84">
      <formula>$AQ$5=""</formula>
    </cfRule>
  </conditionalFormatting>
  <conditionalFormatting sqref="AV7:AX82">
    <cfRule type="expression" dxfId="386" priority="83">
      <formula>$AU$5=""</formula>
    </cfRule>
  </conditionalFormatting>
  <conditionalFormatting sqref="AZ7:BB82">
    <cfRule type="expression" dxfId="385" priority="82">
      <formula>$AY$5=""</formula>
    </cfRule>
  </conditionalFormatting>
  <conditionalFormatting sqref="BD7:BF82">
    <cfRule type="expression" dxfId="384" priority="81">
      <formula>$BC$5=""</formula>
    </cfRule>
  </conditionalFormatting>
  <conditionalFormatting sqref="BH7:BJ82">
    <cfRule type="expression" dxfId="383" priority="80">
      <formula>$BG$5=""</formula>
    </cfRule>
  </conditionalFormatting>
  <conditionalFormatting sqref="BL7:BN82">
    <cfRule type="expression" dxfId="382" priority="79">
      <formula>$BK$5=""</formula>
    </cfRule>
  </conditionalFormatting>
  <conditionalFormatting sqref="BP7:BR82">
    <cfRule type="expression" dxfId="381" priority="78">
      <formula>$BO$5=""</formula>
    </cfRule>
  </conditionalFormatting>
  <conditionalFormatting sqref="BT7:BV82">
    <cfRule type="expression" dxfId="380" priority="77">
      <formula>$BS$5=""</formula>
    </cfRule>
  </conditionalFormatting>
  <conditionalFormatting sqref="F25">
    <cfRule type="expression" dxfId="379" priority="76">
      <formula>$E$25="n/a"</formula>
    </cfRule>
  </conditionalFormatting>
  <conditionalFormatting sqref="F7">
    <cfRule type="expression" dxfId="378" priority="75">
      <formula>$E$7="n/a"</formula>
    </cfRule>
  </conditionalFormatting>
  <conditionalFormatting sqref="F8">
    <cfRule type="expression" dxfId="377" priority="102">
      <formula>$E$8="n/a"</formula>
    </cfRule>
  </conditionalFormatting>
  <conditionalFormatting sqref="F9">
    <cfRule type="expression" dxfId="376" priority="74">
      <formula>$E$9="n/a"</formula>
    </cfRule>
  </conditionalFormatting>
  <conditionalFormatting sqref="F10">
    <cfRule type="expression" dxfId="375" priority="73">
      <formula>$E$10="n/a"</formula>
    </cfRule>
  </conditionalFormatting>
  <conditionalFormatting sqref="F11">
    <cfRule type="expression" dxfId="374" priority="72">
      <formula>$E$11="n/a"</formula>
    </cfRule>
  </conditionalFormatting>
  <conditionalFormatting sqref="F12">
    <cfRule type="expression" dxfId="373" priority="71">
      <formula>$E$12="n/a"</formula>
    </cfRule>
  </conditionalFormatting>
  <conditionalFormatting sqref="F13">
    <cfRule type="expression" dxfId="372" priority="70">
      <formula>$E$13="n/a"</formula>
    </cfRule>
  </conditionalFormatting>
  <conditionalFormatting sqref="F14">
    <cfRule type="expression" dxfId="371" priority="69">
      <formula>$E$14="n/a"</formula>
    </cfRule>
  </conditionalFormatting>
  <conditionalFormatting sqref="F15">
    <cfRule type="expression" dxfId="370" priority="68">
      <formula>$E$15="n/a"</formula>
    </cfRule>
  </conditionalFormatting>
  <conditionalFormatting sqref="F16">
    <cfRule type="expression" dxfId="369" priority="67">
      <formula>$E$16="n/a"</formula>
    </cfRule>
  </conditionalFormatting>
  <conditionalFormatting sqref="F17">
    <cfRule type="expression" dxfId="368" priority="66">
      <formula>$E$17="n/a"</formula>
    </cfRule>
  </conditionalFormatting>
  <conditionalFormatting sqref="F18">
    <cfRule type="expression" dxfId="367" priority="65">
      <formula>$E$18="n/a"</formula>
    </cfRule>
  </conditionalFormatting>
  <conditionalFormatting sqref="F19">
    <cfRule type="expression" dxfId="366" priority="64">
      <formula>$E$19="n/a"</formula>
    </cfRule>
  </conditionalFormatting>
  <conditionalFormatting sqref="F20">
    <cfRule type="expression" dxfId="365" priority="63">
      <formula>$E$20="n/a"</formula>
    </cfRule>
  </conditionalFormatting>
  <conditionalFormatting sqref="F21">
    <cfRule type="expression" dxfId="364" priority="62">
      <formula>$E$21="n/a"</formula>
    </cfRule>
  </conditionalFormatting>
  <conditionalFormatting sqref="F22">
    <cfRule type="expression" dxfId="363" priority="61">
      <formula>$E$22="n/a"</formula>
    </cfRule>
  </conditionalFormatting>
  <conditionalFormatting sqref="F23">
    <cfRule type="expression" dxfId="362" priority="60">
      <formula>$E$23="n/a"</formula>
    </cfRule>
  </conditionalFormatting>
  <conditionalFormatting sqref="F24">
    <cfRule type="expression" dxfId="361" priority="59">
      <formula>$E$24="n/a"</formula>
    </cfRule>
  </conditionalFormatting>
  <conditionalFormatting sqref="F26">
    <cfRule type="expression" dxfId="360" priority="58">
      <formula>$E$26="n/a"</formula>
    </cfRule>
  </conditionalFormatting>
  <conditionalFormatting sqref="F27">
    <cfRule type="expression" dxfId="359" priority="57">
      <formula>$E$27="n/a"</formula>
    </cfRule>
  </conditionalFormatting>
  <conditionalFormatting sqref="F28">
    <cfRule type="expression" dxfId="358" priority="56">
      <formula>$E$28="n/a"</formula>
    </cfRule>
  </conditionalFormatting>
  <conditionalFormatting sqref="F29">
    <cfRule type="expression" dxfId="357" priority="55">
      <formula>$E$29="n/a"</formula>
    </cfRule>
  </conditionalFormatting>
  <conditionalFormatting sqref="F30">
    <cfRule type="expression" dxfId="356" priority="54">
      <formula>$E$30="n/a"</formula>
    </cfRule>
  </conditionalFormatting>
  <conditionalFormatting sqref="F31">
    <cfRule type="expression" dxfId="355" priority="53">
      <formula>$E$31="n/a"</formula>
    </cfRule>
  </conditionalFormatting>
  <conditionalFormatting sqref="F32">
    <cfRule type="expression" dxfId="354" priority="52">
      <formula>$E$32="n/a"</formula>
    </cfRule>
  </conditionalFormatting>
  <conditionalFormatting sqref="F33">
    <cfRule type="expression" dxfId="353" priority="51">
      <formula>$E$33="n/a"</formula>
    </cfRule>
  </conditionalFormatting>
  <conditionalFormatting sqref="F34">
    <cfRule type="expression" dxfId="352" priority="50">
      <formula>$E$34="n/a"</formula>
    </cfRule>
  </conditionalFormatting>
  <conditionalFormatting sqref="F35">
    <cfRule type="expression" dxfId="351" priority="49">
      <formula>$E$35="n/a"</formula>
    </cfRule>
  </conditionalFormatting>
  <conditionalFormatting sqref="F36">
    <cfRule type="expression" dxfId="350" priority="48">
      <formula>$E$36="n/a"</formula>
    </cfRule>
  </conditionalFormatting>
  <conditionalFormatting sqref="F37">
    <cfRule type="expression" dxfId="349" priority="47">
      <formula>$E$37="n/a"</formula>
    </cfRule>
  </conditionalFormatting>
  <conditionalFormatting sqref="F38">
    <cfRule type="expression" dxfId="348" priority="46">
      <formula>$E$38="n/a"</formula>
    </cfRule>
  </conditionalFormatting>
  <conditionalFormatting sqref="F39">
    <cfRule type="expression" dxfId="347" priority="45">
      <formula>$E$39="n/a"</formula>
    </cfRule>
  </conditionalFormatting>
  <conditionalFormatting sqref="F40">
    <cfRule type="expression" dxfId="346" priority="44">
      <formula>$E$40="n/a"</formula>
    </cfRule>
  </conditionalFormatting>
  <conditionalFormatting sqref="F41">
    <cfRule type="expression" dxfId="345" priority="43">
      <formula>$E$41="n/a"</formula>
    </cfRule>
  </conditionalFormatting>
  <conditionalFormatting sqref="F42">
    <cfRule type="expression" dxfId="344" priority="42">
      <formula>$E$42="n/a"</formula>
    </cfRule>
  </conditionalFormatting>
  <conditionalFormatting sqref="F43">
    <cfRule type="expression" dxfId="343" priority="41">
      <formula>$E$43="n/a"</formula>
    </cfRule>
  </conditionalFormatting>
  <conditionalFormatting sqref="F44">
    <cfRule type="expression" dxfId="342" priority="40">
      <formula>$E$44="n/a"</formula>
    </cfRule>
  </conditionalFormatting>
  <conditionalFormatting sqref="F45">
    <cfRule type="expression" dxfId="341" priority="39">
      <formula>$E$45="n/a"</formula>
    </cfRule>
  </conditionalFormatting>
  <conditionalFormatting sqref="F46">
    <cfRule type="expression" dxfId="340" priority="38">
      <formula>$E$46="n/a"</formula>
    </cfRule>
  </conditionalFormatting>
  <conditionalFormatting sqref="F82">
    <cfRule type="expression" dxfId="339" priority="36">
      <formula>$E$82="n/a"</formula>
    </cfRule>
  </conditionalFormatting>
  <conditionalFormatting sqref="F81">
    <cfRule type="expression" dxfId="338" priority="35">
      <formula>$E$81="n/a"</formula>
    </cfRule>
  </conditionalFormatting>
  <conditionalFormatting sqref="F80">
    <cfRule type="expression" dxfId="337" priority="34">
      <formula>$E$80="n/a"</formula>
    </cfRule>
  </conditionalFormatting>
  <conditionalFormatting sqref="F79">
    <cfRule type="expression" dxfId="336" priority="33">
      <formula>$E$79="n/a"</formula>
    </cfRule>
  </conditionalFormatting>
  <conditionalFormatting sqref="F78">
    <cfRule type="expression" dxfId="335" priority="32">
      <formula>$E$78="n/a"</formula>
    </cfRule>
  </conditionalFormatting>
  <conditionalFormatting sqref="F77">
    <cfRule type="expression" dxfId="334" priority="31">
      <formula>$E$77="n/a"</formula>
    </cfRule>
  </conditionalFormatting>
  <conditionalFormatting sqref="F76">
    <cfRule type="expression" dxfId="333" priority="30">
      <formula>$E$76="n/a"</formula>
    </cfRule>
  </conditionalFormatting>
  <conditionalFormatting sqref="F75">
    <cfRule type="expression" dxfId="332" priority="29">
      <formula>$E$75="n/a"</formula>
    </cfRule>
  </conditionalFormatting>
  <conditionalFormatting sqref="F74">
    <cfRule type="expression" dxfId="331" priority="28">
      <formula>$E$74="n/a"</formula>
    </cfRule>
  </conditionalFormatting>
  <conditionalFormatting sqref="F73">
    <cfRule type="expression" dxfId="330" priority="26">
      <formula>$E$73="n/a"</formula>
    </cfRule>
  </conditionalFormatting>
  <conditionalFormatting sqref="F72">
    <cfRule type="expression" dxfId="329" priority="2">
      <formula>$E$72="n/a"</formula>
    </cfRule>
  </conditionalFormatting>
  <conditionalFormatting sqref="F47">
    <cfRule type="expression" dxfId="328" priority="37">
      <formula>$E$47="n/a"</formula>
    </cfRule>
  </conditionalFormatting>
  <conditionalFormatting sqref="F48">
    <cfRule type="expression" dxfId="327" priority="27">
      <formula>$E$48="n/a"</formula>
    </cfRule>
  </conditionalFormatting>
  <conditionalFormatting sqref="F49">
    <cfRule type="expression" dxfId="326" priority="25">
      <formula>$E$49="n/a"</formula>
    </cfRule>
  </conditionalFormatting>
  <conditionalFormatting sqref="F50">
    <cfRule type="expression" dxfId="325" priority="24">
      <formula>$E$50="n/a"</formula>
    </cfRule>
  </conditionalFormatting>
  <conditionalFormatting sqref="F51">
    <cfRule type="expression" dxfId="324" priority="23">
      <formula>$E$51="n/a"</formula>
    </cfRule>
  </conditionalFormatting>
  <conditionalFormatting sqref="F52">
    <cfRule type="expression" dxfId="323" priority="22">
      <formula>$E$52="n/a"</formula>
    </cfRule>
  </conditionalFormatting>
  <conditionalFormatting sqref="F53">
    <cfRule type="expression" dxfId="322" priority="21">
      <formula>$E$53="n/a"</formula>
    </cfRule>
  </conditionalFormatting>
  <conditionalFormatting sqref="F54">
    <cfRule type="expression" dxfId="321" priority="20">
      <formula>$E$54="n/a"</formula>
    </cfRule>
  </conditionalFormatting>
  <conditionalFormatting sqref="F55">
    <cfRule type="expression" dxfId="320" priority="19">
      <formula>$E$55="n/a"</formula>
    </cfRule>
  </conditionalFormatting>
  <conditionalFormatting sqref="F56">
    <cfRule type="expression" dxfId="319" priority="18">
      <formula>$E$56="n/a"</formula>
    </cfRule>
  </conditionalFormatting>
  <conditionalFormatting sqref="F57">
    <cfRule type="expression" dxfId="318" priority="17">
      <formula>$E$57="n/a"</formula>
    </cfRule>
  </conditionalFormatting>
  <conditionalFormatting sqref="F58">
    <cfRule type="expression" dxfId="317" priority="16">
      <formula>$E$58="n/a"</formula>
    </cfRule>
  </conditionalFormatting>
  <conditionalFormatting sqref="F59">
    <cfRule type="expression" dxfId="316" priority="15">
      <formula>$E$59="n/a"</formula>
    </cfRule>
  </conditionalFormatting>
  <conditionalFormatting sqref="F60">
    <cfRule type="expression" dxfId="315" priority="14">
      <formula>$E$60="n/a"</formula>
    </cfRule>
  </conditionalFormatting>
  <conditionalFormatting sqref="F61">
    <cfRule type="expression" dxfId="314" priority="13">
      <formula>$E$61="n/a"</formula>
    </cfRule>
  </conditionalFormatting>
  <conditionalFormatting sqref="F62">
    <cfRule type="expression" dxfId="313" priority="12">
      <formula>$E$62="n/a"</formula>
    </cfRule>
  </conditionalFormatting>
  <conditionalFormatting sqref="F63">
    <cfRule type="expression" dxfId="312" priority="11">
      <formula>$E$63="n/a"</formula>
    </cfRule>
  </conditionalFormatting>
  <conditionalFormatting sqref="F64">
    <cfRule type="expression" dxfId="311" priority="10">
      <formula>$E$64="n/a"</formula>
    </cfRule>
  </conditionalFormatting>
  <conditionalFormatting sqref="F65">
    <cfRule type="expression" dxfId="310" priority="9">
      <formula>$E$65="n/a"</formula>
    </cfRule>
  </conditionalFormatting>
  <conditionalFormatting sqref="F66">
    <cfRule type="expression" dxfId="309" priority="8">
      <formula>$E$66="n/a"</formula>
    </cfRule>
  </conditionalFormatting>
  <conditionalFormatting sqref="F67">
    <cfRule type="expression" dxfId="308" priority="7">
      <formula>$E$67="n/a"</formula>
    </cfRule>
  </conditionalFormatting>
  <conditionalFormatting sqref="F68">
    <cfRule type="expression" dxfId="307" priority="6">
      <formula>$E$68="n/a"</formula>
    </cfRule>
  </conditionalFormatting>
  <conditionalFormatting sqref="F69">
    <cfRule type="expression" dxfId="306" priority="5">
      <formula>$E$69="n/a"</formula>
    </cfRule>
  </conditionalFormatting>
  <conditionalFormatting sqref="F70">
    <cfRule type="expression" dxfId="305" priority="4">
      <formula>$E$70="n/a"</formula>
    </cfRule>
  </conditionalFormatting>
  <conditionalFormatting sqref="F71">
    <cfRule type="expression" dxfId="304" priority="3">
      <formula>$E$71="n/a"</formula>
    </cfRule>
  </conditionalFormatting>
  <dataValidations count="3">
    <dataValidation type="list" allowBlank="1" showInputMessage="1" showErrorMessage="1" sqref="F2" xr:uid="{AE02A31B-B312-47E4-85DE-7E6132C2A5CA}">
      <formula1>"1, 2, 3, 4, 5, 6, 7, 8, 9, 10, 11, 12, 13, 14, 15, 16, 17"</formula1>
    </dataValidation>
    <dataValidation type="list" allowBlank="1" showInputMessage="1" showErrorMessage="1" sqref="B7:B82" xr:uid="{B26B0DDD-171E-49B6-BE78-1156D64ED86D}">
      <formula1>"v"</formula1>
    </dataValidation>
    <dataValidation type="list" allowBlank="1" showInputMessage="1" showErrorMessage="1" sqref="BP7:BP82 AV7:AV82 BL7:BL82 BT7:BT82 BH7:BH82 BD7:BD82 AZ7:AZ82" xr:uid="{B28DCA1D-AEC8-4918-8016-67D0296EB7C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65BBEE5-753B-4DFC-AFA3-B45577F812AA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7DDE41CD-3435-408D-B5F4-8F9F53A98F7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3198F-5F41-45F2-8469-E41CE1F3DBC1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238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303" priority="141">
      <formula>$K$5=1</formula>
    </cfRule>
  </conditionalFormatting>
  <conditionalFormatting sqref="L7:N82">
    <cfRule type="expression" dxfId="302" priority="142">
      <formula>$K$5=1</formula>
    </cfRule>
  </conditionalFormatting>
  <conditionalFormatting sqref="P5:R6">
    <cfRule type="expression" dxfId="301" priority="143">
      <formula>$O$5=1</formula>
    </cfRule>
  </conditionalFormatting>
  <conditionalFormatting sqref="P7:R82">
    <cfRule type="expression" dxfId="300" priority="144">
      <formula>$O$5=1</formula>
    </cfRule>
  </conditionalFormatting>
  <conditionalFormatting sqref="T5:V6">
    <cfRule type="expression" dxfId="299" priority="145">
      <formula>$S$5=1</formula>
    </cfRule>
  </conditionalFormatting>
  <conditionalFormatting sqref="T7:V82">
    <cfRule type="expression" dxfId="298" priority="146">
      <formula>$S$5=1</formula>
    </cfRule>
  </conditionalFormatting>
  <conditionalFormatting sqref="X5:Z6">
    <cfRule type="expression" dxfId="297" priority="147">
      <formula>$W$5=1</formula>
    </cfRule>
  </conditionalFormatting>
  <conditionalFormatting sqref="X7:Z82">
    <cfRule type="expression" dxfId="296" priority="148">
      <formula>$W$5=1</formula>
    </cfRule>
  </conditionalFormatting>
  <conditionalFormatting sqref="AB5:AD6">
    <cfRule type="expression" dxfId="295" priority="149">
      <formula>$AA$5=1</formula>
    </cfRule>
  </conditionalFormatting>
  <conditionalFormatting sqref="AB7:AD82">
    <cfRule type="expression" dxfId="294" priority="150">
      <formula>$AA$5=1</formula>
    </cfRule>
  </conditionalFormatting>
  <conditionalFormatting sqref="J2:J3">
    <cfRule type="expression" dxfId="293" priority="151">
      <formula>$F$1=1</formula>
    </cfRule>
    <cfRule type="expression" priority="152">
      <formula>$F$1</formula>
    </cfRule>
  </conditionalFormatting>
  <conditionalFormatting sqref="J4">
    <cfRule type="expression" dxfId="292" priority="153">
      <formula>$F$1=1</formula>
    </cfRule>
  </conditionalFormatting>
  <conditionalFormatting sqref="M4:N4">
    <cfRule type="expression" dxfId="291" priority="140">
      <formula>$K$5=1</formula>
    </cfRule>
  </conditionalFormatting>
  <conditionalFormatting sqref="Q4:R4">
    <cfRule type="expression" dxfId="290" priority="139">
      <formula>$O$5=1</formula>
    </cfRule>
  </conditionalFormatting>
  <conditionalFormatting sqref="U4:V4">
    <cfRule type="expression" dxfId="289" priority="138">
      <formula>$S$5=1</formula>
    </cfRule>
  </conditionalFormatting>
  <conditionalFormatting sqref="Y4:Z4">
    <cfRule type="expression" dxfId="288" priority="137">
      <formula>$W$5=1</formula>
    </cfRule>
  </conditionalFormatting>
  <conditionalFormatting sqref="AC4:AD4">
    <cfRule type="expression" dxfId="287" priority="136">
      <formula>$AA$5=1</formula>
    </cfRule>
  </conditionalFormatting>
  <conditionalFormatting sqref="AF5:AH6">
    <cfRule type="expression" dxfId="286" priority="134">
      <formula>$AE$5=1</formula>
    </cfRule>
  </conditionalFormatting>
  <conditionalFormatting sqref="AF7:AH82">
    <cfRule type="expression" dxfId="285" priority="135">
      <formula>$AE$5=1</formula>
    </cfRule>
  </conditionalFormatting>
  <conditionalFormatting sqref="AG4:AH4">
    <cfRule type="expression" dxfId="284" priority="133">
      <formula>$AE$5=1</formula>
    </cfRule>
  </conditionalFormatting>
  <conditionalFormatting sqref="AJ7:AL82">
    <cfRule type="expression" dxfId="283" priority="132">
      <formula>$AI$5=1</formula>
    </cfRule>
  </conditionalFormatting>
  <conditionalFormatting sqref="AK4:AL4">
    <cfRule type="expression" dxfId="282" priority="131">
      <formula>$AI$5=1</formula>
    </cfRule>
  </conditionalFormatting>
  <conditionalFormatting sqref="AN7:AP82">
    <cfRule type="expression" dxfId="281" priority="130">
      <formula>$AM$5=1</formula>
    </cfRule>
  </conditionalFormatting>
  <conditionalFormatting sqref="AO4:AP4">
    <cfRule type="expression" dxfId="280" priority="129">
      <formula>AM$5=1</formula>
    </cfRule>
  </conditionalFormatting>
  <conditionalFormatting sqref="AR7:AT82">
    <cfRule type="expression" dxfId="279" priority="128">
      <formula>$AQ$5=1</formula>
    </cfRule>
  </conditionalFormatting>
  <conditionalFormatting sqref="AV7:AX82">
    <cfRule type="expression" dxfId="278" priority="127">
      <formula>$AU$5=1</formula>
    </cfRule>
  </conditionalFormatting>
  <conditionalFormatting sqref="AZ7:BB82">
    <cfRule type="expression" dxfId="277" priority="126">
      <formula>$AY$5=1</formula>
    </cfRule>
  </conditionalFormatting>
  <conditionalFormatting sqref="BD7:BF82">
    <cfRule type="expression" dxfId="276" priority="125">
      <formula>$BC$5=1</formula>
    </cfRule>
  </conditionalFormatting>
  <conditionalFormatting sqref="BH7:BJ82">
    <cfRule type="expression" dxfId="275" priority="124">
      <formula>$BG$5=1</formula>
    </cfRule>
  </conditionalFormatting>
  <conditionalFormatting sqref="BL7:BN82">
    <cfRule type="expression" dxfId="274" priority="123">
      <formula>$BK$5=1</formula>
    </cfRule>
  </conditionalFormatting>
  <conditionalFormatting sqref="BP7:BR82">
    <cfRule type="expression" dxfId="273" priority="122">
      <formula>$BO$5=1</formula>
    </cfRule>
  </conditionalFormatting>
  <conditionalFormatting sqref="BT7:BV82">
    <cfRule type="expression" dxfId="272" priority="121">
      <formula>$BS$5=1</formula>
    </cfRule>
  </conditionalFormatting>
  <conditionalFormatting sqref="AS4:AT4">
    <cfRule type="expression" dxfId="271" priority="120">
      <formula>AQ$5=1</formula>
    </cfRule>
  </conditionalFormatting>
  <conditionalFormatting sqref="AW4:AX4">
    <cfRule type="expression" dxfId="270" priority="119">
      <formula>AU$5=1</formula>
    </cfRule>
  </conditionalFormatting>
  <conditionalFormatting sqref="BA4:BB4">
    <cfRule type="expression" dxfId="269" priority="118">
      <formula>AY$5=1</formula>
    </cfRule>
  </conditionalFormatting>
  <conditionalFormatting sqref="BE4:BF4">
    <cfRule type="expression" dxfId="268" priority="117">
      <formula>BC$5=1</formula>
    </cfRule>
  </conditionalFormatting>
  <conditionalFormatting sqref="BI4:BJ4">
    <cfRule type="expression" dxfId="267" priority="116">
      <formula>BG$5=1</formula>
    </cfRule>
  </conditionalFormatting>
  <conditionalFormatting sqref="BM4:BN4">
    <cfRule type="expression" dxfId="266" priority="115">
      <formula>BK$5=1</formula>
    </cfRule>
  </conditionalFormatting>
  <conditionalFormatting sqref="BQ4:BR4">
    <cfRule type="expression" dxfId="265" priority="114">
      <formula>BO$5=1</formula>
    </cfRule>
  </conditionalFormatting>
  <conditionalFormatting sqref="BU4:BV4">
    <cfRule type="expression" dxfId="264" priority="113">
      <formula>BS$5=1</formula>
    </cfRule>
  </conditionalFormatting>
  <conditionalFormatting sqref="AJ5:AL6">
    <cfRule type="expression" dxfId="263" priority="112">
      <formula>$AI$5=1</formula>
    </cfRule>
  </conditionalFormatting>
  <conditionalFormatting sqref="AN5:AP6">
    <cfRule type="expression" dxfId="262" priority="111">
      <formula>$AM$5=1</formula>
    </cfRule>
  </conditionalFormatting>
  <conditionalFormatting sqref="AR5:AT6">
    <cfRule type="expression" dxfId="261" priority="110">
      <formula>$AQ$5=1</formula>
    </cfRule>
  </conditionalFormatting>
  <conditionalFormatting sqref="AZ5:BB6">
    <cfRule type="expression" dxfId="260" priority="109">
      <formula>$AY$5=1</formula>
    </cfRule>
  </conditionalFormatting>
  <conditionalFormatting sqref="BD5:BF6">
    <cfRule type="expression" dxfId="259" priority="108">
      <formula>$BC$5=1</formula>
    </cfRule>
  </conditionalFormatting>
  <conditionalFormatting sqref="BH5:BJ6">
    <cfRule type="expression" dxfId="258" priority="107">
      <formula>$BG$5=1</formula>
    </cfRule>
  </conditionalFormatting>
  <conditionalFormatting sqref="BL5:BN6">
    <cfRule type="expression" dxfId="257" priority="106">
      <formula>$BK$5=1</formula>
    </cfRule>
  </conditionalFormatting>
  <conditionalFormatting sqref="BP5:BR6">
    <cfRule type="expression" dxfId="256" priority="105">
      <formula>$BO$5=1</formula>
    </cfRule>
  </conditionalFormatting>
  <conditionalFormatting sqref="BT5:BV6">
    <cfRule type="expression" dxfId="255" priority="104">
      <formula>$BS$5=1</formula>
    </cfRule>
  </conditionalFormatting>
  <conditionalFormatting sqref="AV5:AX6">
    <cfRule type="expression" dxfId="254" priority="103">
      <formula>$AU$5=1</formula>
    </cfRule>
  </conditionalFormatting>
  <conditionalFormatting sqref="C7:H82">
    <cfRule type="expression" dxfId="253" priority="1">
      <formula>$B7="v"</formula>
    </cfRule>
  </conditionalFormatting>
  <conditionalFormatting sqref="I7:I82">
    <cfRule type="expression" dxfId="252" priority="101">
      <formula>$B7="v"</formula>
    </cfRule>
  </conditionalFormatting>
  <conditionalFormatting sqref="N7:N82">
    <cfRule type="expression" dxfId="251" priority="100">
      <formula>$B7="v"</formula>
    </cfRule>
  </conditionalFormatting>
  <conditionalFormatting sqref="M7:M82">
    <cfRule type="expression" dxfId="250" priority="99">
      <formula>$B7="v"</formula>
    </cfRule>
  </conditionalFormatting>
  <conditionalFormatting sqref="L7:L82">
    <cfRule type="expression" dxfId="249" priority="98">
      <formula>$B7="v"</formula>
    </cfRule>
  </conditionalFormatting>
  <conditionalFormatting sqref="P7:Q82">
    <cfRule type="expression" dxfId="248" priority="97">
      <formula>$B7="v"</formula>
    </cfRule>
  </conditionalFormatting>
  <conditionalFormatting sqref="R7:R82">
    <cfRule type="expression" dxfId="247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246" priority="95">
      <formula>$B7="v"</formula>
    </cfRule>
  </conditionalFormatting>
  <conditionalFormatting sqref="X7:Y82 T7:U82 AJ7:AK82 AF7:AG82 AB7:AC82 AR7:AS82 AN7:AO82 BH7:BI82 BD7:BE82 AZ7:BA82 BT7:BU82 BP7:BQ82 BL7:BM82">
    <cfRule type="expression" dxfId="245" priority="94">
      <formula>$B7="v"</formula>
    </cfRule>
  </conditionalFormatting>
  <conditionalFormatting sqref="AV7:AW82">
    <cfRule type="expression" dxfId="244" priority="93">
      <formula>$B7="v"</formula>
    </cfRule>
  </conditionalFormatting>
  <conditionalFormatting sqref="X7:Z82">
    <cfRule type="expression" dxfId="243" priority="92">
      <formula>$W$5=""</formula>
    </cfRule>
  </conditionalFormatting>
  <conditionalFormatting sqref="T7:V82">
    <cfRule type="expression" dxfId="242" priority="91">
      <formula>$S$5=""</formula>
    </cfRule>
  </conditionalFormatting>
  <conditionalFormatting sqref="P7:R82">
    <cfRule type="expression" dxfId="241" priority="90">
      <formula>$O$5=""</formula>
    </cfRule>
  </conditionalFormatting>
  <conditionalFormatting sqref="L7:N82">
    <cfRule type="expression" dxfId="240" priority="89">
      <formula>$K$5=""</formula>
    </cfRule>
  </conditionalFormatting>
  <conditionalFormatting sqref="AB7:AD82">
    <cfRule type="expression" dxfId="239" priority="88">
      <formula>$AA$5=""</formula>
    </cfRule>
  </conditionalFormatting>
  <conditionalFormatting sqref="AF7:AH82">
    <cfRule type="expression" dxfId="238" priority="87">
      <formula>$AE$5=""</formula>
    </cfRule>
  </conditionalFormatting>
  <conditionalFormatting sqref="AJ7:AL82">
    <cfRule type="expression" dxfId="237" priority="86">
      <formula>$AI$5=""</formula>
    </cfRule>
  </conditionalFormatting>
  <conditionalFormatting sqref="AN7:AP82">
    <cfRule type="expression" dxfId="236" priority="85">
      <formula>$AM$5=""</formula>
    </cfRule>
  </conditionalFormatting>
  <conditionalFormatting sqref="AR7:AT82">
    <cfRule type="expression" dxfId="235" priority="84">
      <formula>$AQ$5=""</formula>
    </cfRule>
  </conditionalFormatting>
  <conditionalFormatting sqref="AV7:AX82">
    <cfRule type="expression" dxfId="234" priority="83">
      <formula>$AU$5=""</formula>
    </cfRule>
  </conditionalFormatting>
  <conditionalFormatting sqref="AZ7:BB82">
    <cfRule type="expression" dxfId="233" priority="82">
      <formula>$AY$5=""</formula>
    </cfRule>
  </conditionalFormatting>
  <conditionalFormatting sqref="BD7:BF82">
    <cfRule type="expression" dxfId="232" priority="81">
      <formula>$BC$5=""</formula>
    </cfRule>
  </conditionalFormatting>
  <conditionalFormatting sqref="BH7:BJ82">
    <cfRule type="expression" dxfId="231" priority="80">
      <formula>$BG$5=""</formula>
    </cfRule>
  </conditionalFormatting>
  <conditionalFormatting sqref="BL7:BN82">
    <cfRule type="expression" dxfId="230" priority="79">
      <formula>$BK$5=""</formula>
    </cfRule>
  </conditionalFormatting>
  <conditionalFormatting sqref="BP7:BR82">
    <cfRule type="expression" dxfId="229" priority="78">
      <formula>$BO$5=""</formula>
    </cfRule>
  </conditionalFormatting>
  <conditionalFormatting sqref="BT7:BV82">
    <cfRule type="expression" dxfId="228" priority="77">
      <formula>$BS$5=""</formula>
    </cfRule>
  </conditionalFormatting>
  <conditionalFormatting sqref="F25">
    <cfRule type="expression" dxfId="227" priority="76">
      <formula>$E$25="n/a"</formula>
    </cfRule>
  </conditionalFormatting>
  <conditionalFormatting sqref="F7">
    <cfRule type="expression" dxfId="226" priority="75">
      <formula>$E$7="n/a"</formula>
    </cfRule>
  </conditionalFormatting>
  <conditionalFormatting sqref="F8">
    <cfRule type="expression" dxfId="225" priority="102">
      <formula>$E$8="n/a"</formula>
    </cfRule>
  </conditionalFormatting>
  <conditionalFormatting sqref="F9">
    <cfRule type="expression" dxfId="224" priority="74">
      <formula>$E$9="n/a"</formula>
    </cfRule>
  </conditionalFormatting>
  <conditionalFormatting sqref="F10">
    <cfRule type="expression" dxfId="223" priority="73">
      <formula>$E$10="n/a"</formula>
    </cfRule>
  </conditionalFormatting>
  <conditionalFormatting sqref="F11">
    <cfRule type="expression" dxfId="222" priority="72">
      <formula>$E$11="n/a"</formula>
    </cfRule>
  </conditionalFormatting>
  <conditionalFormatting sqref="F12">
    <cfRule type="expression" dxfId="221" priority="71">
      <formula>$E$12="n/a"</formula>
    </cfRule>
  </conditionalFormatting>
  <conditionalFormatting sqref="F13">
    <cfRule type="expression" dxfId="220" priority="70">
      <formula>$E$13="n/a"</formula>
    </cfRule>
  </conditionalFormatting>
  <conditionalFormatting sqref="F14">
    <cfRule type="expression" dxfId="219" priority="69">
      <formula>$E$14="n/a"</formula>
    </cfRule>
  </conditionalFormatting>
  <conditionalFormatting sqref="F15">
    <cfRule type="expression" dxfId="218" priority="68">
      <formula>$E$15="n/a"</formula>
    </cfRule>
  </conditionalFormatting>
  <conditionalFormatting sqref="F16">
    <cfRule type="expression" dxfId="217" priority="67">
      <formula>$E$16="n/a"</formula>
    </cfRule>
  </conditionalFormatting>
  <conditionalFormatting sqref="F17">
    <cfRule type="expression" dxfId="216" priority="66">
      <formula>$E$17="n/a"</formula>
    </cfRule>
  </conditionalFormatting>
  <conditionalFormatting sqref="F18">
    <cfRule type="expression" dxfId="215" priority="65">
      <formula>$E$18="n/a"</formula>
    </cfRule>
  </conditionalFormatting>
  <conditionalFormatting sqref="F19">
    <cfRule type="expression" dxfId="214" priority="64">
      <formula>$E$19="n/a"</formula>
    </cfRule>
  </conditionalFormatting>
  <conditionalFormatting sqref="F20">
    <cfRule type="expression" dxfId="213" priority="63">
      <formula>$E$20="n/a"</formula>
    </cfRule>
  </conditionalFormatting>
  <conditionalFormatting sqref="F21">
    <cfRule type="expression" dxfId="212" priority="62">
      <formula>$E$21="n/a"</formula>
    </cfRule>
  </conditionalFormatting>
  <conditionalFormatting sqref="F22">
    <cfRule type="expression" dxfId="211" priority="61">
      <formula>$E$22="n/a"</formula>
    </cfRule>
  </conditionalFormatting>
  <conditionalFormatting sqref="F23">
    <cfRule type="expression" dxfId="210" priority="60">
      <formula>$E$23="n/a"</formula>
    </cfRule>
  </conditionalFormatting>
  <conditionalFormatting sqref="F24">
    <cfRule type="expression" dxfId="209" priority="59">
      <formula>$E$24="n/a"</formula>
    </cfRule>
  </conditionalFormatting>
  <conditionalFormatting sqref="F26">
    <cfRule type="expression" dxfId="208" priority="58">
      <formula>$E$26="n/a"</formula>
    </cfRule>
  </conditionalFormatting>
  <conditionalFormatting sqref="F27">
    <cfRule type="expression" dxfId="207" priority="57">
      <formula>$E$27="n/a"</formula>
    </cfRule>
  </conditionalFormatting>
  <conditionalFormatting sqref="F28">
    <cfRule type="expression" dxfId="206" priority="56">
      <formula>$E$28="n/a"</formula>
    </cfRule>
  </conditionalFormatting>
  <conditionalFormatting sqref="F29">
    <cfRule type="expression" dxfId="205" priority="55">
      <formula>$E$29="n/a"</formula>
    </cfRule>
  </conditionalFormatting>
  <conditionalFormatting sqref="F30">
    <cfRule type="expression" dxfId="204" priority="54">
      <formula>$E$30="n/a"</formula>
    </cfRule>
  </conditionalFormatting>
  <conditionalFormatting sqref="F31">
    <cfRule type="expression" dxfId="203" priority="53">
      <formula>$E$31="n/a"</formula>
    </cfRule>
  </conditionalFormatting>
  <conditionalFormatting sqref="F32">
    <cfRule type="expression" dxfId="202" priority="52">
      <formula>$E$32="n/a"</formula>
    </cfRule>
  </conditionalFormatting>
  <conditionalFormatting sqref="F33">
    <cfRule type="expression" dxfId="201" priority="51">
      <formula>$E$33="n/a"</formula>
    </cfRule>
  </conditionalFormatting>
  <conditionalFormatting sqref="F34">
    <cfRule type="expression" dxfId="200" priority="50">
      <formula>$E$34="n/a"</formula>
    </cfRule>
  </conditionalFormatting>
  <conditionalFormatting sqref="F35">
    <cfRule type="expression" dxfId="199" priority="49">
      <formula>$E$35="n/a"</formula>
    </cfRule>
  </conditionalFormatting>
  <conditionalFormatting sqref="F36">
    <cfRule type="expression" dxfId="198" priority="48">
      <formula>$E$36="n/a"</formula>
    </cfRule>
  </conditionalFormatting>
  <conditionalFormatting sqref="F37">
    <cfRule type="expression" dxfId="197" priority="47">
      <formula>$E$37="n/a"</formula>
    </cfRule>
  </conditionalFormatting>
  <conditionalFormatting sqref="F38">
    <cfRule type="expression" dxfId="196" priority="46">
      <formula>$E$38="n/a"</formula>
    </cfRule>
  </conditionalFormatting>
  <conditionalFormatting sqref="F39">
    <cfRule type="expression" dxfId="195" priority="45">
      <formula>$E$39="n/a"</formula>
    </cfRule>
  </conditionalFormatting>
  <conditionalFormatting sqref="F40">
    <cfRule type="expression" dxfId="194" priority="44">
      <formula>$E$40="n/a"</formula>
    </cfRule>
  </conditionalFormatting>
  <conditionalFormatting sqref="F41">
    <cfRule type="expression" dxfId="193" priority="43">
      <formula>$E$41="n/a"</formula>
    </cfRule>
  </conditionalFormatting>
  <conditionalFormatting sqref="F42">
    <cfRule type="expression" dxfId="192" priority="42">
      <formula>$E$42="n/a"</formula>
    </cfRule>
  </conditionalFormatting>
  <conditionalFormatting sqref="F43">
    <cfRule type="expression" dxfId="191" priority="41">
      <formula>$E$43="n/a"</formula>
    </cfRule>
  </conditionalFormatting>
  <conditionalFormatting sqref="F44">
    <cfRule type="expression" dxfId="190" priority="40">
      <formula>$E$44="n/a"</formula>
    </cfRule>
  </conditionalFormatting>
  <conditionalFormatting sqref="F45">
    <cfRule type="expression" dxfId="189" priority="39">
      <formula>$E$45="n/a"</formula>
    </cfRule>
  </conditionalFormatting>
  <conditionalFormatting sqref="F46">
    <cfRule type="expression" dxfId="188" priority="38">
      <formula>$E$46="n/a"</formula>
    </cfRule>
  </conditionalFormatting>
  <conditionalFormatting sqref="F82">
    <cfRule type="expression" dxfId="187" priority="36">
      <formula>$E$82="n/a"</formula>
    </cfRule>
  </conditionalFormatting>
  <conditionalFormatting sqref="F81">
    <cfRule type="expression" dxfId="186" priority="35">
      <formula>$E$81="n/a"</formula>
    </cfRule>
  </conditionalFormatting>
  <conditionalFormatting sqref="F80">
    <cfRule type="expression" dxfId="185" priority="34">
      <formula>$E$80="n/a"</formula>
    </cfRule>
  </conditionalFormatting>
  <conditionalFormatting sqref="F79">
    <cfRule type="expression" dxfId="184" priority="33">
      <formula>$E$79="n/a"</formula>
    </cfRule>
  </conditionalFormatting>
  <conditionalFormatting sqref="F78">
    <cfRule type="expression" dxfId="183" priority="32">
      <formula>$E$78="n/a"</formula>
    </cfRule>
  </conditionalFormatting>
  <conditionalFormatting sqref="F77">
    <cfRule type="expression" dxfId="182" priority="31">
      <formula>$E$77="n/a"</formula>
    </cfRule>
  </conditionalFormatting>
  <conditionalFormatting sqref="F76">
    <cfRule type="expression" dxfId="181" priority="30">
      <formula>$E$76="n/a"</formula>
    </cfRule>
  </conditionalFormatting>
  <conditionalFormatting sqref="F75">
    <cfRule type="expression" dxfId="180" priority="29">
      <formula>$E$75="n/a"</formula>
    </cfRule>
  </conditionalFormatting>
  <conditionalFormatting sqref="F74">
    <cfRule type="expression" dxfId="179" priority="28">
      <formula>$E$74="n/a"</formula>
    </cfRule>
  </conditionalFormatting>
  <conditionalFormatting sqref="F73">
    <cfRule type="expression" dxfId="178" priority="26">
      <formula>$E$73="n/a"</formula>
    </cfRule>
  </conditionalFormatting>
  <conditionalFormatting sqref="F72">
    <cfRule type="expression" dxfId="177" priority="2">
      <formula>$E$72="n/a"</formula>
    </cfRule>
  </conditionalFormatting>
  <conditionalFormatting sqref="F47">
    <cfRule type="expression" dxfId="176" priority="37">
      <formula>$E$47="n/a"</formula>
    </cfRule>
  </conditionalFormatting>
  <conditionalFormatting sqref="F48">
    <cfRule type="expression" dxfId="175" priority="27">
      <formula>$E$48="n/a"</formula>
    </cfRule>
  </conditionalFormatting>
  <conditionalFormatting sqref="F49">
    <cfRule type="expression" dxfId="174" priority="25">
      <formula>$E$49="n/a"</formula>
    </cfRule>
  </conditionalFormatting>
  <conditionalFormatting sqref="F50">
    <cfRule type="expression" dxfId="173" priority="24">
      <formula>$E$50="n/a"</formula>
    </cfRule>
  </conditionalFormatting>
  <conditionalFormatting sqref="F51">
    <cfRule type="expression" dxfId="172" priority="23">
      <formula>$E$51="n/a"</formula>
    </cfRule>
  </conditionalFormatting>
  <conditionalFormatting sqref="F52">
    <cfRule type="expression" dxfId="171" priority="22">
      <formula>$E$52="n/a"</formula>
    </cfRule>
  </conditionalFormatting>
  <conditionalFormatting sqref="F53">
    <cfRule type="expression" dxfId="170" priority="21">
      <formula>$E$53="n/a"</formula>
    </cfRule>
  </conditionalFormatting>
  <conditionalFormatting sqref="F54">
    <cfRule type="expression" dxfId="169" priority="20">
      <formula>$E$54="n/a"</formula>
    </cfRule>
  </conditionalFormatting>
  <conditionalFormatting sqref="F55">
    <cfRule type="expression" dxfId="168" priority="19">
      <formula>$E$55="n/a"</formula>
    </cfRule>
  </conditionalFormatting>
  <conditionalFormatting sqref="F56">
    <cfRule type="expression" dxfId="167" priority="18">
      <formula>$E$56="n/a"</formula>
    </cfRule>
  </conditionalFormatting>
  <conditionalFormatting sqref="F57">
    <cfRule type="expression" dxfId="166" priority="17">
      <formula>$E$57="n/a"</formula>
    </cfRule>
  </conditionalFormatting>
  <conditionalFormatting sqref="F58">
    <cfRule type="expression" dxfId="165" priority="16">
      <formula>$E$58="n/a"</formula>
    </cfRule>
  </conditionalFormatting>
  <conditionalFormatting sqref="F59">
    <cfRule type="expression" dxfId="164" priority="15">
      <formula>$E$59="n/a"</formula>
    </cfRule>
  </conditionalFormatting>
  <conditionalFormatting sqref="F60">
    <cfRule type="expression" dxfId="163" priority="14">
      <formula>$E$60="n/a"</formula>
    </cfRule>
  </conditionalFormatting>
  <conditionalFormatting sqref="F61">
    <cfRule type="expression" dxfId="162" priority="13">
      <formula>$E$61="n/a"</formula>
    </cfRule>
  </conditionalFormatting>
  <conditionalFormatting sqref="F62">
    <cfRule type="expression" dxfId="161" priority="12">
      <formula>$E$62="n/a"</formula>
    </cfRule>
  </conditionalFormatting>
  <conditionalFormatting sqref="F63">
    <cfRule type="expression" dxfId="160" priority="11">
      <formula>$E$63="n/a"</formula>
    </cfRule>
  </conditionalFormatting>
  <conditionalFormatting sqref="F64">
    <cfRule type="expression" dxfId="159" priority="10">
      <formula>$E$64="n/a"</formula>
    </cfRule>
  </conditionalFormatting>
  <conditionalFormatting sqref="F65">
    <cfRule type="expression" dxfId="158" priority="9">
      <formula>$E$65="n/a"</formula>
    </cfRule>
  </conditionalFormatting>
  <conditionalFormatting sqref="F66">
    <cfRule type="expression" dxfId="157" priority="8">
      <formula>$E$66="n/a"</formula>
    </cfRule>
  </conditionalFormatting>
  <conditionalFormatting sqref="F67">
    <cfRule type="expression" dxfId="156" priority="7">
      <formula>$E$67="n/a"</formula>
    </cfRule>
  </conditionalFormatting>
  <conditionalFormatting sqref="F68">
    <cfRule type="expression" dxfId="155" priority="6">
      <formula>$E$68="n/a"</formula>
    </cfRule>
  </conditionalFormatting>
  <conditionalFormatting sqref="F69">
    <cfRule type="expression" dxfId="154" priority="5">
      <formula>$E$69="n/a"</formula>
    </cfRule>
  </conditionalFormatting>
  <conditionalFormatting sqref="F70">
    <cfRule type="expression" dxfId="153" priority="4">
      <formula>$E$70="n/a"</formula>
    </cfRule>
  </conditionalFormatting>
  <conditionalFormatting sqref="F71">
    <cfRule type="expression" dxfId="152" priority="3">
      <formula>$E$71="n/a"</formula>
    </cfRule>
  </conditionalFormatting>
  <dataValidations count="3">
    <dataValidation type="list" allowBlank="1" showInputMessage="1" showErrorMessage="1" sqref="BP7:BP82 AV7:AV82 BL7:BL82 BT7:BT82 BH7:BH82 BD7:BD82 AZ7:AZ82" xr:uid="{FB13CE45-D5B4-4343-A9C7-5135AE72D4FD}">
      <formula1>"&lt;, &lt;=, &gt;, &gt;=, ="</formula1>
    </dataValidation>
    <dataValidation type="list" allowBlank="1" showInputMessage="1" showErrorMessage="1" sqref="B7:B82" xr:uid="{9CD9C513-F550-42F8-B343-FF78A22385B4}">
      <formula1>"v"</formula1>
    </dataValidation>
    <dataValidation type="list" allowBlank="1" showInputMessage="1" showErrorMessage="1" sqref="F2" xr:uid="{D334AC8F-B106-4D00-B7A8-668C5455F9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820948-4B7E-47C8-A99D-31253666BC4B}">
          <x14:formula1>
            <xm:f>Sheet3!$A$2:$A$49</xm:f>
          </x14:formula1>
          <xm:sqref>F3</xm:sqref>
        </x14:dataValidation>
        <x14:dataValidation type="list" allowBlank="1" showInputMessage="1" xr:uid="{AED0453E-551D-4DDA-A4BC-DD10D72E0015}">
          <x14:formula1>
            <xm:f>Sheet3!$J$153:$J$168</xm:f>
          </x14:formula1>
          <xm:sqref>I7:I82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83F48-A461-4458-9FC8-A923F7E71D94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C21" sqref="C21"/>
      <selection pane="topRight" activeCell="C21" sqref="C21"/>
      <selection pane="bottomLeft" activeCell="C21" sqref="C21"/>
      <selection pane="bottomRight"/>
    </sheetView>
  </sheetViews>
  <sheetFormatPr defaultColWidth="8.75" defaultRowHeight="13.5"/>
  <cols>
    <col min="1" max="1" width="2.75" style="98" customWidth="1"/>
    <col min="2" max="2" width="3.125" style="8" customWidth="1"/>
    <col min="3" max="3" width="53.5" style="8" customWidth="1"/>
    <col min="4" max="4" width="24.75" style="128" customWidth="1"/>
    <col min="5" max="5" width="21" style="128" customWidth="1"/>
    <col min="6" max="6" width="7.75" style="8" customWidth="1"/>
    <col min="7" max="7" width="15.5" style="8" customWidth="1"/>
    <col min="8" max="8" width="11.375" style="8" customWidth="1"/>
    <col min="9" max="9" width="22.25" style="8" customWidth="1"/>
    <col min="10" max="10" width="33.25" style="8" customWidth="1"/>
    <col min="11" max="11" width="1.5" style="8" customWidth="1"/>
    <col min="12" max="12" width="7.75" style="8" customWidth="1"/>
    <col min="13" max="13" width="15.5" style="8" customWidth="1"/>
    <col min="14" max="14" width="22.25" style="8" customWidth="1"/>
    <col min="15" max="15" width="3" style="8" customWidth="1"/>
    <col min="16" max="16" width="8.75" style="8"/>
    <col min="17" max="17" width="15.5" style="8" customWidth="1"/>
    <col min="18" max="18" width="22.25" style="8" customWidth="1"/>
    <col min="19" max="19" width="3" style="8" customWidth="1"/>
    <col min="20" max="20" width="7.75" style="8" customWidth="1"/>
    <col min="21" max="21" width="15.5" style="8" customWidth="1"/>
    <col min="22" max="22" width="22.25" style="8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8" customWidth="1"/>
    <col min="29" max="29" width="15.5" style="8" customWidth="1"/>
    <col min="30" max="30" width="22.25" style="8" customWidth="1"/>
    <col min="31" max="31" width="3" style="8" customWidth="1"/>
    <col min="32" max="32" width="7.75" style="8" customWidth="1"/>
    <col min="33" max="33" width="15.5" style="8" customWidth="1"/>
    <col min="34" max="34" width="22.25" style="8" customWidth="1"/>
    <col min="35" max="35" width="3" style="8" customWidth="1"/>
    <col min="36" max="36" width="7.75" style="8" customWidth="1"/>
    <col min="37" max="37" width="15.5" style="8" customWidth="1"/>
    <col min="38" max="38" width="22.25" style="8" customWidth="1"/>
    <col min="39" max="39" width="3" style="8" customWidth="1"/>
    <col min="40" max="40" width="7.75" style="8" customWidth="1"/>
    <col min="41" max="41" width="15.5" style="8" customWidth="1"/>
    <col min="42" max="42" width="22.25" style="8" customWidth="1"/>
    <col min="43" max="43" width="3" style="8" customWidth="1"/>
    <col min="44" max="44" width="7.75" style="8" customWidth="1"/>
    <col min="45" max="45" width="15.5" style="8" customWidth="1"/>
    <col min="46" max="46" width="22.25" style="8" customWidth="1"/>
    <col min="47" max="47" width="3" style="8" customWidth="1"/>
    <col min="48" max="48" width="7.75" style="8" customWidth="1"/>
    <col min="49" max="49" width="15.5" style="8" customWidth="1"/>
    <col min="50" max="50" width="22.25" style="8" customWidth="1"/>
    <col min="51" max="51" width="3" style="8" customWidth="1"/>
    <col min="52" max="52" width="7.75" style="8" customWidth="1"/>
    <col min="53" max="53" width="15.5" style="8" customWidth="1"/>
    <col min="54" max="54" width="22.25" style="8" customWidth="1"/>
    <col min="55" max="55" width="3" style="8" customWidth="1"/>
    <col min="56" max="56" width="7.75" style="8" customWidth="1"/>
    <col min="57" max="57" width="15.5" style="8" customWidth="1"/>
    <col min="58" max="58" width="22.25" style="8" customWidth="1"/>
    <col min="59" max="59" width="3" style="8" customWidth="1"/>
    <col min="60" max="60" width="7.75" style="8" customWidth="1"/>
    <col min="61" max="61" width="15.5" style="8" customWidth="1"/>
    <col min="62" max="62" width="22.25" style="8" customWidth="1"/>
    <col min="63" max="63" width="3" style="8" customWidth="1"/>
    <col min="64" max="64" width="7.75" style="8" customWidth="1"/>
    <col min="65" max="65" width="15.5" style="8" customWidth="1"/>
    <col min="66" max="66" width="22.25" style="8" customWidth="1"/>
    <col min="67" max="67" width="3" style="8" customWidth="1"/>
    <col min="68" max="68" width="7.75" style="8" customWidth="1"/>
    <col min="69" max="69" width="15.5" style="8" customWidth="1"/>
    <col min="70" max="70" width="22.25" style="8" customWidth="1"/>
    <col min="71" max="71" width="3" style="8" customWidth="1"/>
    <col min="72" max="72" width="7.75" style="8" customWidth="1"/>
    <col min="73" max="73" width="15.5" style="8" customWidth="1"/>
    <col min="74" max="74" width="22.25" style="8" customWidth="1"/>
    <col min="75" max="75" width="2.75" style="8" customWidth="1"/>
    <col min="76" max="16384" width="8.75" style="8"/>
  </cols>
  <sheetData>
    <row r="1" spans="1:75" ht="15.6" customHeight="1">
      <c r="A1" s="94"/>
      <c r="B1" s="287" t="s">
        <v>239</v>
      </c>
      <c r="C1" s="287"/>
      <c r="D1" s="118"/>
      <c r="E1" s="118"/>
      <c r="F1" s="60" t="str">
        <f>IF(F2=1,"",1)</f>
        <v/>
      </c>
      <c r="G1" s="7"/>
      <c r="H1" s="7"/>
      <c r="I1" s="7"/>
      <c r="J1" s="7"/>
      <c r="K1" s="13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</row>
    <row r="2" spans="1:75" ht="15.6" customHeight="1">
      <c r="A2" s="94"/>
      <c r="B2" s="287"/>
      <c r="C2" s="287"/>
      <c r="D2" s="119"/>
      <c r="E2" s="136" t="s">
        <v>194</v>
      </c>
      <c r="F2" s="137">
        <v>1</v>
      </c>
      <c r="G2" s="138" t="s">
        <v>339</v>
      </c>
      <c r="H2" s="139"/>
      <c r="I2" s="139"/>
      <c r="J2" s="27" t="str">
        <f>IF(F2=1,"","육상탱크 2개 이상 추가되면 오른쪽 탭에")</f>
        <v/>
      </c>
      <c r="K2" s="13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</row>
    <row r="3" spans="1:75">
      <c r="A3" s="94"/>
      <c r="B3" s="38"/>
      <c r="C3" s="38"/>
      <c r="D3" s="120"/>
      <c r="E3" s="135" t="s">
        <v>8</v>
      </c>
      <c r="F3" s="289"/>
      <c r="G3" s="289"/>
      <c r="H3" s="289"/>
      <c r="I3" s="289"/>
      <c r="J3" s="27" t="str">
        <f>IF(F2=1,"","결과 입력 (셀 범위 Q1 ~ AD82)")</f>
        <v/>
      </c>
      <c r="K3" s="7"/>
      <c r="L3" s="284" t="str">
        <f>IF(F2&gt;=2,"Add New Sample (2)","")</f>
        <v/>
      </c>
      <c r="M3" s="284"/>
      <c r="N3" s="284"/>
      <c r="O3" s="38"/>
      <c r="P3" s="284" t="str">
        <f>IF(F2&gt;=3,"Add New Sample (3)","")</f>
        <v/>
      </c>
      <c r="Q3" s="284"/>
      <c r="R3" s="284"/>
      <c r="S3" s="38"/>
      <c r="T3" s="284" t="str">
        <f>IF(F2&gt;=4,"Add New Sample (4)","")</f>
        <v/>
      </c>
      <c r="U3" s="284"/>
      <c r="V3" s="284"/>
      <c r="W3" s="38"/>
      <c r="X3" s="284" t="str">
        <f>IF(F2&gt;=5,"Add New Sample (5)","")</f>
        <v/>
      </c>
      <c r="Y3" s="284"/>
      <c r="Z3" s="284"/>
      <c r="AA3" s="38"/>
      <c r="AB3" s="284" t="str">
        <f>IF(F2&gt;=6,"Add New Sample (6)","")</f>
        <v/>
      </c>
      <c r="AC3" s="284"/>
      <c r="AD3" s="284"/>
      <c r="AE3" s="38"/>
      <c r="AF3" s="284" t="str">
        <f>IF(F2&gt;=7,"Add New Sample (7)","")</f>
        <v/>
      </c>
      <c r="AG3" s="284"/>
      <c r="AH3" s="284"/>
      <c r="AI3" s="38"/>
      <c r="AJ3" s="284" t="str">
        <f>IF(F2&gt;=8,"Add New Sample (8)","")</f>
        <v/>
      </c>
      <c r="AK3" s="284"/>
      <c r="AL3" s="284"/>
      <c r="AM3" s="38"/>
      <c r="AN3" s="284" t="str">
        <f>IF(F2&gt;=9,"Add New Sample (9)","")</f>
        <v/>
      </c>
      <c r="AO3" s="284"/>
      <c r="AP3" s="284"/>
      <c r="AQ3" s="38"/>
      <c r="AR3" s="284" t="str">
        <f>IF(F2&gt;=10,"Add New Sample (10)","")</f>
        <v/>
      </c>
      <c r="AS3" s="284"/>
      <c r="AT3" s="284"/>
      <c r="AU3" s="38"/>
      <c r="AV3" s="284" t="str">
        <f>IF(F2&gt;=11,"Add New Sample (11)","")</f>
        <v/>
      </c>
      <c r="AW3" s="284"/>
      <c r="AX3" s="284"/>
      <c r="AY3" s="38"/>
      <c r="AZ3" s="284" t="str">
        <f>IF(F2&gt;=12,"Add New Sample (12)","")</f>
        <v/>
      </c>
      <c r="BA3" s="284"/>
      <c r="BB3" s="284"/>
      <c r="BC3" s="38"/>
      <c r="BD3" s="284" t="str">
        <f>IF(F2&gt;=13,"Add New Sample (13)","")</f>
        <v/>
      </c>
      <c r="BE3" s="284"/>
      <c r="BF3" s="284"/>
      <c r="BG3" s="38"/>
      <c r="BH3" s="284" t="str">
        <f>IF(F2&gt;=14,"Add New Sample (14)","")</f>
        <v/>
      </c>
      <c r="BI3" s="284"/>
      <c r="BJ3" s="284"/>
      <c r="BK3" s="38"/>
      <c r="BL3" s="284" t="str">
        <f>IF(F2&gt;=15,"Add New Sample (15)","")</f>
        <v/>
      </c>
      <c r="BM3" s="284"/>
      <c r="BN3" s="284"/>
      <c r="BO3" s="38"/>
      <c r="BP3" s="284" t="str">
        <f>IF(F2&gt;=16,"Add New Sample (16)","")</f>
        <v/>
      </c>
      <c r="BQ3" s="284"/>
      <c r="BR3" s="284"/>
      <c r="BS3" s="38"/>
      <c r="BT3" s="284" t="str">
        <f>IF(F2&gt;=17,"Add New Sample (17)","")</f>
        <v/>
      </c>
      <c r="BU3" s="284"/>
      <c r="BV3" s="284"/>
      <c r="BW3" s="7"/>
    </row>
    <row r="4" spans="1:75">
      <c r="A4" s="94"/>
      <c r="B4" s="44"/>
      <c r="C4" s="44"/>
      <c r="D4" s="121"/>
      <c r="E4" s="131" t="s">
        <v>5</v>
      </c>
      <c r="F4" s="288"/>
      <c r="G4" s="288"/>
      <c r="H4" s="288"/>
      <c r="I4" s="288"/>
      <c r="J4" s="24" t="str">
        <f>IF(F2=1,"","▶▶▶▶▶")</f>
        <v/>
      </c>
      <c r="K4" s="7"/>
      <c r="L4" s="68" t="str">
        <f>IF(K5=1,"Tk No.:","")</f>
        <v/>
      </c>
      <c r="M4" s="285"/>
      <c r="N4" s="285"/>
      <c r="O4" s="38"/>
      <c r="P4" s="68" t="str">
        <f>IF(O5=1,"Tk No.:","")</f>
        <v/>
      </c>
      <c r="Q4" s="285"/>
      <c r="R4" s="285"/>
      <c r="S4" s="38"/>
      <c r="T4" s="68" t="str">
        <f>IF(S5=1,"Tk No.:","")</f>
        <v/>
      </c>
      <c r="U4" s="285"/>
      <c r="V4" s="285"/>
      <c r="W4" s="38"/>
      <c r="X4" s="68" t="str">
        <f>IF(W5=1,"Tk No.:","")</f>
        <v/>
      </c>
      <c r="Y4" s="285"/>
      <c r="Z4" s="285"/>
      <c r="AA4" s="38"/>
      <c r="AB4" s="68" t="str">
        <f>IF(AA5=1,"Tk No.:","")</f>
        <v/>
      </c>
      <c r="AC4" s="285"/>
      <c r="AD4" s="285"/>
      <c r="AE4" s="38"/>
      <c r="AF4" s="68" t="str">
        <f>IF(AE5=1,"Tk No.:","")</f>
        <v/>
      </c>
      <c r="AG4" s="285"/>
      <c r="AH4" s="285"/>
      <c r="AI4" s="38"/>
      <c r="AJ4" s="68" t="str">
        <f>IF(AI5=1,"Tk No.:","")</f>
        <v/>
      </c>
      <c r="AK4" s="285"/>
      <c r="AL4" s="285"/>
      <c r="AM4" s="38"/>
      <c r="AN4" s="68" t="str">
        <f>IF(AM5=1,"Tk No.:","")</f>
        <v/>
      </c>
      <c r="AO4" s="285"/>
      <c r="AP4" s="285"/>
      <c r="AQ4" s="38"/>
      <c r="AR4" s="68" t="str">
        <f>IF(AQ5=1,"Tk No.:","")</f>
        <v/>
      </c>
      <c r="AS4" s="285"/>
      <c r="AT4" s="285"/>
      <c r="AU4" s="38"/>
      <c r="AV4" s="68" t="str">
        <f>IF(AU5=1,"Tk No.:","")</f>
        <v/>
      </c>
      <c r="AW4" s="285"/>
      <c r="AX4" s="285"/>
      <c r="AY4" s="38"/>
      <c r="AZ4" s="68" t="str">
        <f>IF(AY5=1,"Tk No.:","")</f>
        <v/>
      </c>
      <c r="BA4" s="285"/>
      <c r="BB4" s="285"/>
      <c r="BC4" s="38"/>
      <c r="BD4" s="68" t="str">
        <f>IF(BC5=1,"Tk No.:","")</f>
        <v/>
      </c>
      <c r="BE4" s="285"/>
      <c r="BF4" s="285"/>
      <c r="BG4" s="38"/>
      <c r="BH4" s="68" t="str">
        <f>IF(BG5=1,"Tk No.:","")</f>
        <v/>
      </c>
      <c r="BI4" s="285"/>
      <c r="BJ4" s="285"/>
      <c r="BK4" s="38"/>
      <c r="BL4" s="68" t="str">
        <f>IF(BK5=1,"Tk No.:","")</f>
        <v/>
      </c>
      <c r="BM4" s="285"/>
      <c r="BN4" s="285"/>
      <c r="BO4" s="38"/>
      <c r="BP4" s="68" t="str">
        <f>IF(BO5=1,"Tk No.:","")</f>
        <v/>
      </c>
      <c r="BQ4" s="285"/>
      <c r="BR4" s="285"/>
      <c r="BS4" s="38"/>
      <c r="BT4" s="68" t="str">
        <f>IF(BS5=1,"Tk No.:","")</f>
        <v/>
      </c>
      <c r="BU4" s="285"/>
      <c r="BV4" s="285"/>
      <c r="BW4" s="7"/>
    </row>
    <row r="5" spans="1:75">
      <c r="A5" s="94"/>
      <c r="B5" s="220" t="s">
        <v>653</v>
      </c>
      <c r="C5" s="93" t="s">
        <v>17</v>
      </c>
      <c r="D5" s="122" t="s">
        <v>195</v>
      </c>
      <c r="E5" s="122" t="s">
        <v>17</v>
      </c>
      <c r="F5" s="291" t="s">
        <v>268</v>
      </c>
      <c r="G5" s="291"/>
      <c r="H5" s="89" t="s">
        <v>642</v>
      </c>
      <c r="I5" s="92" t="s">
        <v>18</v>
      </c>
      <c r="J5" s="7"/>
      <c r="K5" s="13" t="str">
        <f>IF(F2&gt;=2,1,"")</f>
        <v/>
      </c>
      <c r="L5" s="286" t="str">
        <f>IF(K5=1,"Results (검사원)","")</f>
        <v/>
      </c>
      <c r="M5" s="286"/>
      <c r="N5" s="286"/>
      <c r="O5" s="58" t="str">
        <f>IF(F2&gt;=3,1,"")</f>
        <v/>
      </c>
      <c r="P5" s="286" t="str">
        <f>IF(O5=1,"Results (검사원)","")</f>
        <v/>
      </c>
      <c r="Q5" s="286"/>
      <c r="R5" s="286"/>
      <c r="S5" s="58" t="str">
        <f>IF(F2&gt;=4,1,"")</f>
        <v/>
      </c>
      <c r="T5" s="286" t="str">
        <f>IF(S5=1,"Results (검사원)","")</f>
        <v/>
      </c>
      <c r="U5" s="286"/>
      <c r="V5" s="286"/>
      <c r="W5" s="58" t="str">
        <f>IF(F2&gt;=5,1,"")</f>
        <v/>
      </c>
      <c r="X5" s="286" t="str">
        <f>IF(W5=1,"Results (검사원)","")</f>
        <v/>
      </c>
      <c r="Y5" s="286"/>
      <c r="Z5" s="286"/>
      <c r="AA5" s="58" t="str">
        <f>IF(F2&gt;=6,1,"")</f>
        <v/>
      </c>
      <c r="AB5" s="286" t="str">
        <f>IF(AA5=1,"Results (검사원)","")</f>
        <v/>
      </c>
      <c r="AC5" s="286"/>
      <c r="AD5" s="286"/>
      <c r="AE5" s="58" t="str">
        <f>IF($F$2&gt;=7,1,"")</f>
        <v/>
      </c>
      <c r="AF5" s="286" t="str">
        <f>IF(AE5=1,"Results (검사원)","")</f>
        <v/>
      </c>
      <c r="AG5" s="286"/>
      <c r="AH5" s="286"/>
      <c r="AI5" s="58" t="str">
        <f>IF($F$2&gt;=8,1,"")</f>
        <v/>
      </c>
      <c r="AJ5" s="286" t="str">
        <f>IF(AI5=1,"Results (검사원)","")</f>
        <v/>
      </c>
      <c r="AK5" s="286"/>
      <c r="AL5" s="286"/>
      <c r="AM5" s="58" t="str">
        <f>IF($F$2&gt;=9,1,"")</f>
        <v/>
      </c>
      <c r="AN5" s="286" t="str">
        <f>IF(AM5=1,"Results (검사원)","")</f>
        <v/>
      </c>
      <c r="AO5" s="286"/>
      <c r="AP5" s="286"/>
      <c r="AQ5" s="58" t="str">
        <f>IF($F$2&gt;=10,1,"")</f>
        <v/>
      </c>
      <c r="AR5" s="286" t="str">
        <f>IF(AQ5=1,"Results (검사원)","")</f>
        <v/>
      </c>
      <c r="AS5" s="286"/>
      <c r="AT5" s="286"/>
      <c r="AU5" s="58" t="str">
        <f>IF($F$2&gt;=11,1,"")</f>
        <v/>
      </c>
      <c r="AV5" s="286" t="str">
        <f>IF(AU5=1,"Results (검사원)","")</f>
        <v/>
      </c>
      <c r="AW5" s="286"/>
      <c r="AX5" s="286"/>
      <c r="AY5" s="58" t="str">
        <f>IF($F$2&gt;=12,1,"")</f>
        <v/>
      </c>
      <c r="AZ5" s="286" t="str">
        <f>IF(AY5=1,"Results (검사원)","")</f>
        <v/>
      </c>
      <c r="BA5" s="286"/>
      <c r="BB5" s="286"/>
      <c r="BC5" s="58" t="str">
        <f>IF($F$2&gt;=13,1,"")</f>
        <v/>
      </c>
      <c r="BD5" s="286" t="str">
        <f>IF(BC5=1,"Results (검사원)","")</f>
        <v/>
      </c>
      <c r="BE5" s="286"/>
      <c r="BF5" s="286"/>
      <c r="BG5" s="58" t="str">
        <f>IF($F$2&gt;=14,1,"")</f>
        <v/>
      </c>
      <c r="BH5" s="286" t="str">
        <f>IF(BG5=1,"Results (검사원)","")</f>
        <v/>
      </c>
      <c r="BI5" s="286"/>
      <c r="BJ5" s="286"/>
      <c r="BK5" s="58" t="str">
        <f>IF($F$2&gt;=15,1,"")</f>
        <v/>
      </c>
      <c r="BL5" s="286" t="str">
        <f>IF(BK5=1,"Results (검사원)","")</f>
        <v/>
      </c>
      <c r="BM5" s="286"/>
      <c r="BN5" s="286"/>
      <c r="BO5" s="58" t="str">
        <f>IF($F$2&gt;=16,1,"")</f>
        <v/>
      </c>
      <c r="BP5" s="286" t="str">
        <f>IF(BO5=1,"Results (검사원)","")</f>
        <v/>
      </c>
      <c r="BQ5" s="286"/>
      <c r="BR5" s="286"/>
      <c r="BS5" s="58" t="str">
        <f>IF($F$2&gt;=17,1,"")</f>
        <v/>
      </c>
      <c r="BT5" s="286" t="str">
        <f>IF(BS5=1,"Results (검사원)","")</f>
        <v/>
      </c>
      <c r="BU5" s="286"/>
      <c r="BV5" s="286"/>
      <c r="BW5" s="7"/>
    </row>
    <row r="6" spans="1:75">
      <c r="A6" s="94"/>
      <c r="B6" s="57" t="s">
        <v>197</v>
      </c>
      <c r="C6" s="88" t="s">
        <v>267</v>
      </c>
      <c r="D6" s="123" t="s">
        <v>10</v>
      </c>
      <c r="E6" s="132" t="s">
        <v>196</v>
      </c>
      <c r="F6" s="23" t="s">
        <v>14</v>
      </c>
      <c r="G6" s="23" t="s">
        <v>15</v>
      </c>
      <c r="H6" s="90" t="s">
        <v>16</v>
      </c>
      <c r="I6" s="91" t="s">
        <v>9</v>
      </c>
      <c r="J6" s="61"/>
      <c r="K6" s="7"/>
      <c r="L6" s="73" t="str">
        <f>IF(K5=1,"Symbol","")</f>
        <v/>
      </c>
      <c r="M6" s="73" t="str">
        <f>IF(K5=1,"Result","")</f>
        <v/>
      </c>
      <c r="N6" s="73" t="str">
        <f>IF(K5=1,"Comment","")</f>
        <v/>
      </c>
      <c r="O6" s="38"/>
      <c r="P6" s="73" t="str">
        <f>IF(O5=1,"Symbol","")</f>
        <v/>
      </c>
      <c r="Q6" s="73" t="str">
        <f>IF(O5=1,"Result","")</f>
        <v/>
      </c>
      <c r="R6" s="73" t="str">
        <f>IF(O5=1,"Comment","")</f>
        <v/>
      </c>
      <c r="S6" s="38"/>
      <c r="T6" s="73" t="str">
        <f>IF(S5=1,"Symbol","")</f>
        <v/>
      </c>
      <c r="U6" s="73" t="str">
        <f>IF(S5=1,"Result","")</f>
        <v/>
      </c>
      <c r="V6" s="73" t="str">
        <f>IF(S5=1,"Comment","")</f>
        <v/>
      </c>
      <c r="W6" s="38"/>
      <c r="X6" s="73" t="str">
        <f>IF(W5=1,"Symbol","")</f>
        <v/>
      </c>
      <c r="Y6" s="73" t="str">
        <f>IF(W5=1,"Result","")</f>
        <v/>
      </c>
      <c r="Z6" s="73" t="str">
        <f>IF(W5=1,"Comment","")</f>
        <v/>
      </c>
      <c r="AA6" s="38"/>
      <c r="AB6" s="73" t="str">
        <f>IF(AA5=1,"Symbol","")</f>
        <v/>
      </c>
      <c r="AC6" s="73" t="str">
        <f>IF(AA5=1,"Result","")</f>
        <v/>
      </c>
      <c r="AD6" s="73" t="str">
        <f>IF(AA5=1,"Comment","")</f>
        <v/>
      </c>
      <c r="AE6" s="38"/>
      <c r="AF6" s="73" t="str">
        <f>IF(AE5=1,"Symbol","")</f>
        <v/>
      </c>
      <c r="AG6" s="73" t="str">
        <f>IF(AE5=1,"Result","")</f>
        <v/>
      </c>
      <c r="AH6" s="73" t="str">
        <f>IF(AE5=1,"Comment","")</f>
        <v/>
      </c>
      <c r="AI6" s="38"/>
      <c r="AJ6" s="73" t="str">
        <f>IF(AI5=1,"Symbol","")</f>
        <v/>
      </c>
      <c r="AK6" s="73" t="str">
        <f>IF(AI5=1,"Result","")</f>
        <v/>
      </c>
      <c r="AL6" s="73" t="str">
        <f>IF(AI5=1,"Comment","")</f>
        <v/>
      </c>
      <c r="AM6" s="38"/>
      <c r="AN6" s="73" t="str">
        <f>IF(AM5=1,"Symbol","")</f>
        <v/>
      </c>
      <c r="AO6" s="73" t="str">
        <f>IF(AM5=1,"Result","")</f>
        <v/>
      </c>
      <c r="AP6" s="73" t="str">
        <f>IF(AM5=1,"Comment","")</f>
        <v/>
      </c>
      <c r="AQ6" s="38"/>
      <c r="AR6" s="73" t="str">
        <f>IF(AQ5=1,"Symbol","")</f>
        <v/>
      </c>
      <c r="AS6" s="73" t="str">
        <f>IF(AQ5=1,"Result","")</f>
        <v/>
      </c>
      <c r="AT6" s="73" t="str">
        <f>IF(AQ5=1,"Comment","")</f>
        <v/>
      </c>
      <c r="AU6" s="38"/>
      <c r="AV6" s="73" t="str">
        <f>IF(AU5=1,"Symbol","")</f>
        <v/>
      </c>
      <c r="AW6" s="73" t="str">
        <f>IF(AU5=1,"Result","")</f>
        <v/>
      </c>
      <c r="AX6" s="73" t="str">
        <f>IF(AU5=1,"Comment","")</f>
        <v/>
      </c>
      <c r="AY6" s="38"/>
      <c r="AZ6" s="73" t="str">
        <f>IF(AY5=1,"Symbol","")</f>
        <v/>
      </c>
      <c r="BA6" s="73" t="str">
        <f>IF(AY5=1,"Result","")</f>
        <v/>
      </c>
      <c r="BB6" s="73" t="str">
        <f>IF(AY5=1,"Comment","")</f>
        <v/>
      </c>
      <c r="BC6" s="38"/>
      <c r="BD6" s="73" t="str">
        <f>IF(BC5=1,"Symbol","")</f>
        <v/>
      </c>
      <c r="BE6" s="73" t="str">
        <f>IF(BC5=1,"Result","")</f>
        <v/>
      </c>
      <c r="BF6" s="73" t="str">
        <f>IF(BC5=1,"Comment","")</f>
        <v/>
      </c>
      <c r="BG6" s="38"/>
      <c r="BH6" s="73" t="str">
        <f>IF(BG5=1,"Symbol","")</f>
        <v/>
      </c>
      <c r="BI6" s="73" t="str">
        <f>IF(BG5=1,"Result","")</f>
        <v/>
      </c>
      <c r="BJ6" s="73" t="str">
        <f>IF(BG5=1,"Comment","")</f>
        <v/>
      </c>
      <c r="BK6" s="38"/>
      <c r="BL6" s="73" t="str">
        <f>IF(BK5=1,"Symbol","")</f>
        <v/>
      </c>
      <c r="BM6" s="73" t="str">
        <f>IF(BK5=1,"Result","")</f>
        <v/>
      </c>
      <c r="BN6" s="73" t="str">
        <f>IF(BK5=1,"Comment","")</f>
        <v/>
      </c>
      <c r="BO6" s="38"/>
      <c r="BP6" s="73" t="str">
        <f>IF(BO5=1,"Symbol","")</f>
        <v/>
      </c>
      <c r="BQ6" s="73" t="str">
        <f>IF(BO5=1,"Result","")</f>
        <v/>
      </c>
      <c r="BR6" s="73" t="str">
        <f>IF(BO5=1,"Comment","")</f>
        <v/>
      </c>
      <c r="BS6" s="38"/>
      <c r="BT6" s="73" t="str">
        <f>IF(BS5=1,"Symbol","")</f>
        <v/>
      </c>
      <c r="BU6" s="73" t="str">
        <f>IF(BS5=1,"Result","")</f>
        <v/>
      </c>
      <c r="BV6" s="73" t="str">
        <f>IF(BS5=1,"Comment","")</f>
        <v/>
      </c>
      <c r="BW6" s="7"/>
    </row>
    <row r="7" spans="1:75">
      <c r="A7" s="95">
        <v>1</v>
      </c>
      <c r="B7" s="53"/>
      <c r="C7" s="67"/>
      <c r="D7" s="124"/>
      <c r="E7" s="133"/>
      <c r="F7" s="200"/>
      <c r="G7" s="22"/>
      <c r="H7" s="21"/>
      <c r="I7" s="22"/>
      <c r="J7" s="59"/>
      <c r="K7" s="7"/>
      <c r="L7" s="11"/>
      <c r="M7" s="199"/>
      <c r="N7" s="12"/>
      <c r="O7" s="7"/>
      <c r="P7" s="104"/>
      <c r="Q7" s="222"/>
      <c r="R7" s="222"/>
      <c r="S7" s="7"/>
      <c r="T7" s="104"/>
      <c r="U7" s="222"/>
      <c r="V7" s="222"/>
      <c r="W7" s="7"/>
      <c r="X7" s="104"/>
      <c r="Y7" s="222"/>
      <c r="Z7" s="222"/>
      <c r="AA7" s="7"/>
      <c r="AB7" s="104"/>
      <c r="AC7" s="222"/>
      <c r="AD7" s="222"/>
      <c r="AE7" s="7"/>
      <c r="AF7" s="104"/>
      <c r="AG7" s="222"/>
      <c r="AH7" s="222"/>
      <c r="AI7" s="7"/>
      <c r="AJ7" s="104"/>
      <c r="AK7" s="222"/>
      <c r="AL7" s="222"/>
      <c r="AM7" s="7"/>
      <c r="AN7" s="104"/>
      <c r="AO7" s="222"/>
      <c r="AP7" s="222"/>
      <c r="AQ7" s="7"/>
      <c r="AR7" s="104"/>
      <c r="AS7" s="222"/>
      <c r="AT7" s="222"/>
      <c r="AU7" s="7"/>
      <c r="AV7" s="104"/>
      <c r="AW7" s="222"/>
      <c r="AX7" s="222"/>
      <c r="AY7" s="7"/>
      <c r="AZ7" s="104"/>
      <c r="BA7" s="222"/>
      <c r="BB7" s="222"/>
      <c r="BC7" s="7"/>
      <c r="BD7" s="104"/>
      <c r="BE7" s="222"/>
      <c r="BF7" s="222"/>
      <c r="BG7" s="7"/>
      <c r="BH7" s="104"/>
      <c r="BI7" s="222"/>
      <c r="BJ7" s="222"/>
      <c r="BK7" s="7"/>
      <c r="BL7" s="104"/>
      <c r="BM7" s="222"/>
      <c r="BN7" s="222"/>
      <c r="BO7" s="7"/>
      <c r="BP7" s="104"/>
      <c r="BQ7" s="222"/>
      <c r="BR7" s="222"/>
      <c r="BS7" s="7"/>
      <c r="BT7" s="104"/>
      <c r="BU7" s="222"/>
      <c r="BV7" s="222"/>
      <c r="BW7" s="7"/>
    </row>
    <row r="8" spans="1:75">
      <c r="A8" s="95">
        <v>2</v>
      </c>
      <c r="B8" s="53"/>
      <c r="C8" s="67"/>
      <c r="D8" s="124"/>
      <c r="E8" s="133"/>
      <c r="F8" s="200"/>
      <c r="G8" s="22"/>
      <c r="H8" s="21"/>
      <c r="I8" s="22"/>
      <c r="J8" s="59"/>
      <c r="K8" s="7"/>
      <c r="L8" s="11"/>
      <c r="M8" s="199"/>
      <c r="N8" s="12"/>
      <c r="O8" s="7"/>
      <c r="P8" s="104"/>
      <c r="Q8" s="222"/>
      <c r="R8" s="222"/>
      <c r="S8" s="7"/>
      <c r="T8" s="104"/>
      <c r="U8" s="222"/>
      <c r="V8" s="222"/>
      <c r="W8" s="7"/>
      <c r="X8" s="104"/>
      <c r="Y8" s="222"/>
      <c r="Z8" s="222"/>
      <c r="AA8" s="7"/>
      <c r="AB8" s="104"/>
      <c r="AC8" s="222"/>
      <c r="AD8" s="222"/>
      <c r="AE8" s="7"/>
      <c r="AF8" s="104"/>
      <c r="AG8" s="222"/>
      <c r="AH8" s="222"/>
      <c r="AI8" s="7"/>
      <c r="AJ8" s="104"/>
      <c r="AK8" s="222"/>
      <c r="AL8" s="222"/>
      <c r="AM8" s="7"/>
      <c r="AN8" s="104"/>
      <c r="AO8" s="222"/>
      <c r="AP8" s="222"/>
      <c r="AQ8" s="7"/>
      <c r="AR8" s="104"/>
      <c r="AS8" s="222"/>
      <c r="AT8" s="222"/>
      <c r="AU8" s="7"/>
      <c r="AV8" s="104"/>
      <c r="AW8" s="222"/>
      <c r="AX8" s="222"/>
      <c r="AY8" s="7"/>
      <c r="AZ8" s="104"/>
      <c r="BA8" s="222"/>
      <c r="BB8" s="222"/>
      <c r="BC8" s="7"/>
      <c r="BD8" s="104"/>
      <c r="BE8" s="222"/>
      <c r="BF8" s="222"/>
      <c r="BG8" s="7"/>
      <c r="BH8" s="104"/>
      <c r="BI8" s="222"/>
      <c r="BJ8" s="222"/>
      <c r="BK8" s="7"/>
      <c r="BL8" s="104"/>
      <c r="BM8" s="222"/>
      <c r="BN8" s="222"/>
      <c r="BO8" s="7"/>
      <c r="BP8" s="104"/>
      <c r="BQ8" s="222"/>
      <c r="BR8" s="222"/>
      <c r="BS8" s="7"/>
      <c r="BT8" s="104"/>
      <c r="BU8" s="222"/>
      <c r="BV8" s="222"/>
      <c r="BW8" s="7"/>
    </row>
    <row r="9" spans="1:75">
      <c r="A9" s="95">
        <v>3</v>
      </c>
      <c r="B9" s="53"/>
      <c r="C9" s="67"/>
      <c r="D9" s="124"/>
      <c r="E9" s="133"/>
      <c r="F9" s="200"/>
      <c r="G9" s="22"/>
      <c r="H9" s="21"/>
      <c r="I9" s="22"/>
      <c r="J9" s="59"/>
      <c r="K9" s="7"/>
      <c r="L9" s="11"/>
      <c r="M9" s="199"/>
      <c r="N9" s="12"/>
      <c r="O9" s="7"/>
      <c r="P9" s="104"/>
      <c r="Q9" s="222"/>
      <c r="R9" s="222"/>
      <c r="S9" s="7"/>
      <c r="T9" s="104"/>
      <c r="U9" s="222"/>
      <c r="V9" s="222"/>
      <c r="W9" s="7"/>
      <c r="X9" s="104"/>
      <c r="Y9" s="222"/>
      <c r="Z9" s="222"/>
      <c r="AA9" s="7"/>
      <c r="AB9" s="104"/>
      <c r="AC9" s="222"/>
      <c r="AD9" s="222"/>
      <c r="AE9" s="7"/>
      <c r="AF9" s="104"/>
      <c r="AG9" s="222"/>
      <c r="AH9" s="222"/>
      <c r="AI9" s="7"/>
      <c r="AJ9" s="104"/>
      <c r="AK9" s="222"/>
      <c r="AL9" s="222"/>
      <c r="AM9" s="7"/>
      <c r="AN9" s="104"/>
      <c r="AO9" s="222"/>
      <c r="AP9" s="222"/>
      <c r="AQ9" s="7"/>
      <c r="AR9" s="104"/>
      <c r="AS9" s="222"/>
      <c r="AT9" s="222"/>
      <c r="AU9" s="7"/>
      <c r="AV9" s="104"/>
      <c r="AW9" s="222"/>
      <c r="AX9" s="222"/>
      <c r="AY9" s="7"/>
      <c r="AZ9" s="104"/>
      <c r="BA9" s="222"/>
      <c r="BB9" s="222"/>
      <c r="BC9" s="7"/>
      <c r="BD9" s="104"/>
      <c r="BE9" s="222"/>
      <c r="BF9" s="222"/>
      <c r="BG9" s="7"/>
      <c r="BH9" s="104"/>
      <c r="BI9" s="222"/>
      <c r="BJ9" s="222"/>
      <c r="BK9" s="7"/>
      <c r="BL9" s="104"/>
      <c r="BM9" s="222"/>
      <c r="BN9" s="222"/>
      <c r="BO9" s="7"/>
      <c r="BP9" s="104"/>
      <c r="BQ9" s="222"/>
      <c r="BR9" s="222"/>
      <c r="BS9" s="7"/>
      <c r="BT9" s="104"/>
      <c r="BU9" s="222"/>
      <c r="BV9" s="222"/>
      <c r="BW9" s="7"/>
    </row>
    <row r="10" spans="1:75">
      <c r="A10" s="95">
        <v>4</v>
      </c>
      <c r="B10" s="53"/>
      <c r="C10" s="67"/>
      <c r="D10" s="124"/>
      <c r="E10" s="133"/>
      <c r="F10" s="200"/>
      <c r="G10" s="22"/>
      <c r="H10" s="21"/>
      <c r="I10" s="22"/>
      <c r="J10" s="59"/>
      <c r="K10" s="7"/>
      <c r="L10" s="11"/>
      <c r="M10" s="199"/>
      <c r="N10" s="12"/>
      <c r="O10" s="7"/>
      <c r="P10" s="104"/>
      <c r="Q10" s="222"/>
      <c r="R10" s="222"/>
      <c r="S10" s="7"/>
      <c r="T10" s="104"/>
      <c r="U10" s="222"/>
      <c r="V10" s="222"/>
      <c r="W10" s="7"/>
      <c r="X10" s="104"/>
      <c r="Y10" s="222"/>
      <c r="Z10" s="222"/>
      <c r="AA10" s="7"/>
      <c r="AB10" s="104"/>
      <c r="AC10" s="222"/>
      <c r="AD10" s="222"/>
      <c r="AE10" s="7"/>
      <c r="AF10" s="104"/>
      <c r="AG10" s="222"/>
      <c r="AH10" s="222"/>
      <c r="AI10" s="7"/>
      <c r="AJ10" s="104"/>
      <c r="AK10" s="222"/>
      <c r="AL10" s="222"/>
      <c r="AM10" s="7"/>
      <c r="AN10" s="104"/>
      <c r="AO10" s="222"/>
      <c r="AP10" s="222"/>
      <c r="AQ10" s="7"/>
      <c r="AR10" s="104"/>
      <c r="AS10" s="222"/>
      <c r="AT10" s="222"/>
      <c r="AU10" s="7"/>
      <c r="AV10" s="104"/>
      <c r="AW10" s="222"/>
      <c r="AX10" s="222"/>
      <c r="AY10" s="7"/>
      <c r="AZ10" s="104"/>
      <c r="BA10" s="222"/>
      <c r="BB10" s="222"/>
      <c r="BC10" s="7"/>
      <c r="BD10" s="104"/>
      <c r="BE10" s="222"/>
      <c r="BF10" s="222"/>
      <c r="BG10" s="7"/>
      <c r="BH10" s="104"/>
      <c r="BI10" s="222"/>
      <c r="BJ10" s="222"/>
      <c r="BK10" s="7"/>
      <c r="BL10" s="104"/>
      <c r="BM10" s="222"/>
      <c r="BN10" s="222"/>
      <c r="BO10" s="7"/>
      <c r="BP10" s="104"/>
      <c r="BQ10" s="222"/>
      <c r="BR10" s="222"/>
      <c r="BS10" s="7"/>
      <c r="BT10" s="104"/>
      <c r="BU10" s="222"/>
      <c r="BV10" s="222"/>
      <c r="BW10" s="7"/>
    </row>
    <row r="11" spans="1:75">
      <c r="A11" s="95">
        <v>5</v>
      </c>
      <c r="B11" s="53"/>
      <c r="C11" s="67"/>
      <c r="D11" s="124"/>
      <c r="E11" s="133"/>
      <c r="F11" s="200"/>
      <c r="G11" s="22"/>
      <c r="H11" s="21"/>
      <c r="I11" s="22"/>
      <c r="J11" s="59"/>
      <c r="K11" s="7"/>
      <c r="L11" s="11"/>
      <c r="M11" s="199"/>
      <c r="N11" s="12"/>
      <c r="O11" s="7"/>
      <c r="P11" s="104"/>
      <c r="Q11" s="222"/>
      <c r="R11" s="222"/>
      <c r="S11" s="7"/>
      <c r="T11" s="104"/>
      <c r="U11" s="222"/>
      <c r="V11" s="222"/>
      <c r="W11" s="7"/>
      <c r="X11" s="104"/>
      <c r="Y11" s="222"/>
      <c r="Z11" s="222"/>
      <c r="AA11" s="7"/>
      <c r="AB11" s="104"/>
      <c r="AC11" s="222"/>
      <c r="AD11" s="222"/>
      <c r="AE11" s="7"/>
      <c r="AF11" s="104"/>
      <c r="AG11" s="222"/>
      <c r="AH11" s="222"/>
      <c r="AI11" s="7"/>
      <c r="AJ11" s="104"/>
      <c r="AK11" s="222"/>
      <c r="AL11" s="222"/>
      <c r="AM11" s="7"/>
      <c r="AN11" s="104"/>
      <c r="AO11" s="222"/>
      <c r="AP11" s="222"/>
      <c r="AQ11" s="7"/>
      <c r="AR11" s="104"/>
      <c r="AS11" s="222"/>
      <c r="AT11" s="222"/>
      <c r="AU11" s="7"/>
      <c r="AV11" s="104"/>
      <c r="AW11" s="222"/>
      <c r="AX11" s="222"/>
      <c r="AY11" s="7"/>
      <c r="AZ11" s="104"/>
      <c r="BA11" s="222"/>
      <c r="BB11" s="222"/>
      <c r="BC11" s="7"/>
      <c r="BD11" s="104"/>
      <c r="BE11" s="222"/>
      <c r="BF11" s="222"/>
      <c r="BG11" s="7"/>
      <c r="BH11" s="104"/>
      <c r="BI11" s="222"/>
      <c r="BJ11" s="222"/>
      <c r="BK11" s="7"/>
      <c r="BL11" s="104"/>
      <c r="BM11" s="222"/>
      <c r="BN11" s="222"/>
      <c r="BO11" s="7"/>
      <c r="BP11" s="104"/>
      <c r="BQ11" s="222"/>
      <c r="BR11" s="222"/>
      <c r="BS11" s="7"/>
      <c r="BT11" s="104"/>
      <c r="BU11" s="222"/>
      <c r="BV11" s="222"/>
      <c r="BW11" s="7"/>
    </row>
    <row r="12" spans="1:75">
      <c r="A12" s="95">
        <v>6</v>
      </c>
      <c r="B12" s="53"/>
      <c r="C12" s="67"/>
      <c r="D12" s="124"/>
      <c r="E12" s="133"/>
      <c r="F12" s="200"/>
      <c r="G12" s="22"/>
      <c r="H12" s="21"/>
      <c r="I12" s="22"/>
      <c r="J12" s="59"/>
      <c r="K12" s="7"/>
      <c r="L12" s="11"/>
      <c r="M12" s="199"/>
      <c r="N12" s="12"/>
      <c r="O12" s="7"/>
      <c r="P12" s="104"/>
      <c r="Q12" s="222"/>
      <c r="R12" s="222"/>
      <c r="S12" s="7"/>
      <c r="T12" s="104"/>
      <c r="U12" s="222"/>
      <c r="V12" s="222"/>
      <c r="W12" s="7"/>
      <c r="X12" s="104"/>
      <c r="Y12" s="222"/>
      <c r="Z12" s="222"/>
      <c r="AA12" s="7"/>
      <c r="AB12" s="104"/>
      <c r="AC12" s="222"/>
      <c r="AD12" s="222"/>
      <c r="AE12" s="7"/>
      <c r="AF12" s="104"/>
      <c r="AG12" s="222"/>
      <c r="AH12" s="222"/>
      <c r="AI12" s="7"/>
      <c r="AJ12" s="104"/>
      <c r="AK12" s="222"/>
      <c r="AL12" s="222"/>
      <c r="AM12" s="7"/>
      <c r="AN12" s="104"/>
      <c r="AO12" s="222"/>
      <c r="AP12" s="222"/>
      <c r="AQ12" s="7"/>
      <c r="AR12" s="104"/>
      <c r="AS12" s="222"/>
      <c r="AT12" s="222"/>
      <c r="AU12" s="7"/>
      <c r="AV12" s="104"/>
      <c r="AW12" s="222"/>
      <c r="AX12" s="222"/>
      <c r="AY12" s="7"/>
      <c r="AZ12" s="104"/>
      <c r="BA12" s="222"/>
      <c r="BB12" s="222"/>
      <c r="BC12" s="7"/>
      <c r="BD12" s="104"/>
      <c r="BE12" s="222"/>
      <c r="BF12" s="222"/>
      <c r="BG12" s="7"/>
      <c r="BH12" s="104"/>
      <c r="BI12" s="222"/>
      <c r="BJ12" s="222"/>
      <c r="BK12" s="7"/>
      <c r="BL12" s="104"/>
      <c r="BM12" s="222"/>
      <c r="BN12" s="222"/>
      <c r="BO12" s="7"/>
      <c r="BP12" s="104"/>
      <c r="BQ12" s="222"/>
      <c r="BR12" s="222"/>
      <c r="BS12" s="7"/>
      <c r="BT12" s="104"/>
      <c r="BU12" s="222"/>
      <c r="BV12" s="222"/>
      <c r="BW12" s="7"/>
    </row>
    <row r="13" spans="1:75">
      <c r="A13" s="95">
        <v>7</v>
      </c>
      <c r="B13" s="53"/>
      <c r="C13" s="67"/>
      <c r="D13" s="124"/>
      <c r="E13" s="133"/>
      <c r="F13" s="200"/>
      <c r="G13" s="22"/>
      <c r="H13" s="21"/>
      <c r="I13" s="22"/>
      <c r="J13" s="59"/>
      <c r="K13" s="7"/>
      <c r="L13" s="11"/>
      <c r="M13" s="199"/>
      <c r="N13" s="12"/>
      <c r="O13" s="7"/>
      <c r="P13" s="104"/>
      <c r="Q13" s="222"/>
      <c r="R13" s="222"/>
      <c r="S13" s="7"/>
      <c r="T13" s="104"/>
      <c r="U13" s="222"/>
      <c r="V13" s="222"/>
      <c r="W13" s="7"/>
      <c r="X13" s="104"/>
      <c r="Y13" s="222"/>
      <c r="Z13" s="222"/>
      <c r="AA13" s="7"/>
      <c r="AB13" s="104"/>
      <c r="AC13" s="222"/>
      <c r="AD13" s="222"/>
      <c r="AE13" s="7"/>
      <c r="AF13" s="104"/>
      <c r="AG13" s="222"/>
      <c r="AH13" s="222"/>
      <c r="AI13" s="7"/>
      <c r="AJ13" s="104"/>
      <c r="AK13" s="222"/>
      <c r="AL13" s="222"/>
      <c r="AM13" s="7"/>
      <c r="AN13" s="104"/>
      <c r="AO13" s="222"/>
      <c r="AP13" s="222"/>
      <c r="AQ13" s="7"/>
      <c r="AR13" s="104"/>
      <c r="AS13" s="222"/>
      <c r="AT13" s="222"/>
      <c r="AU13" s="7"/>
      <c r="AV13" s="104"/>
      <c r="AW13" s="222"/>
      <c r="AX13" s="222"/>
      <c r="AY13" s="7"/>
      <c r="AZ13" s="104"/>
      <c r="BA13" s="222"/>
      <c r="BB13" s="222"/>
      <c r="BC13" s="7"/>
      <c r="BD13" s="104"/>
      <c r="BE13" s="222"/>
      <c r="BF13" s="222"/>
      <c r="BG13" s="7"/>
      <c r="BH13" s="104"/>
      <c r="BI13" s="222"/>
      <c r="BJ13" s="222"/>
      <c r="BK13" s="7"/>
      <c r="BL13" s="104"/>
      <c r="BM13" s="222"/>
      <c r="BN13" s="222"/>
      <c r="BO13" s="7"/>
      <c r="BP13" s="104"/>
      <c r="BQ13" s="222"/>
      <c r="BR13" s="222"/>
      <c r="BS13" s="7"/>
      <c r="BT13" s="104"/>
      <c r="BU13" s="222"/>
      <c r="BV13" s="222"/>
      <c r="BW13" s="7"/>
    </row>
    <row r="14" spans="1:75">
      <c r="A14" s="95">
        <v>8</v>
      </c>
      <c r="B14" s="53"/>
      <c r="C14" s="67"/>
      <c r="D14" s="124"/>
      <c r="E14" s="133"/>
      <c r="F14" s="200"/>
      <c r="G14" s="22"/>
      <c r="H14" s="21"/>
      <c r="I14" s="22"/>
      <c r="J14" s="59"/>
      <c r="K14" s="7"/>
      <c r="L14" s="11"/>
      <c r="M14" s="199"/>
      <c r="N14" s="12"/>
      <c r="O14" s="7"/>
      <c r="P14" s="104"/>
      <c r="Q14" s="222"/>
      <c r="R14" s="222"/>
      <c r="S14" s="7"/>
      <c r="T14" s="104"/>
      <c r="U14" s="222"/>
      <c r="V14" s="222"/>
      <c r="W14" s="7"/>
      <c r="X14" s="104"/>
      <c r="Y14" s="222"/>
      <c r="Z14" s="222"/>
      <c r="AA14" s="7"/>
      <c r="AB14" s="104"/>
      <c r="AC14" s="222"/>
      <c r="AD14" s="222"/>
      <c r="AE14" s="7"/>
      <c r="AF14" s="104"/>
      <c r="AG14" s="222"/>
      <c r="AH14" s="222"/>
      <c r="AI14" s="7"/>
      <c r="AJ14" s="104"/>
      <c r="AK14" s="222"/>
      <c r="AL14" s="222"/>
      <c r="AM14" s="7"/>
      <c r="AN14" s="104"/>
      <c r="AO14" s="222"/>
      <c r="AP14" s="222"/>
      <c r="AQ14" s="7"/>
      <c r="AR14" s="104"/>
      <c r="AS14" s="222"/>
      <c r="AT14" s="222"/>
      <c r="AU14" s="7"/>
      <c r="AV14" s="104"/>
      <c r="AW14" s="222"/>
      <c r="AX14" s="222"/>
      <c r="AY14" s="7"/>
      <c r="AZ14" s="104"/>
      <c r="BA14" s="222"/>
      <c r="BB14" s="222"/>
      <c r="BC14" s="7"/>
      <c r="BD14" s="104"/>
      <c r="BE14" s="222"/>
      <c r="BF14" s="222"/>
      <c r="BG14" s="7"/>
      <c r="BH14" s="104"/>
      <c r="BI14" s="222"/>
      <c r="BJ14" s="222"/>
      <c r="BK14" s="7"/>
      <c r="BL14" s="104"/>
      <c r="BM14" s="222"/>
      <c r="BN14" s="222"/>
      <c r="BO14" s="7"/>
      <c r="BP14" s="104"/>
      <c r="BQ14" s="222"/>
      <c r="BR14" s="222"/>
      <c r="BS14" s="7"/>
      <c r="BT14" s="104"/>
      <c r="BU14" s="222"/>
      <c r="BV14" s="222"/>
      <c r="BW14" s="7"/>
    </row>
    <row r="15" spans="1:75">
      <c r="A15" s="95">
        <v>9</v>
      </c>
      <c r="B15" s="53"/>
      <c r="C15" s="67"/>
      <c r="D15" s="124"/>
      <c r="E15" s="133"/>
      <c r="F15" s="200"/>
      <c r="G15" s="22"/>
      <c r="H15" s="21"/>
      <c r="I15" s="22"/>
      <c r="J15" s="59"/>
      <c r="K15" s="7"/>
      <c r="L15" s="11"/>
      <c r="M15" s="199"/>
      <c r="N15" s="12"/>
      <c r="O15" s="7"/>
      <c r="P15" s="104"/>
      <c r="Q15" s="222"/>
      <c r="R15" s="222"/>
      <c r="S15" s="7"/>
      <c r="T15" s="104"/>
      <c r="U15" s="222"/>
      <c r="V15" s="222"/>
      <c r="W15" s="7"/>
      <c r="X15" s="104"/>
      <c r="Y15" s="222"/>
      <c r="Z15" s="222"/>
      <c r="AA15" s="7"/>
      <c r="AB15" s="104"/>
      <c r="AC15" s="222"/>
      <c r="AD15" s="222"/>
      <c r="AE15" s="7"/>
      <c r="AF15" s="104"/>
      <c r="AG15" s="222"/>
      <c r="AH15" s="222"/>
      <c r="AI15" s="7"/>
      <c r="AJ15" s="104"/>
      <c r="AK15" s="222"/>
      <c r="AL15" s="222"/>
      <c r="AM15" s="7"/>
      <c r="AN15" s="104"/>
      <c r="AO15" s="222"/>
      <c r="AP15" s="222"/>
      <c r="AQ15" s="7"/>
      <c r="AR15" s="104"/>
      <c r="AS15" s="222"/>
      <c r="AT15" s="222"/>
      <c r="AU15" s="7"/>
      <c r="AV15" s="104"/>
      <c r="AW15" s="222"/>
      <c r="AX15" s="222"/>
      <c r="AY15" s="7"/>
      <c r="AZ15" s="104"/>
      <c r="BA15" s="222"/>
      <c r="BB15" s="222"/>
      <c r="BC15" s="7"/>
      <c r="BD15" s="104"/>
      <c r="BE15" s="222"/>
      <c r="BF15" s="222"/>
      <c r="BG15" s="7"/>
      <c r="BH15" s="104"/>
      <c r="BI15" s="222"/>
      <c r="BJ15" s="222"/>
      <c r="BK15" s="7"/>
      <c r="BL15" s="104"/>
      <c r="BM15" s="222"/>
      <c r="BN15" s="222"/>
      <c r="BO15" s="7"/>
      <c r="BP15" s="104"/>
      <c r="BQ15" s="222"/>
      <c r="BR15" s="222"/>
      <c r="BS15" s="7"/>
      <c r="BT15" s="104"/>
      <c r="BU15" s="222"/>
      <c r="BV15" s="222"/>
      <c r="BW15" s="7"/>
    </row>
    <row r="16" spans="1:75">
      <c r="A16" s="95">
        <v>10</v>
      </c>
      <c r="B16" s="53"/>
      <c r="C16" s="67"/>
      <c r="D16" s="124"/>
      <c r="E16" s="133"/>
      <c r="F16" s="200"/>
      <c r="G16" s="22"/>
      <c r="H16" s="21"/>
      <c r="I16" s="22"/>
      <c r="J16" s="59"/>
      <c r="K16" s="7"/>
      <c r="L16" s="11"/>
      <c r="M16" s="199"/>
      <c r="N16" s="12"/>
      <c r="O16" s="7"/>
      <c r="P16" s="104"/>
      <c r="Q16" s="222"/>
      <c r="R16" s="222"/>
      <c r="S16" s="7"/>
      <c r="T16" s="104"/>
      <c r="U16" s="222"/>
      <c r="V16" s="222"/>
      <c r="W16" s="7"/>
      <c r="X16" s="104"/>
      <c r="Y16" s="222"/>
      <c r="Z16" s="222"/>
      <c r="AA16" s="7"/>
      <c r="AB16" s="104"/>
      <c r="AC16" s="222"/>
      <c r="AD16" s="222"/>
      <c r="AE16" s="7"/>
      <c r="AF16" s="104"/>
      <c r="AG16" s="222"/>
      <c r="AH16" s="222"/>
      <c r="AI16" s="7"/>
      <c r="AJ16" s="104"/>
      <c r="AK16" s="222"/>
      <c r="AL16" s="222"/>
      <c r="AM16" s="7"/>
      <c r="AN16" s="104"/>
      <c r="AO16" s="222"/>
      <c r="AP16" s="222"/>
      <c r="AQ16" s="7"/>
      <c r="AR16" s="104"/>
      <c r="AS16" s="222"/>
      <c r="AT16" s="222"/>
      <c r="AU16" s="7"/>
      <c r="AV16" s="104"/>
      <c r="AW16" s="222"/>
      <c r="AX16" s="222"/>
      <c r="AY16" s="7"/>
      <c r="AZ16" s="104"/>
      <c r="BA16" s="222"/>
      <c r="BB16" s="222"/>
      <c r="BC16" s="7"/>
      <c r="BD16" s="104"/>
      <c r="BE16" s="222"/>
      <c r="BF16" s="222"/>
      <c r="BG16" s="7"/>
      <c r="BH16" s="104"/>
      <c r="BI16" s="222"/>
      <c r="BJ16" s="222"/>
      <c r="BK16" s="7"/>
      <c r="BL16" s="104"/>
      <c r="BM16" s="222"/>
      <c r="BN16" s="222"/>
      <c r="BO16" s="7"/>
      <c r="BP16" s="104"/>
      <c r="BQ16" s="222"/>
      <c r="BR16" s="222"/>
      <c r="BS16" s="7"/>
      <c r="BT16" s="104"/>
      <c r="BU16" s="222"/>
      <c r="BV16" s="222"/>
      <c r="BW16" s="7"/>
    </row>
    <row r="17" spans="1:75">
      <c r="A17" s="95">
        <v>11</v>
      </c>
      <c r="B17" s="53"/>
      <c r="C17" s="67"/>
      <c r="D17" s="124"/>
      <c r="E17" s="133"/>
      <c r="F17" s="200"/>
      <c r="G17" s="22"/>
      <c r="H17" s="21"/>
      <c r="I17" s="22"/>
      <c r="J17" s="59"/>
      <c r="K17" s="7"/>
      <c r="L17" s="11"/>
      <c r="M17" s="199"/>
      <c r="N17" s="12"/>
      <c r="O17" s="7"/>
      <c r="P17" s="104"/>
      <c r="Q17" s="222"/>
      <c r="R17" s="222"/>
      <c r="S17" s="7"/>
      <c r="T17" s="104"/>
      <c r="U17" s="222"/>
      <c r="V17" s="222"/>
      <c r="W17" s="7"/>
      <c r="X17" s="104"/>
      <c r="Y17" s="222"/>
      <c r="Z17" s="222"/>
      <c r="AA17" s="7"/>
      <c r="AB17" s="104"/>
      <c r="AC17" s="222"/>
      <c r="AD17" s="222"/>
      <c r="AE17" s="7"/>
      <c r="AF17" s="104"/>
      <c r="AG17" s="222"/>
      <c r="AH17" s="222"/>
      <c r="AI17" s="7"/>
      <c r="AJ17" s="104"/>
      <c r="AK17" s="222"/>
      <c r="AL17" s="222"/>
      <c r="AM17" s="7"/>
      <c r="AN17" s="104"/>
      <c r="AO17" s="222"/>
      <c r="AP17" s="222"/>
      <c r="AQ17" s="7"/>
      <c r="AR17" s="104"/>
      <c r="AS17" s="222"/>
      <c r="AT17" s="222"/>
      <c r="AU17" s="7"/>
      <c r="AV17" s="104"/>
      <c r="AW17" s="222"/>
      <c r="AX17" s="222"/>
      <c r="AY17" s="7"/>
      <c r="AZ17" s="104"/>
      <c r="BA17" s="222"/>
      <c r="BB17" s="222"/>
      <c r="BC17" s="7"/>
      <c r="BD17" s="104"/>
      <c r="BE17" s="222"/>
      <c r="BF17" s="222"/>
      <c r="BG17" s="7"/>
      <c r="BH17" s="104"/>
      <c r="BI17" s="222"/>
      <c r="BJ17" s="222"/>
      <c r="BK17" s="7"/>
      <c r="BL17" s="104"/>
      <c r="BM17" s="222"/>
      <c r="BN17" s="222"/>
      <c r="BO17" s="7"/>
      <c r="BP17" s="104"/>
      <c r="BQ17" s="222"/>
      <c r="BR17" s="222"/>
      <c r="BS17" s="7"/>
      <c r="BT17" s="104"/>
      <c r="BU17" s="222"/>
      <c r="BV17" s="222"/>
      <c r="BW17" s="7"/>
    </row>
    <row r="18" spans="1:75">
      <c r="A18" s="95">
        <v>12</v>
      </c>
      <c r="B18" s="53"/>
      <c r="C18" s="67"/>
      <c r="D18" s="124"/>
      <c r="E18" s="133"/>
      <c r="F18" s="200"/>
      <c r="G18" s="22"/>
      <c r="H18" s="21"/>
      <c r="I18" s="22"/>
      <c r="J18" s="59"/>
      <c r="K18" s="7"/>
      <c r="L18" s="11"/>
      <c r="M18" s="199"/>
      <c r="N18" s="12"/>
      <c r="O18" s="7"/>
      <c r="P18" s="104"/>
      <c r="Q18" s="222"/>
      <c r="R18" s="222"/>
      <c r="S18" s="7"/>
      <c r="T18" s="104"/>
      <c r="U18" s="222"/>
      <c r="V18" s="222"/>
      <c r="W18" s="7"/>
      <c r="X18" s="104"/>
      <c r="Y18" s="222"/>
      <c r="Z18" s="222"/>
      <c r="AA18" s="7"/>
      <c r="AB18" s="104"/>
      <c r="AC18" s="222"/>
      <c r="AD18" s="222"/>
      <c r="AE18" s="7"/>
      <c r="AF18" s="104"/>
      <c r="AG18" s="222"/>
      <c r="AH18" s="222"/>
      <c r="AI18" s="7"/>
      <c r="AJ18" s="104"/>
      <c r="AK18" s="222"/>
      <c r="AL18" s="222"/>
      <c r="AM18" s="7"/>
      <c r="AN18" s="104"/>
      <c r="AO18" s="222"/>
      <c r="AP18" s="222"/>
      <c r="AQ18" s="7"/>
      <c r="AR18" s="104"/>
      <c r="AS18" s="222"/>
      <c r="AT18" s="222"/>
      <c r="AU18" s="7"/>
      <c r="AV18" s="104"/>
      <c r="AW18" s="222"/>
      <c r="AX18" s="222"/>
      <c r="AY18" s="7"/>
      <c r="AZ18" s="104"/>
      <c r="BA18" s="222"/>
      <c r="BB18" s="222"/>
      <c r="BC18" s="7"/>
      <c r="BD18" s="104"/>
      <c r="BE18" s="222"/>
      <c r="BF18" s="222"/>
      <c r="BG18" s="7"/>
      <c r="BH18" s="104"/>
      <c r="BI18" s="222"/>
      <c r="BJ18" s="222"/>
      <c r="BK18" s="7"/>
      <c r="BL18" s="104"/>
      <c r="BM18" s="222"/>
      <c r="BN18" s="222"/>
      <c r="BO18" s="7"/>
      <c r="BP18" s="104"/>
      <c r="BQ18" s="222"/>
      <c r="BR18" s="222"/>
      <c r="BS18" s="7"/>
      <c r="BT18" s="104"/>
      <c r="BU18" s="222"/>
      <c r="BV18" s="222"/>
      <c r="BW18" s="7"/>
    </row>
    <row r="19" spans="1:75">
      <c r="A19" s="95">
        <v>13</v>
      </c>
      <c r="B19" s="53"/>
      <c r="C19" s="67"/>
      <c r="D19" s="124"/>
      <c r="E19" s="133"/>
      <c r="F19" s="200"/>
      <c r="G19" s="22"/>
      <c r="H19" s="21"/>
      <c r="I19" s="22"/>
      <c r="J19" s="59"/>
      <c r="K19" s="7"/>
      <c r="L19" s="11"/>
      <c r="M19" s="199"/>
      <c r="N19" s="12"/>
      <c r="O19" s="7"/>
      <c r="P19" s="104"/>
      <c r="Q19" s="222"/>
      <c r="R19" s="222"/>
      <c r="S19" s="7"/>
      <c r="T19" s="104"/>
      <c r="U19" s="222"/>
      <c r="V19" s="222"/>
      <c r="W19" s="7"/>
      <c r="X19" s="104"/>
      <c r="Y19" s="222"/>
      <c r="Z19" s="222"/>
      <c r="AA19" s="7"/>
      <c r="AB19" s="104"/>
      <c r="AC19" s="222"/>
      <c r="AD19" s="222"/>
      <c r="AE19" s="7"/>
      <c r="AF19" s="104"/>
      <c r="AG19" s="222"/>
      <c r="AH19" s="222"/>
      <c r="AI19" s="7"/>
      <c r="AJ19" s="104"/>
      <c r="AK19" s="222"/>
      <c r="AL19" s="222"/>
      <c r="AM19" s="7"/>
      <c r="AN19" s="104"/>
      <c r="AO19" s="222"/>
      <c r="AP19" s="222"/>
      <c r="AQ19" s="7"/>
      <c r="AR19" s="104"/>
      <c r="AS19" s="222"/>
      <c r="AT19" s="222"/>
      <c r="AU19" s="7"/>
      <c r="AV19" s="104"/>
      <c r="AW19" s="222"/>
      <c r="AX19" s="222"/>
      <c r="AY19" s="7"/>
      <c r="AZ19" s="104"/>
      <c r="BA19" s="222"/>
      <c r="BB19" s="222"/>
      <c r="BC19" s="7"/>
      <c r="BD19" s="104"/>
      <c r="BE19" s="222"/>
      <c r="BF19" s="222"/>
      <c r="BG19" s="7"/>
      <c r="BH19" s="104"/>
      <c r="BI19" s="222"/>
      <c r="BJ19" s="222"/>
      <c r="BK19" s="7"/>
      <c r="BL19" s="104"/>
      <c r="BM19" s="222"/>
      <c r="BN19" s="222"/>
      <c r="BO19" s="7"/>
      <c r="BP19" s="104"/>
      <c r="BQ19" s="222"/>
      <c r="BR19" s="222"/>
      <c r="BS19" s="7"/>
      <c r="BT19" s="104"/>
      <c r="BU19" s="222"/>
      <c r="BV19" s="222"/>
      <c r="BW19" s="7"/>
    </row>
    <row r="20" spans="1:75">
      <c r="A20" s="95">
        <v>14</v>
      </c>
      <c r="B20" s="53"/>
      <c r="C20" s="67"/>
      <c r="D20" s="124"/>
      <c r="E20" s="133"/>
      <c r="F20" s="200"/>
      <c r="G20" s="22"/>
      <c r="H20" s="21"/>
      <c r="I20" s="22"/>
      <c r="J20" s="59"/>
      <c r="K20" s="7"/>
      <c r="L20" s="11"/>
      <c r="M20" s="199"/>
      <c r="N20" s="12"/>
      <c r="O20" s="7"/>
      <c r="P20" s="104"/>
      <c r="Q20" s="222"/>
      <c r="R20" s="222"/>
      <c r="S20" s="7"/>
      <c r="T20" s="104"/>
      <c r="U20" s="222"/>
      <c r="V20" s="222"/>
      <c r="W20" s="7"/>
      <c r="X20" s="104"/>
      <c r="Y20" s="222"/>
      <c r="Z20" s="222"/>
      <c r="AA20" s="7"/>
      <c r="AB20" s="104"/>
      <c r="AC20" s="222"/>
      <c r="AD20" s="222"/>
      <c r="AE20" s="7"/>
      <c r="AF20" s="104"/>
      <c r="AG20" s="222"/>
      <c r="AH20" s="222"/>
      <c r="AI20" s="7"/>
      <c r="AJ20" s="104"/>
      <c r="AK20" s="222"/>
      <c r="AL20" s="222"/>
      <c r="AM20" s="7"/>
      <c r="AN20" s="104"/>
      <c r="AO20" s="222"/>
      <c r="AP20" s="222"/>
      <c r="AQ20" s="7"/>
      <c r="AR20" s="104"/>
      <c r="AS20" s="222"/>
      <c r="AT20" s="222"/>
      <c r="AU20" s="7"/>
      <c r="AV20" s="104"/>
      <c r="AW20" s="222"/>
      <c r="AX20" s="222"/>
      <c r="AY20" s="7"/>
      <c r="AZ20" s="104"/>
      <c r="BA20" s="222"/>
      <c r="BB20" s="222"/>
      <c r="BC20" s="7"/>
      <c r="BD20" s="104"/>
      <c r="BE20" s="222"/>
      <c r="BF20" s="222"/>
      <c r="BG20" s="7"/>
      <c r="BH20" s="104"/>
      <c r="BI20" s="222"/>
      <c r="BJ20" s="222"/>
      <c r="BK20" s="7"/>
      <c r="BL20" s="104"/>
      <c r="BM20" s="222"/>
      <c r="BN20" s="222"/>
      <c r="BO20" s="7"/>
      <c r="BP20" s="104"/>
      <c r="BQ20" s="222"/>
      <c r="BR20" s="222"/>
      <c r="BS20" s="7"/>
      <c r="BT20" s="104"/>
      <c r="BU20" s="222"/>
      <c r="BV20" s="222"/>
      <c r="BW20" s="7"/>
    </row>
    <row r="21" spans="1:75">
      <c r="A21" s="95">
        <v>15</v>
      </c>
      <c r="B21" s="53"/>
      <c r="C21" s="67"/>
      <c r="D21" s="124"/>
      <c r="E21" s="133"/>
      <c r="F21" s="200"/>
      <c r="G21" s="22"/>
      <c r="H21" s="21"/>
      <c r="I21" s="22"/>
      <c r="J21" s="59"/>
      <c r="K21" s="7"/>
      <c r="L21" s="11"/>
      <c r="M21" s="199"/>
      <c r="N21" s="12"/>
      <c r="O21" s="7"/>
      <c r="P21" s="104"/>
      <c r="Q21" s="222"/>
      <c r="R21" s="222"/>
      <c r="S21" s="7"/>
      <c r="T21" s="104"/>
      <c r="U21" s="222"/>
      <c r="V21" s="222"/>
      <c r="W21" s="7"/>
      <c r="X21" s="104"/>
      <c r="Y21" s="222"/>
      <c r="Z21" s="222"/>
      <c r="AA21" s="7"/>
      <c r="AB21" s="104"/>
      <c r="AC21" s="222"/>
      <c r="AD21" s="222"/>
      <c r="AE21" s="7"/>
      <c r="AF21" s="104"/>
      <c r="AG21" s="222"/>
      <c r="AH21" s="222"/>
      <c r="AI21" s="7"/>
      <c r="AJ21" s="104"/>
      <c r="AK21" s="222"/>
      <c r="AL21" s="222"/>
      <c r="AM21" s="7"/>
      <c r="AN21" s="104"/>
      <c r="AO21" s="222"/>
      <c r="AP21" s="222"/>
      <c r="AQ21" s="7"/>
      <c r="AR21" s="104"/>
      <c r="AS21" s="222"/>
      <c r="AT21" s="222"/>
      <c r="AU21" s="7"/>
      <c r="AV21" s="104"/>
      <c r="AW21" s="222"/>
      <c r="AX21" s="222"/>
      <c r="AY21" s="7"/>
      <c r="AZ21" s="104"/>
      <c r="BA21" s="222"/>
      <c r="BB21" s="222"/>
      <c r="BC21" s="7"/>
      <c r="BD21" s="104"/>
      <c r="BE21" s="222"/>
      <c r="BF21" s="222"/>
      <c r="BG21" s="7"/>
      <c r="BH21" s="104"/>
      <c r="BI21" s="222"/>
      <c r="BJ21" s="222"/>
      <c r="BK21" s="7"/>
      <c r="BL21" s="104"/>
      <c r="BM21" s="222"/>
      <c r="BN21" s="222"/>
      <c r="BO21" s="7"/>
      <c r="BP21" s="104"/>
      <c r="BQ21" s="222"/>
      <c r="BR21" s="222"/>
      <c r="BS21" s="7"/>
      <c r="BT21" s="104"/>
      <c r="BU21" s="222"/>
      <c r="BV21" s="222"/>
      <c r="BW21" s="7"/>
    </row>
    <row r="22" spans="1:75">
      <c r="A22" s="95">
        <v>16</v>
      </c>
      <c r="B22" s="53"/>
      <c r="C22" s="67"/>
      <c r="D22" s="124"/>
      <c r="E22" s="133"/>
      <c r="F22" s="200"/>
      <c r="G22" s="22"/>
      <c r="H22" s="21"/>
      <c r="I22" s="22"/>
      <c r="J22" s="59"/>
      <c r="K22" s="7"/>
      <c r="L22" s="11"/>
      <c r="M22" s="199"/>
      <c r="N22" s="12"/>
      <c r="O22" s="7"/>
      <c r="P22" s="104"/>
      <c r="Q22" s="222"/>
      <c r="R22" s="222"/>
      <c r="S22" s="7"/>
      <c r="T22" s="104"/>
      <c r="U22" s="222"/>
      <c r="V22" s="222"/>
      <c r="W22" s="7"/>
      <c r="X22" s="104"/>
      <c r="Y22" s="222"/>
      <c r="Z22" s="222"/>
      <c r="AA22" s="7"/>
      <c r="AB22" s="104"/>
      <c r="AC22" s="222"/>
      <c r="AD22" s="222"/>
      <c r="AE22" s="7"/>
      <c r="AF22" s="104"/>
      <c r="AG22" s="222"/>
      <c r="AH22" s="222"/>
      <c r="AI22" s="7"/>
      <c r="AJ22" s="104"/>
      <c r="AK22" s="222"/>
      <c r="AL22" s="222"/>
      <c r="AM22" s="7"/>
      <c r="AN22" s="104"/>
      <c r="AO22" s="222"/>
      <c r="AP22" s="222"/>
      <c r="AQ22" s="7"/>
      <c r="AR22" s="104"/>
      <c r="AS22" s="222"/>
      <c r="AT22" s="222"/>
      <c r="AU22" s="7"/>
      <c r="AV22" s="104"/>
      <c r="AW22" s="222"/>
      <c r="AX22" s="222"/>
      <c r="AY22" s="7"/>
      <c r="AZ22" s="104"/>
      <c r="BA22" s="222"/>
      <c r="BB22" s="222"/>
      <c r="BC22" s="7"/>
      <c r="BD22" s="104"/>
      <c r="BE22" s="222"/>
      <c r="BF22" s="222"/>
      <c r="BG22" s="7"/>
      <c r="BH22" s="104"/>
      <c r="BI22" s="222"/>
      <c r="BJ22" s="222"/>
      <c r="BK22" s="7"/>
      <c r="BL22" s="104"/>
      <c r="BM22" s="222"/>
      <c r="BN22" s="222"/>
      <c r="BO22" s="7"/>
      <c r="BP22" s="104"/>
      <c r="BQ22" s="222"/>
      <c r="BR22" s="222"/>
      <c r="BS22" s="7"/>
      <c r="BT22" s="104"/>
      <c r="BU22" s="222"/>
      <c r="BV22" s="222"/>
      <c r="BW22" s="7"/>
    </row>
    <row r="23" spans="1:75">
      <c r="A23" s="95">
        <v>17</v>
      </c>
      <c r="B23" s="53"/>
      <c r="C23" s="67"/>
      <c r="D23" s="124"/>
      <c r="E23" s="133"/>
      <c r="F23" s="200"/>
      <c r="G23" s="22"/>
      <c r="H23" s="21"/>
      <c r="I23" s="22"/>
      <c r="J23" s="59"/>
      <c r="K23" s="7"/>
      <c r="L23" s="11"/>
      <c r="M23" s="199"/>
      <c r="N23" s="12"/>
      <c r="O23" s="7"/>
      <c r="P23" s="104"/>
      <c r="Q23" s="222"/>
      <c r="R23" s="222"/>
      <c r="S23" s="7"/>
      <c r="T23" s="104"/>
      <c r="U23" s="222"/>
      <c r="V23" s="222"/>
      <c r="W23" s="7"/>
      <c r="X23" s="104"/>
      <c r="Y23" s="222"/>
      <c r="Z23" s="222"/>
      <c r="AA23" s="7"/>
      <c r="AB23" s="104"/>
      <c r="AC23" s="222"/>
      <c r="AD23" s="222"/>
      <c r="AE23" s="7"/>
      <c r="AF23" s="104"/>
      <c r="AG23" s="222"/>
      <c r="AH23" s="222"/>
      <c r="AI23" s="7"/>
      <c r="AJ23" s="104"/>
      <c r="AK23" s="222"/>
      <c r="AL23" s="222"/>
      <c r="AM23" s="7"/>
      <c r="AN23" s="104"/>
      <c r="AO23" s="222"/>
      <c r="AP23" s="222"/>
      <c r="AQ23" s="7"/>
      <c r="AR23" s="104"/>
      <c r="AS23" s="222"/>
      <c r="AT23" s="222"/>
      <c r="AU23" s="7"/>
      <c r="AV23" s="104"/>
      <c r="AW23" s="222"/>
      <c r="AX23" s="222"/>
      <c r="AY23" s="7"/>
      <c r="AZ23" s="104"/>
      <c r="BA23" s="222"/>
      <c r="BB23" s="222"/>
      <c r="BC23" s="7"/>
      <c r="BD23" s="104"/>
      <c r="BE23" s="222"/>
      <c r="BF23" s="222"/>
      <c r="BG23" s="7"/>
      <c r="BH23" s="104"/>
      <c r="BI23" s="222"/>
      <c r="BJ23" s="222"/>
      <c r="BK23" s="7"/>
      <c r="BL23" s="104"/>
      <c r="BM23" s="222"/>
      <c r="BN23" s="222"/>
      <c r="BO23" s="7"/>
      <c r="BP23" s="104"/>
      <c r="BQ23" s="222"/>
      <c r="BR23" s="222"/>
      <c r="BS23" s="7"/>
      <c r="BT23" s="104"/>
      <c r="BU23" s="222"/>
      <c r="BV23" s="222"/>
      <c r="BW23" s="7"/>
    </row>
    <row r="24" spans="1:75">
      <c r="A24" s="95">
        <v>18</v>
      </c>
      <c r="B24" s="53"/>
      <c r="C24" s="67"/>
      <c r="D24" s="124"/>
      <c r="E24" s="133"/>
      <c r="F24" s="200"/>
      <c r="G24" s="22"/>
      <c r="H24" s="21"/>
      <c r="I24" s="22"/>
      <c r="J24" s="59"/>
      <c r="K24" s="7"/>
      <c r="L24" s="11"/>
      <c r="M24" s="199"/>
      <c r="N24" s="12"/>
      <c r="O24" s="7"/>
      <c r="P24" s="104"/>
      <c r="Q24" s="222"/>
      <c r="R24" s="222"/>
      <c r="S24" s="7"/>
      <c r="T24" s="104"/>
      <c r="U24" s="222"/>
      <c r="V24" s="222"/>
      <c r="W24" s="7"/>
      <c r="X24" s="104"/>
      <c r="Y24" s="222"/>
      <c r="Z24" s="222"/>
      <c r="AA24" s="7"/>
      <c r="AB24" s="104"/>
      <c r="AC24" s="222"/>
      <c r="AD24" s="222"/>
      <c r="AE24" s="7"/>
      <c r="AF24" s="104"/>
      <c r="AG24" s="222"/>
      <c r="AH24" s="222"/>
      <c r="AI24" s="7"/>
      <c r="AJ24" s="104"/>
      <c r="AK24" s="222"/>
      <c r="AL24" s="222"/>
      <c r="AM24" s="7"/>
      <c r="AN24" s="104"/>
      <c r="AO24" s="222"/>
      <c r="AP24" s="222"/>
      <c r="AQ24" s="7"/>
      <c r="AR24" s="104"/>
      <c r="AS24" s="222"/>
      <c r="AT24" s="222"/>
      <c r="AU24" s="7"/>
      <c r="AV24" s="104"/>
      <c r="AW24" s="222"/>
      <c r="AX24" s="222"/>
      <c r="AY24" s="7"/>
      <c r="AZ24" s="104"/>
      <c r="BA24" s="222"/>
      <c r="BB24" s="222"/>
      <c r="BC24" s="7"/>
      <c r="BD24" s="104"/>
      <c r="BE24" s="222"/>
      <c r="BF24" s="222"/>
      <c r="BG24" s="7"/>
      <c r="BH24" s="104"/>
      <c r="BI24" s="222"/>
      <c r="BJ24" s="222"/>
      <c r="BK24" s="7"/>
      <c r="BL24" s="104"/>
      <c r="BM24" s="222"/>
      <c r="BN24" s="222"/>
      <c r="BO24" s="7"/>
      <c r="BP24" s="104"/>
      <c r="BQ24" s="222"/>
      <c r="BR24" s="222"/>
      <c r="BS24" s="7"/>
      <c r="BT24" s="104"/>
      <c r="BU24" s="222"/>
      <c r="BV24" s="222"/>
      <c r="BW24" s="7"/>
    </row>
    <row r="25" spans="1:75">
      <c r="A25" s="95">
        <v>19</v>
      </c>
      <c r="B25" s="53"/>
      <c r="C25" s="67"/>
      <c r="D25" s="124"/>
      <c r="E25" s="133"/>
      <c r="F25" s="200"/>
      <c r="G25" s="22"/>
      <c r="H25" s="21"/>
      <c r="I25" s="22"/>
      <c r="J25" s="59"/>
      <c r="K25" s="7"/>
      <c r="L25" s="11"/>
      <c r="M25" s="199"/>
      <c r="N25" s="12"/>
      <c r="O25" s="7"/>
      <c r="P25" s="104"/>
      <c r="Q25" s="222"/>
      <c r="R25" s="222"/>
      <c r="S25" s="7"/>
      <c r="T25" s="104"/>
      <c r="U25" s="222"/>
      <c r="V25" s="222"/>
      <c r="W25" s="7"/>
      <c r="X25" s="104"/>
      <c r="Y25" s="222"/>
      <c r="Z25" s="222"/>
      <c r="AA25" s="7"/>
      <c r="AB25" s="104"/>
      <c r="AC25" s="222"/>
      <c r="AD25" s="222"/>
      <c r="AE25" s="7"/>
      <c r="AF25" s="104"/>
      <c r="AG25" s="222"/>
      <c r="AH25" s="222"/>
      <c r="AI25" s="7"/>
      <c r="AJ25" s="104"/>
      <c r="AK25" s="222"/>
      <c r="AL25" s="222"/>
      <c r="AM25" s="7"/>
      <c r="AN25" s="104"/>
      <c r="AO25" s="222"/>
      <c r="AP25" s="222"/>
      <c r="AQ25" s="7"/>
      <c r="AR25" s="104"/>
      <c r="AS25" s="222"/>
      <c r="AT25" s="222"/>
      <c r="AU25" s="7"/>
      <c r="AV25" s="104"/>
      <c r="AW25" s="222"/>
      <c r="AX25" s="222"/>
      <c r="AY25" s="7"/>
      <c r="AZ25" s="104"/>
      <c r="BA25" s="222"/>
      <c r="BB25" s="222"/>
      <c r="BC25" s="7"/>
      <c r="BD25" s="104"/>
      <c r="BE25" s="222"/>
      <c r="BF25" s="222"/>
      <c r="BG25" s="7"/>
      <c r="BH25" s="104"/>
      <c r="BI25" s="222"/>
      <c r="BJ25" s="222"/>
      <c r="BK25" s="7"/>
      <c r="BL25" s="104"/>
      <c r="BM25" s="222"/>
      <c r="BN25" s="222"/>
      <c r="BO25" s="7"/>
      <c r="BP25" s="104"/>
      <c r="BQ25" s="222"/>
      <c r="BR25" s="222"/>
      <c r="BS25" s="7"/>
      <c r="BT25" s="104"/>
      <c r="BU25" s="222"/>
      <c r="BV25" s="222"/>
      <c r="BW25" s="7"/>
    </row>
    <row r="26" spans="1:75">
      <c r="A26" s="95">
        <v>20</v>
      </c>
      <c r="B26" s="53"/>
      <c r="C26" s="67"/>
      <c r="D26" s="124"/>
      <c r="E26" s="133"/>
      <c r="F26" s="200"/>
      <c r="G26" s="22"/>
      <c r="H26" s="21"/>
      <c r="I26" s="22"/>
      <c r="J26" s="59"/>
      <c r="K26" s="7"/>
      <c r="L26" s="11"/>
      <c r="M26" s="199"/>
      <c r="N26" s="12"/>
      <c r="O26" s="7"/>
      <c r="P26" s="104"/>
      <c r="Q26" s="222"/>
      <c r="R26" s="222"/>
      <c r="S26" s="7"/>
      <c r="T26" s="104"/>
      <c r="U26" s="222"/>
      <c r="V26" s="222"/>
      <c r="W26" s="7"/>
      <c r="X26" s="104"/>
      <c r="Y26" s="222"/>
      <c r="Z26" s="222"/>
      <c r="AA26" s="7"/>
      <c r="AB26" s="104"/>
      <c r="AC26" s="222"/>
      <c r="AD26" s="222"/>
      <c r="AE26" s="7"/>
      <c r="AF26" s="104"/>
      <c r="AG26" s="222"/>
      <c r="AH26" s="222"/>
      <c r="AI26" s="7"/>
      <c r="AJ26" s="104"/>
      <c r="AK26" s="222"/>
      <c r="AL26" s="222"/>
      <c r="AM26" s="7"/>
      <c r="AN26" s="104"/>
      <c r="AO26" s="222"/>
      <c r="AP26" s="222"/>
      <c r="AQ26" s="7"/>
      <c r="AR26" s="104"/>
      <c r="AS26" s="222"/>
      <c r="AT26" s="222"/>
      <c r="AU26" s="7"/>
      <c r="AV26" s="104"/>
      <c r="AW26" s="222"/>
      <c r="AX26" s="222"/>
      <c r="AY26" s="7"/>
      <c r="AZ26" s="104"/>
      <c r="BA26" s="222"/>
      <c r="BB26" s="222"/>
      <c r="BC26" s="7"/>
      <c r="BD26" s="104"/>
      <c r="BE26" s="222"/>
      <c r="BF26" s="222"/>
      <c r="BG26" s="7"/>
      <c r="BH26" s="104"/>
      <c r="BI26" s="222"/>
      <c r="BJ26" s="222"/>
      <c r="BK26" s="7"/>
      <c r="BL26" s="104"/>
      <c r="BM26" s="222"/>
      <c r="BN26" s="222"/>
      <c r="BO26" s="7"/>
      <c r="BP26" s="104"/>
      <c r="BQ26" s="222"/>
      <c r="BR26" s="222"/>
      <c r="BS26" s="7"/>
      <c r="BT26" s="104"/>
      <c r="BU26" s="222"/>
      <c r="BV26" s="222"/>
      <c r="BW26" s="7"/>
    </row>
    <row r="27" spans="1:75">
      <c r="A27" s="95">
        <v>21</v>
      </c>
      <c r="B27" s="53"/>
      <c r="C27" s="67"/>
      <c r="D27" s="124"/>
      <c r="E27" s="133"/>
      <c r="F27" s="200"/>
      <c r="G27" s="22"/>
      <c r="H27" s="21"/>
      <c r="I27" s="22"/>
      <c r="J27" s="59"/>
      <c r="K27" s="7"/>
      <c r="L27" s="11"/>
      <c r="M27" s="199"/>
      <c r="N27" s="12"/>
      <c r="O27" s="7"/>
      <c r="P27" s="104"/>
      <c r="Q27" s="222"/>
      <c r="R27" s="222"/>
      <c r="S27" s="7"/>
      <c r="T27" s="104"/>
      <c r="U27" s="222"/>
      <c r="V27" s="222"/>
      <c r="W27" s="7"/>
      <c r="X27" s="104"/>
      <c r="Y27" s="222"/>
      <c r="Z27" s="222"/>
      <c r="AA27" s="7"/>
      <c r="AB27" s="104"/>
      <c r="AC27" s="222"/>
      <c r="AD27" s="222"/>
      <c r="AE27" s="7"/>
      <c r="AF27" s="104"/>
      <c r="AG27" s="222"/>
      <c r="AH27" s="222"/>
      <c r="AI27" s="7"/>
      <c r="AJ27" s="104"/>
      <c r="AK27" s="222"/>
      <c r="AL27" s="222"/>
      <c r="AM27" s="7"/>
      <c r="AN27" s="104"/>
      <c r="AO27" s="222"/>
      <c r="AP27" s="222"/>
      <c r="AQ27" s="7"/>
      <c r="AR27" s="104"/>
      <c r="AS27" s="222"/>
      <c r="AT27" s="222"/>
      <c r="AU27" s="7"/>
      <c r="AV27" s="104"/>
      <c r="AW27" s="222"/>
      <c r="AX27" s="222"/>
      <c r="AY27" s="7"/>
      <c r="AZ27" s="104"/>
      <c r="BA27" s="222"/>
      <c r="BB27" s="222"/>
      <c r="BC27" s="7"/>
      <c r="BD27" s="104"/>
      <c r="BE27" s="222"/>
      <c r="BF27" s="222"/>
      <c r="BG27" s="7"/>
      <c r="BH27" s="104"/>
      <c r="BI27" s="222"/>
      <c r="BJ27" s="222"/>
      <c r="BK27" s="7"/>
      <c r="BL27" s="104"/>
      <c r="BM27" s="222"/>
      <c r="BN27" s="222"/>
      <c r="BO27" s="7"/>
      <c r="BP27" s="104"/>
      <c r="BQ27" s="222"/>
      <c r="BR27" s="222"/>
      <c r="BS27" s="7"/>
      <c r="BT27" s="104"/>
      <c r="BU27" s="222"/>
      <c r="BV27" s="222"/>
      <c r="BW27" s="7"/>
    </row>
    <row r="28" spans="1:75">
      <c r="A28" s="95">
        <v>22</v>
      </c>
      <c r="B28" s="53"/>
      <c r="C28" s="67"/>
      <c r="D28" s="124"/>
      <c r="E28" s="133"/>
      <c r="F28" s="200"/>
      <c r="G28" s="22"/>
      <c r="H28" s="21"/>
      <c r="I28" s="22"/>
      <c r="J28" s="59"/>
      <c r="K28" s="7"/>
      <c r="L28" s="11"/>
      <c r="M28" s="199"/>
      <c r="N28" s="12"/>
      <c r="O28" s="7"/>
      <c r="P28" s="104"/>
      <c r="Q28" s="222"/>
      <c r="R28" s="222"/>
      <c r="S28" s="7"/>
      <c r="T28" s="104"/>
      <c r="U28" s="222"/>
      <c r="V28" s="222"/>
      <c r="W28" s="7"/>
      <c r="X28" s="104"/>
      <c r="Y28" s="222"/>
      <c r="Z28" s="222"/>
      <c r="AA28" s="7"/>
      <c r="AB28" s="104"/>
      <c r="AC28" s="222"/>
      <c r="AD28" s="222"/>
      <c r="AE28" s="7"/>
      <c r="AF28" s="104"/>
      <c r="AG28" s="222"/>
      <c r="AH28" s="222"/>
      <c r="AI28" s="7"/>
      <c r="AJ28" s="104"/>
      <c r="AK28" s="222"/>
      <c r="AL28" s="222"/>
      <c r="AM28" s="7"/>
      <c r="AN28" s="104"/>
      <c r="AO28" s="222"/>
      <c r="AP28" s="222"/>
      <c r="AQ28" s="7"/>
      <c r="AR28" s="104"/>
      <c r="AS28" s="222"/>
      <c r="AT28" s="222"/>
      <c r="AU28" s="7"/>
      <c r="AV28" s="104"/>
      <c r="AW28" s="222"/>
      <c r="AX28" s="222"/>
      <c r="AY28" s="7"/>
      <c r="AZ28" s="104"/>
      <c r="BA28" s="222"/>
      <c r="BB28" s="222"/>
      <c r="BC28" s="7"/>
      <c r="BD28" s="104"/>
      <c r="BE28" s="222"/>
      <c r="BF28" s="222"/>
      <c r="BG28" s="7"/>
      <c r="BH28" s="104"/>
      <c r="BI28" s="222"/>
      <c r="BJ28" s="222"/>
      <c r="BK28" s="7"/>
      <c r="BL28" s="104"/>
      <c r="BM28" s="222"/>
      <c r="BN28" s="222"/>
      <c r="BO28" s="7"/>
      <c r="BP28" s="104"/>
      <c r="BQ28" s="222"/>
      <c r="BR28" s="222"/>
      <c r="BS28" s="7"/>
      <c r="BT28" s="104"/>
      <c r="BU28" s="222"/>
      <c r="BV28" s="222"/>
      <c r="BW28" s="7"/>
    </row>
    <row r="29" spans="1:75">
      <c r="A29" s="95">
        <v>23</v>
      </c>
      <c r="B29" s="53"/>
      <c r="C29" s="67"/>
      <c r="D29" s="124"/>
      <c r="E29" s="133"/>
      <c r="F29" s="200"/>
      <c r="G29" s="22"/>
      <c r="H29" s="21"/>
      <c r="I29" s="22"/>
      <c r="J29" s="59"/>
      <c r="K29" s="7"/>
      <c r="L29" s="11"/>
      <c r="M29" s="199"/>
      <c r="N29" s="12"/>
      <c r="O29" s="7"/>
      <c r="P29" s="104"/>
      <c r="Q29" s="222"/>
      <c r="R29" s="222"/>
      <c r="S29" s="7"/>
      <c r="T29" s="104"/>
      <c r="U29" s="222"/>
      <c r="V29" s="222"/>
      <c r="W29" s="7"/>
      <c r="X29" s="104"/>
      <c r="Y29" s="222"/>
      <c r="Z29" s="222"/>
      <c r="AA29" s="7"/>
      <c r="AB29" s="104"/>
      <c r="AC29" s="222"/>
      <c r="AD29" s="222"/>
      <c r="AE29" s="7"/>
      <c r="AF29" s="104"/>
      <c r="AG29" s="222"/>
      <c r="AH29" s="222"/>
      <c r="AI29" s="7"/>
      <c r="AJ29" s="104"/>
      <c r="AK29" s="222"/>
      <c r="AL29" s="222"/>
      <c r="AM29" s="7"/>
      <c r="AN29" s="104"/>
      <c r="AO29" s="222"/>
      <c r="AP29" s="222"/>
      <c r="AQ29" s="7"/>
      <c r="AR29" s="104"/>
      <c r="AS29" s="222"/>
      <c r="AT29" s="222"/>
      <c r="AU29" s="7"/>
      <c r="AV29" s="104"/>
      <c r="AW29" s="222"/>
      <c r="AX29" s="222"/>
      <c r="AY29" s="7"/>
      <c r="AZ29" s="104"/>
      <c r="BA29" s="222"/>
      <c r="BB29" s="222"/>
      <c r="BC29" s="7"/>
      <c r="BD29" s="104"/>
      <c r="BE29" s="222"/>
      <c r="BF29" s="222"/>
      <c r="BG29" s="7"/>
      <c r="BH29" s="104"/>
      <c r="BI29" s="222"/>
      <c r="BJ29" s="222"/>
      <c r="BK29" s="7"/>
      <c r="BL29" s="104"/>
      <c r="BM29" s="222"/>
      <c r="BN29" s="222"/>
      <c r="BO29" s="7"/>
      <c r="BP29" s="104"/>
      <c r="BQ29" s="222"/>
      <c r="BR29" s="222"/>
      <c r="BS29" s="7"/>
      <c r="BT29" s="104"/>
      <c r="BU29" s="222"/>
      <c r="BV29" s="222"/>
      <c r="BW29" s="7"/>
    </row>
    <row r="30" spans="1:75">
      <c r="A30" s="95">
        <v>24</v>
      </c>
      <c r="B30" s="53"/>
      <c r="C30" s="67"/>
      <c r="D30" s="124"/>
      <c r="E30" s="133"/>
      <c r="F30" s="200"/>
      <c r="G30" s="22"/>
      <c r="H30" s="21"/>
      <c r="I30" s="22"/>
      <c r="J30" s="59"/>
      <c r="K30" s="7"/>
      <c r="L30" s="11"/>
      <c r="M30" s="199"/>
      <c r="N30" s="12"/>
      <c r="O30" s="7"/>
      <c r="P30" s="104"/>
      <c r="Q30" s="222"/>
      <c r="R30" s="222"/>
      <c r="S30" s="7"/>
      <c r="T30" s="104"/>
      <c r="U30" s="222"/>
      <c r="V30" s="222"/>
      <c r="W30" s="7"/>
      <c r="X30" s="104"/>
      <c r="Y30" s="222"/>
      <c r="Z30" s="222"/>
      <c r="AA30" s="7"/>
      <c r="AB30" s="104"/>
      <c r="AC30" s="222"/>
      <c r="AD30" s="222"/>
      <c r="AE30" s="7"/>
      <c r="AF30" s="104"/>
      <c r="AG30" s="222"/>
      <c r="AH30" s="222"/>
      <c r="AI30" s="7"/>
      <c r="AJ30" s="104"/>
      <c r="AK30" s="222"/>
      <c r="AL30" s="222"/>
      <c r="AM30" s="7"/>
      <c r="AN30" s="104"/>
      <c r="AO30" s="222"/>
      <c r="AP30" s="222"/>
      <c r="AQ30" s="7"/>
      <c r="AR30" s="104"/>
      <c r="AS30" s="222"/>
      <c r="AT30" s="222"/>
      <c r="AU30" s="7"/>
      <c r="AV30" s="104"/>
      <c r="AW30" s="222"/>
      <c r="AX30" s="222"/>
      <c r="AY30" s="7"/>
      <c r="AZ30" s="104"/>
      <c r="BA30" s="222"/>
      <c r="BB30" s="222"/>
      <c r="BC30" s="7"/>
      <c r="BD30" s="104"/>
      <c r="BE30" s="222"/>
      <c r="BF30" s="222"/>
      <c r="BG30" s="7"/>
      <c r="BH30" s="104"/>
      <c r="BI30" s="222"/>
      <c r="BJ30" s="222"/>
      <c r="BK30" s="7"/>
      <c r="BL30" s="104"/>
      <c r="BM30" s="222"/>
      <c r="BN30" s="222"/>
      <c r="BO30" s="7"/>
      <c r="BP30" s="104"/>
      <c r="BQ30" s="222"/>
      <c r="BR30" s="222"/>
      <c r="BS30" s="7"/>
      <c r="BT30" s="104"/>
      <c r="BU30" s="222"/>
      <c r="BV30" s="222"/>
      <c r="BW30" s="7"/>
    </row>
    <row r="31" spans="1:75">
      <c r="A31" s="95">
        <v>25</v>
      </c>
      <c r="B31" s="53"/>
      <c r="C31" s="67"/>
      <c r="D31" s="124"/>
      <c r="E31" s="133"/>
      <c r="F31" s="200"/>
      <c r="G31" s="22"/>
      <c r="H31" s="21"/>
      <c r="I31" s="22"/>
      <c r="J31" s="59"/>
      <c r="K31" s="7"/>
      <c r="L31" s="11"/>
      <c r="M31" s="199"/>
      <c r="N31" s="12"/>
      <c r="O31" s="7"/>
      <c r="P31" s="104"/>
      <c r="Q31" s="222"/>
      <c r="R31" s="222"/>
      <c r="S31" s="7"/>
      <c r="T31" s="104"/>
      <c r="U31" s="222"/>
      <c r="V31" s="222"/>
      <c r="W31" s="7"/>
      <c r="X31" s="104"/>
      <c r="Y31" s="222"/>
      <c r="Z31" s="222"/>
      <c r="AA31" s="7"/>
      <c r="AB31" s="104"/>
      <c r="AC31" s="222"/>
      <c r="AD31" s="222"/>
      <c r="AE31" s="7"/>
      <c r="AF31" s="104"/>
      <c r="AG31" s="222"/>
      <c r="AH31" s="222"/>
      <c r="AI31" s="7"/>
      <c r="AJ31" s="104"/>
      <c r="AK31" s="222"/>
      <c r="AL31" s="222"/>
      <c r="AM31" s="7"/>
      <c r="AN31" s="104"/>
      <c r="AO31" s="222"/>
      <c r="AP31" s="222"/>
      <c r="AQ31" s="7"/>
      <c r="AR31" s="104"/>
      <c r="AS31" s="222"/>
      <c r="AT31" s="222"/>
      <c r="AU31" s="7"/>
      <c r="AV31" s="104"/>
      <c r="AW31" s="222"/>
      <c r="AX31" s="222"/>
      <c r="AY31" s="7"/>
      <c r="AZ31" s="104"/>
      <c r="BA31" s="222"/>
      <c r="BB31" s="222"/>
      <c r="BC31" s="7"/>
      <c r="BD31" s="104"/>
      <c r="BE31" s="222"/>
      <c r="BF31" s="222"/>
      <c r="BG31" s="7"/>
      <c r="BH31" s="104"/>
      <c r="BI31" s="222"/>
      <c r="BJ31" s="222"/>
      <c r="BK31" s="7"/>
      <c r="BL31" s="104"/>
      <c r="BM31" s="222"/>
      <c r="BN31" s="222"/>
      <c r="BO31" s="7"/>
      <c r="BP31" s="104"/>
      <c r="BQ31" s="222"/>
      <c r="BR31" s="222"/>
      <c r="BS31" s="7"/>
      <c r="BT31" s="104"/>
      <c r="BU31" s="222"/>
      <c r="BV31" s="222"/>
      <c r="BW31" s="7"/>
    </row>
    <row r="32" spans="1:75">
      <c r="A32" s="95">
        <v>26</v>
      </c>
      <c r="B32" s="53"/>
      <c r="C32" s="67"/>
      <c r="D32" s="124"/>
      <c r="E32" s="133"/>
      <c r="F32" s="200"/>
      <c r="G32" s="22"/>
      <c r="H32" s="21"/>
      <c r="I32" s="22"/>
      <c r="J32" s="59"/>
      <c r="K32" s="7"/>
      <c r="L32" s="11"/>
      <c r="M32" s="199"/>
      <c r="N32" s="12"/>
      <c r="O32" s="7"/>
      <c r="P32" s="104"/>
      <c r="Q32" s="222"/>
      <c r="R32" s="222"/>
      <c r="S32" s="7"/>
      <c r="T32" s="104"/>
      <c r="U32" s="222"/>
      <c r="V32" s="222"/>
      <c r="W32" s="7"/>
      <c r="X32" s="104"/>
      <c r="Y32" s="222"/>
      <c r="Z32" s="222"/>
      <c r="AA32" s="7"/>
      <c r="AB32" s="104"/>
      <c r="AC32" s="222"/>
      <c r="AD32" s="222"/>
      <c r="AE32" s="7"/>
      <c r="AF32" s="104"/>
      <c r="AG32" s="222"/>
      <c r="AH32" s="222"/>
      <c r="AI32" s="7"/>
      <c r="AJ32" s="104"/>
      <c r="AK32" s="222"/>
      <c r="AL32" s="222"/>
      <c r="AM32" s="7"/>
      <c r="AN32" s="104"/>
      <c r="AO32" s="222"/>
      <c r="AP32" s="222"/>
      <c r="AQ32" s="7"/>
      <c r="AR32" s="104"/>
      <c r="AS32" s="222"/>
      <c r="AT32" s="222"/>
      <c r="AU32" s="7"/>
      <c r="AV32" s="104"/>
      <c r="AW32" s="222"/>
      <c r="AX32" s="222"/>
      <c r="AY32" s="7"/>
      <c r="AZ32" s="104"/>
      <c r="BA32" s="222"/>
      <c r="BB32" s="222"/>
      <c r="BC32" s="7"/>
      <c r="BD32" s="104"/>
      <c r="BE32" s="222"/>
      <c r="BF32" s="222"/>
      <c r="BG32" s="7"/>
      <c r="BH32" s="104"/>
      <c r="BI32" s="222"/>
      <c r="BJ32" s="222"/>
      <c r="BK32" s="7"/>
      <c r="BL32" s="104"/>
      <c r="BM32" s="222"/>
      <c r="BN32" s="222"/>
      <c r="BO32" s="7"/>
      <c r="BP32" s="104"/>
      <c r="BQ32" s="222"/>
      <c r="BR32" s="222"/>
      <c r="BS32" s="7"/>
      <c r="BT32" s="104"/>
      <c r="BU32" s="222"/>
      <c r="BV32" s="222"/>
      <c r="BW32" s="7"/>
    </row>
    <row r="33" spans="1:75">
      <c r="A33" s="95">
        <v>27</v>
      </c>
      <c r="B33" s="53"/>
      <c r="C33" s="67"/>
      <c r="D33" s="124"/>
      <c r="E33" s="133"/>
      <c r="F33" s="200"/>
      <c r="G33" s="22"/>
      <c r="H33" s="21"/>
      <c r="I33" s="22"/>
      <c r="J33" s="59"/>
      <c r="K33" s="7"/>
      <c r="L33" s="11"/>
      <c r="M33" s="199"/>
      <c r="N33" s="12"/>
      <c r="O33" s="7"/>
      <c r="P33" s="104"/>
      <c r="Q33" s="222"/>
      <c r="R33" s="222"/>
      <c r="S33" s="7"/>
      <c r="T33" s="104"/>
      <c r="U33" s="222"/>
      <c r="V33" s="222"/>
      <c r="W33" s="7"/>
      <c r="X33" s="104"/>
      <c r="Y33" s="222"/>
      <c r="Z33" s="222"/>
      <c r="AA33" s="7"/>
      <c r="AB33" s="104"/>
      <c r="AC33" s="222"/>
      <c r="AD33" s="222"/>
      <c r="AE33" s="7"/>
      <c r="AF33" s="104"/>
      <c r="AG33" s="222"/>
      <c r="AH33" s="222"/>
      <c r="AI33" s="7"/>
      <c r="AJ33" s="104"/>
      <c r="AK33" s="222"/>
      <c r="AL33" s="222"/>
      <c r="AM33" s="7"/>
      <c r="AN33" s="104"/>
      <c r="AO33" s="222"/>
      <c r="AP33" s="222"/>
      <c r="AQ33" s="7"/>
      <c r="AR33" s="104"/>
      <c r="AS33" s="222"/>
      <c r="AT33" s="222"/>
      <c r="AU33" s="7"/>
      <c r="AV33" s="104"/>
      <c r="AW33" s="222"/>
      <c r="AX33" s="222"/>
      <c r="AY33" s="7"/>
      <c r="AZ33" s="104"/>
      <c r="BA33" s="222"/>
      <c r="BB33" s="222"/>
      <c r="BC33" s="7"/>
      <c r="BD33" s="104"/>
      <c r="BE33" s="222"/>
      <c r="BF33" s="222"/>
      <c r="BG33" s="7"/>
      <c r="BH33" s="104"/>
      <c r="BI33" s="222"/>
      <c r="BJ33" s="222"/>
      <c r="BK33" s="7"/>
      <c r="BL33" s="104"/>
      <c r="BM33" s="222"/>
      <c r="BN33" s="222"/>
      <c r="BO33" s="7"/>
      <c r="BP33" s="104"/>
      <c r="BQ33" s="222"/>
      <c r="BR33" s="222"/>
      <c r="BS33" s="7"/>
      <c r="BT33" s="104"/>
      <c r="BU33" s="222"/>
      <c r="BV33" s="222"/>
      <c r="BW33" s="7"/>
    </row>
    <row r="34" spans="1:75">
      <c r="A34" s="95">
        <v>28</v>
      </c>
      <c r="B34" s="53"/>
      <c r="C34" s="67"/>
      <c r="D34" s="124"/>
      <c r="E34" s="133"/>
      <c r="F34" s="200"/>
      <c r="G34" s="22"/>
      <c r="H34" s="21"/>
      <c r="I34" s="22"/>
      <c r="J34" s="59"/>
      <c r="K34" s="7"/>
      <c r="L34" s="11"/>
      <c r="M34" s="199"/>
      <c r="N34" s="12"/>
      <c r="O34" s="7"/>
      <c r="P34" s="104"/>
      <c r="Q34" s="222"/>
      <c r="R34" s="222"/>
      <c r="S34" s="7"/>
      <c r="T34" s="104"/>
      <c r="U34" s="222"/>
      <c r="V34" s="222"/>
      <c r="W34" s="7"/>
      <c r="X34" s="104"/>
      <c r="Y34" s="222"/>
      <c r="Z34" s="222"/>
      <c r="AA34" s="7"/>
      <c r="AB34" s="104"/>
      <c r="AC34" s="222"/>
      <c r="AD34" s="222"/>
      <c r="AE34" s="7"/>
      <c r="AF34" s="104"/>
      <c r="AG34" s="222"/>
      <c r="AH34" s="222"/>
      <c r="AI34" s="7"/>
      <c r="AJ34" s="104"/>
      <c r="AK34" s="222"/>
      <c r="AL34" s="222"/>
      <c r="AM34" s="7"/>
      <c r="AN34" s="104"/>
      <c r="AO34" s="222"/>
      <c r="AP34" s="222"/>
      <c r="AQ34" s="7"/>
      <c r="AR34" s="104"/>
      <c r="AS34" s="222"/>
      <c r="AT34" s="222"/>
      <c r="AU34" s="7"/>
      <c r="AV34" s="104"/>
      <c r="AW34" s="222"/>
      <c r="AX34" s="222"/>
      <c r="AY34" s="7"/>
      <c r="AZ34" s="104"/>
      <c r="BA34" s="222"/>
      <c r="BB34" s="222"/>
      <c r="BC34" s="7"/>
      <c r="BD34" s="104"/>
      <c r="BE34" s="222"/>
      <c r="BF34" s="222"/>
      <c r="BG34" s="7"/>
      <c r="BH34" s="104"/>
      <c r="BI34" s="222"/>
      <c r="BJ34" s="222"/>
      <c r="BK34" s="7"/>
      <c r="BL34" s="104"/>
      <c r="BM34" s="222"/>
      <c r="BN34" s="222"/>
      <c r="BO34" s="7"/>
      <c r="BP34" s="104"/>
      <c r="BQ34" s="222"/>
      <c r="BR34" s="222"/>
      <c r="BS34" s="7"/>
      <c r="BT34" s="104"/>
      <c r="BU34" s="222"/>
      <c r="BV34" s="222"/>
      <c r="BW34" s="7"/>
    </row>
    <row r="35" spans="1:75">
      <c r="A35" s="95">
        <v>29</v>
      </c>
      <c r="B35" s="53"/>
      <c r="C35" s="67"/>
      <c r="D35" s="124"/>
      <c r="E35" s="133"/>
      <c r="F35" s="200"/>
      <c r="G35" s="22"/>
      <c r="H35" s="21"/>
      <c r="I35" s="22"/>
      <c r="J35" s="59"/>
      <c r="K35" s="7"/>
      <c r="L35" s="11"/>
      <c r="M35" s="199"/>
      <c r="N35" s="12"/>
      <c r="O35" s="7"/>
      <c r="P35" s="104"/>
      <c r="Q35" s="222"/>
      <c r="R35" s="222"/>
      <c r="S35" s="7"/>
      <c r="T35" s="104"/>
      <c r="U35" s="222"/>
      <c r="V35" s="222"/>
      <c r="W35" s="7"/>
      <c r="X35" s="104"/>
      <c r="Y35" s="222"/>
      <c r="Z35" s="222"/>
      <c r="AA35" s="7"/>
      <c r="AB35" s="104"/>
      <c r="AC35" s="222"/>
      <c r="AD35" s="222"/>
      <c r="AE35" s="7"/>
      <c r="AF35" s="104"/>
      <c r="AG35" s="222"/>
      <c r="AH35" s="222"/>
      <c r="AI35" s="7"/>
      <c r="AJ35" s="104"/>
      <c r="AK35" s="222"/>
      <c r="AL35" s="222"/>
      <c r="AM35" s="7"/>
      <c r="AN35" s="104"/>
      <c r="AO35" s="222"/>
      <c r="AP35" s="222"/>
      <c r="AQ35" s="7"/>
      <c r="AR35" s="104"/>
      <c r="AS35" s="222"/>
      <c r="AT35" s="222"/>
      <c r="AU35" s="7"/>
      <c r="AV35" s="104"/>
      <c r="AW35" s="222"/>
      <c r="AX35" s="222"/>
      <c r="AY35" s="7"/>
      <c r="AZ35" s="104"/>
      <c r="BA35" s="222"/>
      <c r="BB35" s="222"/>
      <c r="BC35" s="7"/>
      <c r="BD35" s="104"/>
      <c r="BE35" s="222"/>
      <c r="BF35" s="222"/>
      <c r="BG35" s="7"/>
      <c r="BH35" s="104"/>
      <c r="BI35" s="222"/>
      <c r="BJ35" s="222"/>
      <c r="BK35" s="7"/>
      <c r="BL35" s="104"/>
      <c r="BM35" s="222"/>
      <c r="BN35" s="222"/>
      <c r="BO35" s="7"/>
      <c r="BP35" s="104"/>
      <c r="BQ35" s="222"/>
      <c r="BR35" s="222"/>
      <c r="BS35" s="7"/>
      <c r="BT35" s="104"/>
      <c r="BU35" s="222"/>
      <c r="BV35" s="222"/>
      <c r="BW35" s="7"/>
    </row>
    <row r="36" spans="1:75">
      <c r="A36" s="95">
        <v>30</v>
      </c>
      <c r="B36" s="53"/>
      <c r="C36" s="67"/>
      <c r="D36" s="124"/>
      <c r="E36" s="133"/>
      <c r="F36" s="200"/>
      <c r="G36" s="22"/>
      <c r="H36" s="21"/>
      <c r="I36" s="22"/>
      <c r="J36" s="59"/>
      <c r="K36" s="7"/>
      <c r="L36" s="11"/>
      <c r="M36" s="199"/>
      <c r="N36" s="12"/>
      <c r="O36" s="7"/>
      <c r="P36" s="104"/>
      <c r="Q36" s="222"/>
      <c r="R36" s="222"/>
      <c r="S36" s="7"/>
      <c r="T36" s="104"/>
      <c r="U36" s="222"/>
      <c r="V36" s="222"/>
      <c r="W36" s="7"/>
      <c r="X36" s="104"/>
      <c r="Y36" s="222"/>
      <c r="Z36" s="222"/>
      <c r="AA36" s="7"/>
      <c r="AB36" s="104"/>
      <c r="AC36" s="222"/>
      <c r="AD36" s="222"/>
      <c r="AE36" s="7"/>
      <c r="AF36" s="104"/>
      <c r="AG36" s="222"/>
      <c r="AH36" s="222"/>
      <c r="AI36" s="7"/>
      <c r="AJ36" s="104"/>
      <c r="AK36" s="222"/>
      <c r="AL36" s="222"/>
      <c r="AM36" s="7"/>
      <c r="AN36" s="104"/>
      <c r="AO36" s="222"/>
      <c r="AP36" s="222"/>
      <c r="AQ36" s="7"/>
      <c r="AR36" s="104"/>
      <c r="AS36" s="222"/>
      <c r="AT36" s="222"/>
      <c r="AU36" s="7"/>
      <c r="AV36" s="104"/>
      <c r="AW36" s="222"/>
      <c r="AX36" s="222"/>
      <c r="AY36" s="7"/>
      <c r="AZ36" s="104"/>
      <c r="BA36" s="222"/>
      <c r="BB36" s="222"/>
      <c r="BC36" s="7"/>
      <c r="BD36" s="104"/>
      <c r="BE36" s="222"/>
      <c r="BF36" s="222"/>
      <c r="BG36" s="7"/>
      <c r="BH36" s="104"/>
      <c r="BI36" s="222"/>
      <c r="BJ36" s="222"/>
      <c r="BK36" s="7"/>
      <c r="BL36" s="104"/>
      <c r="BM36" s="222"/>
      <c r="BN36" s="222"/>
      <c r="BO36" s="7"/>
      <c r="BP36" s="104"/>
      <c r="BQ36" s="222"/>
      <c r="BR36" s="222"/>
      <c r="BS36" s="7"/>
      <c r="BT36" s="104"/>
      <c r="BU36" s="222"/>
      <c r="BV36" s="222"/>
      <c r="BW36" s="7"/>
    </row>
    <row r="37" spans="1:75">
      <c r="A37" s="95">
        <v>31</v>
      </c>
      <c r="B37" s="53"/>
      <c r="C37" s="67"/>
      <c r="D37" s="124"/>
      <c r="E37" s="133"/>
      <c r="F37" s="200"/>
      <c r="G37" s="22"/>
      <c r="H37" s="21"/>
      <c r="I37" s="22"/>
      <c r="J37" s="59"/>
      <c r="K37" s="7"/>
      <c r="L37" s="11"/>
      <c r="M37" s="199"/>
      <c r="N37" s="12"/>
      <c r="O37" s="7"/>
      <c r="P37" s="104"/>
      <c r="Q37" s="222"/>
      <c r="R37" s="222"/>
      <c r="S37" s="7"/>
      <c r="T37" s="104"/>
      <c r="U37" s="222"/>
      <c r="V37" s="222"/>
      <c r="W37" s="7"/>
      <c r="X37" s="104"/>
      <c r="Y37" s="222"/>
      <c r="Z37" s="222"/>
      <c r="AA37" s="7"/>
      <c r="AB37" s="104"/>
      <c r="AC37" s="222"/>
      <c r="AD37" s="222"/>
      <c r="AE37" s="7"/>
      <c r="AF37" s="104"/>
      <c r="AG37" s="222"/>
      <c r="AH37" s="222"/>
      <c r="AI37" s="7"/>
      <c r="AJ37" s="104"/>
      <c r="AK37" s="222"/>
      <c r="AL37" s="222"/>
      <c r="AM37" s="7"/>
      <c r="AN37" s="104"/>
      <c r="AO37" s="222"/>
      <c r="AP37" s="222"/>
      <c r="AQ37" s="7"/>
      <c r="AR37" s="104"/>
      <c r="AS37" s="222"/>
      <c r="AT37" s="222"/>
      <c r="AU37" s="7"/>
      <c r="AV37" s="104"/>
      <c r="AW37" s="222"/>
      <c r="AX37" s="222"/>
      <c r="AY37" s="7"/>
      <c r="AZ37" s="104"/>
      <c r="BA37" s="222"/>
      <c r="BB37" s="222"/>
      <c r="BC37" s="7"/>
      <c r="BD37" s="104"/>
      <c r="BE37" s="222"/>
      <c r="BF37" s="222"/>
      <c r="BG37" s="7"/>
      <c r="BH37" s="104"/>
      <c r="BI37" s="222"/>
      <c r="BJ37" s="222"/>
      <c r="BK37" s="7"/>
      <c r="BL37" s="104"/>
      <c r="BM37" s="222"/>
      <c r="BN37" s="222"/>
      <c r="BO37" s="7"/>
      <c r="BP37" s="104"/>
      <c r="BQ37" s="222"/>
      <c r="BR37" s="222"/>
      <c r="BS37" s="7"/>
      <c r="BT37" s="104"/>
      <c r="BU37" s="222"/>
      <c r="BV37" s="222"/>
      <c r="BW37" s="7"/>
    </row>
    <row r="38" spans="1:75">
      <c r="A38" s="95">
        <v>32</v>
      </c>
      <c r="B38" s="53"/>
      <c r="C38" s="67"/>
      <c r="D38" s="124"/>
      <c r="E38" s="133"/>
      <c r="F38" s="200"/>
      <c r="G38" s="22"/>
      <c r="H38" s="21"/>
      <c r="I38" s="22"/>
      <c r="J38" s="59"/>
      <c r="K38" s="7"/>
      <c r="L38" s="11"/>
      <c r="M38" s="199"/>
      <c r="N38" s="12"/>
      <c r="O38" s="7"/>
      <c r="P38" s="104"/>
      <c r="Q38" s="222"/>
      <c r="R38" s="222"/>
      <c r="S38" s="7"/>
      <c r="T38" s="104"/>
      <c r="U38" s="222"/>
      <c r="V38" s="222"/>
      <c r="W38" s="7"/>
      <c r="X38" s="104"/>
      <c r="Y38" s="222"/>
      <c r="Z38" s="222"/>
      <c r="AA38" s="7"/>
      <c r="AB38" s="104"/>
      <c r="AC38" s="222"/>
      <c r="AD38" s="222"/>
      <c r="AE38" s="7"/>
      <c r="AF38" s="104"/>
      <c r="AG38" s="222"/>
      <c r="AH38" s="222"/>
      <c r="AI38" s="7"/>
      <c r="AJ38" s="104"/>
      <c r="AK38" s="222"/>
      <c r="AL38" s="222"/>
      <c r="AM38" s="7"/>
      <c r="AN38" s="104"/>
      <c r="AO38" s="222"/>
      <c r="AP38" s="222"/>
      <c r="AQ38" s="7"/>
      <c r="AR38" s="104"/>
      <c r="AS38" s="222"/>
      <c r="AT38" s="222"/>
      <c r="AU38" s="7"/>
      <c r="AV38" s="104"/>
      <c r="AW38" s="222"/>
      <c r="AX38" s="222"/>
      <c r="AY38" s="7"/>
      <c r="AZ38" s="104"/>
      <c r="BA38" s="222"/>
      <c r="BB38" s="222"/>
      <c r="BC38" s="7"/>
      <c r="BD38" s="104"/>
      <c r="BE38" s="222"/>
      <c r="BF38" s="222"/>
      <c r="BG38" s="7"/>
      <c r="BH38" s="104"/>
      <c r="BI38" s="222"/>
      <c r="BJ38" s="222"/>
      <c r="BK38" s="7"/>
      <c r="BL38" s="104"/>
      <c r="BM38" s="222"/>
      <c r="BN38" s="222"/>
      <c r="BO38" s="7"/>
      <c r="BP38" s="104"/>
      <c r="BQ38" s="222"/>
      <c r="BR38" s="222"/>
      <c r="BS38" s="7"/>
      <c r="BT38" s="104"/>
      <c r="BU38" s="222"/>
      <c r="BV38" s="222"/>
      <c r="BW38" s="7"/>
    </row>
    <row r="39" spans="1:75">
      <c r="A39" s="95">
        <v>33</v>
      </c>
      <c r="B39" s="53"/>
      <c r="C39" s="67"/>
      <c r="D39" s="124"/>
      <c r="E39" s="133"/>
      <c r="F39" s="200"/>
      <c r="G39" s="22"/>
      <c r="H39" s="21"/>
      <c r="I39" s="22"/>
      <c r="J39" s="59"/>
      <c r="K39" s="7"/>
      <c r="L39" s="11"/>
      <c r="M39" s="199"/>
      <c r="N39" s="12"/>
      <c r="O39" s="7"/>
      <c r="P39" s="104"/>
      <c r="Q39" s="222"/>
      <c r="R39" s="222"/>
      <c r="S39" s="7"/>
      <c r="T39" s="104"/>
      <c r="U39" s="222"/>
      <c r="V39" s="222"/>
      <c r="W39" s="7"/>
      <c r="X39" s="104"/>
      <c r="Y39" s="222"/>
      <c r="Z39" s="222"/>
      <c r="AA39" s="7"/>
      <c r="AB39" s="104"/>
      <c r="AC39" s="222"/>
      <c r="AD39" s="222"/>
      <c r="AE39" s="7"/>
      <c r="AF39" s="104"/>
      <c r="AG39" s="222"/>
      <c r="AH39" s="222"/>
      <c r="AI39" s="7"/>
      <c r="AJ39" s="104"/>
      <c r="AK39" s="222"/>
      <c r="AL39" s="222"/>
      <c r="AM39" s="7"/>
      <c r="AN39" s="104"/>
      <c r="AO39" s="222"/>
      <c r="AP39" s="222"/>
      <c r="AQ39" s="7"/>
      <c r="AR39" s="104"/>
      <c r="AS39" s="222"/>
      <c r="AT39" s="222"/>
      <c r="AU39" s="7"/>
      <c r="AV39" s="104"/>
      <c r="AW39" s="222"/>
      <c r="AX39" s="222"/>
      <c r="AY39" s="7"/>
      <c r="AZ39" s="104"/>
      <c r="BA39" s="222"/>
      <c r="BB39" s="222"/>
      <c r="BC39" s="7"/>
      <c r="BD39" s="104"/>
      <c r="BE39" s="222"/>
      <c r="BF39" s="222"/>
      <c r="BG39" s="7"/>
      <c r="BH39" s="104"/>
      <c r="BI39" s="222"/>
      <c r="BJ39" s="222"/>
      <c r="BK39" s="7"/>
      <c r="BL39" s="104"/>
      <c r="BM39" s="222"/>
      <c r="BN39" s="222"/>
      <c r="BO39" s="7"/>
      <c r="BP39" s="104"/>
      <c r="BQ39" s="222"/>
      <c r="BR39" s="222"/>
      <c r="BS39" s="7"/>
      <c r="BT39" s="104"/>
      <c r="BU39" s="222"/>
      <c r="BV39" s="222"/>
      <c r="BW39" s="7"/>
    </row>
    <row r="40" spans="1:75">
      <c r="A40" s="95">
        <v>34</v>
      </c>
      <c r="B40" s="53"/>
      <c r="C40" s="67"/>
      <c r="D40" s="124"/>
      <c r="E40" s="133"/>
      <c r="F40" s="200"/>
      <c r="G40" s="22"/>
      <c r="H40" s="21"/>
      <c r="I40" s="22"/>
      <c r="J40" s="59"/>
      <c r="K40" s="7"/>
      <c r="L40" s="11"/>
      <c r="M40" s="199"/>
      <c r="N40" s="12"/>
      <c r="O40" s="7"/>
      <c r="P40" s="104"/>
      <c r="Q40" s="222"/>
      <c r="R40" s="222"/>
      <c r="S40" s="7"/>
      <c r="T40" s="104"/>
      <c r="U40" s="222"/>
      <c r="V40" s="222"/>
      <c r="W40" s="7"/>
      <c r="X40" s="104"/>
      <c r="Y40" s="222"/>
      <c r="Z40" s="222"/>
      <c r="AA40" s="7"/>
      <c r="AB40" s="104"/>
      <c r="AC40" s="222"/>
      <c r="AD40" s="222"/>
      <c r="AE40" s="7"/>
      <c r="AF40" s="104"/>
      <c r="AG40" s="222"/>
      <c r="AH40" s="222"/>
      <c r="AI40" s="7"/>
      <c r="AJ40" s="104"/>
      <c r="AK40" s="222"/>
      <c r="AL40" s="222"/>
      <c r="AM40" s="7"/>
      <c r="AN40" s="104"/>
      <c r="AO40" s="222"/>
      <c r="AP40" s="222"/>
      <c r="AQ40" s="7"/>
      <c r="AR40" s="104"/>
      <c r="AS40" s="222"/>
      <c r="AT40" s="222"/>
      <c r="AU40" s="7"/>
      <c r="AV40" s="104"/>
      <c r="AW40" s="222"/>
      <c r="AX40" s="222"/>
      <c r="AY40" s="7"/>
      <c r="AZ40" s="104"/>
      <c r="BA40" s="222"/>
      <c r="BB40" s="222"/>
      <c r="BC40" s="7"/>
      <c r="BD40" s="104"/>
      <c r="BE40" s="222"/>
      <c r="BF40" s="222"/>
      <c r="BG40" s="7"/>
      <c r="BH40" s="104"/>
      <c r="BI40" s="222"/>
      <c r="BJ40" s="222"/>
      <c r="BK40" s="7"/>
      <c r="BL40" s="104"/>
      <c r="BM40" s="222"/>
      <c r="BN40" s="222"/>
      <c r="BO40" s="7"/>
      <c r="BP40" s="104"/>
      <c r="BQ40" s="222"/>
      <c r="BR40" s="222"/>
      <c r="BS40" s="7"/>
      <c r="BT40" s="104"/>
      <c r="BU40" s="222"/>
      <c r="BV40" s="222"/>
      <c r="BW40" s="7"/>
    </row>
    <row r="41" spans="1:75">
      <c r="A41" s="95">
        <v>35</v>
      </c>
      <c r="B41" s="53"/>
      <c r="C41" s="67"/>
      <c r="D41" s="124"/>
      <c r="E41" s="133"/>
      <c r="F41" s="200"/>
      <c r="G41" s="22"/>
      <c r="H41" s="21"/>
      <c r="I41" s="22"/>
      <c r="J41" s="59"/>
      <c r="K41" s="7"/>
      <c r="L41" s="11"/>
      <c r="M41" s="199"/>
      <c r="N41" s="12"/>
      <c r="O41" s="7"/>
      <c r="P41" s="104"/>
      <c r="Q41" s="222"/>
      <c r="R41" s="222"/>
      <c r="S41" s="7"/>
      <c r="T41" s="104"/>
      <c r="U41" s="222"/>
      <c r="V41" s="222"/>
      <c r="W41" s="7"/>
      <c r="X41" s="104"/>
      <c r="Y41" s="222"/>
      <c r="Z41" s="222"/>
      <c r="AA41" s="7"/>
      <c r="AB41" s="104"/>
      <c r="AC41" s="222"/>
      <c r="AD41" s="222"/>
      <c r="AE41" s="7"/>
      <c r="AF41" s="104"/>
      <c r="AG41" s="222"/>
      <c r="AH41" s="222"/>
      <c r="AI41" s="7"/>
      <c r="AJ41" s="104"/>
      <c r="AK41" s="222"/>
      <c r="AL41" s="222"/>
      <c r="AM41" s="7"/>
      <c r="AN41" s="104"/>
      <c r="AO41" s="222"/>
      <c r="AP41" s="222"/>
      <c r="AQ41" s="7"/>
      <c r="AR41" s="104"/>
      <c r="AS41" s="222"/>
      <c r="AT41" s="222"/>
      <c r="AU41" s="7"/>
      <c r="AV41" s="104"/>
      <c r="AW41" s="222"/>
      <c r="AX41" s="222"/>
      <c r="AY41" s="7"/>
      <c r="AZ41" s="104"/>
      <c r="BA41" s="222"/>
      <c r="BB41" s="222"/>
      <c r="BC41" s="7"/>
      <c r="BD41" s="104"/>
      <c r="BE41" s="222"/>
      <c r="BF41" s="222"/>
      <c r="BG41" s="7"/>
      <c r="BH41" s="104"/>
      <c r="BI41" s="222"/>
      <c r="BJ41" s="222"/>
      <c r="BK41" s="7"/>
      <c r="BL41" s="104"/>
      <c r="BM41" s="222"/>
      <c r="BN41" s="222"/>
      <c r="BO41" s="7"/>
      <c r="BP41" s="104"/>
      <c r="BQ41" s="222"/>
      <c r="BR41" s="222"/>
      <c r="BS41" s="7"/>
      <c r="BT41" s="104"/>
      <c r="BU41" s="222"/>
      <c r="BV41" s="222"/>
      <c r="BW41" s="7"/>
    </row>
    <row r="42" spans="1:75">
      <c r="A42" s="95">
        <v>36</v>
      </c>
      <c r="B42" s="53"/>
      <c r="C42" s="67"/>
      <c r="D42" s="124"/>
      <c r="E42" s="133"/>
      <c r="F42" s="200"/>
      <c r="G42" s="22"/>
      <c r="H42" s="21"/>
      <c r="I42" s="22"/>
      <c r="J42" s="59"/>
      <c r="K42" s="7"/>
      <c r="L42" s="11"/>
      <c r="M42" s="199"/>
      <c r="N42" s="12"/>
      <c r="O42" s="7"/>
      <c r="P42" s="104"/>
      <c r="Q42" s="222"/>
      <c r="R42" s="222"/>
      <c r="S42" s="7"/>
      <c r="T42" s="104"/>
      <c r="U42" s="222"/>
      <c r="V42" s="222"/>
      <c r="W42" s="7"/>
      <c r="X42" s="104"/>
      <c r="Y42" s="222"/>
      <c r="Z42" s="222"/>
      <c r="AA42" s="7"/>
      <c r="AB42" s="104"/>
      <c r="AC42" s="222"/>
      <c r="AD42" s="222"/>
      <c r="AE42" s="7"/>
      <c r="AF42" s="104"/>
      <c r="AG42" s="222"/>
      <c r="AH42" s="222"/>
      <c r="AI42" s="7"/>
      <c r="AJ42" s="104"/>
      <c r="AK42" s="222"/>
      <c r="AL42" s="222"/>
      <c r="AM42" s="7"/>
      <c r="AN42" s="104"/>
      <c r="AO42" s="222"/>
      <c r="AP42" s="222"/>
      <c r="AQ42" s="7"/>
      <c r="AR42" s="104"/>
      <c r="AS42" s="222"/>
      <c r="AT42" s="222"/>
      <c r="AU42" s="7"/>
      <c r="AV42" s="104"/>
      <c r="AW42" s="222"/>
      <c r="AX42" s="222"/>
      <c r="AY42" s="7"/>
      <c r="AZ42" s="104"/>
      <c r="BA42" s="222"/>
      <c r="BB42" s="222"/>
      <c r="BC42" s="7"/>
      <c r="BD42" s="104"/>
      <c r="BE42" s="222"/>
      <c r="BF42" s="222"/>
      <c r="BG42" s="7"/>
      <c r="BH42" s="104"/>
      <c r="BI42" s="222"/>
      <c r="BJ42" s="222"/>
      <c r="BK42" s="7"/>
      <c r="BL42" s="104"/>
      <c r="BM42" s="222"/>
      <c r="BN42" s="222"/>
      <c r="BO42" s="7"/>
      <c r="BP42" s="104"/>
      <c r="BQ42" s="222"/>
      <c r="BR42" s="222"/>
      <c r="BS42" s="7"/>
      <c r="BT42" s="104"/>
      <c r="BU42" s="222"/>
      <c r="BV42" s="222"/>
      <c r="BW42" s="7"/>
    </row>
    <row r="43" spans="1:75">
      <c r="A43" s="95">
        <v>37</v>
      </c>
      <c r="B43" s="53"/>
      <c r="C43" s="67"/>
      <c r="D43" s="124"/>
      <c r="E43" s="133"/>
      <c r="F43" s="200"/>
      <c r="G43" s="22"/>
      <c r="H43" s="21"/>
      <c r="I43" s="22"/>
      <c r="J43" s="59"/>
      <c r="K43" s="7"/>
      <c r="L43" s="11"/>
      <c r="M43" s="199"/>
      <c r="N43" s="12"/>
      <c r="O43" s="7"/>
      <c r="P43" s="104"/>
      <c r="Q43" s="222"/>
      <c r="R43" s="222"/>
      <c r="S43" s="7"/>
      <c r="T43" s="104"/>
      <c r="U43" s="222"/>
      <c r="V43" s="222"/>
      <c r="W43" s="7"/>
      <c r="X43" s="104"/>
      <c r="Y43" s="222"/>
      <c r="Z43" s="222"/>
      <c r="AA43" s="7"/>
      <c r="AB43" s="104"/>
      <c r="AC43" s="222"/>
      <c r="AD43" s="222"/>
      <c r="AE43" s="7"/>
      <c r="AF43" s="104"/>
      <c r="AG43" s="222"/>
      <c r="AH43" s="222"/>
      <c r="AI43" s="7"/>
      <c r="AJ43" s="104"/>
      <c r="AK43" s="222"/>
      <c r="AL43" s="222"/>
      <c r="AM43" s="7"/>
      <c r="AN43" s="104"/>
      <c r="AO43" s="222"/>
      <c r="AP43" s="222"/>
      <c r="AQ43" s="7"/>
      <c r="AR43" s="104"/>
      <c r="AS43" s="222"/>
      <c r="AT43" s="222"/>
      <c r="AU43" s="7"/>
      <c r="AV43" s="104"/>
      <c r="AW43" s="222"/>
      <c r="AX43" s="222"/>
      <c r="AY43" s="7"/>
      <c r="AZ43" s="104"/>
      <c r="BA43" s="222"/>
      <c r="BB43" s="222"/>
      <c r="BC43" s="7"/>
      <c r="BD43" s="104"/>
      <c r="BE43" s="222"/>
      <c r="BF43" s="222"/>
      <c r="BG43" s="7"/>
      <c r="BH43" s="104"/>
      <c r="BI43" s="222"/>
      <c r="BJ43" s="222"/>
      <c r="BK43" s="7"/>
      <c r="BL43" s="104"/>
      <c r="BM43" s="222"/>
      <c r="BN43" s="222"/>
      <c r="BO43" s="7"/>
      <c r="BP43" s="104"/>
      <c r="BQ43" s="222"/>
      <c r="BR43" s="222"/>
      <c r="BS43" s="7"/>
      <c r="BT43" s="104"/>
      <c r="BU43" s="222"/>
      <c r="BV43" s="222"/>
      <c r="BW43" s="7"/>
    </row>
    <row r="44" spans="1:75">
      <c r="A44" s="95">
        <v>38</v>
      </c>
      <c r="B44" s="53"/>
      <c r="C44" s="67"/>
      <c r="D44" s="124"/>
      <c r="E44" s="133"/>
      <c r="F44" s="200"/>
      <c r="G44" s="22"/>
      <c r="H44" s="21"/>
      <c r="I44" s="22"/>
      <c r="J44" s="59"/>
      <c r="K44" s="7"/>
      <c r="L44" s="11"/>
      <c r="M44" s="199"/>
      <c r="N44" s="12"/>
      <c r="O44" s="7"/>
      <c r="P44" s="104"/>
      <c r="Q44" s="222"/>
      <c r="R44" s="222"/>
      <c r="S44" s="7"/>
      <c r="T44" s="104"/>
      <c r="U44" s="222"/>
      <c r="V44" s="222"/>
      <c r="W44" s="7"/>
      <c r="X44" s="104"/>
      <c r="Y44" s="222"/>
      <c r="Z44" s="222"/>
      <c r="AA44" s="7"/>
      <c r="AB44" s="104"/>
      <c r="AC44" s="222"/>
      <c r="AD44" s="222"/>
      <c r="AE44" s="7"/>
      <c r="AF44" s="104"/>
      <c r="AG44" s="222"/>
      <c r="AH44" s="222"/>
      <c r="AI44" s="7"/>
      <c r="AJ44" s="104"/>
      <c r="AK44" s="222"/>
      <c r="AL44" s="222"/>
      <c r="AM44" s="7"/>
      <c r="AN44" s="104"/>
      <c r="AO44" s="222"/>
      <c r="AP44" s="222"/>
      <c r="AQ44" s="7"/>
      <c r="AR44" s="104"/>
      <c r="AS44" s="222"/>
      <c r="AT44" s="222"/>
      <c r="AU44" s="7"/>
      <c r="AV44" s="104"/>
      <c r="AW44" s="222"/>
      <c r="AX44" s="222"/>
      <c r="AY44" s="7"/>
      <c r="AZ44" s="104"/>
      <c r="BA44" s="222"/>
      <c r="BB44" s="222"/>
      <c r="BC44" s="7"/>
      <c r="BD44" s="104"/>
      <c r="BE44" s="222"/>
      <c r="BF44" s="222"/>
      <c r="BG44" s="7"/>
      <c r="BH44" s="104"/>
      <c r="BI44" s="222"/>
      <c r="BJ44" s="222"/>
      <c r="BK44" s="7"/>
      <c r="BL44" s="104"/>
      <c r="BM44" s="222"/>
      <c r="BN44" s="222"/>
      <c r="BO44" s="7"/>
      <c r="BP44" s="104"/>
      <c r="BQ44" s="222"/>
      <c r="BR44" s="222"/>
      <c r="BS44" s="7"/>
      <c r="BT44" s="104"/>
      <c r="BU44" s="222"/>
      <c r="BV44" s="222"/>
      <c r="BW44" s="7"/>
    </row>
    <row r="45" spans="1:75">
      <c r="A45" s="95">
        <v>39</v>
      </c>
      <c r="B45" s="53"/>
      <c r="C45" s="67"/>
      <c r="D45" s="124"/>
      <c r="E45" s="133"/>
      <c r="F45" s="200"/>
      <c r="G45" s="22"/>
      <c r="H45" s="21"/>
      <c r="I45" s="22"/>
      <c r="J45" s="59"/>
      <c r="K45" s="7"/>
      <c r="L45" s="11"/>
      <c r="M45" s="199"/>
      <c r="N45" s="12"/>
      <c r="O45" s="7"/>
      <c r="P45" s="104"/>
      <c r="Q45" s="222"/>
      <c r="R45" s="222"/>
      <c r="S45" s="7"/>
      <c r="T45" s="104"/>
      <c r="U45" s="222"/>
      <c r="V45" s="222"/>
      <c r="W45" s="7"/>
      <c r="X45" s="104"/>
      <c r="Y45" s="222"/>
      <c r="Z45" s="222"/>
      <c r="AA45" s="7"/>
      <c r="AB45" s="104"/>
      <c r="AC45" s="222"/>
      <c r="AD45" s="222"/>
      <c r="AE45" s="7"/>
      <c r="AF45" s="104"/>
      <c r="AG45" s="222"/>
      <c r="AH45" s="222"/>
      <c r="AI45" s="7"/>
      <c r="AJ45" s="104"/>
      <c r="AK45" s="222"/>
      <c r="AL45" s="222"/>
      <c r="AM45" s="7"/>
      <c r="AN45" s="104"/>
      <c r="AO45" s="222"/>
      <c r="AP45" s="222"/>
      <c r="AQ45" s="7"/>
      <c r="AR45" s="104"/>
      <c r="AS45" s="222"/>
      <c r="AT45" s="222"/>
      <c r="AU45" s="7"/>
      <c r="AV45" s="104"/>
      <c r="AW45" s="222"/>
      <c r="AX45" s="222"/>
      <c r="AY45" s="7"/>
      <c r="AZ45" s="104"/>
      <c r="BA45" s="222"/>
      <c r="BB45" s="222"/>
      <c r="BC45" s="7"/>
      <c r="BD45" s="104"/>
      <c r="BE45" s="222"/>
      <c r="BF45" s="222"/>
      <c r="BG45" s="7"/>
      <c r="BH45" s="104"/>
      <c r="BI45" s="222"/>
      <c r="BJ45" s="222"/>
      <c r="BK45" s="7"/>
      <c r="BL45" s="104"/>
      <c r="BM45" s="222"/>
      <c r="BN45" s="222"/>
      <c r="BO45" s="7"/>
      <c r="BP45" s="104"/>
      <c r="BQ45" s="222"/>
      <c r="BR45" s="222"/>
      <c r="BS45" s="7"/>
      <c r="BT45" s="104"/>
      <c r="BU45" s="222"/>
      <c r="BV45" s="222"/>
      <c r="BW45" s="7"/>
    </row>
    <row r="46" spans="1:75">
      <c r="A46" s="95">
        <v>40</v>
      </c>
      <c r="B46" s="53"/>
      <c r="C46" s="67"/>
      <c r="D46" s="124"/>
      <c r="E46" s="133"/>
      <c r="F46" s="200"/>
      <c r="G46" s="22"/>
      <c r="H46" s="21"/>
      <c r="I46" s="22"/>
      <c r="J46" s="59"/>
      <c r="K46" s="7"/>
      <c r="L46" s="11"/>
      <c r="M46" s="199"/>
      <c r="N46" s="12"/>
      <c r="O46" s="7"/>
      <c r="P46" s="104"/>
      <c r="Q46" s="222"/>
      <c r="R46" s="222"/>
      <c r="S46" s="7"/>
      <c r="T46" s="104"/>
      <c r="U46" s="222"/>
      <c r="V46" s="222"/>
      <c r="W46" s="7"/>
      <c r="X46" s="104"/>
      <c r="Y46" s="222"/>
      <c r="Z46" s="222"/>
      <c r="AA46" s="7"/>
      <c r="AB46" s="104"/>
      <c r="AC46" s="222"/>
      <c r="AD46" s="222"/>
      <c r="AE46" s="7"/>
      <c r="AF46" s="104"/>
      <c r="AG46" s="222"/>
      <c r="AH46" s="222"/>
      <c r="AI46" s="7"/>
      <c r="AJ46" s="104"/>
      <c r="AK46" s="222"/>
      <c r="AL46" s="222"/>
      <c r="AM46" s="7"/>
      <c r="AN46" s="104"/>
      <c r="AO46" s="222"/>
      <c r="AP46" s="222"/>
      <c r="AQ46" s="7"/>
      <c r="AR46" s="104"/>
      <c r="AS46" s="222"/>
      <c r="AT46" s="222"/>
      <c r="AU46" s="7"/>
      <c r="AV46" s="104"/>
      <c r="AW46" s="222"/>
      <c r="AX46" s="222"/>
      <c r="AY46" s="7"/>
      <c r="AZ46" s="104"/>
      <c r="BA46" s="222"/>
      <c r="BB46" s="222"/>
      <c r="BC46" s="7"/>
      <c r="BD46" s="104"/>
      <c r="BE46" s="222"/>
      <c r="BF46" s="222"/>
      <c r="BG46" s="7"/>
      <c r="BH46" s="104"/>
      <c r="BI46" s="222"/>
      <c r="BJ46" s="222"/>
      <c r="BK46" s="7"/>
      <c r="BL46" s="104"/>
      <c r="BM46" s="222"/>
      <c r="BN46" s="222"/>
      <c r="BO46" s="7"/>
      <c r="BP46" s="104"/>
      <c r="BQ46" s="222"/>
      <c r="BR46" s="222"/>
      <c r="BS46" s="7"/>
      <c r="BT46" s="104"/>
      <c r="BU46" s="222"/>
      <c r="BV46" s="222"/>
      <c r="BW46" s="7"/>
    </row>
    <row r="47" spans="1:75">
      <c r="A47" s="95">
        <v>41</v>
      </c>
      <c r="B47" s="53"/>
      <c r="C47" s="67"/>
      <c r="D47" s="124"/>
      <c r="E47" s="133"/>
      <c r="F47" s="200"/>
      <c r="G47" s="22"/>
      <c r="H47" s="21"/>
      <c r="I47" s="22"/>
      <c r="J47" s="59"/>
      <c r="K47" s="7"/>
      <c r="L47" s="11"/>
      <c r="M47" s="199"/>
      <c r="N47" s="12"/>
      <c r="O47" s="7"/>
      <c r="P47" s="104"/>
      <c r="Q47" s="222"/>
      <c r="R47" s="222"/>
      <c r="S47" s="7"/>
      <c r="T47" s="104"/>
      <c r="U47" s="222"/>
      <c r="V47" s="222"/>
      <c r="W47" s="7"/>
      <c r="X47" s="104"/>
      <c r="Y47" s="222"/>
      <c r="Z47" s="222"/>
      <c r="AA47" s="7"/>
      <c r="AB47" s="104"/>
      <c r="AC47" s="222"/>
      <c r="AD47" s="222"/>
      <c r="AE47" s="7"/>
      <c r="AF47" s="104"/>
      <c r="AG47" s="222"/>
      <c r="AH47" s="222"/>
      <c r="AI47" s="7"/>
      <c r="AJ47" s="104"/>
      <c r="AK47" s="222"/>
      <c r="AL47" s="222"/>
      <c r="AM47" s="7"/>
      <c r="AN47" s="104"/>
      <c r="AO47" s="222"/>
      <c r="AP47" s="222"/>
      <c r="AQ47" s="7"/>
      <c r="AR47" s="104"/>
      <c r="AS47" s="222"/>
      <c r="AT47" s="222"/>
      <c r="AU47" s="7"/>
      <c r="AV47" s="104"/>
      <c r="AW47" s="222"/>
      <c r="AX47" s="222"/>
      <c r="AY47" s="7"/>
      <c r="AZ47" s="104"/>
      <c r="BA47" s="222"/>
      <c r="BB47" s="222"/>
      <c r="BC47" s="7"/>
      <c r="BD47" s="104"/>
      <c r="BE47" s="222"/>
      <c r="BF47" s="222"/>
      <c r="BG47" s="7"/>
      <c r="BH47" s="104"/>
      <c r="BI47" s="222"/>
      <c r="BJ47" s="222"/>
      <c r="BK47" s="7"/>
      <c r="BL47" s="104"/>
      <c r="BM47" s="222"/>
      <c r="BN47" s="222"/>
      <c r="BO47" s="7"/>
      <c r="BP47" s="104"/>
      <c r="BQ47" s="222"/>
      <c r="BR47" s="222"/>
      <c r="BS47" s="7"/>
      <c r="BT47" s="104"/>
      <c r="BU47" s="222"/>
      <c r="BV47" s="222"/>
      <c r="BW47" s="7"/>
    </row>
    <row r="48" spans="1:75">
      <c r="A48" s="95">
        <v>42</v>
      </c>
      <c r="B48" s="53"/>
      <c r="C48" s="67"/>
      <c r="D48" s="124"/>
      <c r="E48" s="133"/>
      <c r="F48" s="200"/>
      <c r="G48" s="22"/>
      <c r="H48" s="21"/>
      <c r="I48" s="22"/>
      <c r="J48" s="59"/>
      <c r="K48" s="7"/>
      <c r="L48" s="11"/>
      <c r="M48" s="199"/>
      <c r="N48" s="12"/>
      <c r="O48" s="7"/>
      <c r="P48" s="104"/>
      <c r="Q48" s="222"/>
      <c r="R48" s="222"/>
      <c r="S48" s="7"/>
      <c r="T48" s="104"/>
      <c r="U48" s="222"/>
      <c r="V48" s="222"/>
      <c r="W48" s="7"/>
      <c r="X48" s="104"/>
      <c r="Y48" s="222"/>
      <c r="Z48" s="222"/>
      <c r="AA48" s="7"/>
      <c r="AB48" s="104"/>
      <c r="AC48" s="222"/>
      <c r="AD48" s="222"/>
      <c r="AE48" s="7"/>
      <c r="AF48" s="104"/>
      <c r="AG48" s="222"/>
      <c r="AH48" s="222"/>
      <c r="AI48" s="7"/>
      <c r="AJ48" s="104"/>
      <c r="AK48" s="222"/>
      <c r="AL48" s="222"/>
      <c r="AM48" s="7"/>
      <c r="AN48" s="104"/>
      <c r="AO48" s="222"/>
      <c r="AP48" s="222"/>
      <c r="AQ48" s="7"/>
      <c r="AR48" s="104"/>
      <c r="AS48" s="222"/>
      <c r="AT48" s="222"/>
      <c r="AU48" s="7"/>
      <c r="AV48" s="104"/>
      <c r="AW48" s="222"/>
      <c r="AX48" s="222"/>
      <c r="AY48" s="7"/>
      <c r="AZ48" s="104"/>
      <c r="BA48" s="222"/>
      <c r="BB48" s="222"/>
      <c r="BC48" s="7"/>
      <c r="BD48" s="104"/>
      <c r="BE48" s="222"/>
      <c r="BF48" s="222"/>
      <c r="BG48" s="7"/>
      <c r="BH48" s="104"/>
      <c r="BI48" s="222"/>
      <c r="BJ48" s="222"/>
      <c r="BK48" s="7"/>
      <c r="BL48" s="104"/>
      <c r="BM48" s="222"/>
      <c r="BN48" s="222"/>
      <c r="BO48" s="7"/>
      <c r="BP48" s="104"/>
      <c r="BQ48" s="222"/>
      <c r="BR48" s="222"/>
      <c r="BS48" s="7"/>
      <c r="BT48" s="104"/>
      <c r="BU48" s="222"/>
      <c r="BV48" s="222"/>
      <c r="BW48" s="7"/>
    </row>
    <row r="49" spans="1:75">
      <c r="A49" s="95">
        <v>43</v>
      </c>
      <c r="B49" s="53"/>
      <c r="C49" s="67"/>
      <c r="D49" s="124"/>
      <c r="E49" s="133"/>
      <c r="F49" s="200"/>
      <c r="G49" s="22"/>
      <c r="H49" s="21"/>
      <c r="I49" s="22"/>
      <c r="J49" s="59"/>
      <c r="K49" s="7"/>
      <c r="L49" s="11"/>
      <c r="M49" s="199"/>
      <c r="N49" s="12"/>
      <c r="O49" s="7"/>
      <c r="P49" s="104"/>
      <c r="Q49" s="222"/>
      <c r="R49" s="222"/>
      <c r="S49" s="7"/>
      <c r="T49" s="104"/>
      <c r="U49" s="222"/>
      <c r="V49" s="222"/>
      <c r="W49" s="7"/>
      <c r="X49" s="104"/>
      <c r="Y49" s="222"/>
      <c r="Z49" s="222"/>
      <c r="AA49" s="7"/>
      <c r="AB49" s="104"/>
      <c r="AC49" s="222"/>
      <c r="AD49" s="222"/>
      <c r="AE49" s="7"/>
      <c r="AF49" s="104"/>
      <c r="AG49" s="222"/>
      <c r="AH49" s="222"/>
      <c r="AI49" s="7"/>
      <c r="AJ49" s="104"/>
      <c r="AK49" s="222"/>
      <c r="AL49" s="222"/>
      <c r="AM49" s="7"/>
      <c r="AN49" s="104"/>
      <c r="AO49" s="222"/>
      <c r="AP49" s="222"/>
      <c r="AQ49" s="7"/>
      <c r="AR49" s="104"/>
      <c r="AS49" s="222"/>
      <c r="AT49" s="222"/>
      <c r="AU49" s="7"/>
      <c r="AV49" s="104"/>
      <c r="AW49" s="222"/>
      <c r="AX49" s="222"/>
      <c r="AY49" s="7"/>
      <c r="AZ49" s="104"/>
      <c r="BA49" s="222"/>
      <c r="BB49" s="222"/>
      <c r="BC49" s="7"/>
      <c r="BD49" s="104"/>
      <c r="BE49" s="222"/>
      <c r="BF49" s="222"/>
      <c r="BG49" s="7"/>
      <c r="BH49" s="104"/>
      <c r="BI49" s="222"/>
      <c r="BJ49" s="222"/>
      <c r="BK49" s="7"/>
      <c r="BL49" s="104"/>
      <c r="BM49" s="222"/>
      <c r="BN49" s="222"/>
      <c r="BO49" s="7"/>
      <c r="BP49" s="104"/>
      <c r="BQ49" s="222"/>
      <c r="BR49" s="222"/>
      <c r="BS49" s="7"/>
      <c r="BT49" s="104"/>
      <c r="BU49" s="222"/>
      <c r="BV49" s="222"/>
      <c r="BW49" s="7"/>
    </row>
    <row r="50" spans="1:75">
      <c r="A50" s="95">
        <v>44</v>
      </c>
      <c r="B50" s="53"/>
      <c r="C50" s="67"/>
      <c r="D50" s="124"/>
      <c r="E50" s="133"/>
      <c r="F50" s="200"/>
      <c r="G50" s="22"/>
      <c r="H50" s="21"/>
      <c r="I50" s="22"/>
      <c r="J50" s="59"/>
      <c r="K50" s="7"/>
      <c r="L50" s="11"/>
      <c r="M50" s="199"/>
      <c r="N50" s="12"/>
      <c r="O50" s="7"/>
      <c r="P50" s="104"/>
      <c r="Q50" s="222"/>
      <c r="R50" s="222"/>
      <c r="S50" s="7"/>
      <c r="T50" s="104"/>
      <c r="U50" s="222"/>
      <c r="V50" s="222"/>
      <c r="W50" s="7"/>
      <c r="X50" s="104"/>
      <c r="Y50" s="222"/>
      <c r="Z50" s="222"/>
      <c r="AA50" s="7"/>
      <c r="AB50" s="104"/>
      <c r="AC50" s="222"/>
      <c r="AD50" s="222"/>
      <c r="AE50" s="7"/>
      <c r="AF50" s="104"/>
      <c r="AG50" s="222"/>
      <c r="AH50" s="222"/>
      <c r="AI50" s="7"/>
      <c r="AJ50" s="104"/>
      <c r="AK50" s="222"/>
      <c r="AL50" s="222"/>
      <c r="AM50" s="7"/>
      <c r="AN50" s="104"/>
      <c r="AO50" s="222"/>
      <c r="AP50" s="222"/>
      <c r="AQ50" s="7"/>
      <c r="AR50" s="104"/>
      <c r="AS50" s="222"/>
      <c r="AT50" s="222"/>
      <c r="AU50" s="7"/>
      <c r="AV50" s="104"/>
      <c r="AW50" s="222"/>
      <c r="AX50" s="222"/>
      <c r="AY50" s="7"/>
      <c r="AZ50" s="104"/>
      <c r="BA50" s="222"/>
      <c r="BB50" s="222"/>
      <c r="BC50" s="7"/>
      <c r="BD50" s="104"/>
      <c r="BE50" s="222"/>
      <c r="BF50" s="222"/>
      <c r="BG50" s="7"/>
      <c r="BH50" s="104"/>
      <c r="BI50" s="222"/>
      <c r="BJ50" s="222"/>
      <c r="BK50" s="7"/>
      <c r="BL50" s="104"/>
      <c r="BM50" s="222"/>
      <c r="BN50" s="222"/>
      <c r="BO50" s="7"/>
      <c r="BP50" s="104"/>
      <c r="BQ50" s="222"/>
      <c r="BR50" s="222"/>
      <c r="BS50" s="7"/>
      <c r="BT50" s="104"/>
      <c r="BU50" s="222"/>
      <c r="BV50" s="222"/>
      <c r="BW50" s="7"/>
    </row>
    <row r="51" spans="1:75">
      <c r="A51" s="95">
        <v>45</v>
      </c>
      <c r="B51" s="53"/>
      <c r="C51" s="67"/>
      <c r="D51" s="124"/>
      <c r="E51" s="133"/>
      <c r="F51" s="200"/>
      <c r="G51" s="22"/>
      <c r="H51" s="21"/>
      <c r="I51" s="22"/>
      <c r="J51" s="59"/>
      <c r="K51" s="7"/>
      <c r="L51" s="11"/>
      <c r="M51" s="199"/>
      <c r="N51" s="12"/>
      <c r="O51" s="7"/>
      <c r="P51" s="104"/>
      <c r="Q51" s="222"/>
      <c r="R51" s="222"/>
      <c r="S51" s="7"/>
      <c r="T51" s="104"/>
      <c r="U51" s="222"/>
      <c r="V51" s="222"/>
      <c r="W51" s="7"/>
      <c r="X51" s="104"/>
      <c r="Y51" s="222"/>
      <c r="Z51" s="222"/>
      <c r="AA51" s="7"/>
      <c r="AB51" s="104"/>
      <c r="AC51" s="222"/>
      <c r="AD51" s="222"/>
      <c r="AE51" s="7"/>
      <c r="AF51" s="104"/>
      <c r="AG51" s="222"/>
      <c r="AH51" s="222"/>
      <c r="AI51" s="7"/>
      <c r="AJ51" s="104"/>
      <c r="AK51" s="222"/>
      <c r="AL51" s="222"/>
      <c r="AM51" s="7"/>
      <c r="AN51" s="104"/>
      <c r="AO51" s="222"/>
      <c r="AP51" s="222"/>
      <c r="AQ51" s="7"/>
      <c r="AR51" s="104"/>
      <c r="AS51" s="222"/>
      <c r="AT51" s="222"/>
      <c r="AU51" s="7"/>
      <c r="AV51" s="104"/>
      <c r="AW51" s="222"/>
      <c r="AX51" s="222"/>
      <c r="AY51" s="7"/>
      <c r="AZ51" s="104"/>
      <c r="BA51" s="222"/>
      <c r="BB51" s="222"/>
      <c r="BC51" s="7"/>
      <c r="BD51" s="104"/>
      <c r="BE51" s="222"/>
      <c r="BF51" s="222"/>
      <c r="BG51" s="7"/>
      <c r="BH51" s="104"/>
      <c r="BI51" s="222"/>
      <c r="BJ51" s="222"/>
      <c r="BK51" s="7"/>
      <c r="BL51" s="104"/>
      <c r="BM51" s="222"/>
      <c r="BN51" s="222"/>
      <c r="BO51" s="7"/>
      <c r="BP51" s="104"/>
      <c r="BQ51" s="222"/>
      <c r="BR51" s="222"/>
      <c r="BS51" s="7"/>
      <c r="BT51" s="104"/>
      <c r="BU51" s="222"/>
      <c r="BV51" s="222"/>
      <c r="BW51" s="7"/>
    </row>
    <row r="52" spans="1:75">
      <c r="A52" s="95">
        <v>46</v>
      </c>
      <c r="B52" s="53"/>
      <c r="C52" s="67"/>
      <c r="D52" s="124"/>
      <c r="E52" s="133"/>
      <c r="F52" s="200"/>
      <c r="G52" s="22"/>
      <c r="H52" s="21"/>
      <c r="I52" s="22"/>
      <c r="J52" s="59"/>
      <c r="K52" s="7"/>
      <c r="L52" s="11"/>
      <c r="M52" s="199"/>
      <c r="N52" s="12"/>
      <c r="O52" s="7"/>
      <c r="P52" s="104"/>
      <c r="Q52" s="222"/>
      <c r="R52" s="222"/>
      <c r="S52" s="7"/>
      <c r="T52" s="104"/>
      <c r="U52" s="222"/>
      <c r="V52" s="222"/>
      <c r="W52" s="7"/>
      <c r="X52" s="104"/>
      <c r="Y52" s="222"/>
      <c r="Z52" s="222"/>
      <c r="AA52" s="7"/>
      <c r="AB52" s="104"/>
      <c r="AC52" s="222"/>
      <c r="AD52" s="222"/>
      <c r="AE52" s="7"/>
      <c r="AF52" s="104"/>
      <c r="AG52" s="222"/>
      <c r="AH52" s="222"/>
      <c r="AI52" s="7"/>
      <c r="AJ52" s="104"/>
      <c r="AK52" s="222"/>
      <c r="AL52" s="222"/>
      <c r="AM52" s="7"/>
      <c r="AN52" s="104"/>
      <c r="AO52" s="222"/>
      <c r="AP52" s="222"/>
      <c r="AQ52" s="7"/>
      <c r="AR52" s="104"/>
      <c r="AS52" s="222"/>
      <c r="AT52" s="222"/>
      <c r="AU52" s="7"/>
      <c r="AV52" s="104"/>
      <c r="AW52" s="222"/>
      <c r="AX52" s="222"/>
      <c r="AY52" s="7"/>
      <c r="AZ52" s="104"/>
      <c r="BA52" s="222"/>
      <c r="BB52" s="222"/>
      <c r="BC52" s="7"/>
      <c r="BD52" s="104"/>
      <c r="BE52" s="222"/>
      <c r="BF52" s="222"/>
      <c r="BG52" s="7"/>
      <c r="BH52" s="104"/>
      <c r="BI52" s="222"/>
      <c r="BJ52" s="222"/>
      <c r="BK52" s="7"/>
      <c r="BL52" s="104"/>
      <c r="BM52" s="222"/>
      <c r="BN52" s="222"/>
      <c r="BO52" s="7"/>
      <c r="BP52" s="104"/>
      <c r="BQ52" s="222"/>
      <c r="BR52" s="222"/>
      <c r="BS52" s="7"/>
      <c r="BT52" s="104"/>
      <c r="BU52" s="222"/>
      <c r="BV52" s="222"/>
      <c r="BW52" s="7"/>
    </row>
    <row r="53" spans="1:75">
      <c r="A53" s="95">
        <v>47</v>
      </c>
      <c r="B53" s="53"/>
      <c r="C53" s="67"/>
      <c r="D53" s="124"/>
      <c r="E53" s="133"/>
      <c r="F53" s="200"/>
      <c r="G53" s="22"/>
      <c r="H53" s="21"/>
      <c r="I53" s="22"/>
      <c r="J53" s="59"/>
      <c r="K53" s="7"/>
      <c r="L53" s="11"/>
      <c r="M53" s="199"/>
      <c r="N53" s="12"/>
      <c r="O53" s="7"/>
      <c r="P53" s="104"/>
      <c r="Q53" s="222"/>
      <c r="R53" s="222"/>
      <c r="S53" s="7"/>
      <c r="T53" s="104"/>
      <c r="U53" s="222"/>
      <c r="V53" s="222"/>
      <c r="W53" s="7"/>
      <c r="X53" s="104"/>
      <c r="Y53" s="222"/>
      <c r="Z53" s="222"/>
      <c r="AA53" s="7"/>
      <c r="AB53" s="104"/>
      <c r="AC53" s="222"/>
      <c r="AD53" s="222"/>
      <c r="AE53" s="7"/>
      <c r="AF53" s="104"/>
      <c r="AG53" s="222"/>
      <c r="AH53" s="222"/>
      <c r="AI53" s="7"/>
      <c r="AJ53" s="104"/>
      <c r="AK53" s="222"/>
      <c r="AL53" s="222"/>
      <c r="AM53" s="7"/>
      <c r="AN53" s="104"/>
      <c r="AO53" s="222"/>
      <c r="AP53" s="222"/>
      <c r="AQ53" s="7"/>
      <c r="AR53" s="104"/>
      <c r="AS53" s="222"/>
      <c r="AT53" s="222"/>
      <c r="AU53" s="7"/>
      <c r="AV53" s="104"/>
      <c r="AW53" s="222"/>
      <c r="AX53" s="222"/>
      <c r="AY53" s="7"/>
      <c r="AZ53" s="104"/>
      <c r="BA53" s="222"/>
      <c r="BB53" s="222"/>
      <c r="BC53" s="7"/>
      <c r="BD53" s="104"/>
      <c r="BE53" s="222"/>
      <c r="BF53" s="222"/>
      <c r="BG53" s="7"/>
      <c r="BH53" s="104"/>
      <c r="BI53" s="222"/>
      <c r="BJ53" s="222"/>
      <c r="BK53" s="7"/>
      <c r="BL53" s="104"/>
      <c r="BM53" s="222"/>
      <c r="BN53" s="222"/>
      <c r="BO53" s="7"/>
      <c r="BP53" s="104"/>
      <c r="BQ53" s="222"/>
      <c r="BR53" s="222"/>
      <c r="BS53" s="7"/>
      <c r="BT53" s="104"/>
      <c r="BU53" s="222"/>
      <c r="BV53" s="222"/>
      <c r="BW53" s="7"/>
    </row>
    <row r="54" spans="1:75">
      <c r="A54" s="95">
        <v>48</v>
      </c>
      <c r="B54" s="53"/>
      <c r="C54" s="67"/>
      <c r="D54" s="124"/>
      <c r="E54" s="133"/>
      <c r="F54" s="200"/>
      <c r="G54" s="22"/>
      <c r="H54" s="21"/>
      <c r="I54" s="22"/>
      <c r="J54" s="59"/>
      <c r="K54" s="7"/>
      <c r="L54" s="11"/>
      <c r="M54" s="199"/>
      <c r="N54" s="12"/>
      <c r="O54" s="7"/>
      <c r="P54" s="104"/>
      <c r="Q54" s="222"/>
      <c r="R54" s="222"/>
      <c r="S54" s="7"/>
      <c r="T54" s="104"/>
      <c r="U54" s="222"/>
      <c r="V54" s="222"/>
      <c r="W54" s="7"/>
      <c r="X54" s="104"/>
      <c r="Y54" s="222"/>
      <c r="Z54" s="222"/>
      <c r="AA54" s="7"/>
      <c r="AB54" s="104"/>
      <c r="AC54" s="222"/>
      <c r="AD54" s="222"/>
      <c r="AE54" s="7"/>
      <c r="AF54" s="104"/>
      <c r="AG54" s="222"/>
      <c r="AH54" s="222"/>
      <c r="AI54" s="7"/>
      <c r="AJ54" s="104"/>
      <c r="AK54" s="222"/>
      <c r="AL54" s="222"/>
      <c r="AM54" s="7"/>
      <c r="AN54" s="104"/>
      <c r="AO54" s="222"/>
      <c r="AP54" s="222"/>
      <c r="AQ54" s="7"/>
      <c r="AR54" s="104"/>
      <c r="AS54" s="222"/>
      <c r="AT54" s="222"/>
      <c r="AU54" s="7"/>
      <c r="AV54" s="104"/>
      <c r="AW54" s="222"/>
      <c r="AX54" s="222"/>
      <c r="AY54" s="7"/>
      <c r="AZ54" s="104"/>
      <c r="BA54" s="222"/>
      <c r="BB54" s="222"/>
      <c r="BC54" s="7"/>
      <c r="BD54" s="104"/>
      <c r="BE54" s="222"/>
      <c r="BF54" s="222"/>
      <c r="BG54" s="7"/>
      <c r="BH54" s="104"/>
      <c r="BI54" s="222"/>
      <c r="BJ54" s="222"/>
      <c r="BK54" s="7"/>
      <c r="BL54" s="104"/>
      <c r="BM54" s="222"/>
      <c r="BN54" s="222"/>
      <c r="BO54" s="7"/>
      <c r="BP54" s="104"/>
      <c r="BQ54" s="222"/>
      <c r="BR54" s="222"/>
      <c r="BS54" s="7"/>
      <c r="BT54" s="104"/>
      <c r="BU54" s="222"/>
      <c r="BV54" s="222"/>
      <c r="BW54" s="7"/>
    </row>
    <row r="55" spans="1:75">
      <c r="A55" s="95">
        <v>49</v>
      </c>
      <c r="B55" s="53"/>
      <c r="C55" s="67"/>
      <c r="D55" s="124"/>
      <c r="E55" s="133"/>
      <c r="F55" s="200"/>
      <c r="G55" s="22"/>
      <c r="H55" s="21"/>
      <c r="I55" s="22"/>
      <c r="J55" s="59"/>
      <c r="K55" s="7"/>
      <c r="L55" s="11"/>
      <c r="M55" s="199"/>
      <c r="N55" s="12"/>
      <c r="O55" s="7"/>
      <c r="P55" s="104"/>
      <c r="Q55" s="222"/>
      <c r="R55" s="222"/>
      <c r="S55" s="7"/>
      <c r="T55" s="104"/>
      <c r="U55" s="222"/>
      <c r="V55" s="222"/>
      <c r="W55" s="7"/>
      <c r="X55" s="104"/>
      <c r="Y55" s="222"/>
      <c r="Z55" s="222"/>
      <c r="AA55" s="7"/>
      <c r="AB55" s="104"/>
      <c r="AC55" s="222"/>
      <c r="AD55" s="222"/>
      <c r="AE55" s="7"/>
      <c r="AF55" s="104"/>
      <c r="AG55" s="222"/>
      <c r="AH55" s="222"/>
      <c r="AI55" s="7"/>
      <c r="AJ55" s="104"/>
      <c r="AK55" s="222"/>
      <c r="AL55" s="222"/>
      <c r="AM55" s="7"/>
      <c r="AN55" s="104"/>
      <c r="AO55" s="222"/>
      <c r="AP55" s="222"/>
      <c r="AQ55" s="7"/>
      <c r="AR55" s="104"/>
      <c r="AS55" s="222"/>
      <c r="AT55" s="222"/>
      <c r="AU55" s="7"/>
      <c r="AV55" s="104"/>
      <c r="AW55" s="222"/>
      <c r="AX55" s="222"/>
      <c r="AY55" s="7"/>
      <c r="AZ55" s="104"/>
      <c r="BA55" s="222"/>
      <c r="BB55" s="222"/>
      <c r="BC55" s="7"/>
      <c r="BD55" s="104"/>
      <c r="BE55" s="222"/>
      <c r="BF55" s="222"/>
      <c r="BG55" s="7"/>
      <c r="BH55" s="104"/>
      <c r="BI55" s="222"/>
      <c r="BJ55" s="222"/>
      <c r="BK55" s="7"/>
      <c r="BL55" s="104"/>
      <c r="BM55" s="222"/>
      <c r="BN55" s="222"/>
      <c r="BO55" s="7"/>
      <c r="BP55" s="104"/>
      <c r="BQ55" s="222"/>
      <c r="BR55" s="222"/>
      <c r="BS55" s="7"/>
      <c r="BT55" s="104"/>
      <c r="BU55" s="222"/>
      <c r="BV55" s="222"/>
      <c r="BW55" s="7"/>
    </row>
    <row r="56" spans="1:75">
      <c r="A56" s="95">
        <v>50</v>
      </c>
      <c r="B56" s="53"/>
      <c r="C56" s="67"/>
      <c r="D56" s="124"/>
      <c r="E56" s="133"/>
      <c r="F56" s="200"/>
      <c r="G56" s="22"/>
      <c r="H56" s="21"/>
      <c r="I56" s="22"/>
      <c r="J56" s="59"/>
      <c r="K56" s="7"/>
      <c r="L56" s="11"/>
      <c r="M56" s="199"/>
      <c r="N56" s="12"/>
      <c r="O56" s="7"/>
      <c r="P56" s="104"/>
      <c r="Q56" s="222"/>
      <c r="R56" s="222"/>
      <c r="S56" s="7"/>
      <c r="T56" s="104"/>
      <c r="U56" s="222"/>
      <c r="V56" s="222"/>
      <c r="W56" s="7"/>
      <c r="X56" s="104"/>
      <c r="Y56" s="222"/>
      <c r="Z56" s="222"/>
      <c r="AA56" s="7"/>
      <c r="AB56" s="104"/>
      <c r="AC56" s="222"/>
      <c r="AD56" s="222"/>
      <c r="AE56" s="7"/>
      <c r="AF56" s="104"/>
      <c r="AG56" s="222"/>
      <c r="AH56" s="222"/>
      <c r="AI56" s="7"/>
      <c r="AJ56" s="104"/>
      <c r="AK56" s="222"/>
      <c r="AL56" s="222"/>
      <c r="AM56" s="7"/>
      <c r="AN56" s="104"/>
      <c r="AO56" s="222"/>
      <c r="AP56" s="222"/>
      <c r="AQ56" s="7"/>
      <c r="AR56" s="104"/>
      <c r="AS56" s="222"/>
      <c r="AT56" s="222"/>
      <c r="AU56" s="7"/>
      <c r="AV56" s="104"/>
      <c r="AW56" s="222"/>
      <c r="AX56" s="222"/>
      <c r="AY56" s="7"/>
      <c r="AZ56" s="104"/>
      <c r="BA56" s="222"/>
      <c r="BB56" s="222"/>
      <c r="BC56" s="7"/>
      <c r="BD56" s="104"/>
      <c r="BE56" s="222"/>
      <c r="BF56" s="222"/>
      <c r="BG56" s="7"/>
      <c r="BH56" s="104"/>
      <c r="BI56" s="222"/>
      <c r="BJ56" s="222"/>
      <c r="BK56" s="7"/>
      <c r="BL56" s="104"/>
      <c r="BM56" s="222"/>
      <c r="BN56" s="222"/>
      <c r="BO56" s="7"/>
      <c r="BP56" s="104"/>
      <c r="BQ56" s="222"/>
      <c r="BR56" s="222"/>
      <c r="BS56" s="7"/>
      <c r="BT56" s="104"/>
      <c r="BU56" s="222"/>
      <c r="BV56" s="222"/>
      <c r="BW56" s="7"/>
    </row>
    <row r="57" spans="1:75">
      <c r="A57" s="95">
        <v>51</v>
      </c>
      <c r="B57" s="53"/>
      <c r="C57" s="67"/>
      <c r="D57" s="124"/>
      <c r="E57" s="133"/>
      <c r="F57" s="200"/>
      <c r="G57" s="22"/>
      <c r="H57" s="21"/>
      <c r="I57" s="22"/>
      <c r="J57" s="59"/>
      <c r="K57" s="7"/>
      <c r="L57" s="11"/>
      <c r="M57" s="199"/>
      <c r="N57" s="12"/>
      <c r="O57" s="7"/>
      <c r="P57" s="104"/>
      <c r="Q57" s="222"/>
      <c r="R57" s="222"/>
      <c r="S57" s="7"/>
      <c r="T57" s="104"/>
      <c r="U57" s="222"/>
      <c r="V57" s="222"/>
      <c r="W57" s="7"/>
      <c r="X57" s="104"/>
      <c r="Y57" s="222"/>
      <c r="Z57" s="222"/>
      <c r="AA57" s="7"/>
      <c r="AB57" s="104"/>
      <c r="AC57" s="222"/>
      <c r="AD57" s="222"/>
      <c r="AE57" s="7"/>
      <c r="AF57" s="104"/>
      <c r="AG57" s="222"/>
      <c r="AH57" s="222"/>
      <c r="AI57" s="7"/>
      <c r="AJ57" s="104"/>
      <c r="AK57" s="222"/>
      <c r="AL57" s="222"/>
      <c r="AM57" s="7"/>
      <c r="AN57" s="104"/>
      <c r="AO57" s="222"/>
      <c r="AP57" s="222"/>
      <c r="AQ57" s="7"/>
      <c r="AR57" s="104"/>
      <c r="AS57" s="222"/>
      <c r="AT57" s="222"/>
      <c r="AU57" s="7"/>
      <c r="AV57" s="104"/>
      <c r="AW57" s="222"/>
      <c r="AX57" s="222"/>
      <c r="AY57" s="7"/>
      <c r="AZ57" s="104"/>
      <c r="BA57" s="222"/>
      <c r="BB57" s="222"/>
      <c r="BC57" s="7"/>
      <c r="BD57" s="104"/>
      <c r="BE57" s="222"/>
      <c r="BF57" s="222"/>
      <c r="BG57" s="7"/>
      <c r="BH57" s="104"/>
      <c r="BI57" s="222"/>
      <c r="BJ57" s="222"/>
      <c r="BK57" s="7"/>
      <c r="BL57" s="104"/>
      <c r="BM57" s="222"/>
      <c r="BN57" s="222"/>
      <c r="BO57" s="7"/>
      <c r="BP57" s="104"/>
      <c r="BQ57" s="222"/>
      <c r="BR57" s="222"/>
      <c r="BS57" s="7"/>
      <c r="BT57" s="104"/>
      <c r="BU57" s="222"/>
      <c r="BV57" s="222"/>
      <c r="BW57" s="7"/>
    </row>
    <row r="58" spans="1:75">
      <c r="A58" s="95">
        <v>52</v>
      </c>
      <c r="B58" s="53"/>
      <c r="C58" s="67"/>
      <c r="D58" s="124"/>
      <c r="E58" s="133"/>
      <c r="F58" s="200"/>
      <c r="G58" s="22"/>
      <c r="H58" s="21"/>
      <c r="I58" s="22"/>
      <c r="J58" s="59"/>
      <c r="K58" s="7"/>
      <c r="L58" s="11"/>
      <c r="M58" s="199"/>
      <c r="N58" s="12"/>
      <c r="O58" s="7"/>
      <c r="P58" s="104"/>
      <c r="Q58" s="222"/>
      <c r="R58" s="222"/>
      <c r="S58" s="7"/>
      <c r="T58" s="104"/>
      <c r="U58" s="222"/>
      <c r="V58" s="222"/>
      <c r="W58" s="7"/>
      <c r="X58" s="104"/>
      <c r="Y58" s="222"/>
      <c r="Z58" s="222"/>
      <c r="AA58" s="7"/>
      <c r="AB58" s="104"/>
      <c r="AC58" s="222"/>
      <c r="AD58" s="222"/>
      <c r="AE58" s="7"/>
      <c r="AF58" s="104"/>
      <c r="AG58" s="222"/>
      <c r="AH58" s="222"/>
      <c r="AI58" s="7"/>
      <c r="AJ58" s="104"/>
      <c r="AK58" s="222"/>
      <c r="AL58" s="222"/>
      <c r="AM58" s="7"/>
      <c r="AN58" s="104"/>
      <c r="AO58" s="222"/>
      <c r="AP58" s="222"/>
      <c r="AQ58" s="7"/>
      <c r="AR58" s="104"/>
      <c r="AS58" s="222"/>
      <c r="AT58" s="222"/>
      <c r="AU58" s="7"/>
      <c r="AV58" s="104"/>
      <c r="AW58" s="222"/>
      <c r="AX58" s="222"/>
      <c r="AY58" s="7"/>
      <c r="AZ58" s="104"/>
      <c r="BA58" s="222"/>
      <c r="BB58" s="222"/>
      <c r="BC58" s="7"/>
      <c r="BD58" s="104"/>
      <c r="BE58" s="222"/>
      <c r="BF58" s="222"/>
      <c r="BG58" s="7"/>
      <c r="BH58" s="104"/>
      <c r="BI58" s="222"/>
      <c r="BJ58" s="222"/>
      <c r="BK58" s="7"/>
      <c r="BL58" s="104"/>
      <c r="BM58" s="222"/>
      <c r="BN58" s="222"/>
      <c r="BO58" s="7"/>
      <c r="BP58" s="104"/>
      <c r="BQ58" s="222"/>
      <c r="BR58" s="222"/>
      <c r="BS58" s="7"/>
      <c r="BT58" s="104"/>
      <c r="BU58" s="222"/>
      <c r="BV58" s="222"/>
      <c r="BW58" s="7"/>
    </row>
    <row r="59" spans="1:75">
      <c r="A59" s="95">
        <v>53</v>
      </c>
      <c r="B59" s="53"/>
      <c r="C59" s="67"/>
      <c r="D59" s="124"/>
      <c r="E59" s="133"/>
      <c r="F59" s="200"/>
      <c r="G59" s="22"/>
      <c r="H59" s="21"/>
      <c r="I59" s="22"/>
      <c r="J59" s="59"/>
      <c r="K59" s="7"/>
      <c r="L59" s="11"/>
      <c r="M59" s="199"/>
      <c r="N59" s="12"/>
      <c r="O59" s="7"/>
      <c r="P59" s="104"/>
      <c r="Q59" s="222"/>
      <c r="R59" s="222"/>
      <c r="S59" s="7"/>
      <c r="T59" s="104"/>
      <c r="U59" s="222"/>
      <c r="V59" s="222"/>
      <c r="W59" s="7"/>
      <c r="X59" s="104"/>
      <c r="Y59" s="222"/>
      <c r="Z59" s="222"/>
      <c r="AA59" s="7"/>
      <c r="AB59" s="104"/>
      <c r="AC59" s="222"/>
      <c r="AD59" s="222"/>
      <c r="AE59" s="7"/>
      <c r="AF59" s="104"/>
      <c r="AG59" s="222"/>
      <c r="AH59" s="222"/>
      <c r="AI59" s="7"/>
      <c r="AJ59" s="104"/>
      <c r="AK59" s="222"/>
      <c r="AL59" s="222"/>
      <c r="AM59" s="7"/>
      <c r="AN59" s="104"/>
      <c r="AO59" s="222"/>
      <c r="AP59" s="222"/>
      <c r="AQ59" s="7"/>
      <c r="AR59" s="104"/>
      <c r="AS59" s="222"/>
      <c r="AT59" s="222"/>
      <c r="AU59" s="7"/>
      <c r="AV59" s="104"/>
      <c r="AW59" s="222"/>
      <c r="AX59" s="222"/>
      <c r="AY59" s="7"/>
      <c r="AZ59" s="104"/>
      <c r="BA59" s="222"/>
      <c r="BB59" s="222"/>
      <c r="BC59" s="7"/>
      <c r="BD59" s="104"/>
      <c r="BE59" s="222"/>
      <c r="BF59" s="222"/>
      <c r="BG59" s="7"/>
      <c r="BH59" s="104"/>
      <c r="BI59" s="222"/>
      <c r="BJ59" s="222"/>
      <c r="BK59" s="7"/>
      <c r="BL59" s="104"/>
      <c r="BM59" s="222"/>
      <c r="BN59" s="222"/>
      <c r="BO59" s="7"/>
      <c r="BP59" s="104"/>
      <c r="BQ59" s="222"/>
      <c r="BR59" s="222"/>
      <c r="BS59" s="7"/>
      <c r="BT59" s="104"/>
      <c r="BU59" s="222"/>
      <c r="BV59" s="222"/>
      <c r="BW59" s="7"/>
    </row>
    <row r="60" spans="1:75">
      <c r="A60" s="95">
        <v>54</v>
      </c>
      <c r="B60" s="53"/>
      <c r="C60" s="67"/>
      <c r="D60" s="124"/>
      <c r="E60" s="133"/>
      <c r="F60" s="200"/>
      <c r="G60" s="22"/>
      <c r="H60" s="21"/>
      <c r="I60" s="22"/>
      <c r="J60" s="59"/>
      <c r="K60" s="7"/>
      <c r="L60" s="11"/>
      <c r="M60" s="199"/>
      <c r="N60" s="12"/>
      <c r="O60" s="7"/>
      <c r="P60" s="104"/>
      <c r="Q60" s="222"/>
      <c r="R60" s="222"/>
      <c r="S60" s="7"/>
      <c r="T60" s="104"/>
      <c r="U60" s="222"/>
      <c r="V60" s="222"/>
      <c r="W60" s="7"/>
      <c r="X60" s="104"/>
      <c r="Y60" s="222"/>
      <c r="Z60" s="222"/>
      <c r="AA60" s="7"/>
      <c r="AB60" s="104"/>
      <c r="AC60" s="222"/>
      <c r="AD60" s="222"/>
      <c r="AE60" s="7"/>
      <c r="AF60" s="104"/>
      <c r="AG60" s="222"/>
      <c r="AH60" s="222"/>
      <c r="AI60" s="7"/>
      <c r="AJ60" s="104"/>
      <c r="AK60" s="222"/>
      <c r="AL60" s="222"/>
      <c r="AM60" s="7"/>
      <c r="AN60" s="104"/>
      <c r="AO60" s="222"/>
      <c r="AP60" s="222"/>
      <c r="AQ60" s="7"/>
      <c r="AR60" s="104"/>
      <c r="AS60" s="222"/>
      <c r="AT60" s="222"/>
      <c r="AU60" s="7"/>
      <c r="AV60" s="104"/>
      <c r="AW60" s="222"/>
      <c r="AX60" s="222"/>
      <c r="AY60" s="7"/>
      <c r="AZ60" s="104"/>
      <c r="BA60" s="222"/>
      <c r="BB60" s="222"/>
      <c r="BC60" s="7"/>
      <c r="BD60" s="104"/>
      <c r="BE60" s="222"/>
      <c r="BF60" s="222"/>
      <c r="BG60" s="7"/>
      <c r="BH60" s="104"/>
      <c r="BI60" s="222"/>
      <c r="BJ60" s="222"/>
      <c r="BK60" s="7"/>
      <c r="BL60" s="104"/>
      <c r="BM60" s="222"/>
      <c r="BN60" s="222"/>
      <c r="BO60" s="7"/>
      <c r="BP60" s="104"/>
      <c r="BQ60" s="222"/>
      <c r="BR60" s="222"/>
      <c r="BS60" s="7"/>
      <c r="BT60" s="104"/>
      <c r="BU60" s="222"/>
      <c r="BV60" s="222"/>
      <c r="BW60" s="7"/>
    </row>
    <row r="61" spans="1:75">
      <c r="A61" s="95">
        <v>55</v>
      </c>
      <c r="B61" s="53"/>
      <c r="C61" s="67"/>
      <c r="D61" s="124"/>
      <c r="E61" s="133"/>
      <c r="F61" s="200"/>
      <c r="G61" s="22"/>
      <c r="H61" s="21"/>
      <c r="I61" s="22"/>
      <c r="J61" s="59"/>
      <c r="K61" s="7"/>
      <c r="L61" s="11"/>
      <c r="M61" s="199"/>
      <c r="N61" s="12"/>
      <c r="O61" s="7"/>
      <c r="P61" s="104"/>
      <c r="Q61" s="222"/>
      <c r="R61" s="222"/>
      <c r="S61" s="7"/>
      <c r="T61" s="104"/>
      <c r="U61" s="222"/>
      <c r="V61" s="222"/>
      <c r="W61" s="7"/>
      <c r="X61" s="104"/>
      <c r="Y61" s="222"/>
      <c r="Z61" s="222"/>
      <c r="AA61" s="7"/>
      <c r="AB61" s="104"/>
      <c r="AC61" s="222"/>
      <c r="AD61" s="222"/>
      <c r="AE61" s="7"/>
      <c r="AF61" s="104"/>
      <c r="AG61" s="222"/>
      <c r="AH61" s="222"/>
      <c r="AI61" s="7"/>
      <c r="AJ61" s="104"/>
      <c r="AK61" s="222"/>
      <c r="AL61" s="222"/>
      <c r="AM61" s="7"/>
      <c r="AN61" s="104"/>
      <c r="AO61" s="222"/>
      <c r="AP61" s="222"/>
      <c r="AQ61" s="7"/>
      <c r="AR61" s="104"/>
      <c r="AS61" s="222"/>
      <c r="AT61" s="222"/>
      <c r="AU61" s="7"/>
      <c r="AV61" s="104"/>
      <c r="AW61" s="222"/>
      <c r="AX61" s="222"/>
      <c r="AY61" s="7"/>
      <c r="AZ61" s="104"/>
      <c r="BA61" s="222"/>
      <c r="BB61" s="222"/>
      <c r="BC61" s="7"/>
      <c r="BD61" s="104"/>
      <c r="BE61" s="222"/>
      <c r="BF61" s="222"/>
      <c r="BG61" s="7"/>
      <c r="BH61" s="104"/>
      <c r="BI61" s="222"/>
      <c r="BJ61" s="222"/>
      <c r="BK61" s="7"/>
      <c r="BL61" s="104"/>
      <c r="BM61" s="222"/>
      <c r="BN61" s="222"/>
      <c r="BO61" s="7"/>
      <c r="BP61" s="104"/>
      <c r="BQ61" s="222"/>
      <c r="BR61" s="222"/>
      <c r="BS61" s="7"/>
      <c r="BT61" s="104"/>
      <c r="BU61" s="222"/>
      <c r="BV61" s="222"/>
      <c r="BW61" s="7"/>
    </row>
    <row r="62" spans="1:75">
      <c r="A62" s="95">
        <v>56</v>
      </c>
      <c r="B62" s="53"/>
      <c r="C62" s="67"/>
      <c r="D62" s="124"/>
      <c r="E62" s="133"/>
      <c r="F62" s="200"/>
      <c r="G62" s="22"/>
      <c r="H62" s="21"/>
      <c r="I62" s="22"/>
      <c r="J62" s="59"/>
      <c r="K62" s="7"/>
      <c r="L62" s="11"/>
      <c r="M62" s="199"/>
      <c r="N62" s="12"/>
      <c r="O62" s="7"/>
      <c r="P62" s="104"/>
      <c r="Q62" s="222"/>
      <c r="R62" s="222"/>
      <c r="S62" s="7"/>
      <c r="T62" s="104"/>
      <c r="U62" s="222"/>
      <c r="V62" s="222"/>
      <c r="W62" s="7"/>
      <c r="X62" s="104"/>
      <c r="Y62" s="222"/>
      <c r="Z62" s="222"/>
      <c r="AA62" s="7"/>
      <c r="AB62" s="104"/>
      <c r="AC62" s="222"/>
      <c r="AD62" s="222"/>
      <c r="AE62" s="7"/>
      <c r="AF62" s="104"/>
      <c r="AG62" s="222"/>
      <c r="AH62" s="222"/>
      <c r="AI62" s="7"/>
      <c r="AJ62" s="104"/>
      <c r="AK62" s="222"/>
      <c r="AL62" s="222"/>
      <c r="AM62" s="7"/>
      <c r="AN62" s="104"/>
      <c r="AO62" s="222"/>
      <c r="AP62" s="222"/>
      <c r="AQ62" s="7"/>
      <c r="AR62" s="104"/>
      <c r="AS62" s="222"/>
      <c r="AT62" s="222"/>
      <c r="AU62" s="7"/>
      <c r="AV62" s="104"/>
      <c r="AW62" s="222"/>
      <c r="AX62" s="222"/>
      <c r="AY62" s="7"/>
      <c r="AZ62" s="104"/>
      <c r="BA62" s="222"/>
      <c r="BB62" s="222"/>
      <c r="BC62" s="7"/>
      <c r="BD62" s="104"/>
      <c r="BE62" s="222"/>
      <c r="BF62" s="222"/>
      <c r="BG62" s="7"/>
      <c r="BH62" s="104"/>
      <c r="BI62" s="222"/>
      <c r="BJ62" s="222"/>
      <c r="BK62" s="7"/>
      <c r="BL62" s="104"/>
      <c r="BM62" s="222"/>
      <c r="BN62" s="222"/>
      <c r="BO62" s="7"/>
      <c r="BP62" s="104"/>
      <c r="BQ62" s="222"/>
      <c r="BR62" s="222"/>
      <c r="BS62" s="7"/>
      <c r="BT62" s="104"/>
      <c r="BU62" s="222"/>
      <c r="BV62" s="222"/>
      <c r="BW62" s="7"/>
    </row>
    <row r="63" spans="1:75">
      <c r="A63" s="95">
        <v>57</v>
      </c>
      <c r="B63" s="53"/>
      <c r="C63" s="67"/>
      <c r="D63" s="124"/>
      <c r="E63" s="133"/>
      <c r="F63" s="200"/>
      <c r="G63" s="22"/>
      <c r="H63" s="21"/>
      <c r="I63" s="22"/>
      <c r="J63" s="59"/>
      <c r="K63" s="7"/>
      <c r="L63" s="11"/>
      <c r="M63" s="199"/>
      <c r="N63" s="12"/>
      <c r="O63" s="7"/>
      <c r="P63" s="104"/>
      <c r="Q63" s="222"/>
      <c r="R63" s="222"/>
      <c r="S63" s="7"/>
      <c r="T63" s="104"/>
      <c r="U63" s="222"/>
      <c r="V63" s="222"/>
      <c r="W63" s="7"/>
      <c r="X63" s="104"/>
      <c r="Y63" s="222"/>
      <c r="Z63" s="222"/>
      <c r="AA63" s="7"/>
      <c r="AB63" s="104"/>
      <c r="AC63" s="222"/>
      <c r="AD63" s="222"/>
      <c r="AE63" s="7"/>
      <c r="AF63" s="104"/>
      <c r="AG63" s="222"/>
      <c r="AH63" s="222"/>
      <c r="AI63" s="7"/>
      <c r="AJ63" s="104"/>
      <c r="AK63" s="222"/>
      <c r="AL63" s="222"/>
      <c r="AM63" s="7"/>
      <c r="AN63" s="104"/>
      <c r="AO63" s="222"/>
      <c r="AP63" s="222"/>
      <c r="AQ63" s="7"/>
      <c r="AR63" s="104"/>
      <c r="AS63" s="222"/>
      <c r="AT63" s="222"/>
      <c r="AU63" s="7"/>
      <c r="AV63" s="104"/>
      <c r="AW63" s="222"/>
      <c r="AX63" s="222"/>
      <c r="AY63" s="7"/>
      <c r="AZ63" s="104"/>
      <c r="BA63" s="222"/>
      <c r="BB63" s="222"/>
      <c r="BC63" s="7"/>
      <c r="BD63" s="104"/>
      <c r="BE63" s="222"/>
      <c r="BF63" s="222"/>
      <c r="BG63" s="7"/>
      <c r="BH63" s="104"/>
      <c r="BI63" s="222"/>
      <c r="BJ63" s="222"/>
      <c r="BK63" s="7"/>
      <c r="BL63" s="104"/>
      <c r="BM63" s="222"/>
      <c r="BN63" s="222"/>
      <c r="BO63" s="7"/>
      <c r="BP63" s="104"/>
      <c r="BQ63" s="222"/>
      <c r="BR63" s="222"/>
      <c r="BS63" s="7"/>
      <c r="BT63" s="104"/>
      <c r="BU63" s="222"/>
      <c r="BV63" s="222"/>
      <c r="BW63" s="7"/>
    </row>
    <row r="64" spans="1:75">
      <c r="A64" s="95">
        <v>58</v>
      </c>
      <c r="B64" s="53"/>
      <c r="C64" s="67"/>
      <c r="D64" s="124"/>
      <c r="E64" s="133"/>
      <c r="F64" s="200"/>
      <c r="G64" s="22"/>
      <c r="H64" s="21"/>
      <c r="I64" s="22"/>
      <c r="J64" s="59"/>
      <c r="K64" s="7"/>
      <c r="L64" s="11"/>
      <c r="M64" s="199"/>
      <c r="N64" s="12"/>
      <c r="O64" s="7"/>
      <c r="P64" s="104"/>
      <c r="Q64" s="222"/>
      <c r="R64" s="222"/>
      <c r="S64" s="7"/>
      <c r="T64" s="104"/>
      <c r="U64" s="222"/>
      <c r="V64" s="222"/>
      <c r="W64" s="7"/>
      <c r="X64" s="104"/>
      <c r="Y64" s="222"/>
      <c r="Z64" s="222"/>
      <c r="AA64" s="7"/>
      <c r="AB64" s="104"/>
      <c r="AC64" s="222"/>
      <c r="AD64" s="222"/>
      <c r="AE64" s="7"/>
      <c r="AF64" s="104"/>
      <c r="AG64" s="222"/>
      <c r="AH64" s="222"/>
      <c r="AI64" s="7"/>
      <c r="AJ64" s="104"/>
      <c r="AK64" s="222"/>
      <c r="AL64" s="222"/>
      <c r="AM64" s="7"/>
      <c r="AN64" s="104"/>
      <c r="AO64" s="222"/>
      <c r="AP64" s="222"/>
      <c r="AQ64" s="7"/>
      <c r="AR64" s="104"/>
      <c r="AS64" s="222"/>
      <c r="AT64" s="222"/>
      <c r="AU64" s="7"/>
      <c r="AV64" s="104"/>
      <c r="AW64" s="222"/>
      <c r="AX64" s="222"/>
      <c r="AY64" s="7"/>
      <c r="AZ64" s="104"/>
      <c r="BA64" s="222"/>
      <c r="BB64" s="222"/>
      <c r="BC64" s="7"/>
      <c r="BD64" s="104"/>
      <c r="BE64" s="222"/>
      <c r="BF64" s="222"/>
      <c r="BG64" s="7"/>
      <c r="BH64" s="104"/>
      <c r="BI64" s="222"/>
      <c r="BJ64" s="222"/>
      <c r="BK64" s="7"/>
      <c r="BL64" s="104"/>
      <c r="BM64" s="222"/>
      <c r="BN64" s="222"/>
      <c r="BO64" s="7"/>
      <c r="BP64" s="104"/>
      <c r="BQ64" s="222"/>
      <c r="BR64" s="222"/>
      <c r="BS64" s="7"/>
      <c r="BT64" s="104"/>
      <c r="BU64" s="222"/>
      <c r="BV64" s="222"/>
      <c r="BW64" s="7"/>
    </row>
    <row r="65" spans="1:75">
      <c r="A65" s="95">
        <v>59</v>
      </c>
      <c r="B65" s="53"/>
      <c r="C65" s="67"/>
      <c r="D65" s="124"/>
      <c r="E65" s="133"/>
      <c r="F65" s="200"/>
      <c r="G65" s="22"/>
      <c r="H65" s="21"/>
      <c r="I65" s="22"/>
      <c r="J65" s="59"/>
      <c r="K65" s="7"/>
      <c r="L65" s="11"/>
      <c r="M65" s="199"/>
      <c r="N65" s="12"/>
      <c r="O65" s="7"/>
      <c r="P65" s="104"/>
      <c r="Q65" s="222"/>
      <c r="R65" s="222"/>
      <c r="S65" s="7"/>
      <c r="T65" s="104"/>
      <c r="U65" s="222"/>
      <c r="V65" s="222"/>
      <c r="W65" s="7"/>
      <c r="X65" s="104"/>
      <c r="Y65" s="222"/>
      <c r="Z65" s="222"/>
      <c r="AA65" s="7"/>
      <c r="AB65" s="104"/>
      <c r="AC65" s="222"/>
      <c r="AD65" s="222"/>
      <c r="AE65" s="7"/>
      <c r="AF65" s="104"/>
      <c r="AG65" s="222"/>
      <c r="AH65" s="222"/>
      <c r="AI65" s="7"/>
      <c r="AJ65" s="104"/>
      <c r="AK65" s="222"/>
      <c r="AL65" s="222"/>
      <c r="AM65" s="7"/>
      <c r="AN65" s="104"/>
      <c r="AO65" s="222"/>
      <c r="AP65" s="222"/>
      <c r="AQ65" s="7"/>
      <c r="AR65" s="104"/>
      <c r="AS65" s="222"/>
      <c r="AT65" s="222"/>
      <c r="AU65" s="7"/>
      <c r="AV65" s="104"/>
      <c r="AW65" s="222"/>
      <c r="AX65" s="222"/>
      <c r="AY65" s="7"/>
      <c r="AZ65" s="104"/>
      <c r="BA65" s="222"/>
      <c r="BB65" s="222"/>
      <c r="BC65" s="7"/>
      <c r="BD65" s="104"/>
      <c r="BE65" s="222"/>
      <c r="BF65" s="222"/>
      <c r="BG65" s="7"/>
      <c r="BH65" s="104"/>
      <c r="BI65" s="222"/>
      <c r="BJ65" s="222"/>
      <c r="BK65" s="7"/>
      <c r="BL65" s="104"/>
      <c r="BM65" s="222"/>
      <c r="BN65" s="222"/>
      <c r="BO65" s="7"/>
      <c r="BP65" s="104"/>
      <c r="BQ65" s="222"/>
      <c r="BR65" s="222"/>
      <c r="BS65" s="7"/>
      <c r="BT65" s="104"/>
      <c r="BU65" s="222"/>
      <c r="BV65" s="222"/>
      <c r="BW65" s="7"/>
    </row>
    <row r="66" spans="1:75">
      <c r="A66" s="95">
        <v>60</v>
      </c>
      <c r="B66" s="53"/>
      <c r="C66" s="67"/>
      <c r="D66" s="124"/>
      <c r="E66" s="133"/>
      <c r="F66" s="200"/>
      <c r="G66" s="22"/>
      <c r="H66" s="21"/>
      <c r="I66" s="22"/>
      <c r="J66" s="59"/>
      <c r="K66" s="7"/>
      <c r="L66" s="11"/>
      <c r="M66" s="199"/>
      <c r="N66" s="12"/>
      <c r="O66" s="7"/>
      <c r="P66" s="104"/>
      <c r="Q66" s="222"/>
      <c r="R66" s="222"/>
      <c r="S66" s="7"/>
      <c r="T66" s="104"/>
      <c r="U66" s="222"/>
      <c r="V66" s="222"/>
      <c r="W66" s="7"/>
      <c r="X66" s="104"/>
      <c r="Y66" s="222"/>
      <c r="Z66" s="222"/>
      <c r="AA66" s="7"/>
      <c r="AB66" s="104"/>
      <c r="AC66" s="222"/>
      <c r="AD66" s="222"/>
      <c r="AE66" s="7"/>
      <c r="AF66" s="104"/>
      <c r="AG66" s="222"/>
      <c r="AH66" s="222"/>
      <c r="AI66" s="7"/>
      <c r="AJ66" s="104"/>
      <c r="AK66" s="222"/>
      <c r="AL66" s="222"/>
      <c r="AM66" s="7"/>
      <c r="AN66" s="104"/>
      <c r="AO66" s="222"/>
      <c r="AP66" s="222"/>
      <c r="AQ66" s="7"/>
      <c r="AR66" s="104"/>
      <c r="AS66" s="222"/>
      <c r="AT66" s="222"/>
      <c r="AU66" s="7"/>
      <c r="AV66" s="104"/>
      <c r="AW66" s="222"/>
      <c r="AX66" s="222"/>
      <c r="AY66" s="7"/>
      <c r="AZ66" s="104"/>
      <c r="BA66" s="222"/>
      <c r="BB66" s="222"/>
      <c r="BC66" s="7"/>
      <c r="BD66" s="104"/>
      <c r="BE66" s="222"/>
      <c r="BF66" s="222"/>
      <c r="BG66" s="7"/>
      <c r="BH66" s="104"/>
      <c r="BI66" s="222"/>
      <c r="BJ66" s="222"/>
      <c r="BK66" s="7"/>
      <c r="BL66" s="104"/>
      <c r="BM66" s="222"/>
      <c r="BN66" s="222"/>
      <c r="BO66" s="7"/>
      <c r="BP66" s="104"/>
      <c r="BQ66" s="222"/>
      <c r="BR66" s="222"/>
      <c r="BS66" s="7"/>
      <c r="BT66" s="104"/>
      <c r="BU66" s="222"/>
      <c r="BV66" s="222"/>
      <c r="BW66" s="7"/>
    </row>
    <row r="67" spans="1:75">
      <c r="A67" s="95">
        <v>61</v>
      </c>
      <c r="B67" s="53"/>
      <c r="C67" s="67"/>
      <c r="D67" s="124"/>
      <c r="E67" s="133"/>
      <c r="F67" s="200"/>
      <c r="G67" s="22"/>
      <c r="H67" s="21"/>
      <c r="I67" s="22"/>
      <c r="J67" s="59"/>
      <c r="K67" s="7"/>
      <c r="L67" s="11"/>
      <c r="M67" s="199"/>
      <c r="N67" s="12"/>
      <c r="O67" s="7"/>
      <c r="P67" s="104"/>
      <c r="Q67" s="222"/>
      <c r="R67" s="222"/>
      <c r="S67" s="7"/>
      <c r="T67" s="104"/>
      <c r="U67" s="222"/>
      <c r="V67" s="222"/>
      <c r="W67" s="7"/>
      <c r="X67" s="104"/>
      <c r="Y67" s="222"/>
      <c r="Z67" s="222"/>
      <c r="AA67" s="7"/>
      <c r="AB67" s="104"/>
      <c r="AC67" s="222"/>
      <c r="AD67" s="222"/>
      <c r="AE67" s="7"/>
      <c r="AF67" s="104"/>
      <c r="AG67" s="222"/>
      <c r="AH67" s="222"/>
      <c r="AI67" s="7"/>
      <c r="AJ67" s="104"/>
      <c r="AK67" s="222"/>
      <c r="AL67" s="222"/>
      <c r="AM67" s="7"/>
      <c r="AN67" s="104"/>
      <c r="AO67" s="222"/>
      <c r="AP67" s="222"/>
      <c r="AQ67" s="7"/>
      <c r="AR67" s="104"/>
      <c r="AS67" s="222"/>
      <c r="AT67" s="222"/>
      <c r="AU67" s="7"/>
      <c r="AV67" s="104"/>
      <c r="AW67" s="222"/>
      <c r="AX67" s="222"/>
      <c r="AY67" s="7"/>
      <c r="AZ67" s="104"/>
      <c r="BA67" s="222"/>
      <c r="BB67" s="222"/>
      <c r="BC67" s="7"/>
      <c r="BD67" s="104"/>
      <c r="BE67" s="222"/>
      <c r="BF67" s="222"/>
      <c r="BG67" s="7"/>
      <c r="BH67" s="104"/>
      <c r="BI67" s="222"/>
      <c r="BJ67" s="222"/>
      <c r="BK67" s="7"/>
      <c r="BL67" s="104"/>
      <c r="BM67" s="222"/>
      <c r="BN67" s="222"/>
      <c r="BO67" s="7"/>
      <c r="BP67" s="104"/>
      <c r="BQ67" s="222"/>
      <c r="BR67" s="222"/>
      <c r="BS67" s="7"/>
      <c r="BT67" s="104"/>
      <c r="BU67" s="222"/>
      <c r="BV67" s="222"/>
      <c r="BW67" s="7"/>
    </row>
    <row r="68" spans="1:75">
      <c r="A68" s="95">
        <v>62</v>
      </c>
      <c r="B68" s="53"/>
      <c r="C68" s="67"/>
      <c r="D68" s="124"/>
      <c r="E68" s="133"/>
      <c r="F68" s="200"/>
      <c r="G68" s="22"/>
      <c r="H68" s="21"/>
      <c r="I68" s="22"/>
      <c r="J68" s="59"/>
      <c r="K68" s="7"/>
      <c r="L68" s="11"/>
      <c r="M68" s="199"/>
      <c r="N68" s="12"/>
      <c r="O68" s="7"/>
      <c r="P68" s="104"/>
      <c r="Q68" s="222"/>
      <c r="R68" s="222"/>
      <c r="S68" s="7"/>
      <c r="T68" s="104"/>
      <c r="U68" s="222"/>
      <c r="V68" s="222"/>
      <c r="W68" s="7"/>
      <c r="X68" s="104"/>
      <c r="Y68" s="222"/>
      <c r="Z68" s="222"/>
      <c r="AA68" s="7"/>
      <c r="AB68" s="104"/>
      <c r="AC68" s="222"/>
      <c r="AD68" s="222"/>
      <c r="AE68" s="7"/>
      <c r="AF68" s="104"/>
      <c r="AG68" s="222"/>
      <c r="AH68" s="222"/>
      <c r="AI68" s="7"/>
      <c r="AJ68" s="104"/>
      <c r="AK68" s="222"/>
      <c r="AL68" s="222"/>
      <c r="AM68" s="7"/>
      <c r="AN68" s="104"/>
      <c r="AO68" s="222"/>
      <c r="AP68" s="222"/>
      <c r="AQ68" s="7"/>
      <c r="AR68" s="104"/>
      <c r="AS68" s="222"/>
      <c r="AT68" s="222"/>
      <c r="AU68" s="7"/>
      <c r="AV68" s="104"/>
      <c r="AW68" s="222"/>
      <c r="AX68" s="222"/>
      <c r="AY68" s="7"/>
      <c r="AZ68" s="104"/>
      <c r="BA68" s="222"/>
      <c r="BB68" s="222"/>
      <c r="BC68" s="7"/>
      <c r="BD68" s="104"/>
      <c r="BE68" s="222"/>
      <c r="BF68" s="222"/>
      <c r="BG68" s="7"/>
      <c r="BH68" s="104"/>
      <c r="BI68" s="222"/>
      <c r="BJ68" s="222"/>
      <c r="BK68" s="7"/>
      <c r="BL68" s="104"/>
      <c r="BM68" s="222"/>
      <c r="BN68" s="222"/>
      <c r="BO68" s="7"/>
      <c r="BP68" s="104"/>
      <c r="BQ68" s="222"/>
      <c r="BR68" s="222"/>
      <c r="BS68" s="7"/>
      <c r="BT68" s="104"/>
      <c r="BU68" s="222"/>
      <c r="BV68" s="222"/>
      <c r="BW68" s="7"/>
    </row>
    <row r="69" spans="1:75">
      <c r="A69" s="95">
        <v>63</v>
      </c>
      <c r="B69" s="53"/>
      <c r="C69" s="67"/>
      <c r="D69" s="124"/>
      <c r="E69" s="133"/>
      <c r="F69" s="200"/>
      <c r="G69" s="22"/>
      <c r="H69" s="21"/>
      <c r="I69" s="22"/>
      <c r="J69" s="59"/>
      <c r="K69" s="7"/>
      <c r="L69" s="11"/>
      <c r="M69" s="199"/>
      <c r="N69" s="12"/>
      <c r="O69" s="7"/>
      <c r="P69" s="104"/>
      <c r="Q69" s="222"/>
      <c r="R69" s="222"/>
      <c r="S69" s="7"/>
      <c r="T69" s="104"/>
      <c r="U69" s="222"/>
      <c r="V69" s="222"/>
      <c r="W69" s="7"/>
      <c r="X69" s="104"/>
      <c r="Y69" s="222"/>
      <c r="Z69" s="222"/>
      <c r="AA69" s="7"/>
      <c r="AB69" s="104"/>
      <c r="AC69" s="222"/>
      <c r="AD69" s="222"/>
      <c r="AE69" s="7"/>
      <c r="AF69" s="104"/>
      <c r="AG69" s="222"/>
      <c r="AH69" s="222"/>
      <c r="AI69" s="7"/>
      <c r="AJ69" s="104"/>
      <c r="AK69" s="222"/>
      <c r="AL69" s="222"/>
      <c r="AM69" s="7"/>
      <c r="AN69" s="104"/>
      <c r="AO69" s="222"/>
      <c r="AP69" s="222"/>
      <c r="AQ69" s="7"/>
      <c r="AR69" s="104"/>
      <c r="AS69" s="222"/>
      <c r="AT69" s="222"/>
      <c r="AU69" s="7"/>
      <c r="AV69" s="104"/>
      <c r="AW69" s="222"/>
      <c r="AX69" s="222"/>
      <c r="AY69" s="7"/>
      <c r="AZ69" s="104"/>
      <c r="BA69" s="222"/>
      <c r="BB69" s="222"/>
      <c r="BC69" s="7"/>
      <c r="BD69" s="104"/>
      <c r="BE69" s="222"/>
      <c r="BF69" s="222"/>
      <c r="BG69" s="7"/>
      <c r="BH69" s="104"/>
      <c r="BI69" s="222"/>
      <c r="BJ69" s="222"/>
      <c r="BK69" s="7"/>
      <c r="BL69" s="104"/>
      <c r="BM69" s="222"/>
      <c r="BN69" s="222"/>
      <c r="BO69" s="7"/>
      <c r="BP69" s="104"/>
      <c r="BQ69" s="222"/>
      <c r="BR69" s="222"/>
      <c r="BS69" s="7"/>
      <c r="BT69" s="104"/>
      <c r="BU69" s="222"/>
      <c r="BV69" s="222"/>
      <c r="BW69" s="7"/>
    </row>
    <row r="70" spans="1:75">
      <c r="A70" s="95">
        <v>64</v>
      </c>
      <c r="B70" s="53"/>
      <c r="C70" s="67"/>
      <c r="D70" s="124"/>
      <c r="E70" s="133"/>
      <c r="F70" s="200"/>
      <c r="G70" s="22"/>
      <c r="H70" s="21"/>
      <c r="I70" s="22"/>
      <c r="J70" s="59"/>
      <c r="K70" s="7"/>
      <c r="L70" s="11"/>
      <c r="M70" s="199"/>
      <c r="N70" s="12"/>
      <c r="O70" s="7"/>
      <c r="P70" s="104"/>
      <c r="Q70" s="222"/>
      <c r="R70" s="222"/>
      <c r="S70" s="7"/>
      <c r="T70" s="104"/>
      <c r="U70" s="222"/>
      <c r="V70" s="222"/>
      <c r="W70" s="7"/>
      <c r="X70" s="104"/>
      <c r="Y70" s="222"/>
      <c r="Z70" s="222"/>
      <c r="AA70" s="7"/>
      <c r="AB70" s="104"/>
      <c r="AC70" s="222"/>
      <c r="AD70" s="222"/>
      <c r="AE70" s="7"/>
      <c r="AF70" s="104"/>
      <c r="AG70" s="222"/>
      <c r="AH70" s="222"/>
      <c r="AI70" s="7"/>
      <c r="AJ70" s="104"/>
      <c r="AK70" s="222"/>
      <c r="AL70" s="222"/>
      <c r="AM70" s="7"/>
      <c r="AN70" s="104"/>
      <c r="AO70" s="222"/>
      <c r="AP70" s="222"/>
      <c r="AQ70" s="7"/>
      <c r="AR70" s="104"/>
      <c r="AS70" s="222"/>
      <c r="AT70" s="222"/>
      <c r="AU70" s="7"/>
      <c r="AV70" s="104"/>
      <c r="AW70" s="222"/>
      <c r="AX70" s="222"/>
      <c r="AY70" s="7"/>
      <c r="AZ70" s="104"/>
      <c r="BA70" s="222"/>
      <c r="BB70" s="222"/>
      <c r="BC70" s="7"/>
      <c r="BD70" s="104"/>
      <c r="BE70" s="222"/>
      <c r="BF70" s="222"/>
      <c r="BG70" s="7"/>
      <c r="BH70" s="104"/>
      <c r="BI70" s="222"/>
      <c r="BJ70" s="222"/>
      <c r="BK70" s="7"/>
      <c r="BL70" s="104"/>
      <c r="BM70" s="222"/>
      <c r="BN70" s="222"/>
      <c r="BO70" s="7"/>
      <c r="BP70" s="104"/>
      <c r="BQ70" s="222"/>
      <c r="BR70" s="222"/>
      <c r="BS70" s="7"/>
      <c r="BT70" s="104"/>
      <c r="BU70" s="222"/>
      <c r="BV70" s="222"/>
      <c r="BW70" s="7"/>
    </row>
    <row r="71" spans="1:75">
      <c r="A71" s="95">
        <v>65</v>
      </c>
      <c r="B71" s="53"/>
      <c r="C71" s="67"/>
      <c r="D71" s="124"/>
      <c r="E71" s="133"/>
      <c r="F71" s="201"/>
      <c r="G71" s="22"/>
      <c r="H71" s="21"/>
      <c r="I71" s="22"/>
      <c r="J71" s="59"/>
      <c r="K71" s="7"/>
      <c r="L71" s="11"/>
      <c r="M71" s="199"/>
      <c r="N71" s="12"/>
      <c r="O71" s="7"/>
      <c r="P71" s="104"/>
      <c r="Q71" s="222"/>
      <c r="R71" s="222"/>
      <c r="S71" s="7"/>
      <c r="T71" s="104"/>
      <c r="U71" s="222"/>
      <c r="V71" s="222"/>
      <c r="W71" s="7"/>
      <c r="X71" s="104"/>
      <c r="Y71" s="222"/>
      <c r="Z71" s="222"/>
      <c r="AA71" s="7"/>
      <c r="AB71" s="104"/>
      <c r="AC71" s="222"/>
      <c r="AD71" s="222"/>
      <c r="AE71" s="7"/>
      <c r="AF71" s="104"/>
      <c r="AG71" s="222"/>
      <c r="AH71" s="222"/>
      <c r="AI71" s="7"/>
      <c r="AJ71" s="104"/>
      <c r="AK71" s="222"/>
      <c r="AL71" s="222"/>
      <c r="AM71" s="7"/>
      <c r="AN71" s="104"/>
      <c r="AO71" s="222"/>
      <c r="AP71" s="222"/>
      <c r="AQ71" s="7"/>
      <c r="AR71" s="104"/>
      <c r="AS71" s="222"/>
      <c r="AT71" s="222"/>
      <c r="AU71" s="7"/>
      <c r="AV71" s="104"/>
      <c r="AW71" s="222"/>
      <c r="AX71" s="222"/>
      <c r="AY71" s="7"/>
      <c r="AZ71" s="104"/>
      <c r="BA71" s="222"/>
      <c r="BB71" s="222"/>
      <c r="BC71" s="7"/>
      <c r="BD71" s="104"/>
      <c r="BE71" s="222"/>
      <c r="BF71" s="222"/>
      <c r="BG71" s="7"/>
      <c r="BH71" s="104"/>
      <c r="BI71" s="222"/>
      <c r="BJ71" s="222"/>
      <c r="BK71" s="7"/>
      <c r="BL71" s="104"/>
      <c r="BM71" s="222"/>
      <c r="BN71" s="222"/>
      <c r="BO71" s="7"/>
      <c r="BP71" s="104"/>
      <c r="BQ71" s="222"/>
      <c r="BR71" s="222"/>
      <c r="BS71" s="7"/>
      <c r="BT71" s="104"/>
      <c r="BU71" s="222"/>
      <c r="BV71" s="222"/>
      <c r="BW71" s="7"/>
    </row>
    <row r="72" spans="1:75">
      <c r="A72" s="95">
        <v>66</v>
      </c>
      <c r="B72" s="53"/>
      <c r="C72" s="67"/>
      <c r="D72" s="124"/>
      <c r="E72" s="133"/>
      <c r="F72" s="200"/>
      <c r="G72" s="22"/>
      <c r="H72" s="21"/>
      <c r="I72" s="22"/>
      <c r="J72" s="59"/>
      <c r="K72" s="7"/>
      <c r="L72" s="11"/>
      <c r="M72" s="199"/>
      <c r="N72" s="12"/>
      <c r="O72" s="7"/>
      <c r="P72" s="104"/>
      <c r="Q72" s="222"/>
      <c r="R72" s="222"/>
      <c r="S72" s="7"/>
      <c r="T72" s="104"/>
      <c r="U72" s="222"/>
      <c r="V72" s="222"/>
      <c r="W72" s="7"/>
      <c r="X72" s="104"/>
      <c r="Y72" s="222"/>
      <c r="Z72" s="222"/>
      <c r="AA72" s="7"/>
      <c r="AB72" s="104"/>
      <c r="AC72" s="222"/>
      <c r="AD72" s="222"/>
      <c r="AE72" s="7"/>
      <c r="AF72" s="104"/>
      <c r="AG72" s="222"/>
      <c r="AH72" s="222"/>
      <c r="AI72" s="7"/>
      <c r="AJ72" s="104"/>
      <c r="AK72" s="222"/>
      <c r="AL72" s="222"/>
      <c r="AM72" s="7"/>
      <c r="AN72" s="104"/>
      <c r="AO72" s="222"/>
      <c r="AP72" s="222"/>
      <c r="AQ72" s="7"/>
      <c r="AR72" s="104"/>
      <c r="AS72" s="222"/>
      <c r="AT72" s="222"/>
      <c r="AU72" s="7"/>
      <c r="AV72" s="104"/>
      <c r="AW72" s="222"/>
      <c r="AX72" s="222"/>
      <c r="AY72" s="7"/>
      <c r="AZ72" s="104"/>
      <c r="BA72" s="222"/>
      <c r="BB72" s="222"/>
      <c r="BC72" s="7"/>
      <c r="BD72" s="104"/>
      <c r="BE72" s="222"/>
      <c r="BF72" s="222"/>
      <c r="BG72" s="7"/>
      <c r="BH72" s="104"/>
      <c r="BI72" s="222"/>
      <c r="BJ72" s="222"/>
      <c r="BK72" s="7"/>
      <c r="BL72" s="104"/>
      <c r="BM72" s="222"/>
      <c r="BN72" s="222"/>
      <c r="BO72" s="7"/>
      <c r="BP72" s="104"/>
      <c r="BQ72" s="222"/>
      <c r="BR72" s="222"/>
      <c r="BS72" s="7"/>
      <c r="BT72" s="104"/>
      <c r="BU72" s="222"/>
      <c r="BV72" s="222"/>
      <c r="BW72" s="7"/>
    </row>
    <row r="73" spans="1:75">
      <c r="A73" s="95">
        <v>67</v>
      </c>
      <c r="B73" s="53"/>
      <c r="C73" s="67"/>
      <c r="D73" s="124"/>
      <c r="E73" s="133"/>
      <c r="F73" s="200"/>
      <c r="G73" s="22"/>
      <c r="H73" s="21"/>
      <c r="I73" s="22"/>
      <c r="J73" s="59"/>
      <c r="K73" s="7"/>
      <c r="L73" s="11"/>
      <c r="M73" s="199"/>
      <c r="N73" s="12"/>
      <c r="O73" s="7"/>
      <c r="P73" s="104"/>
      <c r="Q73" s="222"/>
      <c r="R73" s="222"/>
      <c r="S73" s="7"/>
      <c r="T73" s="104"/>
      <c r="U73" s="222"/>
      <c r="V73" s="222"/>
      <c r="W73" s="7"/>
      <c r="X73" s="104"/>
      <c r="Y73" s="222"/>
      <c r="Z73" s="222"/>
      <c r="AA73" s="7"/>
      <c r="AB73" s="104"/>
      <c r="AC73" s="222"/>
      <c r="AD73" s="222"/>
      <c r="AE73" s="7"/>
      <c r="AF73" s="104"/>
      <c r="AG73" s="222"/>
      <c r="AH73" s="222"/>
      <c r="AI73" s="7"/>
      <c r="AJ73" s="104"/>
      <c r="AK73" s="222"/>
      <c r="AL73" s="222"/>
      <c r="AM73" s="7"/>
      <c r="AN73" s="104"/>
      <c r="AO73" s="222"/>
      <c r="AP73" s="222"/>
      <c r="AQ73" s="7"/>
      <c r="AR73" s="104"/>
      <c r="AS73" s="222"/>
      <c r="AT73" s="222"/>
      <c r="AU73" s="7"/>
      <c r="AV73" s="104"/>
      <c r="AW73" s="222"/>
      <c r="AX73" s="222"/>
      <c r="AY73" s="7"/>
      <c r="AZ73" s="104"/>
      <c r="BA73" s="222"/>
      <c r="BB73" s="222"/>
      <c r="BC73" s="7"/>
      <c r="BD73" s="104"/>
      <c r="BE73" s="222"/>
      <c r="BF73" s="222"/>
      <c r="BG73" s="7"/>
      <c r="BH73" s="104"/>
      <c r="BI73" s="222"/>
      <c r="BJ73" s="222"/>
      <c r="BK73" s="7"/>
      <c r="BL73" s="104"/>
      <c r="BM73" s="222"/>
      <c r="BN73" s="222"/>
      <c r="BO73" s="7"/>
      <c r="BP73" s="104"/>
      <c r="BQ73" s="222"/>
      <c r="BR73" s="222"/>
      <c r="BS73" s="7"/>
      <c r="BT73" s="104"/>
      <c r="BU73" s="222"/>
      <c r="BV73" s="222"/>
      <c r="BW73" s="7"/>
    </row>
    <row r="74" spans="1:75">
      <c r="A74" s="95">
        <v>68</v>
      </c>
      <c r="B74" s="53"/>
      <c r="C74" s="67"/>
      <c r="D74" s="124"/>
      <c r="E74" s="133"/>
      <c r="F74" s="200"/>
      <c r="G74" s="22"/>
      <c r="H74" s="21"/>
      <c r="I74" s="22"/>
      <c r="J74" s="59"/>
      <c r="K74" s="7"/>
      <c r="L74" s="11"/>
      <c r="M74" s="199"/>
      <c r="N74" s="12"/>
      <c r="O74" s="7"/>
      <c r="P74" s="104"/>
      <c r="Q74" s="222"/>
      <c r="R74" s="222"/>
      <c r="S74" s="7"/>
      <c r="T74" s="104"/>
      <c r="U74" s="222"/>
      <c r="V74" s="222"/>
      <c r="W74" s="7"/>
      <c r="X74" s="104"/>
      <c r="Y74" s="222"/>
      <c r="Z74" s="222"/>
      <c r="AA74" s="7"/>
      <c r="AB74" s="104"/>
      <c r="AC74" s="222"/>
      <c r="AD74" s="222"/>
      <c r="AE74" s="7"/>
      <c r="AF74" s="104"/>
      <c r="AG74" s="222"/>
      <c r="AH74" s="222"/>
      <c r="AI74" s="7"/>
      <c r="AJ74" s="104"/>
      <c r="AK74" s="222"/>
      <c r="AL74" s="222"/>
      <c r="AM74" s="7"/>
      <c r="AN74" s="104"/>
      <c r="AO74" s="222"/>
      <c r="AP74" s="222"/>
      <c r="AQ74" s="7"/>
      <c r="AR74" s="104"/>
      <c r="AS74" s="222"/>
      <c r="AT74" s="222"/>
      <c r="AU74" s="7"/>
      <c r="AV74" s="104"/>
      <c r="AW74" s="222"/>
      <c r="AX74" s="222"/>
      <c r="AY74" s="7"/>
      <c r="AZ74" s="104"/>
      <c r="BA74" s="222"/>
      <c r="BB74" s="222"/>
      <c r="BC74" s="7"/>
      <c r="BD74" s="104"/>
      <c r="BE74" s="222"/>
      <c r="BF74" s="222"/>
      <c r="BG74" s="7"/>
      <c r="BH74" s="104"/>
      <c r="BI74" s="222"/>
      <c r="BJ74" s="222"/>
      <c r="BK74" s="7"/>
      <c r="BL74" s="104"/>
      <c r="BM74" s="222"/>
      <c r="BN74" s="222"/>
      <c r="BO74" s="7"/>
      <c r="BP74" s="104"/>
      <c r="BQ74" s="222"/>
      <c r="BR74" s="222"/>
      <c r="BS74" s="7"/>
      <c r="BT74" s="104"/>
      <c r="BU74" s="222"/>
      <c r="BV74" s="222"/>
      <c r="BW74" s="7"/>
    </row>
    <row r="75" spans="1:75">
      <c r="A75" s="95">
        <v>69</v>
      </c>
      <c r="B75" s="53"/>
      <c r="C75" s="67"/>
      <c r="D75" s="124"/>
      <c r="E75" s="133"/>
      <c r="F75" s="200"/>
      <c r="G75" s="22"/>
      <c r="H75" s="21"/>
      <c r="I75" s="22"/>
      <c r="J75" s="59"/>
      <c r="K75" s="7"/>
      <c r="L75" s="11"/>
      <c r="M75" s="199"/>
      <c r="N75" s="12"/>
      <c r="O75" s="7"/>
      <c r="P75" s="104"/>
      <c r="Q75" s="222"/>
      <c r="R75" s="222"/>
      <c r="S75" s="7"/>
      <c r="T75" s="104"/>
      <c r="U75" s="222"/>
      <c r="V75" s="222"/>
      <c r="W75" s="7"/>
      <c r="X75" s="104"/>
      <c r="Y75" s="222"/>
      <c r="Z75" s="222"/>
      <c r="AA75" s="7"/>
      <c r="AB75" s="104"/>
      <c r="AC75" s="222"/>
      <c r="AD75" s="222"/>
      <c r="AE75" s="7"/>
      <c r="AF75" s="104"/>
      <c r="AG75" s="222"/>
      <c r="AH75" s="222"/>
      <c r="AI75" s="7"/>
      <c r="AJ75" s="104"/>
      <c r="AK75" s="222"/>
      <c r="AL75" s="222"/>
      <c r="AM75" s="7"/>
      <c r="AN75" s="104"/>
      <c r="AO75" s="222"/>
      <c r="AP75" s="222"/>
      <c r="AQ75" s="7"/>
      <c r="AR75" s="104"/>
      <c r="AS75" s="222"/>
      <c r="AT75" s="222"/>
      <c r="AU75" s="7"/>
      <c r="AV75" s="104"/>
      <c r="AW75" s="222"/>
      <c r="AX75" s="222"/>
      <c r="AY75" s="7"/>
      <c r="AZ75" s="104"/>
      <c r="BA75" s="222"/>
      <c r="BB75" s="222"/>
      <c r="BC75" s="7"/>
      <c r="BD75" s="104"/>
      <c r="BE75" s="222"/>
      <c r="BF75" s="222"/>
      <c r="BG75" s="7"/>
      <c r="BH75" s="104"/>
      <c r="BI75" s="222"/>
      <c r="BJ75" s="222"/>
      <c r="BK75" s="7"/>
      <c r="BL75" s="104"/>
      <c r="BM75" s="222"/>
      <c r="BN75" s="222"/>
      <c r="BO75" s="7"/>
      <c r="BP75" s="104"/>
      <c r="BQ75" s="222"/>
      <c r="BR75" s="222"/>
      <c r="BS75" s="7"/>
      <c r="BT75" s="104"/>
      <c r="BU75" s="222"/>
      <c r="BV75" s="222"/>
      <c r="BW75" s="7"/>
    </row>
    <row r="76" spans="1:75">
      <c r="A76" s="95">
        <v>70</v>
      </c>
      <c r="B76" s="53"/>
      <c r="C76" s="67"/>
      <c r="D76" s="124"/>
      <c r="E76" s="133"/>
      <c r="F76" s="200"/>
      <c r="G76" s="22"/>
      <c r="H76" s="21"/>
      <c r="I76" s="22"/>
      <c r="J76" s="59"/>
      <c r="K76" s="7"/>
      <c r="L76" s="11"/>
      <c r="M76" s="199"/>
      <c r="N76" s="12"/>
      <c r="O76" s="7"/>
      <c r="P76" s="104"/>
      <c r="Q76" s="222"/>
      <c r="R76" s="222"/>
      <c r="S76" s="7"/>
      <c r="T76" s="104"/>
      <c r="U76" s="222"/>
      <c r="V76" s="222"/>
      <c r="W76" s="7"/>
      <c r="X76" s="104"/>
      <c r="Y76" s="222"/>
      <c r="Z76" s="222"/>
      <c r="AA76" s="7"/>
      <c r="AB76" s="104"/>
      <c r="AC76" s="222"/>
      <c r="AD76" s="222"/>
      <c r="AE76" s="7"/>
      <c r="AF76" s="104"/>
      <c r="AG76" s="222"/>
      <c r="AH76" s="222"/>
      <c r="AI76" s="7"/>
      <c r="AJ76" s="104"/>
      <c r="AK76" s="222"/>
      <c r="AL76" s="222"/>
      <c r="AM76" s="7"/>
      <c r="AN76" s="104"/>
      <c r="AO76" s="222"/>
      <c r="AP76" s="222"/>
      <c r="AQ76" s="7"/>
      <c r="AR76" s="104"/>
      <c r="AS76" s="222"/>
      <c r="AT76" s="222"/>
      <c r="AU76" s="7"/>
      <c r="AV76" s="104"/>
      <c r="AW76" s="222"/>
      <c r="AX76" s="222"/>
      <c r="AY76" s="7"/>
      <c r="AZ76" s="104"/>
      <c r="BA76" s="222"/>
      <c r="BB76" s="222"/>
      <c r="BC76" s="7"/>
      <c r="BD76" s="104"/>
      <c r="BE76" s="222"/>
      <c r="BF76" s="222"/>
      <c r="BG76" s="7"/>
      <c r="BH76" s="104"/>
      <c r="BI76" s="222"/>
      <c r="BJ76" s="222"/>
      <c r="BK76" s="7"/>
      <c r="BL76" s="104"/>
      <c r="BM76" s="222"/>
      <c r="BN76" s="222"/>
      <c r="BO76" s="7"/>
      <c r="BP76" s="104"/>
      <c r="BQ76" s="222"/>
      <c r="BR76" s="222"/>
      <c r="BS76" s="7"/>
      <c r="BT76" s="104"/>
      <c r="BU76" s="222"/>
      <c r="BV76" s="222"/>
      <c r="BW76" s="7"/>
    </row>
    <row r="77" spans="1:75">
      <c r="A77" s="95">
        <v>71</v>
      </c>
      <c r="B77" s="53"/>
      <c r="C77" s="67"/>
      <c r="D77" s="124"/>
      <c r="E77" s="133"/>
      <c r="F77" s="200"/>
      <c r="G77" s="22"/>
      <c r="H77" s="21"/>
      <c r="I77" s="22"/>
      <c r="J77" s="59"/>
      <c r="K77" s="7"/>
      <c r="L77" s="11"/>
      <c r="M77" s="199"/>
      <c r="N77" s="12"/>
      <c r="O77" s="7"/>
      <c r="P77" s="104"/>
      <c r="Q77" s="222"/>
      <c r="R77" s="222"/>
      <c r="S77" s="7"/>
      <c r="T77" s="104"/>
      <c r="U77" s="222"/>
      <c r="V77" s="222"/>
      <c r="W77" s="7"/>
      <c r="X77" s="104"/>
      <c r="Y77" s="222"/>
      <c r="Z77" s="222"/>
      <c r="AA77" s="7"/>
      <c r="AB77" s="104"/>
      <c r="AC77" s="222"/>
      <c r="AD77" s="222"/>
      <c r="AE77" s="7"/>
      <c r="AF77" s="104"/>
      <c r="AG77" s="222"/>
      <c r="AH77" s="222"/>
      <c r="AI77" s="7"/>
      <c r="AJ77" s="104"/>
      <c r="AK77" s="222"/>
      <c r="AL77" s="222"/>
      <c r="AM77" s="7"/>
      <c r="AN77" s="104"/>
      <c r="AO77" s="222"/>
      <c r="AP77" s="222"/>
      <c r="AQ77" s="7"/>
      <c r="AR77" s="104"/>
      <c r="AS77" s="222"/>
      <c r="AT77" s="222"/>
      <c r="AU77" s="7"/>
      <c r="AV77" s="104"/>
      <c r="AW77" s="222"/>
      <c r="AX77" s="222"/>
      <c r="AY77" s="7"/>
      <c r="AZ77" s="104"/>
      <c r="BA77" s="222"/>
      <c r="BB77" s="222"/>
      <c r="BC77" s="7"/>
      <c r="BD77" s="104"/>
      <c r="BE77" s="222"/>
      <c r="BF77" s="222"/>
      <c r="BG77" s="7"/>
      <c r="BH77" s="104"/>
      <c r="BI77" s="222"/>
      <c r="BJ77" s="222"/>
      <c r="BK77" s="7"/>
      <c r="BL77" s="104"/>
      <c r="BM77" s="222"/>
      <c r="BN77" s="222"/>
      <c r="BO77" s="7"/>
      <c r="BP77" s="104"/>
      <c r="BQ77" s="222"/>
      <c r="BR77" s="222"/>
      <c r="BS77" s="7"/>
      <c r="BT77" s="104"/>
      <c r="BU77" s="222"/>
      <c r="BV77" s="222"/>
      <c r="BW77" s="7"/>
    </row>
    <row r="78" spans="1:75">
      <c r="A78" s="95">
        <v>72</v>
      </c>
      <c r="B78" s="53"/>
      <c r="C78" s="67"/>
      <c r="D78" s="124"/>
      <c r="E78" s="133"/>
      <c r="F78" s="200"/>
      <c r="G78" s="22"/>
      <c r="H78" s="21"/>
      <c r="I78" s="22"/>
      <c r="J78" s="59"/>
      <c r="K78" s="7"/>
      <c r="L78" s="11"/>
      <c r="M78" s="199"/>
      <c r="N78" s="12"/>
      <c r="O78" s="7"/>
      <c r="P78" s="104"/>
      <c r="Q78" s="222"/>
      <c r="R78" s="222"/>
      <c r="S78" s="7"/>
      <c r="T78" s="104"/>
      <c r="U78" s="222"/>
      <c r="V78" s="222"/>
      <c r="W78" s="7"/>
      <c r="X78" s="104"/>
      <c r="Y78" s="222"/>
      <c r="Z78" s="222"/>
      <c r="AA78" s="7"/>
      <c r="AB78" s="104"/>
      <c r="AC78" s="222"/>
      <c r="AD78" s="222"/>
      <c r="AE78" s="7"/>
      <c r="AF78" s="104"/>
      <c r="AG78" s="222"/>
      <c r="AH78" s="222"/>
      <c r="AI78" s="7"/>
      <c r="AJ78" s="104"/>
      <c r="AK78" s="222"/>
      <c r="AL78" s="222"/>
      <c r="AM78" s="7"/>
      <c r="AN78" s="104"/>
      <c r="AO78" s="222"/>
      <c r="AP78" s="222"/>
      <c r="AQ78" s="7"/>
      <c r="AR78" s="104"/>
      <c r="AS78" s="222"/>
      <c r="AT78" s="222"/>
      <c r="AU78" s="7"/>
      <c r="AV78" s="104"/>
      <c r="AW78" s="222"/>
      <c r="AX78" s="222"/>
      <c r="AY78" s="7"/>
      <c r="AZ78" s="104"/>
      <c r="BA78" s="222"/>
      <c r="BB78" s="222"/>
      <c r="BC78" s="7"/>
      <c r="BD78" s="104"/>
      <c r="BE78" s="222"/>
      <c r="BF78" s="222"/>
      <c r="BG78" s="7"/>
      <c r="BH78" s="104"/>
      <c r="BI78" s="222"/>
      <c r="BJ78" s="222"/>
      <c r="BK78" s="7"/>
      <c r="BL78" s="104"/>
      <c r="BM78" s="222"/>
      <c r="BN78" s="222"/>
      <c r="BO78" s="7"/>
      <c r="BP78" s="104"/>
      <c r="BQ78" s="222"/>
      <c r="BR78" s="222"/>
      <c r="BS78" s="7"/>
      <c r="BT78" s="104"/>
      <c r="BU78" s="222"/>
      <c r="BV78" s="222"/>
      <c r="BW78" s="7"/>
    </row>
    <row r="79" spans="1:75">
      <c r="A79" s="95">
        <v>73</v>
      </c>
      <c r="B79" s="53"/>
      <c r="C79" s="67"/>
      <c r="D79" s="124"/>
      <c r="E79" s="133"/>
      <c r="F79" s="200"/>
      <c r="G79" s="22"/>
      <c r="H79" s="21"/>
      <c r="I79" s="22"/>
      <c r="J79" s="59"/>
      <c r="K79" s="7"/>
      <c r="L79" s="11"/>
      <c r="M79" s="199"/>
      <c r="N79" s="12"/>
      <c r="O79" s="7"/>
      <c r="P79" s="104"/>
      <c r="Q79" s="222"/>
      <c r="R79" s="222"/>
      <c r="S79" s="7"/>
      <c r="T79" s="104"/>
      <c r="U79" s="222"/>
      <c r="V79" s="222"/>
      <c r="W79" s="7"/>
      <c r="X79" s="104"/>
      <c r="Y79" s="222"/>
      <c r="Z79" s="222"/>
      <c r="AA79" s="7"/>
      <c r="AB79" s="104"/>
      <c r="AC79" s="222"/>
      <c r="AD79" s="222"/>
      <c r="AE79" s="7"/>
      <c r="AF79" s="104"/>
      <c r="AG79" s="222"/>
      <c r="AH79" s="222"/>
      <c r="AI79" s="7"/>
      <c r="AJ79" s="104"/>
      <c r="AK79" s="222"/>
      <c r="AL79" s="222"/>
      <c r="AM79" s="7"/>
      <c r="AN79" s="104"/>
      <c r="AO79" s="222"/>
      <c r="AP79" s="222"/>
      <c r="AQ79" s="7"/>
      <c r="AR79" s="104"/>
      <c r="AS79" s="222"/>
      <c r="AT79" s="222"/>
      <c r="AU79" s="7"/>
      <c r="AV79" s="104"/>
      <c r="AW79" s="222"/>
      <c r="AX79" s="222"/>
      <c r="AY79" s="7"/>
      <c r="AZ79" s="104"/>
      <c r="BA79" s="222"/>
      <c r="BB79" s="222"/>
      <c r="BC79" s="7"/>
      <c r="BD79" s="104"/>
      <c r="BE79" s="222"/>
      <c r="BF79" s="222"/>
      <c r="BG79" s="7"/>
      <c r="BH79" s="104"/>
      <c r="BI79" s="222"/>
      <c r="BJ79" s="222"/>
      <c r="BK79" s="7"/>
      <c r="BL79" s="104"/>
      <c r="BM79" s="222"/>
      <c r="BN79" s="222"/>
      <c r="BO79" s="7"/>
      <c r="BP79" s="104"/>
      <c r="BQ79" s="222"/>
      <c r="BR79" s="222"/>
      <c r="BS79" s="7"/>
      <c r="BT79" s="104"/>
      <c r="BU79" s="222"/>
      <c r="BV79" s="222"/>
      <c r="BW79" s="7"/>
    </row>
    <row r="80" spans="1:75">
      <c r="A80" s="95">
        <v>74</v>
      </c>
      <c r="B80" s="53"/>
      <c r="C80" s="67"/>
      <c r="D80" s="124"/>
      <c r="E80" s="133"/>
      <c r="F80" s="200"/>
      <c r="G80" s="22"/>
      <c r="H80" s="21"/>
      <c r="I80" s="22"/>
      <c r="J80" s="59"/>
      <c r="K80" s="7"/>
      <c r="L80" s="11"/>
      <c r="M80" s="199"/>
      <c r="N80" s="12"/>
      <c r="O80" s="7"/>
      <c r="P80" s="104"/>
      <c r="Q80" s="222"/>
      <c r="R80" s="222"/>
      <c r="S80" s="7"/>
      <c r="T80" s="104"/>
      <c r="U80" s="222"/>
      <c r="V80" s="222"/>
      <c r="W80" s="7"/>
      <c r="X80" s="104"/>
      <c r="Y80" s="222"/>
      <c r="Z80" s="222"/>
      <c r="AA80" s="7"/>
      <c r="AB80" s="104"/>
      <c r="AC80" s="222"/>
      <c r="AD80" s="222"/>
      <c r="AE80" s="7"/>
      <c r="AF80" s="104"/>
      <c r="AG80" s="222"/>
      <c r="AH80" s="222"/>
      <c r="AI80" s="7"/>
      <c r="AJ80" s="104"/>
      <c r="AK80" s="222"/>
      <c r="AL80" s="222"/>
      <c r="AM80" s="7"/>
      <c r="AN80" s="104"/>
      <c r="AO80" s="222"/>
      <c r="AP80" s="222"/>
      <c r="AQ80" s="7"/>
      <c r="AR80" s="104"/>
      <c r="AS80" s="222"/>
      <c r="AT80" s="222"/>
      <c r="AU80" s="7"/>
      <c r="AV80" s="104"/>
      <c r="AW80" s="222"/>
      <c r="AX80" s="222"/>
      <c r="AY80" s="7"/>
      <c r="AZ80" s="104"/>
      <c r="BA80" s="222"/>
      <c r="BB80" s="222"/>
      <c r="BC80" s="7"/>
      <c r="BD80" s="104"/>
      <c r="BE80" s="222"/>
      <c r="BF80" s="222"/>
      <c r="BG80" s="7"/>
      <c r="BH80" s="104"/>
      <c r="BI80" s="222"/>
      <c r="BJ80" s="222"/>
      <c r="BK80" s="7"/>
      <c r="BL80" s="104"/>
      <c r="BM80" s="222"/>
      <c r="BN80" s="222"/>
      <c r="BO80" s="7"/>
      <c r="BP80" s="104"/>
      <c r="BQ80" s="222"/>
      <c r="BR80" s="222"/>
      <c r="BS80" s="7"/>
      <c r="BT80" s="104"/>
      <c r="BU80" s="222"/>
      <c r="BV80" s="222"/>
      <c r="BW80" s="7"/>
    </row>
    <row r="81" spans="1:75">
      <c r="A81" s="95">
        <v>75</v>
      </c>
      <c r="B81" s="53"/>
      <c r="C81" s="67"/>
      <c r="D81" s="124"/>
      <c r="E81" s="133"/>
      <c r="F81" s="200"/>
      <c r="G81" s="22"/>
      <c r="H81" s="21"/>
      <c r="I81" s="22"/>
      <c r="J81" s="59"/>
      <c r="K81" s="7"/>
      <c r="L81" s="11"/>
      <c r="M81" s="199"/>
      <c r="N81" s="12"/>
      <c r="O81" s="7"/>
      <c r="P81" s="104"/>
      <c r="Q81" s="222"/>
      <c r="R81" s="222"/>
      <c r="S81" s="7"/>
      <c r="T81" s="104"/>
      <c r="U81" s="222"/>
      <c r="V81" s="222"/>
      <c r="W81" s="7"/>
      <c r="X81" s="104"/>
      <c r="Y81" s="222"/>
      <c r="Z81" s="222"/>
      <c r="AA81" s="7"/>
      <c r="AB81" s="104"/>
      <c r="AC81" s="222"/>
      <c r="AD81" s="222"/>
      <c r="AE81" s="7"/>
      <c r="AF81" s="104"/>
      <c r="AG81" s="222"/>
      <c r="AH81" s="222"/>
      <c r="AI81" s="7"/>
      <c r="AJ81" s="104"/>
      <c r="AK81" s="222"/>
      <c r="AL81" s="222"/>
      <c r="AM81" s="7"/>
      <c r="AN81" s="104"/>
      <c r="AO81" s="222"/>
      <c r="AP81" s="222"/>
      <c r="AQ81" s="7"/>
      <c r="AR81" s="104"/>
      <c r="AS81" s="222"/>
      <c r="AT81" s="222"/>
      <c r="AU81" s="7"/>
      <c r="AV81" s="104"/>
      <c r="AW81" s="222"/>
      <c r="AX81" s="222"/>
      <c r="AY81" s="7"/>
      <c r="AZ81" s="104"/>
      <c r="BA81" s="222"/>
      <c r="BB81" s="222"/>
      <c r="BC81" s="7"/>
      <c r="BD81" s="104"/>
      <c r="BE81" s="222"/>
      <c r="BF81" s="222"/>
      <c r="BG81" s="7"/>
      <c r="BH81" s="104"/>
      <c r="BI81" s="222"/>
      <c r="BJ81" s="222"/>
      <c r="BK81" s="7"/>
      <c r="BL81" s="104"/>
      <c r="BM81" s="222"/>
      <c r="BN81" s="222"/>
      <c r="BO81" s="7"/>
      <c r="BP81" s="104"/>
      <c r="BQ81" s="222"/>
      <c r="BR81" s="222"/>
      <c r="BS81" s="7"/>
      <c r="BT81" s="104"/>
      <c r="BU81" s="222"/>
      <c r="BV81" s="222"/>
      <c r="BW81" s="7"/>
    </row>
    <row r="82" spans="1:75">
      <c r="A82" s="95">
        <v>76</v>
      </c>
      <c r="B82" s="53"/>
      <c r="C82" s="67"/>
      <c r="D82" s="124"/>
      <c r="E82" s="133"/>
      <c r="F82" s="200"/>
      <c r="G82" s="22"/>
      <c r="H82" s="21"/>
      <c r="I82" s="22"/>
      <c r="J82" s="59"/>
      <c r="K82" s="7"/>
      <c r="L82" s="11"/>
      <c r="M82" s="199"/>
      <c r="N82" s="12"/>
      <c r="O82" s="7"/>
      <c r="P82" s="104"/>
      <c r="Q82" s="222"/>
      <c r="R82" s="222"/>
      <c r="S82" s="7"/>
      <c r="T82" s="104"/>
      <c r="U82" s="222"/>
      <c r="V82" s="222"/>
      <c r="W82" s="7"/>
      <c r="X82" s="104"/>
      <c r="Y82" s="222"/>
      <c r="Z82" s="222"/>
      <c r="AA82" s="7"/>
      <c r="AB82" s="104"/>
      <c r="AC82" s="222"/>
      <c r="AD82" s="222"/>
      <c r="AE82" s="7"/>
      <c r="AF82" s="104"/>
      <c r="AG82" s="222"/>
      <c r="AH82" s="222"/>
      <c r="AI82" s="7"/>
      <c r="AJ82" s="104"/>
      <c r="AK82" s="222"/>
      <c r="AL82" s="222"/>
      <c r="AM82" s="7"/>
      <c r="AN82" s="104"/>
      <c r="AO82" s="222"/>
      <c r="AP82" s="222"/>
      <c r="AQ82" s="7"/>
      <c r="AR82" s="104"/>
      <c r="AS82" s="222"/>
      <c r="AT82" s="222"/>
      <c r="AU82" s="7"/>
      <c r="AV82" s="104"/>
      <c r="AW82" s="222"/>
      <c r="AX82" s="222"/>
      <c r="AY82" s="7"/>
      <c r="AZ82" s="104"/>
      <c r="BA82" s="222"/>
      <c r="BB82" s="222"/>
      <c r="BC82" s="7"/>
      <c r="BD82" s="104"/>
      <c r="BE82" s="222"/>
      <c r="BF82" s="222"/>
      <c r="BG82" s="7"/>
      <c r="BH82" s="104"/>
      <c r="BI82" s="222"/>
      <c r="BJ82" s="222"/>
      <c r="BK82" s="7"/>
      <c r="BL82" s="104"/>
      <c r="BM82" s="222"/>
      <c r="BN82" s="222"/>
      <c r="BO82" s="7"/>
      <c r="BP82" s="104"/>
      <c r="BQ82" s="222"/>
      <c r="BR82" s="222"/>
      <c r="BS82" s="7"/>
      <c r="BT82" s="104"/>
      <c r="BU82" s="222"/>
      <c r="BV82" s="222"/>
      <c r="BW82" s="7"/>
    </row>
    <row r="83" spans="1:75">
      <c r="A83" s="94"/>
      <c r="B83" s="7"/>
      <c r="C83" s="7"/>
      <c r="D83" s="118"/>
      <c r="E83" s="118"/>
      <c r="F83" s="7"/>
      <c r="G83" s="7"/>
      <c r="H83" s="7"/>
      <c r="I83" s="7"/>
      <c r="K83" s="7"/>
      <c r="L83" s="10"/>
      <c r="M83" s="10"/>
      <c r="N83" s="10"/>
      <c r="O83" s="7"/>
      <c r="P83" s="10"/>
      <c r="Q83" s="10"/>
      <c r="R83" s="10"/>
      <c r="S83" s="7"/>
      <c r="T83" s="10"/>
      <c r="U83" s="10"/>
      <c r="V83" s="10"/>
      <c r="W83" s="7"/>
      <c r="X83" s="10"/>
      <c r="Y83" s="10"/>
      <c r="Z83" s="10"/>
      <c r="AA83" s="7"/>
      <c r="AB83" s="10"/>
      <c r="AC83" s="10"/>
      <c r="AD83" s="10"/>
      <c r="AE83" s="7"/>
      <c r="AF83" s="10"/>
      <c r="AG83" s="10"/>
      <c r="AH83" s="10"/>
      <c r="AI83" s="7"/>
      <c r="AJ83" s="10"/>
      <c r="AK83" s="10"/>
      <c r="AL83" s="10"/>
      <c r="AM83" s="7"/>
      <c r="AN83" s="10"/>
      <c r="AO83" s="10"/>
      <c r="AP83" s="10"/>
      <c r="AQ83" s="7"/>
      <c r="AR83" s="10"/>
      <c r="AS83" s="10"/>
      <c r="AT83" s="10"/>
      <c r="AU83" s="7"/>
      <c r="AV83" s="10"/>
      <c r="AW83" s="10"/>
      <c r="AX83" s="10"/>
      <c r="AY83" s="7"/>
      <c r="AZ83" s="10"/>
      <c r="BA83" s="10"/>
      <c r="BB83" s="10"/>
      <c r="BC83" s="7"/>
      <c r="BD83" s="10"/>
      <c r="BE83" s="10"/>
      <c r="BF83" s="10"/>
      <c r="BG83" s="7"/>
      <c r="BH83" s="10"/>
      <c r="BI83" s="10"/>
      <c r="BJ83" s="10"/>
      <c r="BK83" s="7"/>
      <c r="BL83" s="10"/>
      <c r="BM83" s="10"/>
      <c r="BN83" s="10"/>
      <c r="BO83" s="7"/>
      <c r="BP83" s="10"/>
      <c r="BQ83" s="10"/>
      <c r="BR83" s="10"/>
      <c r="BS83" s="7"/>
      <c r="BT83" s="10"/>
      <c r="BU83" s="10"/>
      <c r="BV83" s="10"/>
      <c r="BW83" s="7"/>
    </row>
    <row r="84" spans="1:75">
      <c r="A84" s="96"/>
      <c r="B84" s="14"/>
      <c r="C84" s="14"/>
      <c r="D84" s="125"/>
      <c r="E84" s="125"/>
      <c r="F84" s="14"/>
      <c r="G84" s="14"/>
      <c r="H84" s="14"/>
      <c r="I84" s="49"/>
      <c r="J84" s="49"/>
      <c r="K84" s="14"/>
      <c r="L84" s="14"/>
      <c r="M84" s="14"/>
    </row>
    <row r="85" spans="1:75">
      <c r="A85" s="97"/>
      <c r="B85" s="50"/>
      <c r="C85" s="221"/>
      <c r="D85" s="126"/>
      <c r="E85" s="126"/>
      <c r="F85" s="290"/>
      <c r="G85" s="290"/>
      <c r="H85" s="221"/>
      <c r="I85" s="221"/>
      <c r="J85" s="221"/>
      <c r="K85" s="14"/>
      <c r="L85" s="14"/>
      <c r="M85" s="14"/>
    </row>
    <row r="86" spans="1:75">
      <c r="A86" s="96"/>
      <c r="B86" s="72"/>
      <c r="C86" s="72"/>
      <c r="D86" s="127"/>
      <c r="E86" s="134"/>
      <c r="F86" s="52"/>
      <c r="G86" s="221"/>
      <c r="H86" s="51"/>
      <c r="I86" s="51"/>
      <c r="J86" s="51"/>
      <c r="K86" s="14"/>
      <c r="L86" s="14"/>
      <c r="M86" s="14"/>
    </row>
    <row r="87" spans="1:75">
      <c r="A87" s="97"/>
      <c r="B87" s="14"/>
      <c r="C87" s="71"/>
      <c r="D87" s="125"/>
      <c r="E87" s="125"/>
      <c r="F87" s="14"/>
      <c r="G87" s="14"/>
      <c r="H87" s="14"/>
      <c r="I87" s="14"/>
      <c r="J87" s="14"/>
      <c r="K87" s="14"/>
      <c r="L87" s="14"/>
      <c r="M87" s="14"/>
    </row>
    <row r="88" spans="1:75">
      <c r="A88" s="97"/>
      <c r="B88" s="14"/>
      <c r="C88" s="71"/>
      <c r="D88" s="125"/>
      <c r="E88" s="125"/>
      <c r="F88" s="14"/>
      <c r="G88" s="14"/>
      <c r="H88" s="14"/>
      <c r="I88" s="14"/>
      <c r="J88" s="14"/>
      <c r="K88" s="14"/>
      <c r="L88" s="14"/>
      <c r="M88" s="14"/>
    </row>
    <row r="89" spans="1:75">
      <c r="A89" s="97"/>
      <c r="B89" s="14"/>
      <c r="C89" s="71"/>
      <c r="D89" s="125"/>
      <c r="E89" s="125"/>
      <c r="F89" s="14"/>
      <c r="G89" s="14"/>
      <c r="H89" s="14"/>
      <c r="I89" s="14"/>
      <c r="J89" s="14"/>
      <c r="K89" s="14"/>
      <c r="L89" s="14"/>
      <c r="M89" s="14"/>
    </row>
    <row r="90" spans="1:75">
      <c r="A90" s="97"/>
      <c r="B90" s="14"/>
      <c r="C90" s="71"/>
      <c r="D90" s="125"/>
      <c r="E90" s="125"/>
      <c r="F90" s="14"/>
      <c r="G90" s="14"/>
      <c r="H90" s="14"/>
      <c r="I90" s="14"/>
      <c r="J90" s="14"/>
      <c r="K90" s="14"/>
      <c r="L90" s="14"/>
      <c r="M90" s="14"/>
    </row>
    <row r="91" spans="1:75">
      <c r="A91" s="97"/>
      <c r="B91" s="14"/>
      <c r="C91" s="71"/>
      <c r="D91" s="125"/>
      <c r="E91" s="125"/>
      <c r="F91" s="14"/>
      <c r="G91" s="14"/>
      <c r="H91" s="14"/>
      <c r="I91" s="14"/>
      <c r="J91" s="14"/>
      <c r="K91" s="14"/>
      <c r="L91" s="14"/>
      <c r="M91" s="14"/>
    </row>
    <row r="92" spans="1:75">
      <c r="A92" s="97"/>
      <c r="B92" s="14"/>
      <c r="C92" s="71"/>
      <c r="D92" s="125"/>
      <c r="E92" s="125"/>
      <c r="F92" s="14"/>
      <c r="G92" s="14"/>
      <c r="H92" s="14"/>
      <c r="I92" s="14"/>
      <c r="J92" s="14"/>
      <c r="K92" s="14"/>
      <c r="L92" s="14"/>
      <c r="M92" s="14"/>
    </row>
    <row r="93" spans="1:75">
      <c r="A93" s="97"/>
      <c r="B93" s="14"/>
      <c r="C93" s="71"/>
      <c r="D93" s="125"/>
      <c r="E93" s="125"/>
      <c r="F93" s="14"/>
      <c r="G93" s="14"/>
      <c r="H93" s="14"/>
      <c r="I93" s="14"/>
      <c r="J93" s="14"/>
      <c r="K93" s="14"/>
      <c r="L93" s="14"/>
      <c r="M93" s="14"/>
    </row>
    <row r="94" spans="1:75">
      <c r="A94" s="97"/>
      <c r="B94" s="14"/>
      <c r="C94" s="71"/>
      <c r="D94" s="125"/>
      <c r="E94" s="125"/>
      <c r="F94" s="14"/>
      <c r="G94" s="14"/>
      <c r="H94" s="14"/>
      <c r="I94" s="14"/>
      <c r="J94" s="14"/>
      <c r="K94" s="14"/>
      <c r="L94" s="14"/>
      <c r="M94" s="14"/>
    </row>
    <row r="95" spans="1:75">
      <c r="A95" s="97"/>
      <c r="B95" s="14"/>
      <c r="C95" s="71"/>
      <c r="D95" s="125"/>
      <c r="E95" s="125"/>
      <c r="F95" s="14"/>
      <c r="G95" s="14"/>
      <c r="H95" s="14"/>
      <c r="I95" s="14"/>
      <c r="J95" s="14"/>
      <c r="K95" s="14"/>
      <c r="L95" s="14"/>
      <c r="M95" s="14"/>
    </row>
    <row r="96" spans="1:75">
      <c r="A96" s="97"/>
      <c r="B96" s="14"/>
      <c r="C96" s="71"/>
      <c r="D96" s="125"/>
      <c r="E96" s="125"/>
      <c r="F96" s="14"/>
      <c r="G96" s="14"/>
      <c r="H96" s="14"/>
      <c r="I96" s="14"/>
      <c r="J96" s="14"/>
      <c r="K96" s="14"/>
      <c r="L96" s="14"/>
      <c r="M96" s="14"/>
    </row>
    <row r="97" spans="1:13">
      <c r="A97" s="97"/>
      <c r="B97" s="14"/>
      <c r="C97" s="71"/>
      <c r="D97" s="125"/>
      <c r="E97" s="125"/>
      <c r="F97" s="14"/>
      <c r="G97" s="14"/>
      <c r="H97" s="14"/>
      <c r="I97" s="14"/>
      <c r="J97" s="14"/>
      <c r="K97" s="14"/>
      <c r="L97" s="14"/>
      <c r="M97" s="14"/>
    </row>
    <row r="98" spans="1:13">
      <c r="A98" s="97"/>
      <c r="B98" s="14"/>
      <c r="C98" s="71"/>
      <c r="D98" s="125"/>
      <c r="E98" s="125"/>
      <c r="F98" s="14"/>
      <c r="G98" s="14"/>
      <c r="H98" s="14"/>
      <c r="I98" s="14"/>
      <c r="J98" s="14"/>
      <c r="K98" s="14"/>
      <c r="L98" s="14"/>
      <c r="M98" s="14"/>
    </row>
    <row r="99" spans="1:13">
      <c r="A99" s="97"/>
      <c r="B99" s="14"/>
      <c r="C99" s="71"/>
      <c r="D99" s="125"/>
      <c r="E99" s="125"/>
      <c r="F99" s="14"/>
      <c r="G99" s="14"/>
      <c r="H99" s="14"/>
      <c r="I99" s="14"/>
      <c r="J99" s="14"/>
      <c r="K99" s="14"/>
      <c r="L99" s="14"/>
      <c r="M99" s="14"/>
    </row>
    <row r="100" spans="1:13">
      <c r="A100" s="97"/>
      <c r="B100" s="14"/>
      <c r="C100" s="71"/>
      <c r="D100" s="125"/>
      <c r="E100" s="125"/>
      <c r="F100" s="14"/>
      <c r="G100" s="14"/>
      <c r="H100" s="14"/>
      <c r="I100" s="14"/>
      <c r="J100" s="14"/>
      <c r="K100" s="14"/>
      <c r="L100" s="14"/>
      <c r="M100" s="14"/>
    </row>
    <row r="101" spans="1:13">
      <c r="A101" s="97"/>
      <c r="B101" s="14"/>
      <c r="C101" s="71"/>
      <c r="D101" s="125"/>
      <c r="E101" s="125"/>
      <c r="F101" s="14"/>
      <c r="G101" s="14"/>
      <c r="H101" s="14"/>
      <c r="I101" s="14"/>
      <c r="J101" s="14"/>
      <c r="K101" s="14"/>
      <c r="L101" s="14"/>
      <c r="M101" s="14"/>
    </row>
    <row r="102" spans="1:13">
      <c r="A102" s="97"/>
      <c r="B102" s="14"/>
      <c r="C102" s="71"/>
      <c r="D102" s="125"/>
      <c r="E102" s="125"/>
      <c r="F102" s="14"/>
      <c r="G102" s="14"/>
      <c r="H102" s="14"/>
      <c r="I102" s="14"/>
      <c r="J102" s="14"/>
      <c r="K102" s="14"/>
      <c r="L102" s="14"/>
      <c r="M102" s="14"/>
    </row>
    <row r="103" spans="1:13">
      <c r="A103" s="97"/>
      <c r="B103" s="14"/>
      <c r="C103" s="71"/>
      <c r="D103" s="125"/>
      <c r="E103" s="125"/>
      <c r="F103" s="14"/>
      <c r="G103" s="14"/>
      <c r="H103" s="14"/>
      <c r="I103" s="14"/>
      <c r="J103" s="14"/>
      <c r="K103" s="14"/>
      <c r="L103" s="14"/>
      <c r="M103" s="14"/>
    </row>
    <row r="104" spans="1:13">
      <c r="A104" s="97"/>
      <c r="B104" s="14"/>
      <c r="C104" s="71"/>
      <c r="D104" s="125"/>
      <c r="E104" s="125"/>
      <c r="F104" s="14"/>
      <c r="G104" s="14"/>
      <c r="H104" s="14"/>
      <c r="I104" s="14"/>
      <c r="J104" s="14"/>
      <c r="K104" s="14"/>
      <c r="L104" s="14"/>
      <c r="M104" s="14"/>
    </row>
    <row r="105" spans="1:13">
      <c r="A105" s="97"/>
      <c r="B105" s="14"/>
      <c r="C105" s="71"/>
      <c r="D105" s="125"/>
      <c r="E105" s="125"/>
      <c r="F105" s="14"/>
      <c r="G105" s="14"/>
      <c r="H105" s="14"/>
      <c r="I105" s="14"/>
      <c r="J105" s="14"/>
      <c r="K105" s="14"/>
      <c r="L105" s="14"/>
      <c r="M105" s="14"/>
    </row>
    <row r="106" spans="1:13">
      <c r="A106" s="97"/>
      <c r="B106" s="14"/>
      <c r="C106" s="71"/>
      <c r="D106" s="125"/>
      <c r="E106" s="125"/>
      <c r="F106" s="14"/>
      <c r="G106" s="14"/>
      <c r="H106" s="14"/>
      <c r="I106" s="14"/>
      <c r="J106" s="14"/>
      <c r="K106" s="14"/>
      <c r="L106" s="14"/>
      <c r="M106" s="14"/>
    </row>
    <row r="107" spans="1:13">
      <c r="A107" s="97"/>
      <c r="B107" s="14"/>
      <c r="C107" s="71"/>
      <c r="D107" s="125"/>
      <c r="E107" s="125"/>
      <c r="F107" s="14"/>
      <c r="G107" s="14"/>
      <c r="H107" s="14"/>
      <c r="I107" s="14"/>
      <c r="J107" s="14"/>
      <c r="K107" s="14"/>
      <c r="L107" s="14"/>
      <c r="M107" s="14"/>
    </row>
    <row r="108" spans="1:13">
      <c r="A108" s="97"/>
      <c r="B108" s="14"/>
      <c r="C108" s="71"/>
      <c r="D108" s="125"/>
      <c r="E108" s="125"/>
      <c r="F108" s="14"/>
      <c r="G108" s="14"/>
      <c r="H108" s="14"/>
      <c r="I108" s="14"/>
      <c r="J108" s="14"/>
      <c r="K108" s="14"/>
      <c r="L108" s="14"/>
      <c r="M108" s="14"/>
    </row>
    <row r="109" spans="1:13">
      <c r="A109" s="97"/>
      <c r="B109" s="14"/>
      <c r="C109" s="71"/>
      <c r="D109" s="125"/>
      <c r="E109" s="125"/>
      <c r="F109" s="14"/>
      <c r="G109" s="14"/>
      <c r="H109" s="14"/>
      <c r="I109" s="14"/>
      <c r="J109" s="14"/>
      <c r="K109" s="14"/>
      <c r="L109" s="14"/>
      <c r="M109" s="14"/>
    </row>
    <row r="110" spans="1:13">
      <c r="A110" s="97"/>
      <c r="B110" s="14"/>
      <c r="C110" s="71"/>
      <c r="D110" s="125"/>
      <c r="E110" s="125"/>
      <c r="F110" s="14"/>
      <c r="G110" s="14"/>
      <c r="H110" s="14"/>
      <c r="I110" s="14"/>
      <c r="J110" s="14"/>
      <c r="K110" s="14"/>
      <c r="L110" s="14"/>
      <c r="M110" s="14"/>
    </row>
    <row r="111" spans="1:13">
      <c r="A111" s="97"/>
      <c r="B111" s="14"/>
      <c r="C111" s="71"/>
      <c r="D111" s="125"/>
      <c r="E111" s="125"/>
      <c r="F111" s="14"/>
      <c r="G111" s="14"/>
      <c r="H111" s="14"/>
      <c r="I111" s="14"/>
      <c r="J111" s="14"/>
      <c r="K111" s="14"/>
      <c r="L111" s="14"/>
      <c r="M111" s="14"/>
    </row>
    <row r="112" spans="1:13">
      <c r="A112" s="97"/>
      <c r="B112" s="14"/>
      <c r="C112" s="71"/>
      <c r="D112" s="125"/>
      <c r="E112" s="125"/>
      <c r="F112" s="14"/>
      <c r="G112" s="14"/>
      <c r="H112" s="14"/>
      <c r="I112" s="14"/>
      <c r="J112" s="14"/>
      <c r="K112" s="14"/>
      <c r="L112" s="14"/>
      <c r="M112" s="14"/>
    </row>
    <row r="113" spans="1:13">
      <c r="A113" s="97"/>
      <c r="B113" s="14"/>
      <c r="C113" s="71"/>
      <c r="D113" s="125"/>
      <c r="E113" s="125"/>
      <c r="F113" s="14"/>
      <c r="G113" s="14"/>
      <c r="H113" s="14"/>
      <c r="I113" s="14"/>
      <c r="J113" s="14"/>
      <c r="K113" s="14"/>
      <c r="L113" s="14"/>
      <c r="M113" s="14"/>
    </row>
    <row r="114" spans="1:13">
      <c r="A114" s="97"/>
      <c r="B114" s="14"/>
      <c r="C114" s="71"/>
      <c r="D114" s="125"/>
      <c r="E114" s="125"/>
      <c r="F114" s="14"/>
      <c r="G114" s="14"/>
      <c r="H114" s="14"/>
      <c r="I114" s="14"/>
      <c r="J114" s="14"/>
      <c r="K114" s="14"/>
      <c r="L114" s="14"/>
      <c r="M114" s="14"/>
    </row>
    <row r="115" spans="1:13">
      <c r="A115" s="97"/>
      <c r="B115" s="14"/>
      <c r="C115" s="71"/>
      <c r="D115" s="125"/>
      <c r="E115" s="125"/>
      <c r="F115" s="14"/>
      <c r="G115" s="14"/>
      <c r="H115" s="14"/>
      <c r="I115" s="14"/>
      <c r="J115" s="14"/>
      <c r="K115" s="14"/>
      <c r="L115" s="14"/>
      <c r="M115" s="14"/>
    </row>
    <row r="116" spans="1:13">
      <c r="A116" s="97"/>
      <c r="B116" s="14"/>
      <c r="C116" s="71"/>
      <c r="D116" s="125"/>
      <c r="E116" s="125"/>
      <c r="F116" s="14"/>
      <c r="G116" s="14"/>
      <c r="H116" s="14"/>
      <c r="I116" s="14"/>
      <c r="J116" s="14"/>
      <c r="K116" s="14"/>
      <c r="L116" s="14"/>
      <c r="M116" s="14"/>
    </row>
    <row r="117" spans="1:13">
      <c r="A117" s="97"/>
      <c r="B117" s="14"/>
      <c r="C117" s="71"/>
      <c r="D117" s="125"/>
      <c r="E117" s="125"/>
      <c r="F117" s="14"/>
      <c r="G117" s="14"/>
      <c r="H117" s="14"/>
      <c r="I117" s="14"/>
      <c r="J117" s="14"/>
      <c r="K117" s="14"/>
      <c r="L117" s="14"/>
      <c r="M117" s="14"/>
    </row>
    <row r="118" spans="1:13">
      <c r="A118" s="97"/>
      <c r="B118" s="14"/>
      <c r="C118" s="71"/>
      <c r="D118" s="125"/>
      <c r="E118" s="125"/>
      <c r="F118" s="14"/>
      <c r="G118" s="14"/>
      <c r="H118" s="14"/>
      <c r="I118" s="14"/>
      <c r="J118" s="14"/>
      <c r="K118" s="14"/>
      <c r="L118" s="14"/>
      <c r="M118" s="14"/>
    </row>
    <row r="119" spans="1:13">
      <c r="A119" s="97"/>
      <c r="B119" s="14"/>
      <c r="C119" s="71"/>
      <c r="D119" s="125"/>
      <c r="E119" s="125"/>
      <c r="F119" s="14"/>
      <c r="G119" s="14"/>
      <c r="H119" s="14"/>
      <c r="I119" s="14"/>
      <c r="J119" s="14"/>
      <c r="K119" s="14"/>
      <c r="L119" s="14"/>
      <c r="M119" s="14"/>
    </row>
    <row r="120" spans="1:13">
      <c r="A120" s="97"/>
      <c r="B120" s="14"/>
      <c r="C120" s="71"/>
      <c r="D120" s="125"/>
      <c r="E120" s="125"/>
      <c r="F120" s="14"/>
      <c r="G120" s="14"/>
      <c r="H120" s="14"/>
      <c r="I120" s="14"/>
      <c r="J120" s="14"/>
      <c r="K120" s="14"/>
      <c r="L120" s="14"/>
      <c r="M120" s="14"/>
    </row>
    <row r="121" spans="1:13">
      <c r="A121" s="97"/>
      <c r="B121" s="14"/>
      <c r="C121" s="71"/>
      <c r="D121" s="125"/>
      <c r="E121" s="125"/>
      <c r="F121" s="14"/>
      <c r="G121" s="14"/>
      <c r="H121" s="14"/>
      <c r="I121" s="14"/>
      <c r="J121" s="14"/>
      <c r="K121" s="14"/>
      <c r="L121" s="14"/>
      <c r="M121" s="14"/>
    </row>
    <row r="122" spans="1:13">
      <c r="A122" s="97"/>
      <c r="B122" s="14"/>
      <c r="C122" s="71"/>
      <c r="D122" s="125"/>
      <c r="E122" s="125"/>
      <c r="F122" s="14"/>
      <c r="G122" s="14"/>
      <c r="H122" s="14"/>
      <c r="I122" s="14"/>
      <c r="J122" s="14"/>
      <c r="K122" s="14"/>
      <c r="L122" s="14"/>
      <c r="M122" s="14"/>
    </row>
    <row r="123" spans="1:13">
      <c r="A123" s="97"/>
      <c r="B123" s="14"/>
      <c r="C123" s="71"/>
      <c r="D123" s="125"/>
      <c r="E123" s="125"/>
      <c r="F123" s="14"/>
      <c r="G123" s="14"/>
      <c r="H123" s="14"/>
      <c r="I123" s="14"/>
      <c r="J123" s="14"/>
      <c r="K123" s="14"/>
      <c r="L123" s="14"/>
      <c r="M123" s="14"/>
    </row>
    <row r="124" spans="1:13">
      <c r="A124" s="97"/>
      <c r="B124" s="14"/>
      <c r="C124" s="71"/>
      <c r="D124" s="125"/>
      <c r="E124" s="125"/>
      <c r="F124" s="14"/>
      <c r="G124" s="14"/>
      <c r="H124" s="14"/>
      <c r="I124" s="14"/>
      <c r="J124" s="14"/>
      <c r="K124" s="14"/>
      <c r="L124" s="14"/>
      <c r="M124" s="14"/>
    </row>
    <row r="125" spans="1:13">
      <c r="A125" s="97"/>
      <c r="B125" s="14"/>
      <c r="C125" s="71"/>
      <c r="D125" s="125"/>
      <c r="E125" s="125"/>
      <c r="F125" s="14"/>
      <c r="G125" s="14"/>
      <c r="H125" s="14"/>
      <c r="I125" s="14"/>
      <c r="J125" s="14"/>
      <c r="K125" s="14"/>
      <c r="L125" s="14"/>
      <c r="M125" s="14"/>
    </row>
    <row r="126" spans="1:13">
      <c r="A126" s="97"/>
      <c r="B126" s="14"/>
      <c r="C126" s="71"/>
      <c r="D126" s="125"/>
      <c r="E126" s="125"/>
      <c r="F126" s="14"/>
      <c r="G126" s="14"/>
      <c r="H126" s="14"/>
      <c r="I126" s="14"/>
      <c r="J126" s="14"/>
      <c r="K126" s="14"/>
      <c r="L126" s="14"/>
      <c r="M126" s="14"/>
    </row>
    <row r="127" spans="1:13">
      <c r="A127" s="97"/>
      <c r="B127" s="14"/>
      <c r="C127" s="71"/>
      <c r="D127" s="125"/>
      <c r="E127" s="125"/>
      <c r="F127" s="14"/>
      <c r="G127" s="14"/>
      <c r="H127" s="14"/>
      <c r="I127" s="14"/>
      <c r="J127" s="14"/>
      <c r="K127" s="14"/>
      <c r="L127" s="14"/>
      <c r="M127" s="14"/>
    </row>
    <row r="128" spans="1:13">
      <c r="A128" s="97"/>
      <c r="B128" s="14"/>
      <c r="C128" s="71"/>
      <c r="D128" s="125"/>
      <c r="E128" s="125"/>
      <c r="F128" s="14"/>
      <c r="G128" s="14"/>
      <c r="H128" s="14"/>
      <c r="I128" s="14"/>
      <c r="J128" s="14"/>
      <c r="K128" s="14"/>
      <c r="L128" s="14"/>
      <c r="M128" s="14"/>
    </row>
    <row r="129" spans="1:13">
      <c r="A129" s="97"/>
      <c r="B129" s="14"/>
      <c r="C129" s="71"/>
      <c r="D129" s="125"/>
      <c r="E129" s="125"/>
      <c r="F129" s="14"/>
      <c r="G129" s="14"/>
      <c r="H129" s="14"/>
      <c r="I129" s="14"/>
      <c r="J129" s="14"/>
      <c r="K129" s="14"/>
      <c r="L129" s="14"/>
      <c r="M129" s="14"/>
    </row>
    <row r="130" spans="1:13">
      <c r="A130" s="97"/>
      <c r="B130" s="14"/>
      <c r="C130" s="71"/>
      <c r="D130" s="125"/>
      <c r="E130" s="125"/>
      <c r="F130" s="14"/>
      <c r="G130" s="14"/>
      <c r="H130" s="14"/>
      <c r="I130" s="14"/>
      <c r="J130" s="14"/>
      <c r="K130" s="14"/>
      <c r="L130" s="14"/>
      <c r="M130" s="14"/>
    </row>
    <row r="131" spans="1:13">
      <c r="A131" s="97"/>
      <c r="B131" s="14"/>
      <c r="C131" s="71"/>
      <c r="D131" s="125"/>
      <c r="E131" s="125"/>
      <c r="F131" s="14"/>
      <c r="G131" s="14"/>
      <c r="H131" s="14"/>
      <c r="I131" s="14"/>
      <c r="J131" s="14"/>
      <c r="K131" s="14"/>
      <c r="L131" s="14"/>
      <c r="M131" s="14"/>
    </row>
    <row r="132" spans="1:13">
      <c r="A132" s="97"/>
      <c r="B132" s="14"/>
      <c r="C132" s="71"/>
      <c r="D132" s="125"/>
      <c r="E132" s="125"/>
      <c r="F132" s="14"/>
      <c r="G132" s="14"/>
      <c r="H132" s="14"/>
      <c r="I132" s="14"/>
      <c r="J132" s="14"/>
      <c r="K132" s="14"/>
      <c r="L132" s="14"/>
      <c r="M132" s="14"/>
    </row>
    <row r="133" spans="1:13">
      <c r="A133" s="97"/>
      <c r="B133" s="14"/>
      <c r="C133" s="71"/>
      <c r="D133" s="125"/>
      <c r="E133" s="125"/>
      <c r="F133" s="14"/>
      <c r="G133" s="14"/>
      <c r="H133" s="14"/>
      <c r="I133" s="14"/>
      <c r="J133" s="14"/>
      <c r="K133" s="14"/>
      <c r="L133" s="14"/>
      <c r="M133" s="14"/>
    </row>
    <row r="134" spans="1:13">
      <c r="A134" s="97"/>
      <c r="B134" s="14"/>
      <c r="C134" s="71"/>
      <c r="D134" s="125"/>
      <c r="E134" s="125"/>
      <c r="F134" s="14"/>
      <c r="G134" s="14"/>
      <c r="H134" s="14"/>
      <c r="I134" s="14"/>
      <c r="J134" s="14"/>
      <c r="K134" s="14"/>
      <c r="L134" s="14"/>
      <c r="M134" s="14"/>
    </row>
    <row r="135" spans="1:13">
      <c r="A135" s="97"/>
      <c r="B135" s="14"/>
      <c r="C135" s="71"/>
      <c r="D135" s="125"/>
      <c r="E135" s="125"/>
      <c r="F135" s="14"/>
      <c r="G135" s="14"/>
      <c r="H135" s="14"/>
      <c r="I135" s="14"/>
      <c r="J135" s="14"/>
      <c r="K135" s="14"/>
      <c r="L135" s="14"/>
      <c r="M135" s="14"/>
    </row>
    <row r="136" spans="1:13">
      <c r="A136" s="97"/>
      <c r="B136" s="14"/>
      <c r="C136" s="71"/>
      <c r="D136" s="125"/>
      <c r="E136" s="125"/>
      <c r="F136" s="14"/>
      <c r="G136" s="14"/>
      <c r="H136" s="14"/>
      <c r="I136" s="14"/>
      <c r="J136" s="14"/>
      <c r="K136" s="14"/>
      <c r="L136" s="14"/>
      <c r="M136" s="14"/>
    </row>
    <row r="137" spans="1:13">
      <c r="A137" s="97"/>
      <c r="B137" s="14"/>
      <c r="C137" s="71"/>
      <c r="D137" s="125"/>
      <c r="E137" s="125"/>
      <c r="F137" s="14"/>
      <c r="G137" s="14"/>
      <c r="H137" s="14"/>
      <c r="I137" s="14"/>
      <c r="J137" s="14"/>
      <c r="K137" s="14"/>
      <c r="L137" s="14"/>
      <c r="M137" s="14"/>
    </row>
    <row r="138" spans="1:13">
      <c r="A138" s="97"/>
      <c r="B138" s="14"/>
      <c r="C138" s="71"/>
      <c r="D138" s="125"/>
      <c r="E138" s="125"/>
      <c r="F138" s="14"/>
      <c r="G138" s="14"/>
      <c r="H138" s="14"/>
      <c r="I138" s="14"/>
      <c r="J138" s="14"/>
      <c r="K138" s="14"/>
      <c r="L138" s="14"/>
      <c r="M138" s="14"/>
    </row>
    <row r="139" spans="1:13">
      <c r="A139" s="97"/>
      <c r="B139" s="14"/>
      <c r="C139" s="71"/>
      <c r="D139" s="125"/>
      <c r="E139" s="125"/>
      <c r="F139" s="14"/>
      <c r="G139" s="14"/>
      <c r="H139" s="14"/>
      <c r="I139" s="14"/>
      <c r="J139" s="14"/>
      <c r="K139" s="14"/>
      <c r="L139" s="14"/>
      <c r="M139" s="14"/>
    </row>
    <row r="140" spans="1:13">
      <c r="A140" s="97"/>
      <c r="B140" s="14"/>
      <c r="C140" s="71"/>
      <c r="D140" s="125"/>
      <c r="E140" s="125"/>
      <c r="F140" s="14"/>
      <c r="G140" s="14"/>
      <c r="H140" s="14"/>
      <c r="I140" s="14"/>
      <c r="J140" s="14"/>
      <c r="K140" s="14"/>
      <c r="L140" s="14"/>
      <c r="M140" s="14"/>
    </row>
    <row r="141" spans="1:13">
      <c r="A141" s="97"/>
      <c r="B141" s="14"/>
      <c r="C141" s="71"/>
      <c r="D141" s="125"/>
      <c r="E141" s="125"/>
      <c r="F141" s="14"/>
      <c r="G141" s="14"/>
      <c r="H141" s="14"/>
      <c r="I141" s="14"/>
      <c r="J141" s="14"/>
      <c r="K141" s="14"/>
      <c r="L141" s="14"/>
      <c r="M141" s="14"/>
    </row>
    <row r="142" spans="1:13">
      <c r="A142" s="97"/>
      <c r="B142" s="14"/>
      <c r="C142" s="71"/>
      <c r="D142" s="125"/>
      <c r="E142" s="125"/>
      <c r="F142" s="14"/>
      <c r="G142" s="14"/>
      <c r="H142" s="14"/>
      <c r="I142" s="14"/>
      <c r="J142" s="14"/>
      <c r="K142" s="14"/>
      <c r="L142" s="14"/>
      <c r="M142" s="14"/>
    </row>
    <row r="143" spans="1:13">
      <c r="A143" s="97"/>
      <c r="B143" s="14"/>
      <c r="C143" s="71"/>
      <c r="D143" s="125"/>
      <c r="E143" s="125"/>
      <c r="F143" s="14"/>
      <c r="G143" s="14"/>
      <c r="H143" s="14"/>
      <c r="I143" s="14"/>
      <c r="J143" s="14"/>
      <c r="K143" s="14"/>
      <c r="L143" s="14"/>
      <c r="M143" s="14"/>
    </row>
    <row r="144" spans="1:13">
      <c r="A144" s="97"/>
      <c r="B144" s="14"/>
      <c r="C144" s="71"/>
      <c r="D144" s="125"/>
      <c r="E144" s="125"/>
      <c r="F144" s="14"/>
      <c r="G144" s="14"/>
      <c r="H144" s="14"/>
      <c r="I144" s="14"/>
      <c r="J144" s="14"/>
      <c r="K144" s="14"/>
      <c r="L144" s="14"/>
      <c r="M144" s="14"/>
    </row>
    <row r="145" spans="1:13">
      <c r="A145" s="97"/>
      <c r="B145" s="14"/>
      <c r="C145" s="71"/>
      <c r="D145" s="125"/>
      <c r="E145" s="125"/>
      <c r="F145" s="14"/>
      <c r="G145" s="14"/>
      <c r="H145" s="14"/>
      <c r="I145" s="14"/>
      <c r="J145" s="14"/>
      <c r="K145" s="14"/>
      <c r="L145" s="14"/>
      <c r="M145" s="14"/>
    </row>
    <row r="146" spans="1:13">
      <c r="A146" s="97"/>
      <c r="B146" s="14"/>
      <c r="C146" s="71"/>
      <c r="D146" s="125"/>
      <c r="E146" s="125"/>
      <c r="F146" s="14"/>
      <c r="G146" s="14"/>
      <c r="H146" s="14"/>
      <c r="I146" s="14"/>
      <c r="J146" s="14"/>
      <c r="K146" s="14"/>
      <c r="L146" s="14"/>
      <c r="M146" s="14"/>
    </row>
    <row r="147" spans="1:13">
      <c r="A147" s="97"/>
      <c r="B147" s="14"/>
      <c r="C147" s="71"/>
      <c r="D147" s="125"/>
      <c r="E147" s="125"/>
      <c r="F147" s="14"/>
      <c r="G147" s="14"/>
      <c r="H147" s="14"/>
      <c r="I147" s="14"/>
      <c r="J147" s="14"/>
      <c r="K147" s="14"/>
      <c r="L147" s="14"/>
      <c r="M147" s="14"/>
    </row>
    <row r="148" spans="1:13">
      <c r="A148" s="97"/>
      <c r="B148" s="14"/>
      <c r="C148" s="71"/>
      <c r="D148" s="125"/>
      <c r="E148" s="125"/>
      <c r="F148" s="14"/>
      <c r="G148" s="14"/>
      <c r="H148" s="14"/>
      <c r="I148" s="14"/>
      <c r="J148" s="14"/>
      <c r="K148" s="14"/>
      <c r="L148" s="14"/>
      <c r="M148" s="14"/>
    </row>
    <row r="149" spans="1:13">
      <c r="A149" s="97"/>
      <c r="B149" s="14"/>
      <c r="C149" s="71"/>
      <c r="D149" s="125"/>
      <c r="E149" s="125"/>
      <c r="F149" s="14"/>
      <c r="G149" s="14"/>
      <c r="H149" s="14"/>
      <c r="I149" s="14"/>
      <c r="J149" s="14"/>
      <c r="K149" s="14"/>
      <c r="L149" s="14"/>
      <c r="M149" s="14"/>
    </row>
    <row r="150" spans="1:13">
      <c r="A150" s="97"/>
      <c r="B150" s="14"/>
      <c r="C150" s="71"/>
      <c r="D150" s="125"/>
      <c r="E150" s="125"/>
      <c r="F150" s="14"/>
      <c r="G150" s="14"/>
      <c r="H150" s="14"/>
      <c r="I150" s="14"/>
      <c r="J150" s="14"/>
      <c r="K150" s="14"/>
      <c r="L150" s="14"/>
      <c r="M150" s="14"/>
    </row>
    <row r="151" spans="1:13">
      <c r="A151" s="97"/>
      <c r="B151" s="14"/>
      <c r="C151" s="71"/>
      <c r="D151" s="125"/>
      <c r="E151" s="125"/>
      <c r="F151" s="14"/>
      <c r="G151" s="14"/>
      <c r="H151" s="14"/>
      <c r="I151" s="14"/>
      <c r="J151" s="14"/>
      <c r="K151" s="14"/>
      <c r="L151" s="14"/>
      <c r="M151" s="14"/>
    </row>
    <row r="152" spans="1:13">
      <c r="A152" s="97"/>
      <c r="B152" s="14"/>
      <c r="C152" s="71"/>
      <c r="D152" s="125"/>
      <c r="E152" s="125"/>
      <c r="F152" s="14"/>
      <c r="G152" s="14"/>
      <c r="H152" s="14"/>
      <c r="I152" s="14"/>
      <c r="J152" s="14"/>
      <c r="K152" s="14"/>
      <c r="L152" s="14"/>
      <c r="M152" s="14"/>
    </row>
    <row r="153" spans="1:13">
      <c r="A153" s="97"/>
      <c r="B153" s="14"/>
      <c r="C153" s="71"/>
      <c r="D153" s="125"/>
      <c r="E153" s="125"/>
      <c r="F153" s="14"/>
      <c r="G153" s="14"/>
      <c r="H153" s="14"/>
      <c r="I153" s="14"/>
      <c r="J153" s="14"/>
      <c r="K153" s="14"/>
      <c r="L153" s="14"/>
      <c r="M153" s="14"/>
    </row>
    <row r="154" spans="1:13">
      <c r="A154" s="97"/>
      <c r="B154" s="14"/>
      <c r="C154" s="71"/>
      <c r="D154" s="125"/>
      <c r="E154" s="125"/>
      <c r="F154" s="14"/>
      <c r="G154" s="14"/>
      <c r="H154" s="14"/>
      <c r="I154" s="14"/>
      <c r="J154" s="14"/>
      <c r="K154" s="14"/>
      <c r="L154" s="14"/>
      <c r="M154" s="14"/>
    </row>
    <row r="155" spans="1:13">
      <c r="A155" s="97"/>
      <c r="B155" s="14"/>
      <c r="C155" s="71"/>
      <c r="D155" s="125"/>
      <c r="E155" s="125"/>
      <c r="F155" s="14"/>
      <c r="G155" s="14"/>
      <c r="H155" s="14"/>
      <c r="I155" s="14"/>
      <c r="J155" s="14"/>
      <c r="K155" s="14"/>
      <c r="L155" s="14"/>
      <c r="M155" s="14"/>
    </row>
    <row r="156" spans="1:13">
      <c r="A156" s="97"/>
      <c r="B156" s="14"/>
      <c r="C156" s="71"/>
      <c r="D156" s="125"/>
      <c r="E156" s="125"/>
      <c r="F156" s="14"/>
      <c r="G156" s="14"/>
      <c r="H156" s="14"/>
      <c r="I156" s="14"/>
      <c r="J156" s="14"/>
      <c r="K156" s="14"/>
      <c r="L156" s="14"/>
      <c r="M156" s="14"/>
    </row>
    <row r="157" spans="1:13">
      <c r="A157" s="97"/>
      <c r="B157" s="14"/>
      <c r="C157" s="71"/>
      <c r="D157" s="125"/>
      <c r="E157" s="125"/>
      <c r="F157" s="14"/>
      <c r="G157" s="14"/>
      <c r="H157" s="14"/>
      <c r="I157" s="14"/>
      <c r="J157" s="14"/>
      <c r="K157" s="14"/>
      <c r="L157" s="14"/>
      <c r="M157" s="14"/>
    </row>
    <row r="158" spans="1:13">
      <c r="A158" s="97"/>
      <c r="B158" s="14"/>
      <c r="C158" s="71"/>
      <c r="D158" s="125"/>
      <c r="E158" s="125"/>
      <c r="F158" s="14"/>
      <c r="G158" s="14"/>
      <c r="H158" s="14"/>
      <c r="I158" s="14"/>
      <c r="J158" s="14"/>
      <c r="K158" s="14"/>
      <c r="L158" s="14"/>
      <c r="M158" s="14"/>
    </row>
    <row r="159" spans="1:13">
      <c r="A159" s="97"/>
      <c r="B159" s="14"/>
      <c r="C159" s="71"/>
      <c r="D159" s="125"/>
      <c r="E159" s="125"/>
      <c r="F159" s="14"/>
      <c r="G159" s="14"/>
      <c r="H159" s="14"/>
      <c r="I159" s="14"/>
      <c r="J159" s="14"/>
      <c r="K159" s="14"/>
      <c r="L159" s="14"/>
      <c r="M159" s="14"/>
    </row>
    <row r="160" spans="1:13">
      <c r="A160" s="97"/>
      <c r="B160" s="14"/>
      <c r="C160" s="71"/>
      <c r="D160" s="125"/>
      <c r="E160" s="125"/>
      <c r="F160" s="14"/>
      <c r="G160" s="14"/>
      <c r="H160" s="14"/>
      <c r="I160" s="14"/>
      <c r="J160" s="14"/>
      <c r="K160" s="14"/>
      <c r="L160" s="14"/>
      <c r="M160" s="14"/>
    </row>
    <row r="161" spans="1:13">
      <c r="A161" s="97"/>
      <c r="B161" s="14"/>
      <c r="C161" s="71"/>
      <c r="D161" s="125"/>
      <c r="E161" s="125"/>
      <c r="F161" s="14"/>
      <c r="G161" s="14"/>
      <c r="H161" s="14"/>
      <c r="I161" s="14"/>
      <c r="J161" s="14"/>
      <c r="K161" s="14"/>
      <c r="L161" s="14"/>
      <c r="M161" s="14"/>
    </row>
    <row r="162" spans="1:13">
      <c r="A162" s="97"/>
      <c r="B162" s="14"/>
      <c r="C162" s="71"/>
      <c r="D162" s="125"/>
      <c r="E162" s="125"/>
      <c r="F162" s="14"/>
      <c r="G162" s="14"/>
      <c r="H162" s="14"/>
      <c r="I162" s="14"/>
      <c r="J162" s="14"/>
      <c r="K162" s="14"/>
      <c r="L162" s="14"/>
      <c r="M162" s="14"/>
    </row>
    <row r="163" spans="1:13">
      <c r="A163" s="96"/>
      <c r="B163" s="14"/>
      <c r="C163" s="14"/>
      <c r="D163" s="125"/>
      <c r="E163" s="125"/>
      <c r="F163" s="14"/>
      <c r="G163" s="14"/>
      <c r="H163" s="14"/>
      <c r="I163" s="14"/>
      <c r="J163" s="14"/>
      <c r="K163" s="14"/>
      <c r="L163" s="14"/>
      <c r="M163" s="14"/>
    </row>
    <row r="164" spans="1:13">
      <c r="A164" s="96"/>
      <c r="B164" s="14"/>
      <c r="C164" s="14"/>
      <c r="D164" s="125"/>
      <c r="E164" s="125"/>
      <c r="F164" s="14"/>
      <c r="G164" s="14"/>
      <c r="H164" s="14"/>
      <c r="I164" s="14"/>
      <c r="J164" s="14"/>
      <c r="K164" s="14"/>
      <c r="L164" s="14"/>
      <c r="M164" s="14"/>
    </row>
    <row r="165" spans="1:13">
      <c r="A165" s="96"/>
      <c r="B165" s="14"/>
      <c r="C165" s="14"/>
      <c r="D165" s="125"/>
      <c r="E165" s="125"/>
      <c r="F165" s="14"/>
      <c r="G165" s="14"/>
      <c r="H165" s="14"/>
      <c r="I165" s="14"/>
      <c r="J165" s="14"/>
      <c r="K165" s="14"/>
      <c r="L165" s="14"/>
      <c r="M165" s="14"/>
    </row>
    <row r="166" spans="1:13">
      <c r="A166" s="96"/>
      <c r="B166" s="14"/>
      <c r="C166" s="14"/>
      <c r="D166" s="125"/>
      <c r="E166" s="125"/>
      <c r="F166" s="14"/>
      <c r="G166" s="14"/>
      <c r="H166" s="14"/>
      <c r="I166" s="14"/>
      <c r="J166" s="14"/>
      <c r="K166" s="14"/>
      <c r="L166" s="14"/>
      <c r="M166" s="14"/>
    </row>
    <row r="167" spans="1:13">
      <c r="A167" s="96"/>
      <c r="B167" s="14"/>
      <c r="C167" s="14"/>
      <c r="D167" s="125"/>
      <c r="E167" s="125"/>
      <c r="F167" s="14"/>
      <c r="G167" s="14"/>
      <c r="H167" s="14"/>
      <c r="I167" s="14"/>
      <c r="J167" s="14"/>
      <c r="K167" s="14"/>
      <c r="L167" s="14"/>
      <c r="M167" s="14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L5:N6">
    <cfRule type="expression" dxfId="151" priority="141">
      <formula>$K$5=1</formula>
    </cfRule>
  </conditionalFormatting>
  <conditionalFormatting sqref="L7:N82">
    <cfRule type="expression" dxfId="150" priority="142">
      <formula>$K$5=1</formula>
    </cfRule>
  </conditionalFormatting>
  <conditionalFormatting sqref="P5:R6">
    <cfRule type="expression" dxfId="149" priority="143">
      <formula>$O$5=1</formula>
    </cfRule>
  </conditionalFormatting>
  <conditionalFormatting sqref="P7:R82">
    <cfRule type="expression" dxfId="148" priority="144">
      <formula>$O$5=1</formula>
    </cfRule>
  </conditionalFormatting>
  <conditionalFormatting sqref="T5:V6">
    <cfRule type="expression" dxfId="147" priority="145">
      <formula>$S$5=1</formula>
    </cfRule>
  </conditionalFormatting>
  <conditionalFormatting sqref="T7:V82">
    <cfRule type="expression" dxfId="146" priority="146">
      <formula>$S$5=1</formula>
    </cfRule>
  </conditionalFormatting>
  <conditionalFormatting sqref="X5:Z6">
    <cfRule type="expression" dxfId="145" priority="147">
      <formula>$W$5=1</formula>
    </cfRule>
  </conditionalFormatting>
  <conditionalFormatting sqref="X7:Z82">
    <cfRule type="expression" dxfId="144" priority="148">
      <formula>$W$5=1</formula>
    </cfRule>
  </conditionalFormatting>
  <conditionalFormatting sqref="AB5:AD6">
    <cfRule type="expression" dxfId="143" priority="149">
      <formula>$AA$5=1</formula>
    </cfRule>
  </conditionalFormatting>
  <conditionalFormatting sqref="AB7:AD82">
    <cfRule type="expression" dxfId="142" priority="150">
      <formula>$AA$5=1</formula>
    </cfRule>
  </conditionalFormatting>
  <conditionalFormatting sqref="J2:J3">
    <cfRule type="expression" dxfId="141" priority="151">
      <formula>$F$1=1</formula>
    </cfRule>
    <cfRule type="expression" priority="152">
      <formula>$F$1</formula>
    </cfRule>
  </conditionalFormatting>
  <conditionalFormatting sqref="J4">
    <cfRule type="expression" dxfId="140" priority="153">
      <formula>$F$1=1</formula>
    </cfRule>
  </conditionalFormatting>
  <conditionalFormatting sqref="M4:N4">
    <cfRule type="expression" dxfId="139" priority="140">
      <formula>$K$5=1</formula>
    </cfRule>
  </conditionalFormatting>
  <conditionalFormatting sqref="Q4:R4">
    <cfRule type="expression" dxfId="138" priority="139">
      <formula>$O$5=1</formula>
    </cfRule>
  </conditionalFormatting>
  <conditionalFormatting sqref="U4:V4">
    <cfRule type="expression" dxfId="137" priority="138">
      <formula>$S$5=1</formula>
    </cfRule>
  </conditionalFormatting>
  <conditionalFormatting sqref="Y4:Z4">
    <cfRule type="expression" dxfId="136" priority="137">
      <formula>$W$5=1</formula>
    </cfRule>
  </conditionalFormatting>
  <conditionalFormatting sqref="AC4:AD4">
    <cfRule type="expression" dxfId="135" priority="136">
      <formula>$AA$5=1</formula>
    </cfRule>
  </conditionalFormatting>
  <conditionalFormatting sqref="AF5:AH6">
    <cfRule type="expression" dxfId="134" priority="134">
      <formula>$AE$5=1</formula>
    </cfRule>
  </conditionalFormatting>
  <conditionalFormatting sqref="AF7:AH82">
    <cfRule type="expression" dxfId="133" priority="135">
      <formula>$AE$5=1</formula>
    </cfRule>
  </conditionalFormatting>
  <conditionalFormatting sqref="AG4:AH4">
    <cfRule type="expression" dxfId="132" priority="133">
      <formula>$AE$5=1</formula>
    </cfRule>
  </conditionalFormatting>
  <conditionalFormatting sqref="AJ7:AL82">
    <cfRule type="expression" dxfId="131" priority="132">
      <formula>$AI$5=1</formula>
    </cfRule>
  </conditionalFormatting>
  <conditionalFormatting sqref="AK4:AL4">
    <cfRule type="expression" dxfId="130" priority="131">
      <formula>$AI$5=1</formula>
    </cfRule>
  </conditionalFormatting>
  <conditionalFormatting sqref="AN7:AP82">
    <cfRule type="expression" dxfId="129" priority="130">
      <formula>$AM$5=1</formula>
    </cfRule>
  </conditionalFormatting>
  <conditionalFormatting sqref="AO4:AP4">
    <cfRule type="expression" dxfId="128" priority="129">
      <formula>AM$5=1</formula>
    </cfRule>
  </conditionalFormatting>
  <conditionalFormatting sqref="AR7:AT82">
    <cfRule type="expression" dxfId="127" priority="128">
      <formula>$AQ$5=1</formula>
    </cfRule>
  </conditionalFormatting>
  <conditionalFormatting sqref="AV7:AX82">
    <cfRule type="expression" dxfId="126" priority="127">
      <formula>$AU$5=1</formula>
    </cfRule>
  </conditionalFormatting>
  <conditionalFormatting sqref="AZ7:BB82">
    <cfRule type="expression" dxfId="125" priority="126">
      <formula>$AY$5=1</formula>
    </cfRule>
  </conditionalFormatting>
  <conditionalFormatting sqref="BD7:BF82">
    <cfRule type="expression" dxfId="124" priority="125">
      <formula>$BC$5=1</formula>
    </cfRule>
  </conditionalFormatting>
  <conditionalFormatting sqref="BH7:BJ82">
    <cfRule type="expression" dxfId="123" priority="124">
      <formula>$BG$5=1</formula>
    </cfRule>
  </conditionalFormatting>
  <conditionalFormatting sqref="BL7:BN82">
    <cfRule type="expression" dxfId="122" priority="123">
      <formula>$BK$5=1</formula>
    </cfRule>
  </conditionalFormatting>
  <conditionalFormatting sqref="BP7:BR82">
    <cfRule type="expression" dxfId="121" priority="122">
      <formula>$BO$5=1</formula>
    </cfRule>
  </conditionalFormatting>
  <conditionalFormatting sqref="BT7:BV82">
    <cfRule type="expression" dxfId="120" priority="121">
      <formula>$BS$5=1</formula>
    </cfRule>
  </conditionalFormatting>
  <conditionalFormatting sqref="AS4:AT4">
    <cfRule type="expression" dxfId="119" priority="120">
      <formula>AQ$5=1</formula>
    </cfRule>
  </conditionalFormatting>
  <conditionalFormatting sqref="AW4:AX4">
    <cfRule type="expression" dxfId="118" priority="119">
      <formula>AU$5=1</formula>
    </cfRule>
  </conditionalFormatting>
  <conditionalFormatting sqref="BA4:BB4">
    <cfRule type="expression" dxfId="117" priority="118">
      <formula>AY$5=1</formula>
    </cfRule>
  </conditionalFormatting>
  <conditionalFormatting sqref="BE4:BF4">
    <cfRule type="expression" dxfId="116" priority="117">
      <formula>BC$5=1</formula>
    </cfRule>
  </conditionalFormatting>
  <conditionalFormatting sqref="BI4:BJ4">
    <cfRule type="expression" dxfId="115" priority="116">
      <formula>BG$5=1</formula>
    </cfRule>
  </conditionalFormatting>
  <conditionalFormatting sqref="BM4:BN4">
    <cfRule type="expression" dxfId="114" priority="115">
      <formula>BK$5=1</formula>
    </cfRule>
  </conditionalFormatting>
  <conditionalFormatting sqref="BQ4:BR4">
    <cfRule type="expression" dxfId="113" priority="114">
      <formula>BO$5=1</formula>
    </cfRule>
  </conditionalFormatting>
  <conditionalFormatting sqref="BU4:BV4">
    <cfRule type="expression" dxfId="112" priority="113">
      <formula>BS$5=1</formula>
    </cfRule>
  </conditionalFormatting>
  <conditionalFormatting sqref="AJ5:AL6">
    <cfRule type="expression" dxfId="111" priority="112">
      <formula>$AI$5=1</formula>
    </cfRule>
  </conditionalFormatting>
  <conditionalFormatting sqref="AN5:AP6">
    <cfRule type="expression" dxfId="110" priority="111">
      <formula>$AM$5=1</formula>
    </cfRule>
  </conditionalFormatting>
  <conditionalFormatting sqref="AR5:AT6">
    <cfRule type="expression" dxfId="109" priority="110">
      <formula>$AQ$5=1</formula>
    </cfRule>
  </conditionalFormatting>
  <conditionalFormatting sqref="AZ5:BB6">
    <cfRule type="expression" dxfId="108" priority="109">
      <formula>$AY$5=1</formula>
    </cfRule>
  </conditionalFormatting>
  <conditionalFormatting sqref="BD5:BF6">
    <cfRule type="expression" dxfId="107" priority="108">
      <formula>$BC$5=1</formula>
    </cfRule>
  </conditionalFormatting>
  <conditionalFormatting sqref="BH5:BJ6">
    <cfRule type="expression" dxfId="106" priority="107">
      <formula>$BG$5=1</formula>
    </cfRule>
  </conditionalFormatting>
  <conditionalFormatting sqref="BL5:BN6">
    <cfRule type="expression" dxfId="105" priority="106">
      <formula>$BK$5=1</formula>
    </cfRule>
  </conditionalFormatting>
  <conditionalFormatting sqref="BP5:BR6">
    <cfRule type="expression" dxfId="104" priority="105">
      <formula>$BO$5=1</formula>
    </cfRule>
  </conditionalFormatting>
  <conditionalFormatting sqref="BT5:BV6">
    <cfRule type="expression" dxfId="103" priority="104">
      <formula>$BS$5=1</formula>
    </cfRule>
  </conditionalFormatting>
  <conditionalFormatting sqref="AV5:AX6">
    <cfRule type="expression" dxfId="102" priority="103">
      <formula>$AU$5=1</formula>
    </cfRule>
  </conditionalFormatting>
  <conditionalFormatting sqref="C7:H82">
    <cfRule type="expression" dxfId="101" priority="1">
      <formula>$B7="v"</formula>
    </cfRule>
  </conditionalFormatting>
  <conditionalFormatting sqref="I7:I82">
    <cfRule type="expression" dxfId="100" priority="101">
      <formula>$B7="v"</formula>
    </cfRule>
  </conditionalFormatting>
  <conditionalFormatting sqref="N7:N82">
    <cfRule type="expression" dxfId="99" priority="100">
      <formula>$B7="v"</formula>
    </cfRule>
  </conditionalFormatting>
  <conditionalFormatting sqref="M7:M82">
    <cfRule type="expression" dxfId="98" priority="99">
      <formula>$B7="v"</formula>
    </cfRule>
  </conditionalFormatting>
  <conditionalFormatting sqref="L7:L82">
    <cfRule type="expression" dxfId="97" priority="98">
      <formula>$B7="v"</formula>
    </cfRule>
  </conditionalFormatting>
  <conditionalFormatting sqref="P7:Q82">
    <cfRule type="expression" dxfId="96" priority="97">
      <formula>$B7="v"</formula>
    </cfRule>
  </conditionalFormatting>
  <conditionalFormatting sqref="R7:R82">
    <cfRule type="expression" dxfId="95" priority="96">
      <formula>$B7="v"</formula>
    </cfRule>
  </conditionalFormatting>
  <conditionalFormatting sqref="Z7:Z82 V7:V82 AL7:AL82 AH7:AH82 AD7:AD82 AX7:AX82 AT7:AT82 AP7:AP82 BJ7:BJ82 BF7:BF82 BB7:BB82 BV7:BV82 BR7:BR82 BN7:BN82">
    <cfRule type="expression" dxfId="94" priority="95">
      <formula>$B7="v"</formula>
    </cfRule>
  </conditionalFormatting>
  <conditionalFormatting sqref="X7:Y82 T7:U82 AJ7:AK82 AF7:AG82 AB7:AC82 AR7:AS82 AN7:AO82 BH7:BI82 BD7:BE82 AZ7:BA82 BT7:BU82 BP7:BQ82 BL7:BM82">
    <cfRule type="expression" dxfId="93" priority="94">
      <formula>$B7="v"</formula>
    </cfRule>
  </conditionalFormatting>
  <conditionalFormatting sqref="AV7:AW82">
    <cfRule type="expression" dxfId="92" priority="93">
      <formula>$B7="v"</formula>
    </cfRule>
  </conditionalFormatting>
  <conditionalFormatting sqref="X7:Z82">
    <cfRule type="expression" dxfId="91" priority="92">
      <formula>$W$5=""</formula>
    </cfRule>
  </conditionalFormatting>
  <conditionalFormatting sqref="T7:V82">
    <cfRule type="expression" dxfId="90" priority="91">
      <formula>$S$5=""</formula>
    </cfRule>
  </conditionalFormatting>
  <conditionalFormatting sqref="P7:R82">
    <cfRule type="expression" dxfId="89" priority="90">
      <formula>$O$5=""</formula>
    </cfRule>
  </conditionalFormatting>
  <conditionalFormatting sqref="L7:N82">
    <cfRule type="expression" dxfId="88" priority="89">
      <formula>$K$5=""</formula>
    </cfRule>
  </conditionalFormatting>
  <conditionalFormatting sqref="AB7:AD82">
    <cfRule type="expression" dxfId="87" priority="88">
      <formula>$AA$5=""</formula>
    </cfRule>
  </conditionalFormatting>
  <conditionalFormatting sqref="AF7:AH82">
    <cfRule type="expression" dxfId="86" priority="87">
      <formula>$AE$5=""</formula>
    </cfRule>
  </conditionalFormatting>
  <conditionalFormatting sqref="AJ7:AL82">
    <cfRule type="expression" dxfId="85" priority="86">
      <formula>$AI$5=""</formula>
    </cfRule>
  </conditionalFormatting>
  <conditionalFormatting sqref="AN7:AP82">
    <cfRule type="expression" dxfId="84" priority="85">
      <formula>$AM$5=""</formula>
    </cfRule>
  </conditionalFormatting>
  <conditionalFormatting sqref="AR7:AT82">
    <cfRule type="expression" dxfId="83" priority="84">
      <formula>$AQ$5=""</formula>
    </cfRule>
  </conditionalFormatting>
  <conditionalFormatting sqref="AV7:AX82">
    <cfRule type="expression" dxfId="82" priority="83">
      <formula>$AU$5=""</formula>
    </cfRule>
  </conditionalFormatting>
  <conditionalFormatting sqref="AZ7:BB82">
    <cfRule type="expression" dxfId="81" priority="82">
      <formula>$AY$5=""</formula>
    </cfRule>
  </conditionalFormatting>
  <conditionalFormatting sqref="BD7:BF82">
    <cfRule type="expression" dxfId="80" priority="81">
      <formula>$BC$5=""</formula>
    </cfRule>
  </conditionalFormatting>
  <conditionalFormatting sqref="BH7:BJ82">
    <cfRule type="expression" dxfId="79" priority="80">
      <formula>$BG$5=""</formula>
    </cfRule>
  </conditionalFormatting>
  <conditionalFormatting sqref="BL7:BN82">
    <cfRule type="expression" dxfId="78" priority="79">
      <formula>$BK$5=""</formula>
    </cfRule>
  </conditionalFormatting>
  <conditionalFormatting sqref="BP7:BR82">
    <cfRule type="expression" dxfId="77" priority="78">
      <formula>$BO$5=""</formula>
    </cfRule>
  </conditionalFormatting>
  <conditionalFormatting sqref="BT7:BV82">
    <cfRule type="expression" dxfId="76" priority="77">
      <formula>$BS$5=""</formula>
    </cfRule>
  </conditionalFormatting>
  <conditionalFormatting sqref="F25">
    <cfRule type="expression" dxfId="75" priority="76">
      <formula>$E$25="n/a"</formula>
    </cfRule>
  </conditionalFormatting>
  <conditionalFormatting sqref="F7">
    <cfRule type="expression" dxfId="74" priority="75">
      <formula>$E$7="n/a"</formula>
    </cfRule>
  </conditionalFormatting>
  <conditionalFormatting sqref="F8">
    <cfRule type="expression" dxfId="73" priority="102">
      <formula>$E$8="n/a"</formula>
    </cfRule>
  </conditionalFormatting>
  <conditionalFormatting sqref="F9">
    <cfRule type="expression" dxfId="72" priority="74">
      <formula>$E$9="n/a"</formula>
    </cfRule>
  </conditionalFormatting>
  <conditionalFormatting sqref="F10">
    <cfRule type="expression" dxfId="71" priority="73">
      <formula>$E$10="n/a"</formula>
    </cfRule>
  </conditionalFormatting>
  <conditionalFormatting sqref="F11">
    <cfRule type="expression" dxfId="70" priority="72">
      <formula>$E$11="n/a"</formula>
    </cfRule>
  </conditionalFormatting>
  <conditionalFormatting sqref="F12">
    <cfRule type="expression" dxfId="69" priority="71">
      <formula>$E$12="n/a"</formula>
    </cfRule>
  </conditionalFormatting>
  <conditionalFormatting sqref="F13">
    <cfRule type="expression" dxfId="68" priority="70">
      <formula>$E$13="n/a"</formula>
    </cfRule>
  </conditionalFormatting>
  <conditionalFormatting sqref="F14">
    <cfRule type="expression" dxfId="67" priority="69">
      <formula>$E$14="n/a"</formula>
    </cfRule>
  </conditionalFormatting>
  <conditionalFormatting sqref="F15">
    <cfRule type="expression" dxfId="66" priority="68">
      <formula>$E$15="n/a"</formula>
    </cfRule>
  </conditionalFormatting>
  <conditionalFormatting sqref="F16">
    <cfRule type="expression" dxfId="65" priority="67">
      <formula>$E$16="n/a"</formula>
    </cfRule>
  </conditionalFormatting>
  <conditionalFormatting sqref="F17">
    <cfRule type="expression" dxfId="64" priority="66">
      <formula>$E$17="n/a"</formula>
    </cfRule>
  </conditionalFormatting>
  <conditionalFormatting sqref="F18">
    <cfRule type="expression" dxfId="63" priority="65">
      <formula>$E$18="n/a"</formula>
    </cfRule>
  </conditionalFormatting>
  <conditionalFormatting sqref="F19">
    <cfRule type="expression" dxfId="62" priority="64">
      <formula>$E$19="n/a"</formula>
    </cfRule>
  </conditionalFormatting>
  <conditionalFormatting sqref="F20">
    <cfRule type="expression" dxfId="61" priority="63">
      <formula>$E$20="n/a"</formula>
    </cfRule>
  </conditionalFormatting>
  <conditionalFormatting sqref="F21">
    <cfRule type="expression" dxfId="60" priority="62">
      <formula>$E$21="n/a"</formula>
    </cfRule>
  </conditionalFormatting>
  <conditionalFormatting sqref="F22">
    <cfRule type="expression" dxfId="59" priority="61">
      <formula>$E$22="n/a"</formula>
    </cfRule>
  </conditionalFormatting>
  <conditionalFormatting sqref="F23">
    <cfRule type="expression" dxfId="58" priority="60">
      <formula>$E$23="n/a"</formula>
    </cfRule>
  </conditionalFormatting>
  <conditionalFormatting sqref="F24">
    <cfRule type="expression" dxfId="57" priority="59">
      <formula>$E$24="n/a"</formula>
    </cfRule>
  </conditionalFormatting>
  <conditionalFormatting sqref="F26">
    <cfRule type="expression" dxfId="56" priority="58">
      <formula>$E$26="n/a"</formula>
    </cfRule>
  </conditionalFormatting>
  <conditionalFormatting sqref="F27">
    <cfRule type="expression" dxfId="55" priority="57">
      <formula>$E$27="n/a"</formula>
    </cfRule>
  </conditionalFormatting>
  <conditionalFormatting sqref="F28">
    <cfRule type="expression" dxfId="54" priority="56">
      <formula>$E$28="n/a"</formula>
    </cfRule>
  </conditionalFormatting>
  <conditionalFormatting sqref="F29">
    <cfRule type="expression" dxfId="53" priority="55">
      <formula>$E$29="n/a"</formula>
    </cfRule>
  </conditionalFormatting>
  <conditionalFormatting sqref="F30">
    <cfRule type="expression" dxfId="52" priority="54">
      <formula>$E$30="n/a"</formula>
    </cfRule>
  </conditionalFormatting>
  <conditionalFormatting sqref="F31">
    <cfRule type="expression" dxfId="51" priority="53">
      <formula>$E$31="n/a"</formula>
    </cfRule>
  </conditionalFormatting>
  <conditionalFormatting sqref="F32">
    <cfRule type="expression" dxfId="50" priority="52">
      <formula>$E$32="n/a"</formula>
    </cfRule>
  </conditionalFormatting>
  <conditionalFormatting sqref="F33">
    <cfRule type="expression" dxfId="49" priority="51">
      <formula>$E$33="n/a"</formula>
    </cfRule>
  </conditionalFormatting>
  <conditionalFormatting sqref="F34">
    <cfRule type="expression" dxfId="48" priority="50">
      <formula>$E$34="n/a"</formula>
    </cfRule>
  </conditionalFormatting>
  <conditionalFormatting sqref="F35">
    <cfRule type="expression" dxfId="47" priority="49">
      <formula>$E$35="n/a"</formula>
    </cfRule>
  </conditionalFormatting>
  <conditionalFormatting sqref="F36">
    <cfRule type="expression" dxfId="46" priority="48">
      <formula>$E$36="n/a"</formula>
    </cfRule>
  </conditionalFormatting>
  <conditionalFormatting sqref="F37">
    <cfRule type="expression" dxfId="45" priority="47">
      <formula>$E$37="n/a"</formula>
    </cfRule>
  </conditionalFormatting>
  <conditionalFormatting sqref="F38">
    <cfRule type="expression" dxfId="44" priority="46">
      <formula>$E$38="n/a"</formula>
    </cfRule>
  </conditionalFormatting>
  <conditionalFormatting sqref="F39">
    <cfRule type="expression" dxfId="43" priority="45">
      <formula>$E$39="n/a"</formula>
    </cfRule>
  </conditionalFormatting>
  <conditionalFormatting sqref="F40">
    <cfRule type="expression" dxfId="42" priority="44">
      <formula>$E$40="n/a"</formula>
    </cfRule>
  </conditionalFormatting>
  <conditionalFormatting sqref="F41">
    <cfRule type="expression" dxfId="41" priority="43">
      <formula>$E$41="n/a"</formula>
    </cfRule>
  </conditionalFormatting>
  <conditionalFormatting sqref="F42">
    <cfRule type="expression" dxfId="40" priority="42">
      <formula>$E$42="n/a"</formula>
    </cfRule>
  </conditionalFormatting>
  <conditionalFormatting sqref="F43">
    <cfRule type="expression" dxfId="39" priority="41">
      <formula>$E$43="n/a"</formula>
    </cfRule>
  </conditionalFormatting>
  <conditionalFormatting sqref="F44">
    <cfRule type="expression" dxfId="38" priority="40">
      <formula>$E$44="n/a"</formula>
    </cfRule>
  </conditionalFormatting>
  <conditionalFormatting sqref="F45">
    <cfRule type="expression" dxfId="37" priority="39">
      <formula>$E$45="n/a"</formula>
    </cfRule>
  </conditionalFormatting>
  <conditionalFormatting sqref="F46">
    <cfRule type="expression" dxfId="36" priority="38">
      <formula>$E$46="n/a"</formula>
    </cfRule>
  </conditionalFormatting>
  <conditionalFormatting sqref="F82">
    <cfRule type="expression" dxfId="35" priority="36">
      <formula>$E$82="n/a"</formula>
    </cfRule>
  </conditionalFormatting>
  <conditionalFormatting sqref="F81">
    <cfRule type="expression" dxfId="34" priority="35">
      <formula>$E$81="n/a"</formula>
    </cfRule>
  </conditionalFormatting>
  <conditionalFormatting sqref="F80">
    <cfRule type="expression" dxfId="33" priority="34">
      <formula>$E$80="n/a"</formula>
    </cfRule>
  </conditionalFormatting>
  <conditionalFormatting sqref="F79">
    <cfRule type="expression" dxfId="32" priority="33">
      <formula>$E$79="n/a"</formula>
    </cfRule>
  </conditionalFormatting>
  <conditionalFormatting sqref="F78">
    <cfRule type="expression" dxfId="31" priority="32">
      <formula>$E$78="n/a"</formula>
    </cfRule>
  </conditionalFormatting>
  <conditionalFormatting sqref="F77">
    <cfRule type="expression" dxfId="30" priority="31">
      <formula>$E$77="n/a"</formula>
    </cfRule>
  </conditionalFormatting>
  <conditionalFormatting sqref="F76">
    <cfRule type="expression" dxfId="29" priority="30">
      <formula>$E$76="n/a"</formula>
    </cfRule>
  </conditionalFormatting>
  <conditionalFormatting sqref="F75">
    <cfRule type="expression" dxfId="28" priority="29">
      <formula>$E$75="n/a"</formula>
    </cfRule>
  </conditionalFormatting>
  <conditionalFormatting sqref="F74">
    <cfRule type="expression" dxfId="27" priority="28">
      <formula>$E$74="n/a"</formula>
    </cfRule>
  </conditionalFormatting>
  <conditionalFormatting sqref="F73">
    <cfRule type="expression" dxfId="26" priority="26">
      <formula>$E$73="n/a"</formula>
    </cfRule>
  </conditionalFormatting>
  <conditionalFormatting sqref="F72">
    <cfRule type="expression" dxfId="25" priority="2">
      <formula>$E$72="n/a"</formula>
    </cfRule>
  </conditionalFormatting>
  <conditionalFormatting sqref="F47">
    <cfRule type="expression" dxfId="24" priority="37">
      <formula>$E$47="n/a"</formula>
    </cfRule>
  </conditionalFormatting>
  <conditionalFormatting sqref="F48">
    <cfRule type="expression" dxfId="23" priority="27">
      <formula>$E$48="n/a"</formula>
    </cfRule>
  </conditionalFormatting>
  <conditionalFormatting sqref="F49">
    <cfRule type="expression" dxfId="22" priority="25">
      <formula>$E$49="n/a"</formula>
    </cfRule>
  </conditionalFormatting>
  <conditionalFormatting sqref="F50">
    <cfRule type="expression" dxfId="21" priority="24">
      <formula>$E$50="n/a"</formula>
    </cfRule>
  </conditionalFormatting>
  <conditionalFormatting sqref="F51">
    <cfRule type="expression" dxfId="20" priority="23">
      <formula>$E$51="n/a"</formula>
    </cfRule>
  </conditionalFormatting>
  <conditionalFormatting sqref="F52">
    <cfRule type="expression" dxfId="19" priority="22">
      <formula>$E$52="n/a"</formula>
    </cfRule>
  </conditionalFormatting>
  <conditionalFormatting sqref="F53">
    <cfRule type="expression" dxfId="18" priority="21">
      <formula>$E$53="n/a"</formula>
    </cfRule>
  </conditionalFormatting>
  <conditionalFormatting sqref="F54">
    <cfRule type="expression" dxfId="17" priority="20">
      <formula>$E$54="n/a"</formula>
    </cfRule>
  </conditionalFormatting>
  <conditionalFormatting sqref="F55">
    <cfRule type="expression" dxfId="16" priority="19">
      <formula>$E$55="n/a"</formula>
    </cfRule>
  </conditionalFormatting>
  <conditionalFormatting sqref="F56">
    <cfRule type="expression" dxfId="15" priority="18">
      <formula>$E$56="n/a"</formula>
    </cfRule>
  </conditionalFormatting>
  <conditionalFormatting sqref="F57">
    <cfRule type="expression" dxfId="14" priority="17">
      <formula>$E$57="n/a"</formula>
    </cfRule>
  </conditionalFormatting>
  <conditionalFormatting sqref="F58">
    <cfRule type="expression" dxfId="13" priority="16">
      <formula>$E$58="n/a"</formula>
    </cfRule>
  </conditionalFormatting>
  <conditionalFormatting sqref="F59">
    <cfRule type="expression" dxfId="12" priority="15">
      <formula>$E$59="n/a"</formula>
    </cfRule>
  </conditionalFormatting>
  <conditionalFormatting sqref="F60">
    <cfRule type="expression" dxfId="11" priority="14">
      <formula>$E$60="n/a"</formula>
    </cfRule>
  </conditionalFormatting>
  <conditionalFormatting sqref="F61">
    <cfRule type="expression" dxfId="10" priority="13">
      <formula>$E$61="n/a"</formula>
    </cfRule>
  </conditionalFormatting>
  <conditionalFormatting sqref="F62">
    <cfRule type="expression" dxfId="9" priority="12">
      <formula>$E$62="n/a"</formula>
    </cfRule>
  </conditionalFormatting>
  <conditionalFormatting sqref="F63">
    <cfRule type="expression" dxfId="8" priority="11">
      <formula>$E$63="n/a"</formula>
    </cfRule>
  </conditionalFormatting>
  <conditionalFormatting sqref="F64">
    <cfRule type="expression" dxfId="7" priority="10">
      <formula>$E$64="n/a"</formula>
    </cfRule>
  </conditionalFormatting>
  <conditionalFormatting sqref="F65">
    <cfRule type="expression" dxfId="6" priority="9">
      <formula>$E$65="n/a"</formula>
    </cfRule>
  </conditionalFormatting>
  <conditionalFormatting sqref="F66">
    <cfRule type="expression" dxfId="5" priority="8">
      <formula>$E$66="n/a"</formula>
    </cfRule>
  </conditionalFormatting>
  <conditionalFormatting sqref="F67">
    <cfRule type="expression" dxfId="4" priority="7">
      <formula>$E$67="n/a"</formula>
    </cfRule>
  </conditionalFormatting>
  <conditionalFormatting sqref="F68">
    <cfRule type="expression" dxfId="3" priority="6">
      <formula>$E$68="n/a"</formula>
    </cfRule>
  </conditionalFormatting>
  <conditionalFormatting sqref="F69">
    <cfRule type="expression" dxfId="2" priority="5">
      <formula>$E$69="n/a"</formula>
    </cfRule>
  </conditionalFormatting>
  <conditionalFormatting sqref="F70">
    <cfRule type="expression" dxfId="1" priority="4">
      <formula>$E$70="n/a"</formula>
    </cfRule>
  </conditionalFormatting>
  <conditionalFormatting sqref="F71">
    <cfRule type="expression" dxfId="0" priority="3">
      <formula>$E$71="n/a"</formula>
    </cfRule>
  </conditionalFormatting>
  <dataValidations count="3">
    <dataValidation type="list" allowBlank="1" showInputMessage="1" showErrorMessage="1" sqref="F2" xr:uid="{D6D02E42-71EE-4FFE-9C82-620407CDC55D}">
      <formula1>"1, 2, 3, 4, 5, 6, 7, 8, 9, 10, 11, 12, 13, 14, 15, 16, 17"</formula1>
    </dataValidation>
    <dataValidation type="list" allowBlank="1" showInputMessage="1" showErrorMessage="1" sqref="B7:B82" xr:uid="{13056C0F-AED0-4336-98B9-670661274BB2}">
      <formula1>"v"</formula1>
    </dataValidation>
    <dataValidation type="list" allowBlank="1" showInputMessage="1" showErrorMessage="1" sqref="BP7:BP82 AV7:AV82 BL7:BL82 BT7:BT82 BH7:BH82 BD7:BD82 AZ7:AZ82" xr:uid="{F83BBDF9-3271-4AE9-AF3B-5B8B650206F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72DA2E2-D16C-4376-BEDC-5F417D4C4080}">
          <x14:formula1>
            <xm:f>Sheet3!$J$153:$J$168</xm:f>
          </x14:formula1>
          <xm:sqref>I7:I82 N7:N82 R7:R82 V7:V82 Z7:Z82 AD7:AD82 AH7:AH82 AL7:AL82 AP7:AP82 AT7:AT82</xm:sqref>
        </x14:dataValidation>
        <x14:dataValidation type="list" allowBlank="1" showInputMessage="1" showErrorMessage="1" xr:uid="{E66E0E2A-14F5-4192-AD22-75C44D38D9B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9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9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9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9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9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9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9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9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9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9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9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9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9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9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9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9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9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9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9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9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9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9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9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9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9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9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9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9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9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55"/>
      <c r="I30" t="s">
        <v>80</v>
      </c>
      <c r="J30" t="s">
        <v>81</v>
      </c>
      <c r="K30" t="s">
        <v>23</v>
      </c>
      <c r="L30" s="159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9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9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9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9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9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9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9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9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9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9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9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9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9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9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9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9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9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9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9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9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9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9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9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9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9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9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9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9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9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9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9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9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9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9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9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9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9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9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60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60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60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60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60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60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60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60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60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60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60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60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9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60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60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60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60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63">
        <f ca="1">TODAY()</f>
        <v>45232</v>
      </c>
      <c r="I86" t="s">
        <v>259</v>
      </c>
      <c r="J86" t="s">
        <v>260</v>
      </c>
      <c r="K86" t="s">
        <v>259</v>
      </c>
      <c r="L86" s="159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687</v>
      </c>
      <c r="J87" s="155" t="s">
        <v>691</v>
      </c>
      <c r="K87" t="s">
        <v>687</v>
      </c>
      <c r="L87" s="155" t="s">
        <v>691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688</v>
      </c>
      <c r="J88" s="155" t="s">
        <v>692</v>
      </c>
      <c r="K88" t="s">
        <v>688</v>
      </c>
      <c r="L88" s="155" t="s">
        <v>692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689</v>
      </c>
      <c r="J89" s="155" t="s">
        <v>693</v>
      </c>
      <c r="K89" t="s">
        <v>689</v>
      </c>
      <c r="L89" s="155" t="s">
        <v>693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690</v>
      </c>
      <c r="J90" s="155" t="s">
        <v>693</v>
      </c>
      <c r="K90" t="s">
        <v>690</v>
      </c>
      <c r="L90" s="155" t="s">
        <v>693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694</v>
      </c>
      <c r="J91" s="155" t="s">
        <v>695</v>
      </c>
      <c r="K91" t="s">
        <v>694</v>
      </c>
      <c r="L91" s="155" t="s">
        <v>695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61" t="s">
        <v>412</v>
      </c>
      <c r="J107" s="161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61" t="s">
        <v>413</v>
      </c>
      <c r="J108" s="161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61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61" t="s">
        <v>415</v>
      </c>
      <c r="J110" s="164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61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61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61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61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61" t="s">
        <v>420</v>
      </c>
      <c r="J115" s="161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61" t="s">
        <v>421</v>
      </c>
      <c r="J116" s="161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61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61" t="s">
        <v>412</v>
      </c>
      <c r="J118" s="161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61" t="s">
        <v>413</v>
      </c>
      <c r="J119" s="161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61" t="s">
        <v>414</v>
      </c>
      <c r="J120" s="161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61" t="s">
        <v>415</v>
      </c>
      <c r="J121" s="161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61" t="s">
        <v>416</v>
      </c>
      <c r="J122" s="161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61" t="s">
        <v>417</v>
      </c>
      <c r="J123" s="161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61" t="s">
        <v>418</v>
      </c>
      <c r="J124" s="161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61" t="s">
        <v>419</v>
      </c>
      <c r="J125" s="161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61" t="s">
        <v>420</v>
      </c>
      <c r="J126" s="161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61" t="s">
        <v>421</v>
      </c>
      <c r="J127" s="161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61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61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61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61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55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55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55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55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55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55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662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668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654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655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656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657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658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659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660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661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663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664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665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666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667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61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61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61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61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61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2023-11-02T06:13:59Z</dcterms:modified>
</cp:coreProperties>
</file>