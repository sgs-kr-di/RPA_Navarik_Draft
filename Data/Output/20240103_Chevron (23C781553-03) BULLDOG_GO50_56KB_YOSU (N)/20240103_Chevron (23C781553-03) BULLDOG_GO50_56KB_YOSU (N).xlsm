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3_Chevron (23C781553-03) BULLDOG_GO50_56KB_YOSU (N)\"/>
    </mc:Choice>
  </mc:AlternateContent>
  <xr:revisionPtr revIDLastSave="0" documentId="13_ncr:1_{FA52D37C-B984-4CC4-9E6D-923EC8E05D9E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<sst xmlns="http://schemas.openxmlformats.org/spreadsheetml/2006/main" count="1157" uniqueCount="746">
  <si>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</si>
  <si>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</si>
  <si>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</si>
  <si>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</si>
  <si>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</si>
  <si>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</si>
  <si>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</si>
  <si>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</si>
  <si>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</si>
  <si>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</si>
  <si>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</si>
  <si>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</si>
  <si>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</si>
  <si>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</si>
  <si>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</si>
  <si>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</si>
  <si>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</si>
  <si>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</si>
  <si>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</si>
  <si>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</si>
  <si>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</si>
  <si>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</si>
  <si>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</si>
  <si>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</si>
  <si>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</si>
  <si>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</si>
  <si>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</si>
  <si>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</si>
  <si>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</si>
  <si>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</si>
  <si>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</si>
  <si>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</si>
  <si>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</si>
  <si>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</si>
  <si>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</si>
  <si>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</si>
  <si>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</si>
  <si>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</si>
  <si>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</si>
  <si>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</si>
  <si>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</si>
  <si>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</si>
  <si>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</si>
  <si>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</si>
  <si>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</si>
  <si>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</si>
  <si>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</si>
  <si>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</si>
  <si>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</si>
  <si>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</si>
  <si>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</si>
  <si>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</si>
  <si>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</si>
  <si>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</si>
  <si>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</si>
  <si>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</si>
  <si>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</si>
  <si>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</si>
  <si>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</si>
  <si>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</si>
  <si>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</si>
  <si>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</si>
  <si>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</si>
  <si>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</si>
  <si>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</si>
  <si>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</si>
  <si>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</si>
  <si>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</si>
  <si>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</si>
  <si>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</si>
  <si>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</si>
  <si>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</si>
  <si>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</si>
  <si>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</si>
  <si>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</si>
  <si>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</si>
  <si>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</si>
  <si>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</si>
  <si>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</si>
  <si>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</si>
  <si>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</si>
  <si>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</si>
  <si>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</si>
  <si>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</si>
  <si>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</si>
  <si>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</si>
  <si>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</si>
  <si>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</si>
  <si>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</si>
  <si>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</si>
  <si>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</si>
  <si>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</si>
  <si>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</si>
  <si>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</si>
  <si>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</si>
  <si>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</si>
  <si>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</si>
  <si>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</si>
  <si>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</si>
  <si>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</si>
  <si>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</si>
  <si>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</si>
  <si>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</si>
  <si>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</si>
  <si>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</si>
  <si>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</si>
  <si>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</si>
  <si>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</si>
  <si>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</si>
  <si>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</si>
  <si>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</si>
  <si>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</si>
  <si>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</si>
  <si>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</si>
  <si>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</si>
  <si>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</si>
  <si>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</si>
  <si>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</si>
  <si>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</si>
  <si>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</si>
  <si>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</si>
  <si>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</si>
  <si>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</si>
  <si>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</si>
  <si>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</si>
  <si>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</si>
  <si>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</si>
  <si>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</si>
  <si>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</si>
  <si>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</si>
  <si>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</si>
  <si>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</si>
  <si>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</si>
  <si>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</si>
  <si>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</si>
  <si>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</si>
  <si>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</si>
  <si>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</si>
  <si>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</si>
  <si>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</si>
  <si>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</si>
  <si>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</si>
  <si>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</si>
  <si>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</si>
  <si>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</si>
  <si>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</si>
  <si>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</si>
  <si>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</si>
  <si>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</si>
  <si>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</si>
  <si>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</si>
  <si>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</si>
  <si>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</si>
  <si>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</si>
  <si>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</si>
  <si>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</si>
  <si>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</si>
  <si>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</si>
  <si>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</si>
  <si>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</si>
  <si>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</si>
  <si>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</si>
  <si>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</si>
  <si>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</si>
  <si>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</si>
  <si>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</si>
  <si>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</si>
  <si>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</si>
  <si>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</si>
  <si>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</si>
  <si>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</si>
  <si>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</si>
  <si>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</si>
  <si>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</si>
  <si>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</si>
  <si>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</si>
  <si>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</si>
  <si>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</si>
  <si>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</si>
  <si>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</si>
  <si>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</si>
  <si>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</si>
  <si>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</si>
  <si>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</si>
  <si>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</si>
  <si>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</si>
  <si>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</si>
  <si>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</si>
  <si>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</si>
  <si>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</si>
  <si>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</si>
  <si>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</si>
  <si>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</si>
  <si>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</si>
  <si>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</si>
  <si>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</si>
  <si>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</si>
  <si>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</si>
  <si>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</si>
  <si>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</si>
  <si>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</si>
  <si>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</si>
  <si>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</si>
  <si>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</si>
  <si>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</si>
  <si>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</si>
  <si>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</si>
  <si>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</si>
  <si>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</si>
  <si>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</si>
  <si>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</si>
  <si>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</si>
  <si>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</si>
  <si>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</si>
  <si>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</si>
  <si>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</si>
  <si>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</si>
  <si>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</si>
  <si>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</si>
  <si>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</si>
  <si>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</si>
  <si>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</si>
  <si>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</si>
  <si>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</si>
  <si>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</si>
  <si>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</si>
  <si>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</si>
  <si>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</si>
  <si>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</si>
  <si>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</si>
  <si>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</si>
  <si>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</si>
  <si>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</si>
  <si>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</si>
  <si>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</si>
  <si>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</si>
  <si>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</si>
  <si>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</si>
  <si>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</si>
  <si>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</si>
  <si>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</si>
  <si>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</si>
  <si>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</si>
  <si>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</si>
  <si>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</si>
  <si>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</si>
  <si>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</si>
  <si>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</si>
  <si>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</si>
  <si>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</si>
  <si>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</si>
  <si>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</si>
  <si>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</si>
  <si>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</si>
  <si>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</si>
  <si>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</si>
  <si>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</si>
  <si>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</si>
  <si>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</si>
  <si>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</si>
  <si>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</si>
  <si>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</si>
  <si>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</si>
  <si>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</si>
  <si>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</si>
  <si>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</si>
  <si>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</si>
  <si>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</si>
  <si>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</si>
  <si>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</si>
  <si>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</si>
  <si>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</si>
  <si>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</si>
  <si>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</si>
  <si>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</si>
  <si>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</si>
  <si>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</si>
  <si>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</si>
  <si>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</si>
  <si>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</si>
  <si>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</si>
  <si>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</si>
  <si>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</si>
  <si>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</si>
  <si>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</si>
  <si>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</si>
  <si>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</si>
  <si>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</si>
  <si>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</si>
  <si>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</si>
  <si>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</si>
  <si>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</si>
  <si>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</si>
  <si>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</si>
  <si>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</si>
  <si>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</si>
  <si>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</si>
  <si>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</si>
  <si>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</si>
  <si>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</si>
  <si>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</si>
  <si>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</si>
  <si>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</si>
  <si>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</si>
  <si>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</si>
  <si>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</si>
  <si>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</si>
  <si>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</si>
  <si>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</si>
  <si>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</si>
  <si>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</si>
  <si>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</si>
  <si>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</si>
  <si>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</si>
  <si>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</si>
  <si>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</si>
  <si>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</si>
  <si>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</si>
  <si>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</si>
  <si>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</si>
  <si>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</si>
  <si>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</si>
  <si>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</si>
  <si>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</si>
  <si>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</si>
  <si>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</si>
  <si>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</si>
  <si>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</si>
  <si>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</si>
  <si>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</si>
  <si>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</si>
  <si>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</si>
  <si>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</si>
  <si>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</si>
  <si>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</si>
  <si>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</si>
  <si>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</si>
  <si>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</si>
  <si>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</si>
  <si>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</si>
  <si>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</si>
  <si>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</si>
  <si>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</si>
  <si>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</si>
  <si>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</si>
  <si>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</si>
  <si>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</si>
  <si>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</si>
  <si>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</si>
  <si>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</si>
  <si>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</si>
  <si>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</si>
  <si>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</si>
  <si>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</si>
  <si>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</si>
  <si>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</si>
  <si>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</si>
  <si>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</si>
  <si>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</si>
  <si>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</si>
  <si>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</si>
  <si>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</si>
  <si>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</si>
  <si>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</si>
  <si>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</si>
  <si>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</si>
  <si>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</si>
  <si>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</si>
  <si>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</si>
  <si>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</si>
  <si>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</si>
  <si>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</si>
  <si>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</si>
  <si>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</si>
  <si>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</si>
  <si>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</si>
  <si>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</si>
  <si>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</si>
  <si>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</si>
  <si>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</si>
  <si>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</si>
  <si>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</si>
  <si>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</si>
  <si>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</si>
  <si>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</si>
  <si>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</si>
  <si>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</si>
  <si>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</si>
  <si>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</si>
  <si>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</si>
  <si>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</si>
  <si>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</si>
  <si>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</si>
  <si>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</si>
  <si>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</si>
  <si>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</si>
  <si>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</si>
  <si>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</si>
  <si>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</si>
  <si>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</si>
  <si>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</si>
  <si>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</si>
  <si>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</si>
  <si>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</si>
  <si>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</si>
  <si>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</si>
  <si>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</si>
  <si>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</si>
  <si>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</si>
  <si>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</si>
  <si>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</si>
  <si>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</si>
  <si>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</si>
  <si>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</si>
  <si>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</si>
  <si>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</si>
  <si>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</si>
  <si>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</si>
  <si>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</si>
  <si>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</si>
  <si>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</si>
  <si>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</si>
  <si>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</si>
  <si>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</si>
  <si>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</si>
  <si>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</si>
  <si>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</si>
  <si>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</si>
  <si>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</si>
  <si>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</si>
  <si>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</si>
  <si>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</si>
  <si>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</si>
  <si>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</si>
  <si>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</si>
  <si>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</si>
  <si>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</si>
  <si>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</si>
  <si>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</si>
  <si>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</si>
  <si>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</si>
  <si>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</si>
  <si>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</si>
  <si>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</si>
  <si>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</si>
  <si>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</si>
  <si>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</si>
  <si>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</si>
  <si>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</si>
  <si>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</si>
  <si>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</si>
  <si>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</si>
  <si>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</si>
  <si>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</si>
  <si>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</si>
  <si>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</si>
  <si>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</si>
  <si>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</si>
  <si>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</si>
  <si>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</si>
  <si>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</si>
  <si>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</si>
  <si>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</si>
  <si>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</si>
  <si>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</si>
  <si>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</si>
  <si>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</si>
  <si>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</si>
  <si>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</si>
  <si>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</si>
  <si>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</si>
  <si>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</si>
  <si>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</si>
  <si>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</si>
  <si>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</si>
  <si>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</si>
  <si>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</si>
  <si>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</si>
  <si>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</si>
  <si>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</si>
  <si>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</si>
  <si>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</si>
  <si>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</si>
  <si>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</si>
  <si>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</si>
  <si>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</si>
  <si>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</si>
  <si>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</si>
  <si>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</si>
  <si>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</si>
  <si>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</si>
  <si>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</si>
  <si>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</si>
  <si>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</si>
  <si>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</si>
  <si>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</si>
  <si>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</si>
  <si>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</si>
  <si>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</si>
  <si>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</si>
  <si>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</si>
  <si>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</si>
  <si>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</si>
  <si>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</si>
  <si>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</si>
  <si>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</si>
  <si>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</si>
  <si>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</si>
  <si>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</si>
  <si>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</si>
  <si>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</si>
  <si>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</si>
  <si>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</si>
  <si>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</si>
  <si>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</si>
  <si>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</si>
  <si>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</si>
  <si>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</si>
  <si>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</si>
  <si>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</si>
  <si>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</si>
  <si>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</si>
  <si>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</si>
  <si>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</si>
  <si>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</si>
  <si>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</si>
  <si>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</si>
  <si>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</si>
  <si>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</si>
  <si>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</si>
  <si>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</si>
  <si>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</si>
  <si>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</si>
  <si>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</si>
  <si>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</si>
  <si>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</si>
  <si>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</si>
  <si>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</si>
  <si>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</si>
  <si>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</si>
  <si>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</si>
  <si>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</si>
  <si>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</si>
  <si>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</si>
  <si>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</si>
  <si>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</si>
  <si>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</si>
  <si>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</si>
  <si>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</si>
  <si>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</si>
  <si>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</si>
  <si>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</si>
  <si>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</si>
  <si>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</si>
  <si>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</si>
  <si>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</si>
  <si>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</si>
  <si>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</si>
  <si>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</si>
  <si>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</si>
  <si>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</si>
  <si>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</si>
  <si>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</si>
  <si>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</si>
  <si>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</si>
  <si>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</si>
  <si>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</si>
  <si>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</si>
  <si>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</si>
  <si>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</si>
  <si>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</si>
  <si>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</si>
  <si>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</si>
  <si>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</si>
  <si>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</si>
  <si>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</si>
  <si>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</si>
  <si>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</si>
  <si>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</si>
  <si>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</si>
  <si>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</si>
  <si>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</si>
  <si>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</si>
  <si>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</si>
  <si>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</si>
  <si>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</si>
  <si>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</si>
  <si>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</si>
  <si>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</si>
  <si>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</si>
  <si>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</si>
  <si>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</si>
  <si>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</si>
  <si>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</si>
  <si>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</si>
  <si>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</si>
  <si>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</si>
  <si>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</si>
  <si>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</si>
  <si>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</si>
  <si>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</si>
  <si>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</si>
  <si>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</si>
  <si>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</si>
  <si>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</si>
  <si>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</si>
  <si>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</si>
  <si>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</si>
  <si>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</si>
  <si>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</si>
  <si>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</si>
  <si>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</si>
  <si>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</si>
  <si>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</si>
  <si>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</si>
  <si>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</si>
  <si>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</si>
  <si>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</si>
  <si>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</si>
  <si>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</si>
  <si>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</si>
  <si>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</si>
  <si>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</si>
  <si>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</si>
  <si>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</si>
  <si>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</si>
  <si>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</si>
  <si>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</si>
  <si>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</si>
  <si>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</si>
  <si>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</si>
  <si>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</si>
  <si>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</si>
  <si>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</si>
  <si>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</si>
  <si>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</si>
  <si>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</si>
  <si>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</si>
  <si>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</si>
  <si>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</si>
  <si>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</si>
  <si>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</si>
  <si>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</si>
  <si>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</si>
  <si>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</si>
  <si>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</si>
  <si>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</si>
  <si>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</si>
  <si>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</si>
  <si>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</si>
  <si>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</si>
  <si>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</si>
  <si>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</si>
  <si>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</si>
  <si>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</si>
  <si>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</si>
  <si>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</si>
  <si>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</si>
  <si>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</si>
  <si>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</si>
  <si>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</si>
  <si>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</si>
  <si>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</si>
  <si>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</si>
  <si>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</si>
  <si>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</si>
  <si>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</si>
  <si>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</si>
  <si>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</si>
  <si>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</si>
  <si>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</si>
  <si>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</si>
  <si>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</si>
  <si>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</si>
  <si>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</si>
  <si>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</si>
  <si>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</si>
  <si>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</si>
  <si>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</si>
  <si>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</si>
  <si>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</si>
  <si>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</si>
  <si>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</si>
  <si>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</si>
  <si>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</si>
  <si>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</si>
  <si>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</si>
  <si>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</si>
  <si>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</si>
  <si>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</si>
  <si>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</si>
  <si>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</si>
  <si>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</si>
  <si>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</si>
  <si>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</si>
  <si>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t>CHEVRON</t>
  </si>
  <si>
    <t>BULLDOG</t>
    <phoneticPr fontId="1" type="noConversion"/>
  </si>
  <si>
    <t>23C781553-03</t>
    <phoneticPr fontId="1" type="noConversion"/>
  </si>
  <si>
    <t>Gasoil 0.005% S</t>
    <phoneticPr fontId="1" type="noConversion"/>
  </si>
  <si>
    <t>Appearance</t>
  </si>
  <si>
    <t>Ash Content</t>
  </si>
  <si>
    <t>Carbon Residue</t>
  </si>
  <si>
    <t>Cloud Point</t>
  </si>
  <si>
    <t>Color of Petroleum Products (ASTM Scale)</t>
  </si>
  <si>
    <t>Copper Corrosion, 3hr @ 50C</t>
  </si>
  <si>
    <t>Density @ 15C</t>
  </si>
  <si>
    <t>Cetane Number</t>
  </si>
  <si>
    <t>Cetane Index by Four Variable Equation (Calculation)</t>
  </si>
  <si>
    <t>Distillation 10% Recovered</t>
  </si>
  <si>
    <t>Distillation 50% Recovered</t>
  </si>
  <si>
    <t>Distillation 90% Recovered</t>
  </si>
  <si>
    <t>Distillation 95% Recovered</t>
  </si>
  <si>
    <t>Flash Point</t>
  </si>
  <si>
    <t>Lubricity of Diesel Fuel (HFRR Method)</t>
  </si>
  <si>
    <t>Oxidation Stability of Distillate Fuels</t>
  </si>
  <si>
    <t>Sulfur Content</t>
  </si>
  <si>
    <t>Viscosity - Kinematic at 40ºC (104ºF)</t>
  </si>
  <si>
    <t>Water Content - Karl Fischer (Coulometric)</t>
  </si>
  <si>
    <t>Water and Sediment in Middle Distillate Fuels (Centrifuge Method)</t>
  </si>
  <si>
    <t>n/a</t>
  </si>
  <si>
    <t>Report only</t>
  </si>
  <si>
    <t>max = 0.15 (buy)</t>
  </si>
  <si>
    <t>max = 2.0 (buy)</t>
  </si>
  <si>
    <t>max = 1 (buy)</t>
  </si>
  <si>
    <t>min = 0.8200 / max = 0.859 (buy)</t>
  </si>
  <si>
    <t>min = 50 (buy)</t>
  </si>
  <si>
    <t>max = 370 (buy)</t>
  </si>
  <si>
    <t>min = 60 (buy)</t>
  </si>
  <si>
    <t>max = 460 (buy)</t>
  </si>
  <si>
    <t>max = 2.5 (buy)</t>
  </si>
  <si>
    <t>max = 0.0050 (buy)</t>
  </si>
  <si>
    <t>min = 2.0 / max = 4.5 (buy)</t>
  </si>
  <si>
    <t>max = 0.05 (buy)</t>
  </si>
  <si>
    <t>max = 0.10 (buy)</t>
  </si>
  <si>
    <t>visual</t>
  </si>
  <si>
    <t>%m</t>
  </si>
  <si>
    <t>%m/m</t>
  </si>
  <si>
    <t>°C</t>
  </si>
  <si>
    <t>rating</t>
  </si>
  <si>
    <t>kg/l</t>
  </si>
  <si>
    <t>calc</t>
  </si>
  <si>
    <t>μm</t>
  </si>
  <si>
    <t>mg/100ml</t>
  </si>
  <si>
    <t>mg/kg</t>
  </si>
  <si>
    <t>mm²/s</t>
  </si>
  <si>
    <t>%vol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</si>
</sst>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40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H26" sqref="H26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695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697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696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45109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45384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9" t="s">
        <v>231</v>
      </c>
      <c r="C1" s="279"/>
      <c r="D1" s="3"/>
      <c r="E1" s="4"/>
      <c r="F1" s="282"/>
      <c r="G1" s="282"/>
      <c r="H1" s="282"/>
      <c r="I1" s="4"/>
      <c r="J1" s="278" t="s">
        <v>12</v>
      </c>
      <c r="K1" s="278"/>
      <c r="L1" s="4"/>
      <c r="M1" s="4"/>
      <c r="N1" s="4"/>
      <c r="O1" s="4"/>
      <c r="P1" s="4"/>
    </row>
    <row r="2" spans="1:36" ht="13.9" customHeight="1">
      <c r="A2" s="79"/>
      <c r="B2" s="280"/>
      <c r="C2" s="280"/>
      <c r="D2" s="5"/>
      <c r="E2" s="6"/>
      <c r="F2" s="283"/>
      <c r="G2" s="283"/>
      <c r="H2" s="283"/>
      <c r="I2" s="4"/>
      <c r="J2" s="281"/>
      <c r="K2" s="281"/>
      <c r="L2" s="284" t="s">
        <v>318</v>
      </c>
      <c r="M2" s="266"/>
      <c r="N2" s="266" t="s">
        <v>319</v>
      </c>
      <c r="O2" s="267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7" t="s">
        <v>359</v>
      </c>
      <c r="K25" s="277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8"/>
      <c r="K26" s="278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8"/>
      <c r="K27" s="269"/>
      <c r="L27" s="269"/>
      <c r="M27" s="269"/>
      <c r="N27" s="269"/>
      <c r="O27" s="270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1"/>
      <c r="K28" s="272"/>
      <c r="L28" s="272"/>
      <c r="M28" s="272"/>
      <c r="N28" s="272"/>
      <c r="O28" s="273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1"/>
      <c r="K29" s="272"/>
      <c r="L29" s="272"/>
      <c r="M29" s="272"/>
      <c r="N29" s="272"/>
      <c r="O29" s="273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1"/>
      <c r="K30" s="272"/>
      <c r="L30" s="272"/>
      <c r="M30" s="272"/>
      <c r="N30" s="272"/>
      <c r="O30" s="273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1"/>
      <c r="K31" s="272"/>
      <c r="L31" s="272"/>
      <c r="M31" s="272"/>
      <c r="N31" s="272"/>
      <c r="O31" s="273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1"/>
      <c r="K32" s="272"/>
      <c r="L32" s="272"/>
      <c r="M32" s="272"/>
      <c r="N32" s="272"/>
      <c r="O32" s="273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1"/>
      <c r="K33" s="272"/>
      <c r="L33" s="272"/>
      <c r="M33" s="272"/>
      <c r="N33" s="272"/>
      <c r="O33" s="273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4"/>
      <c r="K34" s="275"/>
      <c r="L34" s="275"/>
      <c r="M34" s="275"/>
      <c r="N34" s="275"/>
      <c r="O34" s="276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9" t="s">
        <v>230</v>
      </c>
      <c r="C1" s="25"/>
      <c r="D1" s="25"/>
      <c r="E1" s="25"/>
      <c r="F1" s="25"/>
      <c r="G1" s="25"/>
      <c r="H1" s="36"/>
      <c r="J1" s="285" t="s">
        <v>635</v>
      </c>
      <c r="K1" s="286"/>
      <c r="L1" s="286"/>
      <c r="M1" s="286"/>
      <c r="N1" s="287"/>
    </row>
    <row r="2" spans="1:78" ht="15" customHeight="1">
      <c r="A2" s="36"/>
      <c r="B2" s="279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2"/>
      <c r="G4" s="293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8"/>
      <c r="G5" s="289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90" t="str">
        <f>IF('Navarik 설정'!C22="","",'Navarik 설정'!C22)</f>
        <v>Gasoil 0.005% S</v>
      </c>
      <c r="G6" s="291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228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 t="s">
        <v>305</v>
      </c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699</v>
      </c>
      <c r="D7" s="262"/>
      <c r="E7" s="126" t="s">
        <v>719</v>
      </c>
      <c r="F7" s="265"/>
      <c r="G7" s="20"/>
      <c r="H7" s="20"/>
      <c r="I7" s="264" t="s">
        <v>734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700</v>
      </c>
      <c r="D8" s="262"/>
      <c r="E8" s="126" t="s">
        <v>720</v>
      </c>
      <c r="F8" s="263"/>
      <c r="G8" s="20"/>
      <c r="H8" s="20"/>
      <c r="I8" s="264" t="s">
        <v>735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701</v>
      </c>
      <c r="D9" s="262"/>
      <c r="E9" s="126" t="s">
        <v>721</v>
      </c>
      <c r="F9" s="263"/>
      <c r="G9" s="20"/>
      <c r="H9" s="20"/>
      <c r="I9" s="264" t="s">
        <v>736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702</v>
      </c>
      <c r="D10" s="262"/>
      <c r="E10" s="126" t="s">
        <v>720</v>
      </c>
      <c r="F10" s="263"/>
      <c r="G10" s="20"/>
      <c r="H10" s="20"/>
      <c r="I10" s="264" t="s">
        <v>737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703</v>
      </c>
      <c r="D11" s="262"/>
      <c r="E11" s="126" t="s">
        <v>722</v>
      </c>
      <c r="F11" s="263"/>
      <c r="G11" s="20"/>
      <c r="H11" s="20"/>
      <c r="I11" s="264" t="s">
        <v>738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704</v>
      </c>
      <c r="D12" s="262"/>
      <c r="E12" s="126" t="s">
        <v>723</v>
      </c>
      <c r="F12" s="263"/>
      <c r="G12" s="20"/>
      <c r="H12" s="20"/>
      <c r="I12" s="19" t="s">
        <v>738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705</v>
      </c>
      <c r="D13" s="262"/>
      <c r="E13" s="126" t="s">
        <v>724</v>
      </c>
      <c r="F13" s="263"/>
      <c r="G13" s="20"/>
      <c r="H13" s="20"/>
      <c r="I13" s="264" t="s">
        <v>739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706</v>
      </c>
      <c r="D14" s="262"/>
      <c r="E14" s="126" t="s">
        <v>725</v>
      </c>
      <c r="F14" s="263"/>
      <c r="G14" s="20"/>
      <c r="H14" s="20"/>
      <c r="I14" s="264" t="s">
        <v>719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707</v>
      </c>
      <c r="D15" s="262"/>
      <c r="E15" s="126" t="s">
        <v>725</v>
      </c>
      <c r="F15" s="263"/>
      <c r="G15" s="20"/>
      <c r="H15" s="20"/>
      <c r="I15" s="264" t="s">
        <v>740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708</v>
      </c>
      <c r="D16" s="262"/>
      <c r="E16" s="126" t="s">
        <v>720</v>
      </c>
      <c r="F16" s="263"/>
      <c r="G16" s="20"/>
      <c r="H16" s="20"/>
      <c r="I16" s="264" t="s">
        <v>737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709</v>
      </c>
      <c r="D17" s="262"/>
      <c r="E17" s="126" t="s">
        <v>720</v>
      </c>
      <c r="F17" s="263"/>
      <c r="G17" s="20"/>
      <c r="H17" s="20"/>
      <c r="I17" s="264" t="s">
        <v>737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710</v>
      </c>
      <c r="D18" s="262"/>
      <c r="E18" s="126" t="s">
        <v>726</v>
      </c>
      <c r="F18" s="263"/>
      <c r="G18" s="20"/>
      <c r="H18" s="20"/>
      <c r="I18" s="264" t="s">
        <v>737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711</v>
      </c>
      <c r="D19" s="262"/>
      <c r="E19" s="126" t="s">
        <v>720</v>
      </c>
      <c r="F19" s="263"/>
      <c r="G19" s="20"/>
      <c r="H19" s="20"/>
      <c r="I19" s="264" t="s">
        <v>737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712</v>
      </c>
      <c r="D20" s="262"/>
      <c r="E20" s="126" t="s">
        <v>727</v>
      </c>
      <c r="F20" s="263"/>
      <c r="G20" s="20"/>
      <c r="H20" s="20"/>
      <c r="I20" s="264" t="s">
        <v>737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713</v>
      </c>
      <c r="D21" s="262"/>
      <c r="E21" s="126" t="s">
        <v>728</v>
      </c>
      <c r="F21" s="263"/>
      <c r="G21" s="20"/>
      <c r="H21" s="20"/>
      <c r="I21" s="264" t="s">
        <v>741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 t="s">
        <v>714</v>
      </c>
      <c r="D22" s="262"/>
      <c r="E22" s="126" t="s">
        <v>729</v>
      </c>
      <c r="F22" s="263"/>
      <c r="G22" s="20"/>
      <c r="H22" s="20"/>
      <c r="I22" s="264" t="s">
        <v>742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715</v>
      </c>
      <c r="D23" s="262"/>
      <c r="E23" s="126" t="s">
        <v>730</v>
      </c>
      <c r="F23" s="263"/>
      <c r="G23" s="20"/>
      <c r="H23" s="20"/>
      <c r="I23" s="264" t="s">
        <v>743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716</v>
      </c>
      <c r="D24" s="262"/>
      <c r="E24" s="126" t="s">
        <v>731</v>
      </c>
      <c r="F24" s="263"/>
      <c r="G24" s="20"/>
      <c r="H24" s="20"/>
      <c r="I24" s="264" t="s">
        <v>744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717</v>
      </c>
      <c r="D25" s="262"/>
      <c r="E25" s="126" t="s">
        <v>732</v>
      </c>
      <c r="F25" s="263"/>
      <c r="G25" s="20"/>
      <c r="H25" s="20"/>
      <c r="I25" s="264" t="s">
        <v>745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718</v>
      </c>
      <c r="D26" s="262"/>
      <c r="E26" s="126" t="s">
        <v>733</v>
      </c>
      <c r="F26" s="263"/>
      <c r="G26" s="20"/>
      <c r="H26" s="20"/>
      <c r="I26" s="264" t="s">
        <v>745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4"/>
      <c r="G85" s="304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37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8EE6E1F7-226A-4EB9-99F9-9EEB9BCB8625}">
      <formula1>"* ,[OTHER] Visual"</formula1>
    </dataValidation>
    <dataValidation type="list" allowBlank="1" showInputMessage="1" showErrorMessage="1" sqref="D8" xr:uid="{12E8B62D-0ED8-4216-B642-E2FD6643DDD4}">
      <formula1>"* ,[ASTM] D482"</formula1>
    </dataValidation>
    <dataValidation type="list" allowBlank="1" showInputMessage="1" showErrorMessage="1" sqref="D9" xr:uid="{D80FD054-2C34-405B-BCE2-82DFDE2FC754}">
      <formula1>"* ,[ASTM] D4530,[ASTM] D189,[ASTM] D524"</formula1>
    </dataValidation>
    <dataValidation type="list" allowBlank="1" showInputMessage="1" showErrorMessage="1" sqref="D10" xr:uid="{6AB547F7-283B-4131-83EC-5F185795CC2D}">
      <formula1>"* ,[ASTM] D2500"</formula1>
    </dataValidation>
    <dataValidation type="list" allowBlank="1" showInputMessage="1" showErrorMessage="1" sqref="D11" xr:uid="{7A88F8E5-164A-456E-BA34-266F81CC705A}">
      <formula1>"* ,[ASTM] D1500"</formula1>
    </dataValidation>
    <dataValidation type="list" allowBlank="1" showInputMessage="1" showErrorMessage="1" sqref="D12" xr:uid="{FC8C054C-91AF-40CE-847F-E57B562419D9}">
      <formula1>"* ,[EN] EN ISO 2160,[ASTM] D130"</formula1>
    </dataValidation>
    <dataValidation type="list" allowBlank="1" showInputMessage="1" showErrorMessage="1" sqref="D13" xr:uid="{7A05026A-BF14-471C-B52D-6672F28433BA}">
      <formula1>"* ,[ASTM] D1298,[ASTM] D4052"</formula1>
    </dataValidation>
    <dataValidation type="list" allowBlank="1" showInputMessage="1" showErrorMessage="1" sqref="D14" xr:uid="{148C5E07-8189-4086-B1DA-04005FD06013}">
      <formula1>"* ,[ASTM] D613,[ASTM] D6890"</formula1>
    </dataValidation>
    <dataValidation type="list" allowBlank="1" showInputMessage="1" showErrorMessage="1" sqref="D15" xr:uid="{1CBC17FE-93F3-488D-A5FF-8B425EEA5079}">
      <formula1>"* ,[ASTM] D4737"</formula1>
    </dataValidation>
    <dataValidation type="list" allowBlank="1" showInputMessage="1" showErrorMessage="1" sqref="D16 D17 D18 D19" xr:uid="{5A5EE0F4-2AB6-4D24-B8F0-4611988979C9}">
      <formula1>"* ,[ASTM] D86"</formula1>
    </dataValidation>
    <dataValidation type="list" allowBlank="1" showInputMessage="1" showErrorMessage="1" sqref="D20" xr:uid="{9F12A661-485D-449B-B8CC-CDED06776733}">
      <formula1>"* ,[ASTM] D93"</formula1>
    </dataValidation>
    <dataValidation type="list" allowBlank="1" showInputMessage="1" showErrorMessage="1" sqref="D21" xr:uid="{10D7E832-F6B5-4D37-B986-EF638CBC738C}">
      <formula1>"* ,[IP] IP 450,[ASTM] D6079"</formula1>
    </dataValidation>
    <dataValidation type="list" allowBlank="1" showInputMessage="1" showErrorMessage="1" sqref="D22" xr:uid="{A52FEB28-8609-4025-BE64-D524EF18E821}">
      <formula1>"* ,[ASTM] D2274"</formula1>
    </dataValidation>
    <dataValidation type="list" allowBlank="1" showInputMessage="1" showErrorMessage="1" sqref="D23" xr:uid="{01E66C77-39BF-4F36-970A-4D2C43717570}">
      <formula1>"* ,[ASTM] D2622,[ASTM] D5453,[IP] IP 336,[ASTM] D4294"</formula1>
    </dataValidation>
    <dataValidation type="list" allowBlank="1" showInputMessage="1" showErrorMessage="1" sqref="D24" xr:uid="{5E47CCAE-6307-4DE2-9CB5-740494EFA430}">
      <formula1>"* ,[ASTM] D445"</formula1>
    </dataValidation>
    <dataValidation type="list" allowBlank="1" showInputMessage="1" showErrorMessage="1" sqref="D25" xr:uid="{58C7203A-F879-4B8A-A471-34BD091B846A}">
      <formula1>"* ,[ASTM] D6304"</formula1>
    </dataValidation>
    <dataValidation type="list" allowBlank="1" showInputMessage="1" showErrorMessage="1" sqref="D26" xr:uid="{2159BE1B-74E7-4A8B-9D35-86ABB22BBC42}">
      <formula1>"* ,[ASTM] D2709"</formula1>
    </dataValidation>
    <dataValidation type="list" allowBlank="1" showInputMessage="1" showErrorMessage="1" sqref="I7" xr:uid="{DE947C10-07F3-4031-8834-45F3BB849957}">
      <formula1>"pass/fail,visual"</formula1>
    </dataValidation>
    <dataValidation type="list" allowBlank="1" showInputMessage="1" showErrorMessage="1" sqref="I8" xr:uid="{E2210744-64A6-417C-AEB6-013E23149207}">
      <formula1>"ppm w/w,%m,%m/m,%wt"</formula1>
    </dataValidation>
    <dataValidation type="list" allowBlank="1" showInputMessage="1" showErrorMessage="1" sqref="I9" xr:uid="{4DFB9829-2569-484D-B16B-C687C03551BB}">
      <formula1>"LT,MT (Vac),%m/m,%wt"</formula1>
    </dataValidation>
    <dataValidation type="list" allowBlank="1" showInputMessage="1" showErrorMessage="1" sqref="I10 I20" xr:uid="{455B9018-FCEA-4EF1-A1F2-E790A6AE1BE2}">
      <formula1>"°C,°F"</formula1>
    </dataValidation>
    <dataValidation type="list" allowBlank="1" showInputMessage="1" showErrorMessage="1" sqref="I11" xr:uid="{FD8E8F0D-E3E2-4C29-B4AF-C82DE220F77C}">
      <formula1>"haze no,pass/fail,rating,visual"</formula1>
    </dataValidation>
    <dataValidation type="list" allowBlank="1" showInputMessage="1" showErrorMessage="1" sqref="I12" xr:uid="{8330B11E-7B05-4586-A33C-16DD64AF74DB}">
      <formula1>"rating"</formula1>
    </dataValidation>
    <dataValidation type="list" allowBlank="1" showInputMessage="1" showErrorMessage="1" sqref="I13" xr:uid="{BB7F716F-F80D-4817-9B10-3378751D7204}">
      <formula1>"g/ cc,g/l,g/cm³,g/ml,kg/m³,kg/l,n/a,tonne/m³"</formula1>
    </dataValidation>
    <dataValidation type="list" allowBlank="1" showInputMessage="1" showErrorMessage="1" sqref="I14" xr:uid="{A5B83F5F-638B-4581-8FA2-A4C62E391571}">
      <formula1>"mg/kg,mg/m³,n/a,rating"</formula1>
    </dataValidation>
    <dataValidation type="list" allowBlank="1" showInputMessage="1" showErrorMessage="1" sqref="I15" xr:uid="{D6BAD535-51D9-4271-9894-CB8222234828}">
      <formula1>"calc,rating"</formula1>
    </dataValidation>
    <dataValidation type="list" allowBlank="1" showInputMessage="1" showErrorMessage="1" sqref="I16 I17 I18 I19" xr:uid="{B2138AFB-4523-473F-B15D-3B5A60F71647}">
      <formula1>"°C,°F,%,%vol"</formula1>
    </dataValidation>
    <dataValidation type="list" allowBlank="1" showInputMessage="1" showErrorMessage="1" sqref="I21" xr:uid="{9B1B9DBE-889E-4B99-8F09-12BB47098EC6}">
      <formula1>"°C,μm,mm"</formula1>
    </dataValidation>
    <dataValidation type="list" allowBlank="1" showInputMessage="1" showErrorMessage="1" sqref="I22" xr:uid="{42596479-C3A2-4B46-8505-088B85146ADB}">
      <formula1>"g/cm³,g/m³,hrs,kg/m³,mg/100ml,mg/l,mins,rating"</formula1>
    </dataValidation>
    <dataValidation type="list" allowBlank="1" showInputMessage="1" showErrorMessage="1" sqref="I23" xr:uid="{ED16A801-F4FF-44CD-825F-09BDE6AB7950}">
      <formula1>"μg/g,mg/kg,mg/l,ppm,%m,%m/m,%wt"</formula1>
    </dataValidation>
    <dataValidation type="list" allowBlank="1" showInputMessage="1" showErrorMessage="1" sqref="I24" xr:uid="{AF63B895-AFFD-487F-8388-34CAA9E324B8}">
      <formula1>"cSt,Engler,mm²/s,Pa·s,SUS"</formula1>
    </dataValidation>
    <dataValidation type="list" allowBlank="1" showInputMessage="1" showErrorMessage="1" sqref="I25" xr:uid="{743413E4-1749-4CE6-A9A0-3E3C52F34244}">
      <formula1>"mg/kg,ppm,%wt,%vol"</formula1>
    </dataValidation>
    <dataValidation type="list" allowBlank="1" showInputMessage="1" showErrorMessage="1" sqref="I26" xr:uid="{76F37878-CBFA-41BB-9F3A-8BDE840773A6}">
      <formula1>"%wt,%vol"</formula1>
    </dataValidation>
    <dataValidation type="list" allowBlank="1" showInputMessage="1" showErrorMessage="1" sqref="F8 F9 F10 F11 F12 F13 F14 F15 F16 F17 F18 F19 F20 F21 F22 F23 F24 F25 F26" xr:uid="{8E4D726D-D184-403E-86DD-4A06EC6D9110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684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685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686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687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688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689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690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691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692</v>
      </c>
      <c r="C1" s="297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5"/>
      <c r="N4" s="295"/>
      <c r="O4" s="249" t="str">
        <f>IF(F2&gt;=3,1,"")</f>
        <v/>
      </c>
      <c r="P4" s="63" t="str">
        <f>IF(O4=1,"Tk No.:","")</f>
        <v/>
      </c>
      <c r="Q4" s="295"/>
      <c r="R4" s="295"/>
      <c r="S4" s="55" t="str">
        <f>IF(F2&gt;=4,1,"")</f>
        <v/>
      </c>
      <c r="T4" s="63" t="str">
        <f>IF(S4=1,"Tk No.:","")</f>
        <v/>
      </c>
      <c r="U4" s="295"/>
      <c r="V4" s="295"/>
      <c r="W4" s="55" t="str">
        <f>IF(F2&gt;=5,1,"")</f>
        <v/>
      </c>
      <c r="X4" s="63" t="str">
        <f>IF(W4=1,"Tk No.:","")</f>
        <v/>
      </c>
      <c r="Y4" s="295"/>
      <c r="Z4" s="295"/>
      <c r="AA4" s="55" t="str">
        <f>IF(F2&gt;=6,1,"")</f>
        <v/>
      </c>
      <c r="AB4" s="63" t="str">
        <f>IF(AA4=1,"Tk No.:","")</f>
        <v/>
      </c>
      <c r="AC4" s="295"/>
      <c r="AD4" s="295"/>
      <c r="AE4" s="55" t="str">
        <f>IF($F$2&gt;=7,1,"")</f>
        <v/>
      </c>
      <c r="AF4" s="63" t="str">
        <f>IF(AE4=1,"Tk No.:","")</f>
        <v/>
      </c>
      <c r="AG4" s="295"/>
      <c r="AH4" s="295"/>
      <c r="AI4" s="55" t="str">
        <f>IF($F$2&gt;=8,1,"")</f>
        <v/>
      </c>
      <c r="AJ4" s="63" t="str">
        <f>IF(AI4=1,"Tk No.:","")</f>
        <v/>
      </c>
      <c r="AK4" s="295"/>
      <c r="AL4" s="295"/>
      <c r="AM4" s="55" t="str">
        <f>IF($F$2&gt;=9,1,"")</f>
        <v/>
      </c>
      <c r="AN4" s="63" t="str">
        <f>IF(AM4=1,"Tk No.:","")</f>
        <v/>
      </c>
      <c r="AO4" s="295"/>
      <c r="AP4" s="295"/>
      <c r="AQ4" s="55" t="str">
        <f>IF($F$2&gt;=10,1,"")</f>
        <v/>
      </c>
      <c r="AR4" s="63" t="str">
        <f>IF(AQ4=1,"Tk No.:","")</f>
        <v/>
      </c>
      <c r="AS4" s="295"/>
      <c r="AT4" s="295"/>
      <c r="AU4" s="55" t="str">
        <f>IF($F$2&gt;=11,1,"")</f>
        <v/>
      </c>
      <c r="AV4" s="63" t="str">
        <f>IF(AU4=1,"Tk No.:","")</f>
        <v/>
      </c>
      <c r="AW4" s="295"/>
      <c r="AX4" s="295"/>
      <c r="AY4" s="55" t="str">
        <f>IF($F$2&gt;=12,1,"")</f>
        <v/>
      </c>
      <c r="AZ4" s="63" t="str">
        <f>IF(AY4=1,"Tk No.:","")</f>
        <v/>
      </c>
      <c r="BA4" s="295"/>
      <c r="BB4" s="295"/>
      <c r="BC4" s="55" t="str">
        <f>IF($F$2&gt;=13,1,"")</f>
        <v/>
      </c>
      <c r="BD4" s="63" t="str">
        <f>IF(BC4=1,"Tk No.:","")</f>
        <v/>
      </c>
      <c r="BE4" s="295"/>
      <c r="BF4" s="295"/>
      <c r="BG4" s="55" t="str">
        <f>IF($F$2&gt;=14,1,"")</f>
        <v/>
      </c>
      <c r="BH4" s="63" t="str">
        <f>IF(BG4=1,"Tk No.:","")</f>
        <v/>
      </c>
      <c r="BI4" s="295"/>
      <c r="BJ4" s="295"/>
      <c r="BK4" s="55" t="str">
        <f>IF($F$2&gt;=15,1,"")</f>
        <v/>
      </c>
      <c r="BL4" s="63" t="str">
        <f>IF(BK4=1,"Tk No.:","")</f>
        <v/>
      </c>
      <c r="BM4" s="295"/>
      <c r="BN4" s="295"/>
      <c r="BO4" s="55" t="str">
        <f>IF($F$2&gt;=16,1,"")</f>
        <v/>
      </c>
      <c r="BP4" s="63" t="str">
        <f>IF(BO4=1,"Tk No.:","")</f>
        <v/>
      </c>
      <c r="BQ4" s="295"/>
      <c r="BR4" s="295"/>
      <c r="BS4" s="55" t="str">
        <f>IF($F$2&gt;=17,1,"")</f>
        <v/>
      </c>
      <c r="BT4" s="63" t="str">
        <f>IF(BS4=1,"Tk No.:","")</f>
        <v/>
      </c>
      <c r="BU4" s="295"/>
      <c r="BV4" s="295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5" t="s">
        <v>258</v>
      </c>
      <c r="G5" s="305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4"/>
      <c r="G85" s="30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45293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2024-01-02T02:39:52Z</dcterms:modified>
</cp:coreProperties>
</file>