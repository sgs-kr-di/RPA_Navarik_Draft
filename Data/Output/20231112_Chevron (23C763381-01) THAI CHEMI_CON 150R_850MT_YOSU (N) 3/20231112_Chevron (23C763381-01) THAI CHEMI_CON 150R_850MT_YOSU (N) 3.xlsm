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12_Chevron (23C763381-01) THAI CHEMI_CON 150R_850MT_YOSU (N) 3\"/>
    </mc:Choice>
  </mc:AlternateContent>
  <xr:revisionPtr revIDLastSave="0" documentId="13_ncr:1_{02227BA7-5728-447A-B409-F12E5843F5E4}" xr6:coauthVersionLast="45" xr6:coauthVersionMax="47" xr10:uidLastSave="{00000000-0000-0000-0000-000000000000}"/>
  <bookViews>
    <workbookView xWindow="240" yWindow="1860" windowWidth="21600" windowHeight="11385" tabRatio="688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D37" i="1"/>
  <c r="F37" i="1"/>
  <c r="F36" i="1"/>
  <c r="D36" i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<sst xmlns="http://schemas.openxmlformats.org/spreadsheetml/2006/main" count="1203" uniqueCount="746">
  <si>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</si>
  <si>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</si>
  <si>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</si>
  <si>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</si>
  <si>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</si>
  <si>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</si>
  <si>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</si>
  <si>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</si>
  <si>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</si>
  <si>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</si>
  <si>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</si>
  <si>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</si>
  <si>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</si>
  <si>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</si>
  <si>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</si>
  <si>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</si>
  <si>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</si>
  <si>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</si>
  <si>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</si>
  <si>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</si>
  <si>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</si>
  <si>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</si>
  <si>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</si>
  <si>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</si>
  <si>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</si>
  <si>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</si>
  <si>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</si>
  <si>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</si>
  <si>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</si>
  <si>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</si>
  <si>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</si>
  <si>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</si>
  <si>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</si>
  <si>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</si>
  <si>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</si>
  <si>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</si>
  <si>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</si>
  <si>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</si>
  <si>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</si>
  <si>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</si>
  <si>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</si>
  <si>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</si>
  <si>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</si>
  <si>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</si>
  <si>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</si>
  <si>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</si>
  <si>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</si>
  <si>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</si>
  <si>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</si>
  <si>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</si>
  <si>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</si>
  <si>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</si>
  <si>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</si>
  <si>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</si>
  <si>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</si>
  <si>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</si>
  <si>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</si>
  <si>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</si>
  <si>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</si>
  <si>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</si>
  <si>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</si>
  <si>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</si>
  <si>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</si>
  <si>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</si>
  <si>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</si>
  <si>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</si>
  <si>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</si>
  <si>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</si>
  <si>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</si>
  <si>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</si>
  <si>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</si>
  <si>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</si>
  <si>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</si>
  <si>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</si>
  <si>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</si>
  <si>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</si>
  <si>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</si>
  <si>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</si>
  <si>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</si>
  <si>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</si>
  <si>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</si>
  <si>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</si>
  <si>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</si>
  <si>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</si>
  <si>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</si>
  <si>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</si>
  <si>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</si>
  <si>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</si>
  <si>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</si>
  <si>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</si>
  <si>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</si>
  <si>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</si>
  <si>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</si>
  <si>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</si>
  <si>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</si>
  <si>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</si>
  <si>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</si>
  <si>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</si>
  <si>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</si>
  <si>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</si>
  <si>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</si>
  <si>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</si>
  <si>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</si>
  <si>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</si>
  <si>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</si>
  <si>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</si>
  <si>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</si>
  <si>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</si>
  <si>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</si>
  <si>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</si>
  <si>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</si>
  <si>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</si>
  <si>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</si>
  <si>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</si>
  <si>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</si>
  <si>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</si>
  <si>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</si>
  <si>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</si>
  <si>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</si>
  <si>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</si>
  <si>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</si>
  <si>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</si>
  <si>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</si>
  <si>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</si>
  <si>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</si>
  <si>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</si>
  <si>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</si>
  <si>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</si>
  <si>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</si>
  <si>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</si>
  <si>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</si>
  <si>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</si>
  <si>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</si>
  <si>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</si>
  <si>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</si>
  <si>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</si>
  <si>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</si>
  <si>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</si>
  <si>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</si>
  <si>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</si>
  <si>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</si>
  <si>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</si>
  <si>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</si>
  <si>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</si>
  <si>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</si>
  <si>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</si>
  <si>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</si>
  <si>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</si>
  <si>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</si>
  <si>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</si>
  <si>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</si>
  <si>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</si>
  <si>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</si>
  <si>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</si>
  <si>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</si>
  <si>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</si>
  <si>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</si>
  <si>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</si>
  <si>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</si>
  <si>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</si>
  <si>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</si>
  <si>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</si>
  <si>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</si>
  <si>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</si>
  <si>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</si>
  <si>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</si>
  <si>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</si>
  <si>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</si>
  <si>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</si>
  <si>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</si>
  <si>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</si>
  <si>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</si>
  <si>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</si>
  <si>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</si>
  <si>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</si>
  <si>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</si>
  <si>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</si>
  <si>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</si>
  <si>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</si>
  <si>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</si>
  <si>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</si>
  <si>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</si>
  <si>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</si>
  <si>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</si>
  <si>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</si>
  <si>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</si>
  <si>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</si>
  <si>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</si>
  <si>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</si>
  <si>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</si>
  <si>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</si>
  <si>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</si>
  <si>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</si>
  <si>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</si>
  <si>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</si>
  <si>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</si>
  <si>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</si>
  <si>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</si>
  <si>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</si>
  <si>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</si>
  <si>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</si>
  <si>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</si>
  <si>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</si>
  <si>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</si>
  <si>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</si>
  <si>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</si>
  <si>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</si>
  <si>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</si>
  <si>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</si>
  <si>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</si>
  <si>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</si>
  <si>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</si>
  <si>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</si>
  <si>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</si>
  <si>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</si>
  <si>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</si>
  <si>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</si>
  <si>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</si>
  <si>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</si>
  <si>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</si>
  <si>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</si>
  <si>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</si>
  <si>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</si>
  <si>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</si>
  <si>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</si>
  <si>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</si>
  <si>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</si>
  <si>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</si>
  <si>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</si>
  <si>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</si>
  <si>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</si>
  <si>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</si>
  <si>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</si>
  <si>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</si>
  <si>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</si>
  <si>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</si>
  <si>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</si>
  <si>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</si>
  <si>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</si>
  <si>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</si>
  <si>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</si>
  <si>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</si>
  <si>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</si>
  <si>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</si>
  <si>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</si>
  <si>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</si>
  <si>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</si>
  <si>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</si>
  <si>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</si>
  <si>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</si>
  <si>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</si>
  <si>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</si>
  <si>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</si>
  <si>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</si>
  <si>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</si>
  <si>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</si>
  <si>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</si>
  <si>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</si>
  <si>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</si>
  <si>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</si>
  <si>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</si>
  <si>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</si>
  <si>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</si>
  <si>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</si>
  <si>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</si>
  <si>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</si>
  <si>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</si>
  <si>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</si>
  <si>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</si>
  <si>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</si>
  <si>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</si>
  <si>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</si>
  <si>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</si>
  <si>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</si>
  <si>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</si>
  <si>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</si>
  <si>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</si>
  <si>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</si>
  <si>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</si>
  <si>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</si>
  <si>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</si>
  <si>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</si>
  <si>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</si>
  <si>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</si>
  <si>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</si>
  <si>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</si>
  <si>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</si>
  <si>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</si>
  <si>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</si>
  <si>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</si>
  <si>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</si>
  <si>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</si>
  <si>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</si>
  <si>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</si>
  <si>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</si>
  <si>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</si>
  <si>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</si>
  <si>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</si>
  <si>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</si>
  <si>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</si>
  <si>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</si>
  <si>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</si>
  <si>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</si>
  <si>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</si>
  <si>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</si>
  <si>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</si>
  <si>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</si>
  <si>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</si>
  <si>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</si>
  <si>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</si>
  <si>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</si>
  <si>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</si>
  <si>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</si>
  <si>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</si>
  <si>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</si>
  <si>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</si>
  <si>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</si>
  <si>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</si>
  <si>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</si>
  <si>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</si>
  <si>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</si>
  <si>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</si>
  <si>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</si>
  <si>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</si>
  <si>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</si>
  <si>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</si>
  <si>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</si>
  <si>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</si>
  <si>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</si>
  <si>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</si>
  <si>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</si>
  <si>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</si>
  <si>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</si>
  <si>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</si>
  <si>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</si>
  <si>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</si>
  <si>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</si>
  <si>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</si>
  <si>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</si>
  <si>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</si>
  <si>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</si>
  <si>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</si>
  <si>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</si>
  <si>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</si>
  <si>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</si>
  <si>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</si>
  <si>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</si>
  <si>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</si>
  <si>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</si>
  <si>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</si>
  <si>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</si>
  <si>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</si>
  <si>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</si>
  <si>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</si>
  <si>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</si>
  <si>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</si>
  <si>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</si>
  <si>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</si>
  <si>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</si>
  <si>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</si>
  <si>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</si>
  <si>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</si>
  <si>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</si>
  <si>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</si>
  <si>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</si>
  <si>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</si>
  <si>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</si>
  <si>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</si>
  <si>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</si>
  <si>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</si>
  <si>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</si>
  <si>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</si>
  <si>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</si>
  <si>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</si>
  <si>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</si>
  <si>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</si>
  <si>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</si>
  <si>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</si>
  <si>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</si>
  <si>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</si>
  <si>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</si>
  <si>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</si>
  <si>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</si>
  <si>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</si>
  <si>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</si>
  <si>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</si>
  <si>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</si>
  <si>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</si>
  <si>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</si>
  <si>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</si>
  <si>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</si>
  <si>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</si>
  <si>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</si>
  <si>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</si>
  <si>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</si>
  <si>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</si>
  <si>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</si>
  <si>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</si>
  <si>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</si>
  <si>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</si>
  <si>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</si>
  <si>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</si>
  <si>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</si>
  <si>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</si>
  <si>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</si>
  <si>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</si>
  <si>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</si>
  <si>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</si>
  <si>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</si>
  <si>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</si>
  <si>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</si>
  <si>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</si>
  <si>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</si>
  <si>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</si>
  <si>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</si>
  <si>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</si>
  <si>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</si>
  <si>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</si>
  <si>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</si>
  <si>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</si>
  <si>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</si>
  <si>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</si>
  <si>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</si>
  <si>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</si>
  <si>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</si>
  <si>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</si>
  <si>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</si>
  <si>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</si>
  <si>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</si>
  <si>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</si>
  <si>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</si>
  <si>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</si>
  <si>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</si>
  <si>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</si>
  <si>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</si>
  <si>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</si>
  <si>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</si>
  <si>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</si>
  <si>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</si>
  <si>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</si>
  <si>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</si>
  <si>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</si>
  <si>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</si>
  <si>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</si>
  <si>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</si>
  <si>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</si>
  <si>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</si>
  <si>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</si>
  <si>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</si>
  <si>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</si>
  <si>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</si>
  <si>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</si>
  <si>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</si>
  <si>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</si>
  <si>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</si>
  <si>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</si>
  <si>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</si>
  <si>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</si>
  <si>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</si>
  <si>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</si>
  <si>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</si>
  <si>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</si>
  <si>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</si>
  <si>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</si>
  <si>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</si>
  <si>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</si>
  <si>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</si>
  <si>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</si>
  <si>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</si>
  <si>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</si>
  <si>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</si>
  <si>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</si>
  <si>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</si>
  <si>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</si>
  <si>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</si>
  <si>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</si>
  <si>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</si>
  <si>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</si>
  <si>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</si>
  <si>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</si>
  <si>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</si>
  <si>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</si>
  <si>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</si>
  <si>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</si>
  <si>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</si>
  <si>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</si>
  <si>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</si>
  <si>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</si>
  <si>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</si>
  <si>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</si>
  <si>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</si>
  <si>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</si>
  <si>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</si>
  <si>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</si>
  <si>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</si>
  <si>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</si>
  <si>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</si>
  <si>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</si>
  <si>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</si>
  <si>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</si>
  <si>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</si>
  <si>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</si>
  <si>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</si>
  <si>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</si>
  <si>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</si>
  <si>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</si>
  <si>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</si>
  <si>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</si>
  <si>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</si>
  <si>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</si>
  <si>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</si>
  <si>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</si>
  <si>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</si>
  <si>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</si>
  <si>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</si>
  <si>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</si>
  <si>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</si>
  <si>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</si>
  <si>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</si>
  <si>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</si>
  <si>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</si>
  <si>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</si>
  <si>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</si>
  <si>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</si>
  <si>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</si>
  <si>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</si>
  <si>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</si>
  <si>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</si>
  <si>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</si>
  <si>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</si>
  <si>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</si>
  <si>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</si>
  <si>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</si>
  <si>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</si>
  <si>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</si>
  <si>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</si>
  <si>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</si>
  <si>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</si>
  <si>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</si>
  <si>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</si>
  <si>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</si>
  <si>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</si>
  <si>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</si>
  <si>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</si>
  <si>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</si>
  <si>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</si>
  <si>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</si>
  <si>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</si>
  <si>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</si>
  <si>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</si>
  <si>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</si>
  <si>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</si>
  <si>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</si>
  <si>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</si>
  <si>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</si>
  <si>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</si>
  <si>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</si>
  <si>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</si>
  <si>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</si>
  <si>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</si>
  <si>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</si>
  <si>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</si>
  <si>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</si>
  <si>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</si>
  <si>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</si>
  <si>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</si>
  <si>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</si>
  <si>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</si>
  <si>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</si>
  <si>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</si>
  <si>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</si>
  <si>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</si>
  <si>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</si>
  <si>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</si>
  <si>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</si>
  <si>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</si>
  <si>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</si>
  <si>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</si>
  <si>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</si>
  <si>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</si>
  <si>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</si>
  <si>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</si>
  <si>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</si>
  <si>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</si>
  <si>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</si>
  <si>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</si>
  <si>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</si>
  <si>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</si>
  <si>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</si>
  <si>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</si>
  <si>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</si>
  <si>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</si>
  <si>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</si>
  <si>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</si>
  <si>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</si>
  <si>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</si>
  <si>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</si>
  <si>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</si>
  <si>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</si>
  <si>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</si>
  <si>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</si>
  <si>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</si>
  <si>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</si>
  <si>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</si>
  <si>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</si>
  <si>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</si>
  <si>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</si>
  <si>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</si>
  <si>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</si>
  <si>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</si>
  <si>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</si>
  <si>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</si>
  <si>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</si>
  <si>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</si>
  <si>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</si>
  <si>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</si>
  <si>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</si>
  <si>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</si>
  <si>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</si>
  <si>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</si>
  <si>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</si>
  <si>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</si>
  <si>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</si>
  <si>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</si>
  <si>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</si>
  <si>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</si>
  <si>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</si>
  <si>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</si>
  <si>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</si>
  <si>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</si>
  <si>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</si>
  <si>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</si>
  <si>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</si>
  <si>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</si>
  <si>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</si>
  <si>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</si>
  <si>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</si>
  <si>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</si>
  <si>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</si>
  <si>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</si>
  <si>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</si>
  <si>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</si>
  <si>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</si>
  <si>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</si>
  <si>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</si>
  <si>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</si>
  <si>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</si>
  <si>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</si>
  <si>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</si>
  <si>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</si>
  <si>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</si>
  <si>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</si>
  <si>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</si>
  <si>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</si>
  <si>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</si>
  <si>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</si>
  <si>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</si>
  <si>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</si>
  <si>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</si>
  <si>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</si>
  <si>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</si>
  <si>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</si>
  <si>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</si>
  <si>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</si>
  <si>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</si>
  <si>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</si>
  <si>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</si>
  <si>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</si>
  <si>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</si>
  <si>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</si>
  <si>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</si>
  <si>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</si>
  <si>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</si>
  <si>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</si>
  <si>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</si>
  <si>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</si>
  <si>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</si>
  <si>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</si>
  <si>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</si>
  <si>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</si>
  <si>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</si>
  <si>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</si>
  <si>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</si>
  <si>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</si>
  <si>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</si>
  <si>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</si>
  <si>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</si>
  <si>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</si>
  <si>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</si>
  <si>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</si>
  <si>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</si>
  <si>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</si>
  <si>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</si>
  <si>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</si>
  <si>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</si>
  <si>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</si>
  <si>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</si>
  <si>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</si>
  <si>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</si>
  <si>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23C763381-01</t>
  </si>
  <si>
    <t>THAI CHEMI</t>
  </si>
  <si>
    <t>CHV NEUTRAL OIL 150R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</si>
  <si>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</si>
  <si>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</si>
  <si>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</si>
  <si>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</si>
  <si>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</si>
  <si>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</si>
  <si>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</si>
  <si>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CHV NEUTRAL OIL 220N - 1500 Metric tonnes</t>
  </si>
  <si>
    <t>Load CHV NEUTRAL OIL 150R - 850 Metric tonnes</t>
  </si>
  <si>
    <t>Load CHV NEUTRAL OIL 600R - 2350 Metric tonnes</t>
  </si>
  <si>
    <t>*</t>
  </si>
  <si>
    <t>Appearance</t>
  </si>
  <si>
    <t>Color of Petroleum Products (ASTM Scale)</t>
  </si>
  <si>
    <t>API Gravity, Density, Relative Density (Specific Gravity) by Digital Density Meter or Oscillating U-tube Method</t>
  </si>
  <si>
    <t>Density @ 20C</t>
  </si>
  <si>
    <t>Flash Point</t>
  </si>
  <si>
    <t>Viscosity - Kinematic at 40ºC (104ºF)</t>
  </si>
  <si>
    <t>Viscosity - Kinematic at 100ºC (212ºF)</t>
  </si>
  <si>
    <t>Viscosity Index (Including Tests)</t>
  </si>
  <si>
    <t>NOACK volatility</t>
  </si>
  <si>
    <t>Pour Point</t>
  </si>
  <si>
    <t>Viscosity of Engine Oils and Base Stocks @-20C (Cold Cranking Simulator)</t>
  </si>
  <si>
    <t>Sulfur Content</t>
  </si>
  <si>
    <t>Water Content - Karl Fischer (Coulometric)</t>
  </si>
  <si>
    <t>n/a</t>
  </si>
  <si>
    <t>max = 1.0 (buy)</t>
  </si>
  <si>
    <t>Report only</t>
  </si>
  <si>
    <t>min = 200 (buy)</t>
  </si>
  <si>
    <t>min = 5.0 / max = 5.4 (buy)</t>
  </si>
  <si>
    <t>min = 100 (buy)</t>
  </si>
  <si>
    <t>max = 15.0 (buy)</t>
  </si>
  <si>
    <t>max = -12 (buy)</t>
  </si>
  <si>
    <t>max = 1,850 (buy)</t>
  </si>
  <si>
    <t>visual</t>
  </si>
  <si>
    <t>rating</t>
  </si>
  <si>
    <t>API@60°F</t>
  </si>
  <si>
    <t>kg/l</t>
  </si>
  <si>
    <t>g/ml</t>
  </si>
  <si>
    <t>°C</t>
  </si>
  <si>
    <t>cSt</t>
  </si>
  <si>
    <t>%wt</t>
  </si>
  <si>
    <t>cP</t>
  </si>
  <si>
    <t>mg/kg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</si>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</sst>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I29" sqref="I29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45240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45056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45332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458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712</v>
      </c>
      <c r="C6" s="123" t="s">
        <v>526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702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530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703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497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712</v>
      </c>
      <c r="C11" s="123" t="s">
        <v>704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500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511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481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712</v>
      </c>
      <c r="C16" s="123" t="s">
        <v>503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712</v>
      </c>
      <c r="C17" s="123" t="s">
        <v>706</v>
      </c>
      <c r="D17" s="57" t="s">
        <v>709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712</v>
      </c>
      <c r="C18" s="123" t="s">
        <v>706</v>
      </c>
      <c r="D18" s="57" t="s">
        <v>710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 t="s">
        <v>712</v>
      </c>
      <c r="C19" s="123" t="s">
        <v>706</v>
      </c>
      <c r="D19" s="57" t="s">
        <v>711</v>
      </c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" customHeight="1">
      <c r="A20" s="80">
        <v>16</v>
      </c>
      <c r="B20" s="122"/>
      <c r="C20" s="123" t="s">
        <v>707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 t="s">
        <v>468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712</v>
      </c>
      <c r="C22" s="123" t="s">
        <v>480</v>
      </c>
      <c r="D22" s="58" t="s">
        <v>709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 t="s">
        <v>712</v>
      </c>
      <c r="C23" s="123" t="s">
        <v>480</v>
      </c>
      <c r="D23" s="57" t="s">
        <v>710</v>
      </c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" customHeight="1">
      <c r="A24" s="80">
        <v>20</v>
      </c>
      <c r="B24" s="122" t="s">
        <v>712</v>
      </c>
      <c r="C24" s="123" t="s">
        <v>480</v>
      </c>
      <c r="D24" s="57" t="s">
        <v>711</v>
      </c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708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712</v>
      </c>
      <c r="C26" s="123" t="s">
        <v>504</v>
      </c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476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 t="s">
        <v>467</v>
      </c>
      <c r="D28" s="57"/>
      <c r="E28" s="94"/>
      <c r="F28" s="59"/>
      <c r="G28" s="60"/>
      <c r="H28" s="203" t="str">
        <f t="shared" si="0"/>
        <v>-</v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 t="s">
        <v>528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 t="s">
        <v>712</v>
      </c>
      <c r="C30" s="123" t="s">
        <v>563</v>
      </c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1</v>
      </c>
    </row>
    <row r="31" spans="1:27" ht="13.9" customHeight="1">
      <c r="A31" s="80">
        <v>27</v>
      </c>
      <c r="B31" s="122"/>
      <c r="C31" s="123" t="s">
        <v>498</v>
      </c>
      <c r="D31" s="57"/>
      <c r="E31" s="94"/>
      <c r="F31" s="59"/>
      <c r="G31" s="60"/>
      <c r="H31" s="203" t="str">
        <f t="shared" si="0"/>
        <v>-</v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CHV NEUTRAL OIL 150R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316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713</v>
      </c>
      <c r="D7" s="260"/>
      <c r="E7" s="126" t="s">
        <v>726</v>
      </c>
      <c r="F7" s="263"/>
      <c r="G7" s="20"/>
      <c r="H7" s="20"/>
      <c r="I7" s="262" t="s">
        <v>735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714</v>
      </c>
      <c r="D8" s="260"/>
      <c r="E8" s="126" t="s">
        <v>727</v>
      </c>
      <c r="F8" s="261"/>
      <c r="G8" s="20"/>
      <c r="H8" s="20"/>
      <c r="I8" s="262" t="s">
        <v>736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715</v>
      </c>
      <c r="D9" s="260"/>
      <c r="E9" s="126" t="s">
        <v>728</v>
      </c>
      <c r="F9" s="261"/>
      <c r="G9" s="20"/>
      <c r="H9" s="20"/>
      <c r="I9" s="262" t="s">
        <v>737</v>
      </c>
      <c r="J9" s="246" t="str">
        <f t="shared" si="16"/>
        <v>*</v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715</v>
      </c>
      <c r="D10" s="260"/>
      <c r="E10" s="126" t="s">
        <v>728</v>
      </c>
      <c r="F10" s="261"/>
      <c r="G10" s="20"/>
      <c r="H10" s="20"/>
      <c r="I10" s="262" t="s">
        <v>738</v>
      </c>
      <c r="J10" s="246" t="str">
        <f t="shared" si="16"/>
        <v>*</v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716</v>
      </c>
      <c r="D11" s="260"/>
      <c r="E11" s="126" t="s">
        <v>728</v>
      </c>
      <c r="F11" s="261"/>
      <c r="G11" s="20"/>
      <c r="H11" s="20"/>
      <c r="I11" s="262" t="s">
        <v>739</v>
      </c>
      <c r="J11" s="246" t="str">
        <f t="shared" si="16"/>
        <v>*</v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717</v>
      </c>
      <c r="D12" s="260"/>
      <c r="E12" s="126" t="s">
        <v>729</v>
      </c>
      <c r="F12" s="261"/>
      <c r="G12" s="20"/>
      <c r="H12" s="20"/>
      <c r="I12" s="262" t="s">
        <v>740</v>
      </c>
      <c r="J12" s="246" t="str">
        <f t="shared" si="16"/>
        <v>*</v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718</v>
      </c>
      <c r="D13" s="260"/>
      <c r="E13" s="126" t="s">
        <v>728</v>
      </c>
      <c r="F13" s="261"/>
      <c r="G13" s="20"/>
      <c r="H13" s="20"/>
      <c r="I13" s="262" t="s">
        <v>741</v>
      </c>
      <c r="J13" s="246" t="str">
        <f t="shared" si="16"/>
        <v>*</v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719</v>
      </c>
      <c r="D14" s="260"/>
      <c r="E14" s="126" t="s">
        <v>730</v>
      </c>
      <c r="F14" s="261"/>
      <c r="G14" s="20"/>
      <c r="H14" s="20"/>
      <c r="I14" s="262" t="s">
        <v>741</v>
      </c>
      <c r="J14" s="246" t="str">
        <f t="shared" si="16"/>
        <v>*</v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720</v>
      </c>
      <c r="D15" s="260"/>
      <c r="E15" s="126" t="s">
        <v>731</v>
      </c>
      <c r="F15" s="261"/>
      <c r="G15" s="20"/>
      <c r="H15" s="20"/>
      <c r="I15" s="262" t="s">
        <v>741</v>
      </c>
      <c r="J15" s="246" t="str">
        <f t="shared" si="16"/>
        <v>*</v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721</v>
      </c>
      <c r="D16" s="260"/>
      <c r="E16" s="126" t="s">
        <v>732</v>
      </c>
      <c r="F16" s="261"/>
      <c r="G16" s="20"/>
      <c r="H16" s="20"/>
      <c r="I16" s="19" t="s">
        <v>742</v>
      </c>
      <c r="J16" s="246" t="str">
        <f t="shared" si="16"/>
        <v>*</v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722</v>
      </c>
      <c r="D17" s="260"/>
      <c r="E17" s="126" t="s">
        <v>733</v>
      </c>
      <c r="F17" s="261"/>
      <c r="G17" s="20"/>
      <c r="H17" s="20"/>
      <c r="I17" s="262" t="s">
        <v>740</v>
      </c>
      <c r="J17" s="246" t="str">
        <f t="shared" si="16"/>
        <v>*</v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723</v>
      </c>
      <c r="D18" s="260"/>
      <c r="E18" s="126" t="s">
        <v>734</v>
      </c>
      <c r="F18" s="261"/>
      <c r="G18" s="20"/>
      <c r="H18" s="20"/>
      <c r="I18" s="19" t="s">
        <v>743</v>
      </c>
      <c r="J18" s="246" t="str">
        <f t="shared" si="16"/>
        <v>*</v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724</v>
      </c>
      <c r="D19" s="260"/>
      <c r="E19" s="126" t="s">
        <v>728</v>
      </c>
      <c r="F19" s="261"/>
      <c r="G19" s="20"/>
      <c r="H19" s="20"/>
      <c r="I19" s="262" t="s">
        <v>744</v>
      </c>
      <c r="J19" s="246" t="str">
        <f t="shared" si="16"/>
        <v>*</v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725</v>
      </c>
      <c r="D20" s="260"/>
      <c r="E20" s="126" t="s">
        <v>728</v>
      </c>
      <c r="F20" s="261"/>
      <c r="G20" s="20"/>
      <c r="H20" s="20"/>
      <c r="I20" s="262" t="s">
        <v>745</v>
      </c>
      <c r="J20" s="246" t="str">
        <f t="shared" si="16"/>
        <v>*</v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26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E2ABC19F-A7F2-42F1-B239-CC4C95781055}">
      <formula1>"* ,[OTHER] Visual"</formula1>
    </dataValidation>
    <dataValidation type="list" allowBlank="1" showInputMessage="1" showErrorMessage="1" sqref="D8" xr:uid="{45FFE86D-F053-4F5E-8B90-F01719AC5F82}">
      <formula1>"* ,[ASTM] D1500"</formula1>
    </dataValidation>
    <dataValidation type="list" allowBlank="1" showInputMessage="1" showErrorMessage="1" sqref="D9 D10 D11" xr:uid="{8F09E734-B366-4DB6-9ECB-691F5E916AA3}">
      <formula1>"* ,[ASTM] D4052"</formula1>
    </dataValidation>
    <dataValidation type="list" allowBlank="1" showInputMessage="1" showErrorMessage="1" sqref="D12" xr:uid="{9AB1AF12-ABA9-4806-927B-74ECA30B10D5}">
      <formula1>"* ,[ASTM] D92"</formula1>
    </dataValidation>
    <dataValidation type="list" allowBlank="1" showInputMessage="1" showErrorMessage="1" sqref="D13 D14" xr:uid="{2E735169-DF05-4B70-AB84-2B1DB1F56595}">
      <formula1>"* ,[ASTM] D445"</formula1>
    </dataValidation>
    <dataValidation type="list" allowBlank="1" showInputMessage="1" showErrorMessage="1" sqref="D15" xr:uid="{C20C8F1E-2AD5-4DC4-A2DF-D954F1E3EF53}">
      <formula1>"* ,[ASTM] D2270"</formula1>
    </dataValidation>
    <dataValidation type="list" allowBlank="1" showInputMessage="1" showErrorMessage="1" sqref="D16" xr:uid="{C12A67CB-AAC7-4FDF-9A99-778D43ECDF81}">
      <formula1>"* ,[ASTM] D5800"</formula1>
    </dataValidation>
    <dataValidation type="list" allowBlank="1" showInputMessage="1" showErrorMessage="1" sqref="D17" xr:uid="{E19B3716-4029-4D8D-9916-8C8B2453C8D3}">
      <formula1>"* ,[ASTM] D97"</formula1>
    </dataValidation>
    <dataValidation type="list" allowBlank="1" showInputMessage="1" showErrorMessage="1" sqref="D18" xr:uid="{B141F48F-AE92-40CC-A054-5011C391B85A}">
      <formula1>"* ,[ASTM] D5293"</formula1>
    </dataValidation>
    <dataValidation type="list" allowBlank="1" showInputMessage="1" showErrorMessage="1" sqref="D19" xr:uid="{ECDEBA1F-9871-4CF9-84B7-B9D6AF322B30}">
      <formula1>"* ,[ASTM] D5453"</formula1>
    </dataValidation>
    <dataValidation type="list" allowBlank="1" showInputMessage="1" showErrorMessage="1" sqref="D20" xr:uid="{2FCD3C88-D1A9-435E-9FEE-DFEFD5B80CF0}">
      <formula1>"* ,[ASTM] D6304"</formula1>
    </dataValidation>
    <dataValidation type="list" allowBlank="1" showInputMessage="1" showErrorMessage="1" sqref="I7" xr:uid="{4003E0EB-450E-4054-984D-40ECF3322184}">
      <formula1>"pass/fail,visual"</formula1>
    </dataValidation>
    <dataValidation type="list" allowBlank="1" showInputMessage="1" showErrorMessage="1" sqref="I8" xr:uid="{6A3ECFAD-E005-4E14-8FF0-D10F5E267064}">
      <formula1>"haze no,pass/fail,rating,visual"</formula1>
    </dataValidation>
    <dataValidation type="list" allowBlank="1" showInputMessage="1" showErrorMessage="1" sqref="I9 I10" xr:uid="{80FF3DFF-A782-4C46-BEB7-660AF6E92B32}">
      <formula1>"API@60°F,g/ml,kg/m³,kg/l,n/a"</formula1>
    </dataValidation>
    <dataValidation type="list" allowBlank="1" showInputMessage="1" showErrorMessage="1" sqref="I11" xr:uid="{578DDE19-BACA-4807-92E2-63FF5DBD65CD}">
      <formula1>"g/ml,kg/m³,kg/l,n/a"</formula1>
    </dataValidation>
    <dataValidation type="list" allowBlank="1" showInputMessage="1" showErrorMessage="1" sqref="I12" xr:uid="{511A6C51-2236-41FD-9A06-E43D1EF23EFE}">
      <formula1>"°C,°F,Yes/No"</formula1>
    </dataValidation>
    <dataValidation type="list" allowBlank="1" showInputMessage="1" showErrorMessage="1" sqref="I13 I14 I15" xr:uid="{AA673392-DA91-4CA8-8608-2CAD1191D661}">
      <formula1>"cSt,Engler,mm²/s,Pa·s,SUS"</formula1>
    </dataValidation>
    <dataValidation type="list" allowBlank="1" showInputMessage="1" showErrorMessage="1" sqref="I16" xr:uid="{0F11C2FF-0D5C-468D-ACD9-A95B1A25B597}">
      <formula1>"%wt"</formula1>
    </dataValidation>
    <dataValidation type="list" allowBlank="1" showInputMessage="1" showErrorMessage="1" sqref="I17" xr:uid="{2707E70C-6897-4C16-AE5B-1D8CA967FD91}">
      <formula1>"°C,°F"</formula1>
    </dataValidation>
    <dataValidation type="list" allowBlank="1" showInputMessage="1" showErrorMessage="1" sqref="I18" xr:uid="{B7A9B211-DC5B-4B82-A6C1-0A1DFBFA96BA}">
      <formula1>"cP"</formula1>
    </dataValidation>
    <dataValidation type="list" allowBlank="1" showInputMessage="1" showErrorMessage="1" sqref="I19" xr:uid="{A6474FAB-0E12-4986-BCE5-025BDE2CB0AC}">
      <formula1>"μg/g,mg/kg,mg/l,ppm,%m,%m/m,%wt"</formula1>
    </dataValidation>
    <dataValidation type="list" allowBlank="1" showInputMessage="1" showErrorMessage="1" sqref="I20" xr:uid="{8F5A4C26-4DE8-4230-BEC1-C03494F7E327}">
      <formula1>"mg/kg,ppm,%wt,%vol"</formula1>
    </dataValidation>
    <dataValidation type="list" allowBlank="1" showInputMessage="1" showErrorMessage="1" sqref="F8 F9 F10 F11 F12 F13 F14 F15 F16 F17 F18 F19 F20" xr:uid="{98C50D6B-ECAA-4A13-9695-1AEC3A2FB0C4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45240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2023-11-10T05:16:55Z</dcterms:modified>
</cp:coreProperties>
</file>